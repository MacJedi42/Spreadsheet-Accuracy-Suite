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60" yWindow="75" windowWidth="11340" windowHeight="6795" tabRatio="776"/>
  </bookViews>
  <sheets>
    <sheet name="Thru06" sheetId="18" r:id="rId1"/>
    <sheet name="Thru05" sheetId="13" r:id="rId2"/>
    <sheet name="Thru01" sheetId="1" r:id="rId3"/>
    <sheet name="Guide" sheetId="4" r:id="rId4"/>
    <sheet name="Law" sheetId="5" r:id="rId5"/>
    <sheet name="Pre1989" sheetId="6" r:id="rId6"/>
    <sheet name="New8990" sheetId="7" r:id="rId7"/>
    <sheet name="New9108" sheetId="8" r:id="rId8"/>
    <sheet name="Input01" sheetId="2" r:id="rId9"/>
    <sheet name="Input05" sheetId="10" r:id="rId10"/>
    <sheet name="Input06" sheetId="17" r:id="rId11"/>
    <sheet name="Outputs" sheetId="3" r:id="rId12"/>
  </sheets>
  <definedNames>
    <definedName name="_xlnm._FilterDatabase" localSheetId="7" hidden="1">'New9108'!$A$7:$A$1072</definedName>
    <definedName name="_xlnm._FilterDatabase" localSheetId="5" hidden="1">'Pre1989'!$A$14:$A$449</definedName>
    <definedName name="ADDCY02">Input05!$B$696:$R$1038</definedName>
    <definedName name="ADDCY03">Input05!$B$1384:$U$1726</definedName>
    <definedName name="ADDCY04">Input05!$B$2072:$U$2414</definedName>
    <definedName name="ADDCY05">Input05!$B$2760:$U$3102</definedName>
    <definedName name="ADDCY06CPINO">Input06!$B$350:$AN$689</definedName>
    <definedName name="ADDCY06CPIYES">Input06!$B$691:$AN$1030</definedName>
    <definedName name="AFTERCY01">Input05!$B$8:$R$350</definedName>
    <definedName name="CANCELLATIONS">Input01!$A$355:$C$362</definedName>
    <definedName name="District2007">#REF!</definedName>
    <definedName name="Dnumber">Thru01!$A$1</definedName>
    <definedName name="DNUMBER06">Thru06!$A$1</definedName>
    <definedName name="Dnumber2">#REF!</definedName>
    <definedName name="DNUMBER3">Thru05!$A$1</definedName>
    <definedName name="EXISTING">#REF!</definedName>
    <definedName name="Input2006">Input06!$B$9:$AN$348</definedName>
    <definedName name="Input2007">#REF!</definedName>
    <definedName name="Inputall">Input01!$A$10:$AG$352</definedName>
    <definedName name="NAMES">Input05!$B$2760:$D$3104</definedName>
    <definedName name="Output">#REF!</definedName>
    <definedName name="_xlnm.Print_Area" localSheetId="3">Guide!$A$1:$D$133</definedName>
    <definedName name="_xlnm.Print_Area" localSheetId="7">'New9108'!$A$8:$J$1552</definedName>
    <definedName name="_xlnm.Print_Area" localSheetId="5">'Pre1989'!$A$15:$Z$449</definedName>
    <definedName name="_xlnm.Print_Area" localSheetId="2">Thru01!$A$3:$L$57</definedName>
    <definedName name="_xlnm.Print_Area" localSheetId="1">Thru05!$A$3:$P$50</definedName>
    <definedName name="_xlnm.Print_Area" localSheetId="0">Thru06!$A$3:$N$33</definedName>
    <definedName name="_xlnm.Print_Titles" localSheetId="7">'New9108'!$1:$8</definedName>
    <definedName name="_xlnm.Print_Titles" localSheetId="5">'Pre1989'!$1:$14</definedName>
    <definedName name="PRIOR">#REF!</definedName>
    <definedName name="Reset">Outputs!$B$14:$B$353</definedName>
    <definedName name="Revsum">Thru06!$E$48:$N$48</definedName>
    <definedName name="Start">Outputs!$B$12</definedName>
    <definedName name="SUBCY02">Input05!$B$352:$R$694</definedName>
    <definedName name="SUBCY03">Input05!$B$1040:$U$1382</definedName>
    <definedName name="SUBCY04">Input05!$B$1728:$U$2070</definedName>
    <definedName name="SUBCY05">Input05!$B$2416:$U$2758</definedName>
    <definedName name="SUBCY06">Input06!$B$1032:$AN$1371</definedName>
    <definedName name="TBRA">Input05!$B$1737:$O$2079</definedName>
  </definedNames>
  <calcPr calcId="145621" fullCalcOnLoad="1"/>
</workbook>
</file>

<file path=xl/calcChain.xml><?xml version="1.0" encoding="utf-8"?>
<calcChain xmlns="http://schemas.openxmlformats.org/spreadsheetml/2006/main">
  <c r="F12" i="3" l="1"/>
  <c r="G12" i="3"/>
  <c r="H12" i="3"/>
  <c r="I12" i="3"/>
  <c r="J12" i="3"/>
  <c r="K12" i="3"/>
  <c r="L12" i="3"/>
  <c r="M12" i="3"/>
  <c r="N12" i="3"/>
  <c r="O12" i="3"/>
  <c r="Q9" i="18"/>
  <c r="D14" i="18" s="1"/>
  <c r="R9" i="18"/>
  <c r="E9" i="18" s="1"/>
  <c r="D13" i="18"/>
  <c r="D9" i="18"/>
  <c r="D18" i="18"/>
  <c r="D32" i="18"/>
  <c r="A10" i="18"/>
  <c r="A11" i="18"/>
  <c r="A13" i="18" s="1"/>
  <c r="F29" i="18"/>
  <c r="G29" i="18" s="1"/>
  <c r="H29" i="18" s="1"/>
  <c r="I29" i="18" s="1"/>
  <c r="J29" i="18" s="1"/>
  <c r="K29" i="18" s="1"/>
  <c r="L29" i="18" s="1"/>
  <c r="M29" i="18" s="1"/>
  <c r="N29" i="18" s="1"/>
  <c r="E28" i="18"/>
  <c r="F28" i="18"/>
  <c r="G28" i="18" s="1"/>
  <c r="H28" i="18" s="1"/>
  <c r="I28" i="18" s="1"/>
  <c r="J28" i="18" s="1"/>
  <c r="K28" i="18" s="1"/>
  <c r="L28" i="18" s="1"/>
  <c r="M28" i="18" s="1"/>
  <c r="N28" i="18" s="1"/>
  <c r="D19" i="18"/>
  <c r="C9" i="18"/>
  <c r="C22" i="18"/>
  <c r="B4" i="18"/>
  <c r="C3" i="17"/>
  <c r="D3" i="17"/>
  <c r="E3" i="17" s="1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AG3" i="17" s="1"/>
  <c r="AH3" i="17" s="1"/>
  <c r="AI3" i="17" s="1"/>
  <c r="AJ3" i="17" s="1"/>
  <c r="AK3" i="17" s="1"/>
  <c r="AL3" i="17" s="1"/>
  <c r="AM3" i="17" s="1"/>
  <c r="AN3" i="17" s="1"/>
  <c r="D20" i="18"/>
  <c r="C20" i="18"/>
  <c r="B4" i="13"/>
  <c r="B11" i="18"/>
  <c r="H29" i="13"/>
  <c r="G29" i="13"/>
  <c r="F29" i="13"/>
  <c r="E29" i="13"/>
  <c r="C16" i="13"/>
  <c r="D16" i="13" s="1"/>
  <c r="E16" i="13"/>
  <c r="F16" i="13" s="1"/>
  <c r="G16" i="13" s="1"/>
  <c r="C15" i="13"/>
  <c r="D15" i="13"/>
  <c r="E15" i="13" s="1"/>
  <c r="F15" i="13"/>
  <c r="G15" i="13" s="1"/>
  <c r="H15" i="13"/>
  <c r="I15" i="13" s="1"/>
  <c r="J15" i="13" s="1"/>
  <c r="K15" i="13" s="1"/>
  <c r="L15" i="13" s="1"/>
  <c r="M15" i="13" s="1"/>
  <c r="N15" i="13" s="1"/>
  <c r="O15" i="13" s="1"/>
  <c r="P15" i="13" s="1"/>
  <c r="F17" i="13"/>
  <c r="E17" i="13"/>
  <c r="D17" i="13"/>
  <c r="C9" i="13"/>
  <c r="C13" i="13" s="1"/>
  <c r="C20" i="13" s="1"/>
  <c r="C34" i="13" s="1"/>
  <c r="C10" i="13"/>
  <c r="C11" i="13"/>
  <c r="C17" i="13"/>
  <c r="L51" i="1"/>
  <c r="F16" i="1"/>
  <c r="F12" i="1"/>
  <c r="F18" i="1" s="1"/>
  <c r="G16" i="1"/>
  <c r="G12" i="1"/>
  <c r="G18" i="1"/>
  <c r="H16" i="1"/>
  <c r="H12" i="1"/>
  <c r="H18" i="1" s="1"/>
  <c r="I16" i="1"/>
  <c r="I12" i="1"/>
  <c r="I18" i="1"/>
  <c r="L18" i="1"/>
  <c r="D19" i="1"/>
  <c r="D22" i="1"/>
  <c r="J15" i="1"/>
  <c r="J12" i="1"/>
  <c r="J27" i="1"/>
  <c r="D47" i="1"/>
  <c r="K16" i="1"/>
  <c r="K15" i="1"/>
  <c r="K12" i="1"/>
  <c r="K27" i="1"/>
  <c r="K29" i="1" s="1"/>
  <c r="K31" i="1" s="1"/>
  <c r="K32" i="1" s="1"/>
  <c r="A32" i="1"/>
  <c r="A33" i="1"/>
  <c r="K33" i="1" s="1"/>
  <c r="A34" i="1"/>
  <c r="K34" i="1" s="1"/>
  <c r="A35" i="1"/>
  <c r="K35" i="1" s="1"/>
  <c r="A36" i="1"/>
  <c r="K36" i="1" s="1"/>
  <c r="A37" i="1"/>
  <c r="K37" i="1" s="1"/>
  <c r="A38" i="1"/>
  <c r="K38" i="1" s="1"/>
  <c r="A39" i="1"/>
  <c r="K39" i="1" s="1"/>
  <c r="A40" i="1"/>
  <c r="K40" i="1" s="1"/>
  <c r="A41" i="1"/>
  <c r="K41" i="1" s="1"/>
  <c r="C57" i="1"/>
  <c r="C62" i="1"/>
  <c r="J16" i="1"/>
  <c r="L35" i="1"/>
  <c r="L33" i="1"/>
  <c r="L36" i="1"/>
  <c r="L37" i="1"/>
  <c r="L34" i="1"/>
  <c r="L32" i="1"/>
  <c r="L31" i="1"/>
  <c r="J14" i="1"/>
  <c r="H15" i="1"/>
  <c r="J25" i="1"/>
  <c r="L21" i="1"/>
  <c r="L23" i="1" s="1"/>
  <c r="J21" i="1"/>
  <c r="J23" i="1" s="1"/>
  <c r="K21" i="1"/>
  <c r="K23" i="1" s="1"/>
  <c r="D49" i="1"/>
  <c r="K14" i="1"/>
  <c r="I14" i="1"/>
  <c r="G14" i="1"/>
  <c r="F14" i="1"/>
  <c r="A4" i="1"/>
  <c r="H14" i="1"/>
  <c r="L48" i="1"/>
  <c r="L49" i="1"/>
  <c r="L47" i="1"/>
  <c r="L50" i="1"/>
  <c r="L53" i="1" s="1"/>
  <c r="E12" i="1" s="1"/>
  <c r="E27" i="1" s="1"/>
  <c r="F35" i="1"/>
  <c r="F36" i="1"/>
  <c r="F37" i="1"/>
  <c r="F38" i="1"/>
  <c r="F39" i="1"/>
  <c r="F34" i="1"/>
  <c r="F40" i="1"/>
  <c r="F41" i="1"/>
  <c r="C56" i="1"/>
  <c r="D58" i="13"/>
  <c r="A10" i="13"/>
  <c r="A11" i="13" s="1"/>
  <c r="A12" i="13"/>
  <c r="A15" i="13" s="1"/>
  <c r="A16" i="13" s="1"/>
  <c r="A17" i="13" s="1"/>
  <c r="N13" i="13"/>
  <c r="O13" i="13"/>
  <c r="P13" i="13"/>
  <c r="C40" i="13"/>
  <c r="D7" i="13"/>
  <c r="E7" i="13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B13" i="13"/>
  <c r="B8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Y352" i="2"/>
  <c r="D48" i="1" s="1"/>
  <c r="D52" i="1" s="1"/>
  <c r="D53" i="1" s="1"/>
  <c r="Y351" i="2"/>
  <c r="S6" i="10"/>
  <c r="T6" i="10"/>
  <c r="C1" i="10"/>
  <c r="D1" i="10"/>
  <c r="E1" i="10" s="1"/>
  <c r="F1" i="10" s="1"/>
  <c r="G1" i="10" s="1"/>
  <c r="H1" i="10" s="1"/>
  <c r="I1" i="10" s="1"/>
  <c r="J1" i="10" s="1"/>
  <c r="K1" i="10" s="1"/>
  <c r="L1" i="10" s="1"/>
  <c r="M1" i="10" s="1"/>
  <c r="N1" i="10" s="1"/>
  <c r="O1" i="10" s="1"/>
  <c r="P1" i="10" s="1"/>
  <c r="Q1" i="10" s="1"/>
  <c r="R1" i="10" s="1"/>
  <c r="S1" i="10" s="1"/>
  <c r="T1" i="10" s="1"/>
  <c r="U1" i="10" s="1"/>
  <c r="F4" i="10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K1607" i="10"/>
  <c r="L1607" i="10"/>
  <c r="M1607" i="10"/>
  <c r="N1607" i="10"/>
  <c r="O1607" i="10"/>
  <c r="P1607" i="10"/>
  <c r="Q1607" i="10"/>
  <c r="R1607" i="10"/>
  <c r="J1607" i="10"/>
  <c r="I1607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R1640" i="10"/>
  <c r="Q1640" i="10"/>
  <c r="P1640" i="10"/>
  <c r="O1640" i="10"/>
  <c r="N1640" i="10"/>
  <c r="M1640" i="10"/>
  <c r="L1640" i="10"/>
  <c r="K1640" i="10"/>
  <c r="J1640" i="10"/>
  <c r="A13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G83" i="7"/>
  <c r="A19" i="13" l="1"/>
  <c r="B20" i="13"/>
  <c r="B44" i="13"/>
  <c r="E28" i="1"/>
  <c r="B17" i="13"/>
  <c r="D9" i="13"/>
  <c r="D11" i="13"/>
  <c r="D22" i="13"/>
  <c r="E58" i="13"/>
  <c r="D10" i="13"/>
  <c r="D55" i="13"/>
  <c r="D18" i="1"/>
  <c r="D20" i="1" s="1"/>
  <c r="F22" i="1"/>
  <c r="G17" i="13"/>
  <c r="H16" i="13"/>
  <c r="A14" i="18"/>
  <c r="D16" i="18"/>
  <c r="D22" i="18" s="1"/>
  <c r="D33" i="18"/>
  <c r="E18" i="18"/>
  <c r="E13" i="18"/>
  <c r="S9" i="18"/>
  <c r="E14" i="18"/>
  <c r="I16" i="13" l="1"/>
  <c r="H17" i="13"/>
  <c r="G22" i="1"/>
  <c r="H22" i="1"/>
  <c r="I22" i="1" s="1"/>
  <c r="F20" i="1"/>
  <c r="F21" i="1" s="1"/>
  <c r="D13" i="13"/>
  <c r="D20" i="13" s="1"/>
  <c r="F9" i="18"/>
  <c r="F14" i="18"/>
  <c r="F18" i="18"/>
  <c r="F13" i="18"/>
  <c r="T9" i="18"/>
  <c r="E19" i="18"/>
  <c r="E20" i="18" s="1"/>
  <c r="E15" i="18"/>
  <c r="E33" i="18"/>
  <c r="E16" i="18"/>
  <c r="E22" i="18" s="1"/>
  <c r="E32" i="18"/>
  <c r="B33" i="18"/>
  <c r="A15" i="18"/>
  <c r="A16" i="18" s="1"/>
  <c r="B16" i="18"/>
  <c r="E23" i="13"/>
  <c r="E38" i="13" s="1"/>
  <c r="E28" i="13"/>
  <c r="E10" i="13"/>
  <c r="E24" i="13"/>
  <c r="E9" i="13"/>
  <c r="E11" i="13"/>
  <c r="E22" i="13"/>
  <c r="E55" i="13"/>
  <c r="E56" i="13"/>
  <c r="F58" i="13"/>
  <c r="E29" i="1"/>
  <c r="A22" i="13"/>
  <c r="A23" i="13" s="1"/>
  <c r="E31" i="1" l="1"/>
  <c r="E33" i="1"/>
  <c r="E32" i="1"/>
  <c r="E13" i="13"/>
  <c r="E20" i="13" s="1"/>
  <c r="A18" i="18"/>
  <c r="B22" i="18"/>
  <c r="G13" i="18"/>
  <c r="G18" i="18"/>
  <c r="U9" i="18"/>
  <c r="G9" i="18"/>
  <c r="G14" i="18"/>
  <c r="F19" i="18"/>
  <c r="F20" i="18" s="1"/>
  <c r="F32" i="18"/>
  <c r="G20" i="1"/>
  <c r="I17" i="13"/>
  <c r="J16" i="13"/>
  <c r="A24" i="13"/>
  <c r="F24" i="13"/>
  <c r="F28" i="13"/>
  <c r="F23" i="13"/>
  <c r="F38" i="13" s="1"/>
  <c r="F9" i="13"/>
  <c r="F11" i="13"/>
  <c r="F22" i="13"/>
  <c r="G58" i="13"/>
  <c r="F10" i="13"/>
  <c r="F55" i="13"/>
  <c r="F56" i="13"/>
  <c r="E48" i="18"/>
  <c r="F16" i="18"/>
  <c r="F22" i="18" s="1"/>
  <c r="F15" i="18"/>
  <c r="F33" i="18"/>
  <c r="D26" i="13"/>
  <c r="D34" i="13"/>
  <c r="D40" i="13" s="1"/>
  <c r="F23" i="1"/>
  <c r="F48" i="18" l="1"/>
  <c r="F25" i="1"/>
  <c r="G23" i="13"/>
  <c r="G9" i="13"/>
  <c r="G11" i="13"/>
  <c r="G28" i="13"/>
  <c r="G24" i="13"/>
  <c r="G10" i="13"/>
  <c r="G55" i="13"/>
  <c r="G56" i="13"/>
  <c r="G22" i="13"/>
  <c r="H58" i="13"/>
  <c r="A26" i="13"/>
  <c r="B33" i="13"/>
  <c r="F13" i="13"/>
  <c r="F20" i="13" s="1"/>
  <c r="J17" i="13"/>
  <c r="K16" i="13"/>
  <c r="G21" i="1"/>
  <c r="H20" i="1"/>
  <c r="G15" i="18"/>
  <c r="G33" i="18"/>
  <c r="H13" i="18"/>
  <c r="H18" i="18"/>
  <c r="H9" i="18"/>
  <c r="H14" i="18"/>
  <c r="V9" i="18"/>
  <c r="G16" i="18"/>
  <c r="A19" i="18"/>
  <c r="B20" i="18" s="1"/>
  <c r="B32" i="18"/>
  <c r="G32" i="18"/>
  <c r="G22" i="18"/>
  <c r="G19" i="18"/>
  <c r="G20" i="18"/>
  <c r="E26" i="13"/>
  <c r="E27" i="13"/>
  <c r="E34" i="13" s="1"/>
  <c r="E40" i="13" s="1"/>
  <c r="G48" i="18" l="1"/>
  <c r="H15" i="18"/>
  <c r="H33" i="18"/>
  <c r="H19" i="18"/>
  <c r="H20" i="18" s="1"/>
  <c r="H21" i="1"/>
  <c r="H23" i="1" s="1"/>
  <c r="H25" i="1" s="1"/>
  <c r="H27" i="1" s="1"/>
  <c r="I20" i="1"/>
  <c r="I21" i="1" s="1"/>
  <c r="I23" i="1" s="1"/>
  <c r="I25" i="1" s="1"/>
  <c r="I27" i="1" s="1"/>
  <c r="K17" i="13"/>
  <c r="L16" i="13"/>
  <c r="H28" i="13"/>
  <c r="H24" i="13"/>
  <c r="H23" i="13"/>
  <c r="H38" i="13" s="1"/>
  <c r="H10" i="13"/>
  <c r="H55" i="13"/>
  <c r="H56" i="13"/>
  <c r="I58" i="13"/>
  <c r="H9" i="13"/>
  <c r="H11" i="13"/>
  <c r="H22" i="13"/>
  <c r="G13" i="13"/>
  <c r="G20" i="13" s="1"/>
  <c r="A20" i="18"/>
  <c r="A22" i="18" s="1"/>
  <c r="B23" i="18"/>
  <c r="I13" i="18"/>
  <c r="I18" i="18"/>
  <c r="W9" i="18"/>
  <c r="I9" i="18"/>
  <c r="I14" i="18"/>
  <c r="H32" i="18"/>
  <c r="H16" i="18"/>
  <c r="H22" i="18" s="1"/>
  <c r="G23" i="1"/>
  <c r="D21" i="1"/>
  <c r="F26" i="13"/>
  <c r="F27" i="13"/>
  <c r="F34" i="13" s="1"/>
  <c r="F40" i="13" s="1"/>
  <c r="A27" i="13"/>
  <c r="A28" i="13" s="1"/>
  <c r="A29" i="13" s="1"/>
  <c r="B34" i="13" s="1"/>
  <c r="G38" i="13"/>
  <c r="F27" i="1"/>
  <c r="H48" i="18" l="1"/>
  <c r="I32" i="18"/>
  <c r="I19" i="18"/>
  <c r="I20" i="18" s="1"/>
  <c r="G25" i="1"/>
  <c r="D23" i="1"/>
  <c r="I15" i="18"/>
  <c r="I16" i="18" s="1"/>
  <c r="I22" i="18" s="1"/>
  <c r="I33" i="18"/>
  <c r="J13" i="18"/>
  <c r="J18" i="18"/>
  <c r="J9" i="18"/>
  <c r="J14" i="18"/>
  <c r="X9" i="18"/>
  <c r="A23" i="18"/>
  <c r="A24" i="18" s="1"/>
  <c r="A27" i="18" s="1"/>
  <c r="A28" i="18" s="1"/>
  <c r="A29" i="18" s="1"/>
  <c r="A32" i="18" s="1"/>
  <c r="A33" i="18" s="1"/>
  <c r="H13" i="13"/>
  <c r="H20" i="13" s="1"/>
  <c r="L17" i="13"/>
  <c r="M16" i="13"/>
  <c r="F28" i="1"/>
  <c r="B50" i="13"/>
  <c r="A32" i="13"/>
  <c r="B38" i="13"/>
  <c r="G27" i="13"/>
  <c r="G26" i="13"/>
  <c r="G34" i="13"/>
  <c r="G40" i="13" s="1"/>
  <c r="I23" i="13"/>
  <c r="I24" i="13"/>
  <c r="I9" i="13"/>
  <c r="I11" i="13"/>
  <c r="I22" i="13"/>
  <c r="I10" i="13"/>
  <c r="I55" i="13"/>
  <c r="I56" i="13"/>
  <c r="I28" i="13"/>
  <c r="J58" i="13"/>
  <c r="I48" i="18" l="1"/>
  <c r="J24" i="13"/>
  <c r="J23" i="13"/>
  <c r="J9" i="13"/>
  <c r="J11" i="13"/>
  <c r="J22" i="13"/>
  <c r="K58" i="13"/>
  <c r="J10" i="13"/>
  <c r="J55" i="13"/>
  <c r="J56" i="13"/>
  <c r="J28" i="13"/>
  <c r="I13" i="13"/>
  <c r="I20" i="13" s="1"/>
  <c r="I38" i="13"/>
  <c r="B24" i="18"/>
  <c r="J15" i="18"/>
  <c r="J33" i="18"/>
  <c r="J19" i="18"/>
  <c r="J20" i="18"/>
  <c r="A37" i="13"/>
  <c r="A40" i="13" s="1"/>
  <c r="B40" i="13"/>
  <c r="F29" i="1"/>
  <c r="M17" i="13"/>
  <c r="N16" i="13"/>
  <c r="H26" i="13"/>
  <c r="H34" i="13" s="1"/>
  <c r="H40" i="13" s="1"/>
  <c r="H27" i="13"/>
  <c r="K13" i="18"/>
  <c r="K18" i="18"/>
  <c r="Y9" i="18"/>
  <c r="K9" i="18"/>
  <c r="K14" i="18"/>
  <c r="J32" i="18"/>
  <c r="J22" i="18"/>
  <c r="J16" i="18"/>
  <c r="G27" i="1"/>
  <c r="G28" i="1" s="1"/>
  <c r="D25" i="1"/>
  <c r="H28" i="1" l="1"/>
  <c r="H29" i="1" s="1"/>
  <c r="K15" i="18"/>
  <c r="K33" i="18"/>
  <c r="K16" i="18"/>
  <c r="N17" i="13"/>
  <c r="N20" i="13" s="1"/>
  <c r="O16" i="13"/>
  <c r="F32" i="1"/>
  <c r="F33" i="1"/>
  <c r="F31" i="1"/>
  <c r="K32" i="18"/>
  <c r="K22" i="18"/>
  <c r="K19" i="18"/>
  <c r="K20" i="18"/>
  <c r="K23" i="13"/>
  <c r="K24" i="13"/>
  <c r="K9" i="13"/>
  <c r="K11" i="13"/>
  <c r="K22" i="13"/>
  <c r="K10" i="13"/>
  <c r="K55" i="13"/>
  <c r="K56" i="13"/>
  <c r="K28" i="13"/>
  <c r="L58" i="13"/>
  <c r="J38" i="13"/>
  <c r="G29" i="1"/>
  <c r="D27" i="1"/>
  <c r="J48" i="18"/>
  <c r="L13" i="18"/>
  <c r="L18" i="18"/>
  <c r="L9" i="18"/>
  <c r="L14" i="18"/>
  <c r="Z9" i="18"/>
  <c r="I26" i="13"/>
  <c r="I27" i="13"/>
  <c r="I34" i="13" s="1"/>
  <c r="I40" i="13" s="1"/>
  <c r="J13" i="13"/>
  <c r="J20" i="13" s="1"/>
  <c r="J26" i="13" l="1"/>
  <c r="J27" i="13"/>
  <c r="J34" i="13" s="1"/>
  <c r="J40" i="13" s="1"/>
  <c r="L15" i="18"/>
  <c r="L33" i="18"/>
  <c r="L19" i="18"/>
  <c r="L20" i="18" s="1"/>
  <c r="K13" i="13"/>
  <c r="K20" i="13" s="1"/>
  <c r="K38" i="13"/>
  <c r="I28" i="1"/>
  <c r="M13" i="18"/>
  <c r="M18" i="18"/>
  <c r="AA9" i="18"/>
  <c r="M9" i="18"/>
  <c r="M14" i="18"/>
  <c r="L32" i="18"/>
  <c r="L16" i="18"/>
  <c r="L22" i="18" s="1"/>
  <c r="G35" i="1"/>
  <c r="G33" i="1"/>
  <c r="G37" i="1"/>
  <c r="G39" i="1"/>
  <c r="G31" i="1"/>
  <c r="G41" i="1"/>
  <c r="G36" i="1"/>
  <c r="G38" i="1"/>
  <c r="G34" i="1"/>
  <c r="G32" i="1"/>
  <c r="G40" i="1"/>
  <c r="L24" i="13"/>
  <c r="L23" i="13"/>
  <c r="L9" i="13"/>
  <c r="L11" i="13"/>
  <c r="L22" i="13"/>
  <c r="M58" i="13"/>
  <c r="L10" i="13"/>
  <c r="L55" i="13"/>
  <c r="L56" i="13"/>
  <c r="L28" i="13"/>
  <c r="K48" i="18"/>
  <c r="O17" i="13"/>
  <c r="O20" i="13" s="1"/>
  <c r="P16" i="13"/>
  <c r="P17" i="13" s="1"/>
  <c r="P20" i="13" s="1"/>
  <c r="H35" i="1"/>
  <c r="H36" i="1"/>
  <c r="H38" i="1"/>
  <c r="H34" i="1"/>
  <c r="H32" i="1"/>
  <c r="H40" i="1"/>
  <c r="H41" i="1"/>
  <c r="H33" i="1"/>
  <c r="H37" i="1"/>
  <c r="H39" i="1"/>
  <c r="H31" i="1"/>
  <c r="L48" i="18" l="1"/>
  <c r="L13" i="13"/>
  <c r="L20" i="13" s="1"/>
  <c r="M32" i="18"/>
  <c r="M19" i="18"/>
  <c r="M20" i="18"/>
  <c r="I29" i="1"/>
  <c r="J28" i="1"/>
  <c r="J29" i="1" s="1"/>
  <c r="P27" i="13"/>
  <c r="P26" i="13"/>
  <c r="M23" i="13"/>
  <c r="M38" i="13" s="1"/>
  <c r="M24" i="13"/>
  <c r="M9" i="13"/>
  <c r="M13" i="13" s="1"/>
  <c r="M20" i="13" s="1"/>
  <c r="M11" i="13"/>
  <c r="M22" i="13"/>
  <c r="M10" i="13"/>
  <c r="M55" i="13"/>
  <c r="M56" i="13"/>
  <c r="M28" i="13"/>
  <c r="N58" i="13"/>
  <c r="L38" i="13"/>
  <c r="M15" i="18"/>
  <c r="M33" i="18"/>
  <c r="N14" i="18"/>
  <c r="P10" i="18"/>
  <c r="N13" i="18"/>
  <c r="N18" i="18"/>
  <c r="M16" i="18"/>
  <c r="M22" i="18" s="1"/>
  <c r="K26" i="13"/>
  <c r="K27" i="13"/>
  <c r="K34" i="13" s="1"/>
  <c r="K40" i="13" s="1"/>
  <c r="M48" i="18" l="1"/>
  <c r="N32" i="18"/>
  <c r="M26" i="13"/>
  <c r="M27" i="13"/>
  <c r="M34" i="13" s="1"/>
  <c r="M40" i="13" s="1"/>
  <c r="D28" i="1"/>
  <c r="A364" i="2" s="1"/>
  <c r="N15" i="18"/>
  <c r="N16" i="18" s="1"/>
  <c r="N22" i="18" s="1"/>
  <c r="N33" i="18"/>
  <c r="N19" i="18"/>
  <c r="N23" i="18" s="1"/>
  <c r="N20" i="18"/>
  <c r="Q10" i="18"/>
  <c r="C10" i="18"/>
  <c r="C23" i="18" s="1"/>
  <c r="C24" i="18" s="1"/>
  <c r="N24" i="13"/>
  <c r="N23" i="13"/>
  <c r="N38" i="13" s="1"/>
  <c r="N22" i="13"/>
  <c r="O58" i="13"/>
  <c r="N55" i="13"/>
  <c r="N26" i="13" s="1"/>
  <c r="N56" i="13"/>
  <c r="N27" i="13" s="1"/>
  <c r="N28" i="13"/>
  <c r="J35" i="1"/>
  <c r="J36" i="1"/>
  <c r="J38" i="1"/>
  <c r="E38" i="1" s="1"/>
  <c r="D38" i="1" s="1"/>
  <c r="J34" i="1"/>
  <c r="J32" i="1"/>
  <c r="D32" i="1" s="1"/>
  <c r="J40" i="1"/>
  <c r="J41" i="1"/>
  <c r="J33" i="1"/>
  <c r="J37" i="1"/>
  <c r="J39" i="1"/>
  <c r="J31" i="1"/>
  <c r="I35" i="1"/>
  <c r="I33" i="1"/>
  <c r="I37" i="1"/>
  <c r="I39" i="1"/>
  <c r="E39" i="1" s="1"/>
  <c r="D39" i="1" s="1"/>
  <c r="I31" i="1"/>
  <c r="I36" i="1"/>
  <c r="I38" i="1"/>
  <c r="I34" i="1"/>
  <c r="I32" i="1"/>
  <c r="I40" i="1"/>
  <c r="D40" i="1" s="1"/>
  <c r="I41" i="1"/>
  <c r="E37" i="1"/>
  <c r="D37" i="1" s="1"/>
  <c r="E36" i="1"/>
  <c r="D36" i="1" s="1"/>
  <c r="E34" i="1"/>
  <c r="D34" i="1" s="1"/>
  <c r="D29" i="1"/>
  <c r="E35" i="1"/>
  <c r="D35" i="1" s="1"/>
  <c r="L26" i="13"/>
  <c r="L27" i="13"/>
  <c r="L34" i="13" s="1"/>
  <c r="L40" i="13" s="1"/>
  <c r="N48" i="18" l="1"/>
  <c r="N24" i="18"/>
  <c r="O23" i="13"/>
  <c r="O24" i="13"/>
  <c r="O55" i="13"/>
  <c r="O26" i="13" s="1"/>
  <c r="O56" i="13"/>
  <c r="O27" i="13" s="1"/>
  <c r="O28" i="13"/>
  <c r="P58" i="13"/>
  <c r="D41" i="1"/>
  <c r="D31" i="1"/>
  <c r="D33" i="1"/>
  <c r="N34" i="13"/>
  <c r="N40" i="13" s="1"/>
  <c r="D10" i="18"/>
  <c r="D23" i="18" s="1"/>
  <c r="D24" i="18" s="1"/>
  <c r="R10" i="18"/>
  <c r="E10" i="18" l="1"/>
  <c r="E23" i="18" s="1"/>
  <c r="E24" i="18" s="1"/>
  <c r="S10" i="18"/>
  <c r="P24" i="13"/>
  <c r="P28" i="13"/>
  <c r="O38" i="13"/>
  <c r="O34" i="13"/>
  <c r="P38" i="13" l="1"/>
  <c r="P34" i="13"/>
  <c r="O40" i="13"/>
  <c r="F10" i="18"/>
  <c r="F23" i="18" s="1"/>
  <c r="F24" i="18" s="1"/>
  <c r="T10" i="18"/>
  <c r="P40" i="13" l="1"/>
  <c r="G10" i="18"/>
  <c r="G23" i="18" s="1"/>
  <c r="G24" i="18" s="1"/>
  <c r="U10" i="18"/>
  <c r="H10" i="18" l="1"/>
  <c r="H23" i="18" s="1"/>
  <c r="H24" i="18" s="1"/>
  <c r="V10" i="18"/>
  <c r="I10" i="18" l="1"/>
  <c r="I23" i="18" s="1"/>
  <c r="I24" i="18" s="1"/>
  <c r="W10" i="18"/>
  <c r="J10" i="18" l="1"/>
  <c r="J23" i="18" s="1"/>
  <c r="J24" i="18" s="1"/>
  <c r="X10" i="18"/>
  <c r="K10" i="18" l="1"/>
  <c r="K23" i="18" s="1"/>
  <c r="K24" i="18" s="1"/>
  <c r="Y10" i="18"/>
  <c r="L10" i="18" l="1"/>
  <c r="L23" i="18" s="1"/>
  <c r="L24" i="18" s="1"/>
  <c r="Z10" i="18"/>
  <c r="M10" i="18" l="1"/>
  <c r="M23" i="18" s="1"/>
  <c r="M24" i="18" s="1"/>
  <c r="AA10" i="18"/>
  <c r="P11" i="18" s="1"/>
  <c r="C11" i="18" l="1"/>
  <c r="Q11" i="18"/>
  <c r="R11" i="18" l="1"/>
  <c r="D11" i="18"/>
  <c r="E11" i="18" l="1"/>
  <c r="S11" i="18"/>
  <c r="T11" i="18" l="1"/>
  <c r="F11" i="18"/>
  <c r="G11" i="18" l="1"/>
  <c r="U11" i="18"/>
  <c r="V11" i="18" l="1"/>
  <c r="H11" i="18"/>
  <c r="I11" i="18" l="1"/>
  <c r="W11" i="18"/>
  <c r="X11" i="18" l="1"/>
  <c r="J11" i="18"/>
  <c r="K11" i="18" l="1"/>
  <c r="Y11" i="18"/>
  <c r="Z11" i="18" l="1"/>
  <c r="L11" i="18"/>
  <c r="M11" i="18" l="1"/>
  <c r="AA11" i="18"/>
</calcChain>
</file>

<file path=xl/sharedStrings.xml><?xml version="1.0" encoding="utf-8"?>
<sst xmlns="http://schemas.openxmlformats.org/spreadsheetml/2006/main" count="12216" uniqueCount="1047">
  <si>
    <t>Authorities were first reduced to reflect the cap on referendum revenue.  Any reduction</t>
  </si>
  <si>
    <t>for the cap was applied first to the authority with the first scheduled expiration date.  If</t>
  </si>
  <si>
    <t>the total reduction for the cap exceeded the gross amount of the authority with the first</t>
  </si>
  <si>
    <t>expiration date, the remaining reduction for the cap was applied to the authority with the</t>
  </si>
  <si>
    <t>second expiration date.</t>
  </si>
  <si>
    <t xml:space="preserve">Remaining authorities were then reduced to reflect the referendum allowance reduction. </t>
  </si>
  <si>
    <t>The allowance reduction was applied first to the authority with the first scheduled</t>
  </si>
  <si>
    <t>expiration date, as reduced for the referendum cap.  If the total allowance reduction</t>
  </si>
  <si>
    <t>exceeded the authority with the first expiration date, the remaining allowance reduction</t>
  </si>
  <si>
    <t>was applied to the authority with the second expiration date.</t>
  </si>
  <si>
    <t>First, many districts' authorities were increased by a conversion allowance, reflecting FY</t>
  </si>
  <si>
    <t>2002 supplemental and transition revenues plus a lost interest allowance.  (Supplemental and</t>
  </si>
  <si>
    <t>transition revenues were cancelled after FY 2002.  The lost interest allowance is based on the</t>
  </si>
  <si>
    <t>FY 2003 cancellation of the general education levy; the corresponding substitution of aids for</t>
  </si>
  <si>
    <t>levies causes a slower cash flow, which in turn reduces interest revenue.)  Calculation of</t>
  </si>
  <si>
    <t>conversion allowances will not be finalized until FY 2002 general education revenues are</t>
  </si>
  <si>
    <t>finalized.  Recent estimates of conversion allowances are shown  in the lower right portion of</t>
  </si>
  <si>
    <t>the Calculations worksheet.</t>
  </si>
  <si>
    <t xml:space="preserve">Next, authorities were reduced by $415 to reflect a corresponding increase to basic revenue. </t>
  </si>
  <si>
    <t>The $415 reduction is first applied to the conversion allowance, then to the authority with the</t>
  </si>
  <si>
    <t>first expiration date, then to the authority with the second expiration date.</t>
  </si>
  <si>
    <t>The $415 reduction applies only to authorities created on or before April 30, 2001.  Authorities</t>
  </si>
  <si>
    <t>created after this date can be taken at face value.</t>
  </si>
  <si>
    <t>A number of districts have passed referendums that cancel existing referendum authority.  This is</t>
  </si>
  <si>
    <t>generally dealt with by adjusting the cancelled authority's last year of application.  For example,</t>
  </si>
  <si>
    <t>Kingsland #2137 created a $485.36 authority in 1990 or earlier that -- after its conversion in payable</t>
  </si>
  <si>
    <t>2001 from net tax capacity to referendum market value -- was scheduled to apply through FY 2006.</t>
  </si>
  <si>
    <t>The district cancelled this authority in 2001 at the same time that it created a new authority of</t>
  </si>
  <si>
    <t>$300.00.  Because of this cancellation, the old authority is listed with an expiration year of FY 2002</t>
  </si>
  <si>
    <t>rather than FY 2006.</t>
  </si>
  <si>
    <t>Partial cancellations and other quirks are sometimes dealt with through the formulas used in Thru01.</t>
  </si>
  <si>
    <t>If you study these formulas you will see that they sometimes take this form:</t>
  </si>
  <si>
    <t>ADD CY 2005</t>
  </si>
  <si>
    <t>ADD CY 2004</t>
  </si>
  <si>
    <t>CONVERSION</t>
  </si>
  <si>
    <t>PRE-2000</t>
  </si>
  <si>
    <t>1ST</t>
  </si>
  <si>
    <t>PHASEOUT</t>
  </si>
  <si>
    <t>2ND</t>
  </si>
  <si>
    <t>3RD</t>
  </si>
  <si>
    <t>4TH</t>
  </si>
  <si>
    <t xml:space="preserve"> 01/01/00</t>
  </si>
  <si>
    <t xml:space="preserve"> TO 04/30/01</t>
  </si>
  <si>
    <t>AFTER</t>
  </si>
  <si>
    <t xml:space="preserve"> 04/30/01</t>
  </si>
  <si>
    <t>TOTAL</t>
  </si>
  <si>
    <t>REDUCTION</t>
  </si>
  <si>
    <t>TRANSFER</t>
  </si>
  <si>
    <t>FY</t>
  </si>
  <si>
    <t xml:space="preserve"> = DISTRICT NUMBER</t>
  </si>
  <si>
    <t>PRE</t>
  </si>
  <si>
    <t>PHASE 1</t>
  </si>
  <si>
    <t>PHASE 2</t>
  </si>
  <si>
    <t>PHASE 3</t>
  </si>
  <si>
    <t>PHASE 4</t>
  </si>
  <si>
    <t>TO</t>
  </si>
  <si>
    <t>LAST</t>
  </si>
  <si>
    <t>REV/</t>
  </si>
  <si>
    <t>YEAR</t>
  </si>
  <si>
    <t>RMCPU</t>
  </si>
  <si>
    <t>CONVERT</t>
  </si>
  <si>
    <t xml:space="preserve"> 1ST YR</t>
  </si>
  <si>
    <t>LAST YR</t>
  </si>
  <si>
    <t>AITKIN</t>
  </si>
  <si>
    <t>MINNEAPOLIS</t>
  </si>
  <si>
    <t>HILL CITY</t>
  </si>
  <si>
    <t>MCGREGOR</t>
  </si>
  <si>
    <t>SOUTH ST. PAUL</t>
  </si>
  <si>
    <t>ANOKA-HENNEPIN</t>
  </si>
  <si>
    <t>CENTENNIAL</t>
  </si>
  <si>
    <t>COLUMBIA HEIGHTS</t>
  </si>
  <si>
    <t>FRIDLEY</t>
  </si>
  <si>
    <t>ST. FRANCIS</t>
  </si>
  <si>
    <t>SPRING LAKE PARK</t>
  </si>
  <si>
    <t>DETROIT LAKES</t>
  </si>
  <si>
    <t>FRAZEE</t>
  </si>
  <si>
    <t>PINE POINT</t>
  </si>
  <si>
    <t>BEMIDJI</t>
  </si>
  <si>
    <t>BLACKDUCK</t>
  </si>
  <si>
    <t>KELLIHER</t>
  </si>
  <si>
    <t>RED LAKE</t>
  </si>
  <si>
    <t>SAUK RAPIDS</t>
  </si>
  <si>
    <t>FOLEY</t>
  </si>
  <si>
    <t>ORTONVILLE</t>
  </si>
  <si>
    <t>ST. CLAIR</t>
  </si>
  <si>
    <t>MANKATO</t>
  </si>
  <si>
    <t>COMFREY</t>
  </si>
  <si>
    <t>SLEEPY EYE</t>
  </si>
  <si>
    <t>SPRINGFIELD</t>
  </si>
  <si>
    <t>NEW ULM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</si>
  <si>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</si>
  <si>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</si>
  <si>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</si>
  <si>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</si>
  <si>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</si>
  <si>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</si>
  <si>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</si>
  <si>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</si>
  <si>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</si>
  <si>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</si>
  <si>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CHASKA</t>
  </si>
  <si>
    <t>WALKER-AKELEY</t>
  </si>
  <si>
    <t>CASS LAKE</t>
  </si>
  <si>
    <t>PILLAGER</t>
  </si>
  <si>
    <t>REMER</t>
  </si>
  <si>
    <t>MONTEVIDEO</t>
  </si>
  <si>
    <t>NORTH BRANCH</t>
  </si>
  <si>
    <t>RUSH CITY</t>
  </si>
  <si>
    <t>BARNESVILLE</t>
  </si>
  <si>
    <t>HAWLEY</t>
  </si>
  <si>
    <t>MOORHEAD</t>
  </si>
  <si>
    <t>BAGLEY</t>
  </si>
  <si>
    <t>COOK COUNTY</t>
  </si>
  <si>
    <t>MOUNTAIN LAKE</t>
  </si>
  <si>
    <t>WINDOM</t>
  </si>
  <si>
    <t>BRAINERD</t>
  </si>
  <si>
    <t>CROSBY</t>
  </si>
  <si>
    <t>PEQUOT LAKES</t>
  </si>
  <si>
    <t>BURNSVILLE</t>
  </si>
  <si>
    <t>FARMINGTON</t>
  </si>
  <si>
    <t>LAKEVILLE</t>
  </si>
  <si>
    <t>RANDOLPH</t>
  </si>
  <si>
    <t>ROSEMOUNT-APPLE</t>
  </si>
  <si>
    <t>WEST ST. PAUL</t>
  </si>
  <si>
    <t>INVER GROVE</t>
  </si>
  <si>
    <t>HASTINGS</t>
  </si>
  <si>
    <t>HAYFIELD</t>
  </si>
  <si>
    <t>KASSON-MANTORVIL</t>
  </si>
  <si>
    <t>ALEXANDRIA</t>
  </si>
  <si>
    <t>BRANDON</t>
  </si>
  <si>
    <t>EVANSVILLE</t>
  </si>
  <si>
    <t>OSAKIS</t>
  </si>
  <si>
    <t>CHATFIELD</t>
  </si>
  <si>
    <t>LANESBORO</t>
  </si>
  <si>
    <t>MABEL-CANTON</t>
  </si>
  <si>
    <t>RUSHFORD-PETERSO</t>
  </si>
  <si>
    <t>ALBERT LEA</t>
  </si>
  <si>
    <t>ALDEN</t>
  </si>
  <si>
    <t>CANNON FALLS</t>
  </si>
  <si>
    <t>GOODHUE</t>
  </si>
  <si>
    <t>PINE ISLAND</t>
  </si>
  <si>
    <t>RED WING</t>
  </si>
  <si>
    <t>ASHBY</t>
  </si>
  <si>
    <t>HERMAN-NORCROSS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</si>
  <si>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</si>
  <si>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</si>
  <si>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</si>
  <si>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</si>
  <si>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</si>
  <si>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</si>
  <si>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</si>
  <si>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</si>
  <si>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</si>
  <si>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</si>
  <si>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ST. ANTHONY-NEW</t>
  </si>
  <si>
    <t>ST. LOUIS PARK</t>
  </si>
  <si>
    <t>WAYZATA</t>
  </si>
  <si>
    <t>BROOKLYN CENTER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</si>
  <si>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</si>
  <si>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</si>
  <si>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</si>
  <si>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</si>
  <si>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</si>
  <si>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</si>
  <si>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</si>
  <si>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</si>
  <si>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</si>
  <si>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</si>
  <si>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</si>
  <si>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</si>
  <si>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</si>
  <si>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</si>
  <si>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</si>
  <si>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</si>
  <si>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</t>
  </si>
  <si>
    <t>WILLMAR</t>
  </si>
  <si>
    <t>LANCASTER</t>
  </si>
  <si>
    <t>INTERNATIONAL FA</t>
  </si>
  <si>
    <t>LITTLEFORK-BIG F</t>
  </si>
  <si>
    <t>SOUTH KOOCHICHIN</t>
  </si>
  <si>
    <t>BELLINGHAM</t>
  </si>
  <si>
    <t>DAWSON</t>
  </si>
  <si>
    <t>LAKE SUPERIOR</t>
  </si>
  <si>
    <t>LAKE OF THE WOOD</t>
  </si>
  <si>
    <t>CLEVELAND</t>
  </si>
  <si>
    <t>LECENTER</t>
  </si>
  <si>
    <t>MONTGOMERY</t>
  </si>
  <si>
    <t>HENDRICKS</t>
  </si>
  <si>
    <t>IVANHOE</t>
  </si>
  <si>
    <t>LAKE BENTON</t>
  </si>
  <si>
    <t>TYLER</t>
  </si>
  <si>
    <t>BALATON</t>
  </si>
  <si>
    <t>MARSHALL</t>
  </si>
  <si>
    <t>MINNEOTA</t>
  </si>
  <si>
    <t>LYND</t>
  </si>
  <si>
    <t>TRACY</t>
  </si>
  <si>
    <t>RUSSELL</t>
  </si>
  <si>
    <t>HUTCHINSON</t>
  </si>
  <si>
    <t>LESTER PRAIRIE</t>
  </si>
  <si>
    <t>MAHNOMEN</t>
  </si>
  <si>
    <t>WAUBUN</t>
  </si>
  <si>
    <t>NEWFOLDEN</t>
  </si>
  <si>
    <t>GRYGLA</t>
  </si>
  <si>
    <t>TRUMAN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</si>
  <si>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</si>
  <si>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</si>
  <si>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</si>
  <si>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</si>
  <si>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</si>
  <si>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</si>
  <si>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</si>
  <si>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</si>
  <si>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</si>
  <si>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</si>
  <si>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</si>
  <si>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</si>
  <si>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</si>
  <si>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</si>
  <si>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LEROY</t>
  </si>
  <si>
    <t>SOUTHLAND</t>
  </si>
  <si>
    <t>FULDA</t>
  </si>
  <si>
    <t>NICOLLET</t>
  </si>
  <si>
    <t>ST. PETER</t>
  </si>
  <si>
    <t>ADRIAN</t>
  </si>
  <si>
    <t>BREWSTER</t>
  </si>
  <si>
    <t>ELLSWORTH</t>
  </si>
  <si>
    <t>ROUND LAKE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</si>
  <si>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</si>
  <si>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</si>
  <si>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</si>
  <si>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</si>
  <si>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</si>
  <si>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</si>
  <si>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</si>
  <si>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</si>
  <si>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</si>
  <si>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</si>
  <si>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</t>
  </si>
  <si>
    <t>UNDERWOOD</t>
  </si>
  <si>
    <t>NEW YORK MILLS</t>
  </si>
  <si>
    <t>GOODRIDGE</t>
  </si>
  <si>
    <t>THIEF RIVER FALL</t>
  </si>
  <si>
    <t>WILLOW RIVER</t>
  </si>
  <si>
    <t>PINE CITY</t>
  </si>
  <si>
    <t>EDGERTON</t>
  </si>
  <si>
    <t>RUTHTON</t>
  </si>
  <si>
    <t>CLIMAX</t>
  </si>
  <si>
    <t>CROOKSTON</t>
  </si>
  <si>
    <t>EAST GRAND FORKS</t>
  </si>
  <si>
    <t>FERTILE-BELTRAMI</t>
  </si>
  <si>
    <t>FISHER</t>
  </si>
  <si>
    <t>FOSSTON</t>
  </si>
  <si>
    <t>CYRUS</t>
  </si>
  <si>
    <t>MOUNDS VIEW</t>
  </si>
  <si>
    <t>NORTH ST. PAUL-M</t>
  </si>
  <si>
    <t>ROSEVILLE</t>
  </si>
  <si>
    <t>WHITE BEAR LAKE</t>
  </si>
  <si>
    <t>ST. PAUL</t>
  </si>
  <si>
    <t>OKLEE</t>
  </si>
  <si>
    <t>PLUMMER</t>
  </si>
  <si>
    <t>RED LAKE FALLS</t>
  </si>
  <si>
    <t>MILROY</t>
  </si>
  <si>
    <t>WABASSO</t>
  </si>
  <si>
    <t>FARIBAULT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</si>
  <si>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</si>
  <si>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</si>
  <si>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</si>
  <si>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</si>
  <si>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</si>
  <si>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</si>
  <si>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</si>
  <si>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</si>
  <si>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</si>
  <si>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</si>
  <si>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</si>
  <si>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</si>
  <si>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</si>
  <si>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</si>
  <si>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MOUNTAIN IRON-BU</t>
  </si>
  <si>
    <t>BELLE PLAINE</t>
  </si>
  <si>
    <t>JORDAN</t>
  </si>
  <si>
    <t>PRIOR LAKE</t>
  </si>
  <si>
    <t>SHAKOPEE</t>
  </si>
  <si>
    <t>NEW PRAGUE</t>
  </si>
  <si>
    <t>BECKER</t>
  </si>
  <si>
    <t>BIG LAKE</t>
  </si>
  <si>
    <t>ELK RIVER</t>
  </si>
  <si>
    <t>HOLDINGFORD</t>
  </si>
  <si>
    <t>KIMBALL</t>
  </si>
  <si>
    <t>MELROSE</t>
  </si>
  <si>
    <t>PAYNESVILLE</t>
  </si>
  <si>
    <t>ST. CLOUD</t>
  </si>
  <si>
    <t>SAUK CENTRE</t>
  </si>
  <si>
    <t>ALBANY</t>
  </si>
  <si>
    <t>SARTELL</t>
  </si>
  <si>
    <t>COLD SPRING</t>
  </si>
  <si>
    <t>BLOOMING PRAIRIE</t>
  </si>
  <si>
    <t>OWATONNA</t>
  </si>
  <si>
    <t>MEDFORD</t>
  </si>
  <si>
    <t>HANCOCK</t>
  </si>
  <si>
    <t>MORRIS</t>
  </si>
  <si>
    <t>CHOKIO-ALBERTA</t>
  </si>
  <si>
    <t>KERKHOVEN-MURDOC</t>
  </si>
  <si>
    <t>BENSON</t>
  </si>
  <si>
    <t>BERTHA-HEWITT</t>
  </si>
  <si>
    <t>BROWERVILLE</t>
  </si>
  <si>
    <t>BROWNS VALLEY</t>
  </si>
  <si>
    <t>WHEATON</t>
  </si>
  <si>
    <t>ELGIN-MILLVILLE</t>
  </si>
  <si>
    <t>PLAINVIEW</t>
  </si>
  <si>
    <t>WABASHA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</si>
  <si>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</si>
  <si>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</si>
  <si>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</si>
  <si>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</si>
  <si>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</si>
  <si>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</si>
  <si>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</si>
  <si>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</si>
  <si>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SOUTH WASHINGTON</t>
  </si>
  <si>
    <t>STILLWATER</t>
  </si>
  <si>
    <t>BUTTERFIELD</t>
  </si>
  <si>
    <t>MADELIA</t>
  </si>
  <si>
    <t>ST. JAMES</t>
  </si>
  <si>
    <t>BRECKENRIDGE</t>
  </si>
  <si>
    <t>ROTHSAY</t>
  </si>
  <si>
    <t>CAMPBELL-TINTAH</t>
  </si>
  <si>
    <t>LEWISTON</t>
  </si>
  <si>
    <t>ST. CHARLES</t>
  </si>
  <si>
    <t>WINONA</t>
  </si>
  <si>
    <t>ANNANDALE</t>
  </si>
  <si>
    <t>BUFFALO</t>
  </si>
  <si>
    <t>DELANO</t>
  </si>
  <si>
    <t>MAPLE LAKE</t>
  </si>
  <si>
    <t>MONTICELLO</t>
  </si>
  <si>
    <t>ROCKFORD</t>
  </si>
  <si>
    <t>ST. MICHAEL-ALBE</t>
  </si>
  <si>
    <t>CANBY</t>
  </si>
  <si>
    <t>CAMBRIDGE-ISANTI</t>
  </si>
  <si>
    <t>MILACA</t>
  </si>
  <si>
    <t>ULEN-HITTERDAL</t>
  </si>
  <si>
    <t>LAKE CRYSTAL-WEL</t>
  </si>
  <si>
    <t>TRITON</t>
  </si>
  <si>
    <t>UNITED SOUTH CENTRAL</t>
  </si>
  <si>
    <t>MAPLE RIVER</t>
  </si>
  <si>
    <t>KINGSLAND</t>
  </si>
  <si>
    <t>ST. LOUIS COUNTY</t>
  </si>
  <si>
    <t>WATERVILLE-ELYSIAN-MORRISTOWN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</si>
  <si>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</si>
  <si>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</si>
  <si>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</si>
  <si>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</si>
  <si>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</si>
  <si>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</si>
  <si>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</si>
  <si>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</t>
  </si>
  <si>
    <t>NRHEG</t>
  </si>
  <si>
    <t>MURRAY COUNTY</t>
  </si>
  <si>
    <t>STAPLES-MOTLEY</t>
  </si>
  <si>
    <t>KITTSON CENTRAL</t>
  </si>
  <si>
    <t>KENYON-WANAMINGO</t>
  </si>
  <si>
    <t>PINE RIVER-BACKU</t>
  </si>
  <si>
    <t>WARREN-ALVARADO-</t>
  </si>
  <si>
    <t>MACCRAY</t>
  </si>
  <si>
    <t>LUVERNE</t>
  </si>
  <si>
    <t>YELLOW MEDICINE EAST</t>
  </si>
  <si>
    <t>FILMORE CENTRAL</t>
  </si>
  <si>
    <t>NORMAN COUNTY EAST</t>
  </si>
  <si>
    <t>SIBLEY EAST</t>
  </si>
  <si>
    <t>CLEARBROOK-GONVICK</t>
  </si>
  <si>
    <t>WEST CENTRAL AREA</t>
  </si>
  <si>
    <t>KARLSTAD-STRANDQ</t>
  </si>
  <si>
    <t>BELGRADE-BROOTEN-ELR</t>
  </si>
  <si>
    <t>G.F.W.</t>
  </si>
  <si>
    <t>A.C.G.C.</t>
  </si>
  <si>
    <t>LESUEUR-HENDERSO</t>
  </si>
  <si>
    <t>MARTIN COUNTY</t>
  </si>
  <si>
    <t>HALSTAD-HENDRUM</t>
  </si>
  <si>
    <t>OLIVIA-BIRD ISLA</t>
  </si>
  <si>
    <t>GRANADA HUNTLEY-</t>
  </si>
  <si>
    <t>SANDSTONE-ASKOV</t>
  </si>
  <si>
    <t>WIN-E-MAC</t>
  </si>
  <si>
    <t>GREENBUSH-MIDDLE RIV</t>
  </si>
  <si>
    <t>HOWARD LAKE-WAVERLY-WINSTED</t>
  </si>
  <si>
    <t>PIPESTONE-JASPER</t>
  </si>
  <si>
    <t>MESABI EAST</t>
  </si>
  <si>
    <t>FAIRMONT AREA SCHOOLS</t>
  </si>
  <si>
    <t>LONG PRAIRIE-GREY EA</t>
  </si>
  <si>
    <t>CEDAR MOUNTAIN</t>
  </si>
  <si>
    <t>EAGLE BEND-CLARISSA</t>
  </si>
  <si>
    <t>ZUMBROTA-MAZEPPA</t>
  </si>
  <si>
    <t>JANESVILLE-WALDO</t>
  </si>
  <si>
    <t>MADISON-MARIETTA-LACQUI PARLE-A.M.M.M.</t>
  </si>
  <si>
    <t>ADA-BORUP</t>
  </si>
  <si>
    <t>STEPHEN-ARGYLE</t>
  </si>
  <si>
    <t>GLENCOE-SILVER LAKE</t>
  </si>
  <si>
    <t>BLUE EARTH-DELAVAN-ELMORE</t>
  </si>
  <si>
    <t>RED ROCK CENTRAL</t>
  </si>
  <si>
    <t>GLENVILLE-EMMONS</t>
  </si>
  <si>
    <t>MCLEOD WEST SCHOOLS</t>
  </si>
  <si>
    <t>CLINTON-GRACEVILLE-BEARDSLEY</t>
  </si>
  <si>
    <t>LAKE PARK-AUDUBON</t>
  </si>
  <si>
    <t>DRSH</t>
  </si>
  <si>
    <t>JACKSON COUNTY CENTRAL</t>
  </si>
  <si>
    <t>REDWOOD AREA SCHOOLS</t>
  </si>
  <si>
    <t>WESTBROOK-WALNUT GROVE</t>
  </si>
  <si>
    <t xml:space="preserve"> $/PU</t>
  </si>
  <si>
    <t>ALLOW</t>
  </si>
  <si>
    <t>REDUCT</t>
  </si>
  <si>
    <t xml:space="preserve"> N/A</t>
  </si>
  <si>
    <t>N/A</t>
  </si>
  <si>
    <t>BEFORE TRANSFER</t>
  </si>
  <si>
    <t>MISC</t>
  </si>
  <si>
    <t>ADJUST</t>
  </si>
  <si>
    <t>CONVERSION OF RATE-BASED AUTHORITY TO REVENUE PER RMCPU:</t>
  </si>
  <si>
    <t>AUTHORIZED RATE</t>
  </si>
  <si>
    <t>1998 NTC</t>
  </si>
  <si>
    <t>FY 2001 RMCPU</t>
  </si>
  <si>
    <t>FY 2001 GROSS AUTHORITY</t>
  </si>
  <si>
    <t>FY 2001 GROSS/RMCPU = (4)/(3) =</t>
  </si>
  <si>
    <t>GROSS $/RMCPU</t>
  </si>
  <si>
    <t>CALENDAR YEAR CREATED</t>
  </si>
  <si>
    <t>FIRST FISCAL YEAR</t>
  </si>
  <si>
    <t>LAST FISCAL YEAR</t>
  </si>
  <si>
    <t>CREATED</t>
  </si>
  <si>
    <t>FY 2001</t>
  </si>
  <si>
    <t>RATE</t>
  </si>
  <si>
    <t>NTC</t>
  </si>
  <si>
    <t>BEFORE CAP &amp; REDUCTION</t>
  </si>
  <si>
    <t>CAP</t>
  </si>
  <si>
    <t>AFTER CAP BEFORE REDUCTION</t>
  </si>
  <si>
    <t>SUBTRACTION FOR CAP</t>
  </si>
  <si>
    <t>CY 1999 FOR</t>
  </si>
  <si>
    <t>PAY 2001</t>
  </si>
  <si>
    <t xml:space="preserve"> &amp; 01/01/00</t>
  </si>
  <si>
    <t>ALLOWANCE</t>
  </si>
  <si>
    <t>FINAL ALLOWANCE</t>
  </si>
  <si>
    <t>BREAKDOWN BY INDIVIDUAL AUTHORITY</t>
  </si>
  <si>
    <t>REFERENDUM PHASEOUT REPORT</t>
  </si>
  <si>
    <t>LAWS 2001</t>
  </si>
  <si>
    <t>EFFECTIVE FY 2003</t>
  </si>
  <si>
    <t>Calculations reflect the following complications:</t>
  </si>
  <si>
    <t xml:space="preserve">I. </t>
  </si>
  <si>
    <t xml:space="preserve">III. </t>
  </si>
  <si>
    <t>In FY 2001, referendum authorities were redefined by the following process:</t>
  </si>
  <si>
    <t xml:space="preserve">A. </t>
  </si>
  <si>
    <t>Rate-based authorities were converted to dollars per RMCPU.</t>
  </si>
  <si>
    <t xml:space="preserve">B. </t>
  </si>
  <si>
    <t xml:space="preserve">C. </t>
  </si>
  <si>
    <t>A double reduction was then applied to these authorities:</t>
  </si>
  <si>
    <t>1.</t>
  </si>
  <si>
    <t>2.</t>
  </si>
  <si>
    <t xml:space="preserve"> IV. </t>
  </si>
  <si>
    <t>In FY 2003, referendum authorities were again redefined:</t>
  </si>
  <si>
    <t xml:space="preserve"> A. </t>
  </si>
  <si>
    <t xml:space="preserve"> B. </t>
  </si>
  <si>
    <t xml:space="preserve"> V.</t>
  </si>
  <si>
    <t>=IF(DNUMBER=X,SPECIAL FORMULA,REGULAR FORMULA).</t>
  </si>
  <si>
    <t xml:space="preserve"> C. </t>
  </si>
  <si>
    <t>Minnesota Statutes 2001</t>
  </si>
  <si>
    <t xml:space="preserve">     126C.16 Referendum and desegregation revenue conversion. </t>
  </si>
  <si>
    <t xml:space="preserve">Subdivision 1.    Revenue conversion.  Except as provided under subdivision 3, the referendum authority under </t>
  </si>
  <si>
    <t xml:space="preserve">section 126C.17 of a district must be converted by the department according to this section. </t>
  </si>
  <si>
    <t xml:space="preserve">Subd. 3.    Per pupil revenue conversion.  (a) The department must convert each district's referendum revenue </t>
  </si>
  <si>
    <t>authority for fiscal year 2002 and later years to an allowance per pupil unit as follows:  the revenue allowance</t>
  </si>
  <si>
    <t>equals the amount determined by dividing the district's maximum revenue under section 126C.17, for fiscal</t>
  </si>
  <si>
    <t>year 2001 by the district's 2000-2001 resident marginal cost pupil units.  A district's maximum revenue for all</t>
  </si>
  <si>
    <t>later years for which the revenue is authorized equals the revenue allowance times the district's resident</t>
  </si>
  <si>
    <t xml:space="preserve">marginal cost pupil units for that year.  </t>
  </si>
  <si>
    <t xml:space="preserve">(b) The referendum allowance reduction must be applied first to the authority with the earliest expiration date. </t>
  </si>
  <si>
    <t xml:space="preserve">     126C.17 Referendum revenue. </t>
  </si>
  <si>
    <t>Subdivision 1.    Referendum allowance.  (a) For fiscal year 2002, a district's referendum revenue allowance</t>
  </si>
  <si>
    <t>equals the sum of the allowance under section 126C.16, subdivision 2, plus any additional allowance per</t>
  </si>
  <si>
    <t xml:space="preserve">resident marginal cost pupil unit authorized under subdivision 9 for fiscal year 2002. </t>
  </si>
  <si>
    <t>Note:  Subdivision 9 relates to the creation of new referendum authorities.</t>
  </si>
  <si>
    <t>(b) For fiscal year 2003 and later, a district's initial referendum revenue allowance equals the sum of the</t>
  </si>
  <si>
    <t>allowance under section 126C.16, subdivision 2, plus any additional allowance per resident marginal cost</t>
  </si>
  <si>
    <t>pupil unit authorized under subdivision 9 before May 1, 2001, for fiscal year 2002 and later, plus the</t>
  </si>
  <si>
    <t>referendum conversion allowance approved under subdivision 13, minus $415.  For districts with more than</t>
  </si>
  <si>
    <t>one referendum authority, the reduction must be computed separately for each authority.  The reduction must</t>
  </si>
  <si>
    <t>be applied first to the referendum conversion allowance and next to the authority with the earliest expiration</t>
  </si>
  <si>
    <t xml:space="preserve">date.  A district's initial referendum revenue allowance may not be less than zero. </t>
  </si>
  <si>
    <t>(c) For fiscal year 2003 and later, a district's referendum revenue allowance equals the initial referendum</t>
  </si>
  <si>
    <t>allowance plus any additional allowance per resident marginal cost pupil unit authorized under subdivision 9</t>
  </si>
  <si>
    <t xml:space="preserve">after April 30, 2001, for fiscal year 2003 and later. </t>
  </si>
  <si>
    <t>Subd. 13.    Referendum conversion allowance.  A school district that received supplemental or transition</t>
  </si>
  <si>
    <t>revenue in fiscal year 2002 may convert its supplemental revenue conversion allowance and transition revenue</t>
  </si>
  <si>
    <t>conversion allowance to additional referendum allowance under subdivision 1 for fiscal year 2003 and</t>
  </si>
  <si>
    <t>thereafter.  A majority of the school board must approve the conversion at a public meeting before November</t>
  </si>
  <si>
    <t>1, 2001.  For a district with other referendum authority, the referendum conversion allowance approved by the</t>
  </si>
  <si>
    <t>board continues until the portion of the district's other referendum authority with the earliest expiration date</t>
  </si>
  <si>
    <t>after June 30, 2006, expires.  For a district with no other referendum authority, the referendum conversion</t>
  </si>
  <si>
    <t xml:space="preserve">allowance approved by the board continues until June 30, 2012. </t>
  </si>
  <si>
    <t>Copyright 2001 by the Office of Revisor of Statutes, State of Minnesota.</t>
  </si>
  <si>
    <t>RELEVANT STATUTUES</t>
  </si>
  <si>
    <t>I</t>
  </si>
  <si>
    <t>II</t>
  </si>
  <si>
    <t>III</t>
  </si>
  <si>
    <t>IV</t>
  </si>
  <si>
    <t>V</t>
  </si>
  <si>
    <t>REFNEW1989</t>
  </si>
  <si>
    <t>1988</t>
  </si>
  <si>
    <t>11/7/89</t>
  </si>
  <si>
    <t>NET TAX</t>
  </si>
  <si>
    <t>BALLOT</t>
  </si>
  <si>
    <t>CERT</t>
  </si>
  <si>
    <t>CAPACITY</t>
  </si>
  <si>
    <t>DOLLARS</t>
  </si>
  <si>
    <t>= II/I</t>
  </si>
  <si>
    <t># YEARS</t>
  </si>
  <si>
    <t>NOTES:</t>
  </si>
  <si>
    <t>LAKE CRYSTAL</t>
  </si>
  <si>
    <t>MAPLETON</t>
  </si>
  <si>
    <t>TAYLORS FALLS</t>
  </si>
  <si>
    <t>A</t>
  </si>
  <si>
    <t>FOLLOWED BY 5.28/13.72 OF THIS</t>
  </si>
  <si>
    <t>AUTHORITY FOR 92 PAY 93 AND</t>
  </si>
  <si>
    <t>WESTBROOK</t>
  </si>
  <si>
    <t>THEREAFTER.</t>
  </si>
  <si>
    <t>CLAREMONT</t>
  </si>
  <si>
    <t>DODGE CENTER</t>
  </si>
  <si>
    <t>ELMORE</t>
  </si>
  <si>
    <t>KIESTER</t>
  </si>
  <si>
    <t>HARMONY</t>
  </si>
  <si>
    <t>SPRING VALLEY</t>
  </si>
  <si>
    <t>EMMONS</t>
  </si>
  <si>
    <t>GLENVILLE</t>
  </si>
  <si>
    <t>COLERAINE</t>
  </si>
  <si>
    <t>JACKSON</t>
  </si>
  <si>
    <t>SIOUX VALLEY</t>
  </si>
  <si>
    <t>HALLOCK</t>
  </si>
  <si>
    <t>HUMBOLDT</t>
  </si>
  <si>
    <t>KENNEDY</t>
  </si>
  <si>
    <t>VERDI</t>
  </si>
  <si>
    <t>STRANDQUIST</t>
  </si>
  <si>
    <t>WARREN</t>
  </si>
  <si>
    <t>TRIMONT</t>
  </si>
  <si>
    <t>GROVE CITY</t>
  </si>
  <si>
    <t>B</t>
  </si>
  <si>
    <t>AUTHORITY FOR 90 PAY 91 THRU 94</t>
  </si>
  <si>
    <t>PAY 95 IS .05696688.</t>
  </si>
  <si>
    <t>GARY</t>
  </si>
  <si>
    <t>TWIN VALLEY</t>
  </si>
  <si>
    <t>BELVIEW</t>
  </si>
  <si>
    <t>LAMBERTON</t>
  </si>
  <si>
    <t>MORGAN</t>
  </si>
  <si>
    <t>HECTOR</t>
  </si>
  <si>
    <t>C</t>
  </si>
  <si>
    <t>FOLLOWED BY 1.588/1.880 OF THIS</t>
  </si>
  <si>
    <t>AUTHORITY FOR 90 PAY 91 AND 91</t>
  </si>
  <si>
    <t>BROOTEN</t>
  </si>
  <si>
    <t>PAY 92.</t>
  </si>
  <si>
    <t>D</t>
  </si>
  <si>
    <t>HAS $200,208 OF AUTHORITY FOR</t>
  </si>
  <si>
    <t>90 PAY 91 THROUGH 94 PAY 95.</t>
  </si>
  <si>
    <t>CAMPBELL</t>
  </si>
  <si>
    <t>SUCCESSFUL REFERENDUMS BETWEEN 11/8/89 AND 11/6/90</t>
  </si>
  <si>
    <t>DNUM</t>
  </si>
  <si>
    <t>DISTRICT</t>
  </si>
  <si>
    <t>AUTH</t>
  </si>
  <si>
    <t>6</t>
  </si>
  <si>
    <t>7</t>
  </si>
  <si>
    <t>10</t>
  </si>
  <si>
    <t>5</t>
  </si>
  <si>
    <t>4</t>
  </si>
  <si>
    <t>KENSINGTON</t>
  </si>
  <si>
    <t>3</t>
  </si>
  <si>
    <t>WYKOFF</t>
  </si>
  <si>
    <t>ELBOW LAKE</t>
  </si>
  <si>
    <t>2</t>
  </si>
  <si>
    <t>HOFFMAN</t>
  </si>
  <si>
    <t>CEYLON</t>
  </si>
  <si>
    <t>8</t>
  </si>
  <si>
    <t>DEER CREEK</t>
  </si>
  <si>
    <t>SANBORN</t>
  </si>
  <si>
    <t>GREENBUSH</t>
  </si>
  <si>
    <t>GAYLORD</t>
  </si>
  <si>
    <t>ELLENDALE</t>
  </si>
  <si>
    <t>EAGLE BEND</t>
  </si>
  <si>
    <t>20</t>
  </si>
  <si>
    <t>AUTHORIZED MILL RATES AGAINST ASSESSED VALUATION</t>
  </si>
  <si>
    <t>AUTHORIZED MILL RATES AGAINST AAV</t>
  </si>
  <si>
    <t>PASSED PRIOR TO 12/1/88</t>
  </si>
  <si>
    <t>REF #1</t>
  </si>
  <si>
    <t>REF #2</t>
  </si>
  <si>
    <t>REF #3</t>
  </si>
  <si>
    <t>REF #4</t>
  </si>
  <si>
    <t>#</t>
  </si>
  <si>
    <t>YR</t>
  </si>
  <si>
    <t>MILLS</t>
  </si>
  <si>
    <t xml:space="preserve"> </t>
  </si>
  <si>
    <t>ANOKA</t>
  </si>
  <si>
    <t>AUDUBON</t>
  </si>
  <si>
    <t>LAKE PARK</t>
  </si>
  <si>
    <t>BEARDSLEY</t>
  </si>
  <si>
    <t>CLINTON</t>
  </si>
  <si>
    <t>GRACEVILLE</t>
  </si>
  <si>
    <t>GARDEN CITY</t>
  </si>
  <si>
    <t>AMBOY-GOOD THUND</t>
  </si>
  <si>
    <t>BACKUS</t>
  </si>
  <si>
    <t>PINE RIVER</t>
  </si>
  <si>
    <t>WALKER</t>
  </si>
  <si>
    <t>CLARA CITY</t>
  </si>
  <si>
    <t>MAYNARD</t>
  </si>
  <si>
    <t>MILAN</t>
  </si>
  <si>
    <t>CHISAGO LAKES</t>
  </si>
  <si>
    <t>GLYNDON</t>
  </si>
  <si>
    <t>DILWORTH</t>
  </si>
  <si>
    <t>GONVICK</t>
  </si>
  <si>
    <t>CLEARBROOK</t>
  </si>
  <si>
    <t>STORDEN-JEFFERS</t>
  </si>
  <si>
    <t>ROSEMOUNT</t>
  </si>
  <si>
    <t>WEST CONCORD</t>
  </si>
  <si>
    <t>BRICELYN</t>
  </si>
  <si>
    <t>* DELAVAN</t>
  </si>
  <si>
    <t>MINNESOTA LAKE</t>
  </si>
  <si>
    <t>WELLS</t>
  </si>
  <si>
    <t>WINNEBAGO</t>
  </si>
  <si>
    <t>PETERSON</t>
  </si>
  <si>
    <t>PRESTON</t>
  </si>
  <si>
    <t>RUSHFORD</t>
  </si>
  <si>
    <t>BLUE EARTH</t>
  </si>
  <si>
    <t>FREEBORN</t>
  </si>
  <si>
    <t>KENYON</t>
  </si>
  <si>
    <t>WANAMINGO</t>
  </si>
  <si>
    <t>ZUMBROTA</t>
  </si>
  <si>
    <t>BARRETT</t>
  </si>
  <si>
    <t>HERMAN</t>
  </si>
  <si>
    <t>LA CRESCENT</t>
  </si>
  <si>
    <t>AKELEY</t>
  </si>
  <si>
    <t>LAKEFIELD</t>
  </si>
  <si>
    <t>ATWATER</t>
  </si>
  <si>
    <t>RAYMOND</t>
  </si>
  <si>
    <t>KARLSTAD</t>
  </si>
  <si>
    <t>MARIETTA-NASSAU</t>
  </si>
  <si>
    <t>MADISON</t>
  </si>
  <si>
    <t>LESUEUR</t>
  </si>
  <si>
    <t>WATERVILLE</t>
  </si>
  <si>
    <t>COTTONWOOD</t>
  </si>
  <si>
    <t>BROWNTON</t>
  </si>
  <si>
    <t>GLENCOE</t>
  </si>
  <si>
    <t>SILVER LAKE</t>
  </si>
  <si>
    <t>STEWART</t>
  </si>
  <si>
    <t>WINSTED</t>
  </si>
  <si>
    <t>ALVARADO</t>
  </si>
  <si>
    <t>ARGYLE</t>
  </si>
  <si>
    <t>MIDDLE RIVER</t>
  </si>
  <si>
    <t>OSLO</t>
  </si>
  <si>
    <t>* STEPHEN</t>
  </si>
  <si>
    <t>EAST CHAIN</t>
  </si>
  <si>
    <t>FAIRMONT</t>
  </si>
  <si>
    <t>SHERBURN</t>
  </si>
  <si>
    <t>WELCOME</t>
  </si>
  <si>
    <t>GRANADA-HUNTLEY</t>
  </si>
  <si>
    <t>COSMOS</t>
  </si>
  <si>
    <t>MOTLEY</t>
  </si>
  <si>
    <t>SLAYTON</t>
  </si>
  <si>
    <t>ADA</t>
  </si>
  <si>
    <t>BORUP</t>
  </si>
  <si>
    <t>HALSTAD</t>
  </si>
  <si>
    <t>HENDRUM</t>
  </si>
  <si>
    <t>ASKOV</t>
  </si>
  <si>
    <t>FINLAYSON</t>
  </si>
  <si>
    <t>HINCKLEY</t>
  </si>
  <si>
    <t>SANDSTONE</t>
  </si>
  <si>
    <t>JASPER</t>
  </si>
  <si>
    <t>PIPESTONE</t>
  </si>
  <si>
    <t>ERSKINE</t>
  </si>
  <si>
    <t>FERTILE</t>
  </si>
  <si>
    <t>MCINTOSH</t>
  </si>
  <si>
    <t>MENTOR</t>
  </si>
  <si>
    <t>GLENWOOD</t>
  </si>
  <si>
    <t>* STARBUCK</t>
  </si>
  <si>
    <t>VILLARD</t>
  </si>
  <si>
    <t>REDWOOD FALLS</t>
  </si>
  <si>
    <t>WALNUT GROVE</t>
  </si>
  <si>
    <t>BIRD ISLAND</t>
  </si>
  <si>
    <t>BUFFALO LAKE</t>
  </si>
  <si>
    <t>DANUBE</t>
  </si>
  <si>
    <t>FAIRFAX</t>
  </si>
  <si>
    <t>FRANKLIN</t>
  </si>
  <si>
    <t>MORTON</t>
  </si>
  <si>
    <t>OLIVIA</t>
  </si>
  <si>
    <t>RENVILLE</t>
  </si>
  <si>
    <t>SACRED HEART</t>
  </si>
  <si>
    <t>MORRISTOWN</t>
  </si>
  <si>
    <t>MAGNOLIA</t>
  </si>
  <si>
    <t>AURORA</t>
  </si>
  <si>
    <t>BABBITT</t>
  </si>
  <si>
    <t>BIWABIK</t>
  </si>
  <si>
    <t>EVELETH</t>
  </si>
  <si>
    <t>GILBERT</t>
  </si>
  <si>
    <t>TOWER-SOUDAN</t>
  </si>
  <si>
    <t>* MOUNTAIN IRON-BU</t>
  </si>
  <si>
    <t>ARLINGTON</t>
  </si>
  <si>
    <t>GIBBON</t>
  </si>
  <si>
    <t>HENDERSON</t>
  </si>
  <si>
    <t>WINTHROP</t>
  </si>
  <si>
    <t>BELGRADE</t>
  </si>
  <si>
    <t>KERKHOVEN</t>
  </si>
  <si>
    <t>APPLETON</t>
  </si>
  <si>
    <t>CLARISSA</t>
  </si>
  <si>
    <t>GREY EAGLE</t>
  </si>
  <si>
    <t>LONG PRAIRIE</t>
  </si>
  <si>
    <t>STAPLES</t>
  </si>
  <si>
    <t>ELGIN</t>
  </si>
  <si>
    <t>MAZEPPA</t>
  </si>
  <si>
    <t>WADENA</t>
  </si>
  <si>
    <t>NEW RICHLAND</t>
  </si>
  <si>
    <t>JANESVILLE</t>
  </si>
  <si>
    <t>* BRECKENRIDGE</t>
  </si>
  <si>
    <t>HOWARD LAKE</t>
  </si>
  <si>
    <t>CLARKFIELD</t>
  </si>
  <si>
    <t>ECHO</t>
  </si>
  <si>
    <t>GRANITE FALLS</t>
  </si>
  <si>
    <t>WOOD LAKE</t>
  </si>
  <si>
    <t>CAMBRIDGE</t>
  </si>
  <si>
    <t>WALDORF-PEMBERTO</t>
  </si>
  <si>
    <t>* ULEN-HITTERDAL</t>
  </si>
  <si>
    <t>CHANDLER-LAKE WI</t>
  </si>
  <si>
    <t>START</t>
  </si>
  <si>
    <t>HELD</t>
  </si>
  <si>
    <t>PAY</t>
  </si>
  <si>
    <t>PASS?</t>
  </si>
  <si>
    <t>YES</t>
  </si>
  <si>
    <t>NO</t>
  </si>
  <si>
    <t>COLUMBIA HTS</t>
  </si>
  <si>
    <t>FOLEY  Quest #1</t>
  </si>
  <si>
    <t>FOLEY  Quest #2</t>
  </si>
  <si>
    <t>NORWOOD-YOUNG AMERICA</t>
  </si>
  <si>
    <t>WATERTOWN</t>
  </si>
  <si>
    <t>HOFFMAN-KENSINGTON</t>
  </si>
  <si>
    <t>OSAKIS (MAIL)</t>
  </si>
  <si>
    <t>PRESTON-FOUNTAIN</t>
  </si>
  <si>
    <t>RUSHFORD-PET</t>
  </si>
  <si>
    <t>RUSHFORD-PETERSON</t>
  </si>
  <si>
    <t>ZUMBRODA</t>
  </si>
  <si>
    <t>HERMAN-NORCR</t>
  </si>
  <si>
    <t>WAYZATA *</t>
  </si>
  <si>
    <t>NASKWAUK-KEE</t>
  </si>
  <si>
    <t>NASHWAUK-KEE (a)</t>
  </si>
  <si>
    <t>NEW LONDON-SPICER</t>
  </si>
  <si>
    <t>WILLMAR   Quest #1</t>
  </si>
  <si>
    <t>WILLMAR   Quest #2</t>
  </si>
  <si>
    <t>INTERNATIONA</t>
  </si>
  <si>
    <t>INTL FALLS   Quest #1</t>
  </si>
  <si>
    <t>INTL FALLS   Quest #2</t>
  </si>
  <si>
    <t>DAWSON-BOYD</t>
  </si>
  <si>
    <t>STEWART (b)</t>
  </si>
  <si>
    <t>ALVARADO (A)</t>
  </si>
  <si>
    <t>MOTLEY (e)</t>
  </si>
  <si>
    <t>LEROY-OSTRANDER</t>
  </si>
  <si>
    <t>WORTHINGTON Q#1</t>
  </si>
  <si>
    <t>WORTHINGTON Q#2</t>
  </si>
  <si>
    <t>FOSSTON (c)</t>
  </si>
  <si>
    <t>NORTH ST. PAUL</t>
  </si>
  <si>
    <t>REDWOOD FALL</t>
  </si>
  <si>
    <t>MOUNTAIN IRON-BUHL</t>
  </si>
  <si>
    <t>MOUNTAIN IRO</t>
  </si>
  <si>
    <t xml:space="preserve">SHAKOPEE </t>
  </si>
  <si>
    <t>ARLINGTON-GR</t>
  </si>
  <si>
    <t>BELGRADE-ELROSA</t>
  </si>
  <si>
    <t xml:space="preserve">HOLDINGFORD     </t>
  </si>
  <si>
    <t>APPLETON (d)</t>
  </si>
  <si>
    <t>BERTHA-HEWIT</t>
  </si>
  <si>
    <t>ELGIN-MILLVI</t>
  </si>
  <si>
    <t>WABASHA-KELLOGG</t>
  </si>
  <si>
    <t>SOUTH WASHINTON</t>
  </si>
  <si>
    <t>SOUTH WASH    Q #1</t>
  </si>
  <si>
    <t>SOUTH WASH    Q #2</t>
  </si>
  <si>
    <t>WINONA  Quest #1</t>
  </si>
  <si>
    <t>WINONA  Quest #2</t>
  </si>
  <si>
    <t>HOWARD LAKE-</t>
  </si>
  <si>
    <t>MADISON-MARIETTA-NASSAU</t>
  </si>
  <si>
    <t>HINCKLEY-FINLAYSON</t>
  </si>
  <si>
    <t>KENYON-WANA  Q #1</t>
  </si>
  <si>
    <t>KENYON-WANA  Q #2</t>
  </si>
  <si>
    <t>PINE RIVER-BACKUS</t>
  </si>
  <si>
    <t>WEST CENTRAL</t>
  </si>
  <si>
    <t>WEST CENTRAL AREA Q1</t>
  </si>
  <si>
    <t>WEST CENTRAL AREA Q2</t>
  </si>
  <si>
    <t>BELGRADE-BROOTEN-ELROSA</t>
  </si>
  <si>
    <t>BOLD</t>
  </si>
  <si>
    <t>GRANADA HUNTLEY EAST CHAIN</t>
  </si>
  <si>
    <t>EAST CENTRAL</t>
  </si>
  <si>
    <t>ZUMBRODA-MAXEPPA</t>
  </si>
  <si>
    <t>JANESVILLE-W</t>
  </si>
  <si>
    <t>RENVILLE COUNTY WEST</t>
  </si>
  <si>
    <t>ENTER DISTRICT NUMBER IN CELL A1.  YOU DON'T NEED TO RUN ANY MACROS.</t>
  </si>
  <si>
    <t>SOME OF THE AUTHORITIES SHOWN HERE WILL CONTINUE THROUGH FY 2008.  THESE AUTHORITIES WILL</t>
  </si>
  <si>
    <t>HAVE BEEN CONVERTED FROM MILL RATES TO TAX CAPACITY RATES, THEN FROM TAX CAPACITY RATES</t>
  </si>
  <si>
    <t>TO DOLLARS PER RMCPU.</t>
  </si>
  <si>
    <t>THE RATES SHOWN HERE DON'T MATCH THE RATES SHOWN IN THE CALCULATIONS WORKSHEET.</t>
  </si>
  <si>
    <t>IN THE TAX CLASS MULTIPLIERS USED TO TRANSLATE MARKET VALUES INTO NET TAX CAPACITIES.</t>
  </si>
  <si>
    <t>REFERENDUM AUTHORITIES CREATED PRIOR TO 1989</t>
  </si>
  <si>
    <t>REFERENDUM AUTHORITIES CREATED IN 1989 AND 1990</t>
  </si>
  <si>
    <t>New8990</t>
  </si>
  <si>
    <t>The statutes behind the calculations.</t>
  </si>
  <si>
    <t>A listing of all successful operating referendums passed prior to calendar year 1989.</t>
  </si>
  <si>
    <t>been created in 1990.  To find their actual years of creation, consult NewPre89 and</t>
  </si>
  <si>
    <t>New8990.</t>
  </si>
  <si>
    <t>Referendum authorities are shown as mill rates.</t>
  </si>
  <si>
    <t>Referendum authorities are shown as tax capacity rates.</t>
  </si>
  <si>
    <t>in the tax class multipliers used to translate market values into net tax capacities.</t>
  </si>
  <si>
    <t>This is because rates have been adjusted to reflect changes over the years</t>
  </si>
  <si>
    <t>THIS IS BECAUSE RATES HAVE BEEN ADJUSTED TO REFLECT CHANGES OVER THE YEARS</t>
  </si>
  <si>
    <t>A listing of all successful and unsuccessful operating referendums passed in calendar</t>
  </si>
  <si>
    <t>CALCULATION OF REFERENDUM CONVERSION ALLOWANCE</t>
  </si>
  <si>
    <t>FY 2002 TRANSITION REVENUE PER RMCPU</t>
  </si>
  <si>
    <t>FY 2002 SUPPLEMENTAL REVENUE PER RMCPU</t>
  </si>
  <si>
    <t>POTENTIAL $/PU FOR INTEREST LOSS</t>
  </si>
  <si>
    <t>POTENTIAL CONVERSION ALLOWANCE = A+B+C =</t>
  </si>
  <si>
    <t>ACTUAL CONVERSION ALLOWANCE = D X E =</t>
  </si>
  <si>
    <t xml:space="preserve">A </t>
  </si>
  <si>
    <t xml:space="preserve">B </t>
  </si>
  <si>
    <t xml:space="preserve">C </t>
  </si>
  <si>
    <t xml:space="preserve">D </t>
  </si>
  <si>
    <t xml:space="preserve">E </t>
  </si>
  <si>
    <t xml:space="preserve">F </t>
  </si>
  <si>
    <t>EARLIER</t>
  </si>
  <si>
    <t>FY 2002</t>
  </si>
  <si>
    <t>TRANSIT</t>
  </si>
  <si>
    <t xml:space="preserve"> /RMCPU</t>
  </si>
  <si>
    <t>SUPPL</t>
  </si>
  <si>
    <t>LOST</t>
  </si>
  <si>
    <t>INTEREST</t>
  </si>
  <si>
    <t>CVT?</t>
  </si>
  <si>
    <t xml:space="preserve"> II. </t>
  </si>
  <si>
    <t>DID THE DISTRICT CONVERT? (1=YES; 0=NO)</t>
  </si>
  <si>
    <t>DISTRICT HADN'T CANCELLED EXISTING AUTHORITY WHEN IT PASSED A NEW REFERENDUM IN 2001.</t>
  </si>
  <si>
    <t>= 1.231716469 X (1) X (2) =</t>
  </si>
  <si>
    <t>FY 2004</t>
  </si>
  <si>
    <t>AFTER CY 2001</t>
  </si>
  <si>
    <t>SUB CY 2002</t>
  </si>
  <si>
    <t>ADD CY 2002</t>
  </si>
  <si>
    <t>VOTES</t>
  </si>
  <si>
    <t>NORTHLAND (REMER)</t>
  </si>
  <si>
    <t>LAKE CRYSTAL-WELCOME</t>
  </si>
  <si>
    <t>The purpose of this file is to explain districts' operating referendum authorities.</t>
  </si>
  <si>
    <t>YES=1</t>
  </si>
  <si>
    <t>MISSING</t>
  </si>
  <si>
    <t>CAP=1.5</t>
  </si>
  <si>
    <t>CAP=1.0</t>
  </si>
  <si>
    <t>KERKHOVEN-MURDOCK-SUNBURG</t>
  </si>
  <si>
    <t>CROSBY-IRONTON</t>
  </si>
  <si>
    <t>ST. ANTHONY-NEW BRIGHTON</t>
  </si>
  <si>
    <t>LACRESCENT-HOKAH</t>
  </si>
  <si>
    <t>HERON LAKE-OKABENA</t>
  </si>
  <si>
    <t>INTERNATIONAL FALLS</t>
  </si>
  <si>
    <t>MONTGOMERY-LONSDALE</t>
  </si>
  <si>
    <t>NEW PRAGUE AREA SCHOOLS</t>
  </si>
  <si>
    <t>WHEATON AREA SCHOOL</t>
  </si>
  <si>
    <t>SOUTH WASHINGTON COUNTY</t>
  </si>
  <si>
    <t>ST. MICHAEL-ALBERTVILLE</t>
  </si>
  <si>
    <t>TRI-COUNTY</t>
  </si>
  <si>
    <t>LESUEUR-HENDERSON</t>
  </si>
  <si>
    <t>LONG PRAIRIE-GREY EAGLE</t>
  </si>
  <si>
    <t>EAGLE VALLEY</t>
  </si>
  <si>
    <t>STEPHEN-ARGYLE CENTRAL SCHOOLS</t>
  </si>
  <si>
    <t>LAKE PARK AUDUBON DISTRICT</t>
  </si>
  <si>
    <t>ADD CY 2003</t>
  </si>
  <si>
    <t>SUB CY 2003</t>
  </si>
  <si>
    <t>SUB CY 2004</t>
  </si>
  <si>
    <t>AFTER CY 2002 ELECTIONS, INITIAL</t>
  </si>
  <si>
    <t>AFTER CY 2002 ELECTIONS, REVISED</t>
  </si>
  <si>
    <t>FY 2004 RMCPU, CAP = 1.5</t>
  </si>
  <si>
    <t>FY 2004 RMCPU, CAP = 1.0</t>
  </si>
  <si>
    <t>ALLOWANCES SHOWN THROUGH FY 2003 ARE FINAL.</t>
  </si>
  <si>
    <t>ALLOWANCES AFTER FY 2003 MAY BE CHANGED</t>
  </si>
  <si>
    <t>BY LATER ELECTIONS.</t>
  </si>
  <si>
    <t>SUBTRACTED IN CY 2002</t>
  </si>
  <si>
    <t>ADDED IN CY 2002</t>
  </si>
  <si>
    <t>AFTER CY 2001 ELECTIONS</t>
  </si>
  <si>
    <t>AS A RESULT OF THE LIMIT OF 1 ADM PER STUDENT PER YEAR THAT STARTED IN FY 2004.</t>
  </si>
  <si>
    <t>KASSON-MANTORVILLE</t>
  </si>
  <si>
    <t>MARSHALL COUNTY CENTRAL SCHOOLS</t>
  </si>
  <si>
    <t>THIEF RIVER FALLS</t>
  </si>
  <si>
    <t>HILLS-BEAVER CREEK</t>
  </si>
  <si>
    <t>ROCORI</t>
  </si>
  <si>
    <t>WINONA AREA PUBLIC SCHOOLS</t>
  </si>
  <si>
    <t>WARREN-ALVARADO-OSLO</t>
  </si>
  <si>
    <t>NORMAN COUNTY WEST</t>
  </si>
  <si>
    <t>BLUE EARTH AREA PUBLIC SCHOOL</t>
  </si>
  <si>
    <t>REDWOOD FALLS AREA SCHOOLS</t>
  </si>
  <si>
    <t>WESTBROOK-WALNUT GROVE SCHOOLS</t>
  </si>
  <si>
    <t>UNCAPPED ALLOWANCE, COMBINED</t>
  </si>
  <si>
    <t>TOTAL, JOBZ EXEMPT</t>
  </si>
  <si>
    <t>CANCELLED IN CY 2003</t>
  </si>
  <si>
    <t>CREATED IN CY 2003</t>
  </si>
  <si>
    <t>CREATED IN CY 2004</t>
  </si>
  <si>
    <t>CREATED IN CY 2005</t>
  </si>
  <si>
    <t>CANCELLED IN CY 2004</t>
  </si>
  <si>
    <t>CANCELLED IN CY 2005, JOBZ NONEXEMPT</t>
  </si>
  <si>
    <t>CANCELLED IN CY 2005, JOBZ EXEMPT</t>
  </si>
  <si>
    <t>IF AN AUTHORITY WAS CREATED IN 2004 OR LATER, THE CORRESPONDING TAX BASE EXCLUDES  PROPERTY IN DESIGNATED JOB ZONES.</t>
  </si>
  <si>
    <t>NEWER AUTHORITIES ARE THEREFORE "JOBZ EXEMPT" [JOB ZONE EXEMPT] AS OPPOSED TO "JOBZ NONEXEMPT."</t>
  </si>
  <si>
    <t>IF A DISTRICT DOESN'T HAVE A JOB ZONE -- AND MOST DISTRICTS DON'T -- THEN THIS DISTINCTION IS IRRELEVANT.</t>
  </si>
  <si>
    <t>SUB CY 2005</t>
  </si>
  <si>
    <t>NONEXE</t>
  </si>
  <si>
    <t>EXEMPT</t>
  </si>
  <si>
    <t>Thru01</t>
  </si>
  <si>
    <t>AUTHORITY AFTER CY 2005 ELECTIONS, TOTAL</t>
  </si>
  <si>
    <t>AUTHORITY AFTER CY 2005 ELECTIONS, JOBZ NONEXEMPT</t>
  </si>
  <si>
    <t>AUTHORITY CANCELLED IN CY 2006, JOBZ NONEXEMPT</t>
  </si>
  <si>
    <t>AUTHORITY CANCELLED IN CY 2006, TOTAL</t>
  </si>
  <si>
    <t>CPI FACTOR, ANNUAL</t>
  </si>
  <si>
    <t>CPI FACTOR RELATIVE TO FY 2008</t>
  </si>
  <si>
    <t>CPI FACTOR RELATIVE TO FY 2009</t>
  </si>
  <si>
    <t>PLAINVIEW-ELGIN-MILLVILLE</t>
  </si>
  <si>
    <t>RUSSELL-TYLER-RUTHTON</t>
  </si>
  <si>
    <t>REFERENDUM AUTHORITIES FOR FY 2004 &amp; LATER FROM ELECTIONS HELD PRIOR TO CY 2006</t>
  </si>
  <si>
    <t>AUTHORITY ADDED IN CY 2006 WITHOUT CPI ADJ</t>
  </si>
  <si>
    <t>AUTHORITY ADDED IN CY 2006 WITH CPI ADJ</t>
  </si>
  <si>
    <t>CPI FACTOR FOR AUTHORITY ADDED IN CY 2006</t>
  </si>
  <si>
    <t>LOOKUP DISPLACEMENTS:</t>
  </si>
  <si>
    <t>ADDED IN CY 2006</t>
  </si>
  <si>
    <t>FOR BACKUP TO LINES 1 TO 3, SEE THE "THRU05" WORKSHEET.</t>
  </si>
  <si>
    <t>FOR BACKUP TO LINE 1</t>
  </si>
  <si>
    <t>SEE THE "THRU01" WORKSHEET.</t>
  </si>
  <si>
    <t>REFERENDUM AUTHORITIES FOR FY 2007 &amp; LATER INCLUDING ELECTIONS HELD IN CY 2006</t>
  </si>
  <si>
    <t>AUTHORITIES</t>
  </si>
  <si>
    <t>AFTER CY 2005</t>
  </si>
  <si>
    <t>WITHOUT CPI</t>
  </si>
  <si>
    <t>ADJUSTMENT</t>
  </si>
  <si>
    <t>WITH CPI</t>
  </si>
  <si>
    <t>CANCELLED</t>
  </si>
  <si>
    <t>IN CY 2006</t>
  </si>
  <si>
    <t>GUIDE TO THE FILE</t>
  </si>
  <si>
    <t>The file consists of a number of worksheets:</t>
  </si>
  <si>
    <t>Thru06</t>
  </si>
  <si>
    <t>Authorities for FY 2007 through FY 2018,</t>
  </si>
  <si>
    <t>based on elections held in CY 2006 and earlier.</t>
  </si>
  <si>
    <t>Thru05</t>
  </si>
  <si>
    <t>Authorities for FY 2004 through FY 2017,</t>
  </si>
  <si>
    <t>based on elections held in CY 2005 and earlier.</t>
  </si>
  <si>
    <t>Authorities for FY 2001 through FY 2014,</t>
  </si>
  <si>
    <t>based on elections held in CY 2001 and earlier.</t>
  </si>
  <si>
    <t>The first 3 lines of Thru06 are explained by Thru05.</t>
  </si>
  <si>
    <t>The first line of Thru05 is explained by Thru01.</t>
  </si>
  <si>
    <t>Guide</t>
  </si>
  <si>
    <t>You're in this worksheet now.</t>
  </si>
  <si>
    <t>Law</t>
  </si>
  <si>
    <t>Pre1989</t>
  </si>
  <si>
    <t>A listing of all successful operating referendums passed in 1990 and 1991.</t>
  </si>
  <si>
    <t>The rates shown here don't match the rates shown in Thru01.</t>
  </si>
  <si>
    <t>In Thru01, all referendums passed prior to 1991 are shown as having</t>
  </si>
  <si>
    <t>New9105</t>
  </si>
  <si>
    <t>years 1991 through 2005, expressed as dollars per pupil unit..</t>
  </si>
  <si>
    <t>New2006</t>
  </si>
  <si>
    <t>year 2006.</t>
  </si>
  <si>
    <t>Consol</t>
  </si>
  <si>
    <t>Calculations of authorities for districts that first exist in FY 2007.</t>
  </si>
  <si>
    <t>Various other worksheets hold inputs that are used by the worksheets listed above.</t>
  </si>
  <si>
    <t>Notes on the calculations:</t>
  </si>
  <si>
    <t>The Thru01 worksheet explains existing referendum allowances from FY 2001 to FY 2014, based on</t>
  </si>
  <si>
    <t>authorities created before calendar year 2002.</t>
  </si>
  <si>
    <t>The latest that any of these authorities can continue is FY 2013.  (If an authority were created in 2001</t>
  </si>
  <si>
    <t>with a one year delay and 10 years of effectiveness, it would apply for FY 2004 through FY 2013.) Since</t>
  </si>
  <si>
    <t>all included authorities expire no later than FY 2013, every district has an existing FY 2014 authority of</t>
  </si>
  <si>
    <t>zero.</t>
  </si>
  <si>
    <t>Many authorities that were created before 1991 did not originally have expiration dates.  Most of</t>
  </si>
  <si>
    <t>these authorities were converted from a net tax capacity basis to a referendum market value basis</t>
  </si>
  <si>
    <t>some time between taxes payable in 1996 and taxes payable in 2001.   Those authorities</t>
  </si>
  <si>
    <t>converted by payable 1998 remain in effect through FY 2008.  Those converted after payable 1998</t>
  </si>
  <si>
    <t>but by payable 2001 continue through FY 2006.</t>
  </si>
  <si>
    <t xml:space="preserve">Some authorities were partially converted for payable 1998, and partially converted for a later year. </t>
  </si>
  <si>
    <t>These authorities have been split into two portions. This explains why many districts are shown to</t>
  </si>
  <si>
    <t>have two authorities with the same year of creation.  (For simplicity's sake, all authorities created</t>
  </si>
  <si>
    <t>before 1991 are shown to have a creation year of 1990.)</t>
  </si>
  <si>
    <t>These conversions are shown in the lower left portion of the Calculations worksheet.  Note</t>
  </si>
  <si>
    <t xml:space="preserve">that these conversions could not be finalized until FY 2001 RMCPU's were finalized. </t>
  </si>
  <si>
    <t>Conversions from rates to dollars per RMCPU are now complete, except for districts that</t>
  </si>
  <si>
    <t>experience pupil audits or that successfully appeal their FY 2001 pupil counts.</t>
  </si>
  <si>
    <t>Here's an example that makes two points: Grand Rapids #318 has an authority of $291.04</t>
  </si>
  <si>
    <t>per resident marginal cost pupil unit (RMCPU) that was created in or before 1990.  This</t>
  </si>
  <si>
    <t>amount is shown in the lower left portion of the Calculations worksheet, where its conversion</t>
  </si>
  <si>
    <t>from a tax rate is shown. Higher on the page, the $291.04  is split into $218.28 of gross</t>
  </si>
  <si>
    <t>authority that expires after FY 2006 and $72.76 that expires after FY 2008.  Only 25% of the</t>
  </si>
  <si>
    <t>gross authority continues after FY 2006 because only 25% was converted to a referendum</t>
  </si>
  <si>
    <t>market value basis for payable 1998.</t>
  </si>
  <si>
    <t>For districts with authorities from more than one referendum election, or from an authority</t>
  </si>
  <si>
    <t>from a single election with a partial expiration after FY 2006, authorities were sorted with</t>
  </si>
  <si>
    <t>respect to expiration date.</t>
  </si>
  <si>
    <t>NET</t>
  </si>
  <si>
    <t>CENTENL</t>
  </si>
  <si>
    <t>COL HTS</t>
  </si>
  <si>
    <t>KELIHER</t>
  </si>
  <si>
    <t>RED LK</t>
  </si>
  <si>
    <t>ORTONVL</t>
  </si>
  <si>
    <t>WRENSHL</t>
  </si>
  <si>
    <t>BARNSVL</t>
  </si>
  <si>
    <t>RANDLPH</t>
  </si>
  <si>
    <t>ROSEMNT</t>
  </si>
  <si>
    <t>HASTNGS</t>
  </si>
  <si>
    <t>KASSON</t>
  </si>
  <si>
    <t>EVANSVL</t>
  </si>
  <si>
    <t>MABEL</t>
  </si>
  <si>
    <t>RICHFLD</t>
  </si>
  <si>
    <t>ST ANTH</t>
  </si>
  <si>
    <t>BRK CTR</t>
  </si>
  <si>
    <t>SPNG GR</t>
  </si>
  <si>
    <t>PARK RP</t>
  </si>
  <si>
    <t>FRANCNA</t>
  </si>
  <si>
    <t>CLEVLND</t>
  </si>
  <si>
    <t>LE CNTR</t>
  </si>
  <si>
    <t>EDEN VY</t>
  </si>
  <si>
    <t>DASSEL</t>
  </si>
  <si>
    <t>PRINCTN</t>
  </si>
  <si>
    <t>ROYALTN</t>
  </si>
  <si>
    <t>ST PETR</t>
  </si>
  <si>
    <t>BREWSTR</t>
  </si>
  <si>
    <t>ELSWRTH</t>
  </si>
  <si>
    <t>ROND LK</t>
  </si>
  <si>
    <t>WORTHTN</t>
  </si>
  <si>
    <t>FARIBLT</t>
  </si>
  <si>
    <t>VIRGINA</t>
  </si>
  <si>
    <t>HOLDFRD</t>
  </si>
  <si>
    <t>BERTHA</t>
  </si>
  <si>
    <t>FORS LK</t>
  </si>
  <si>
    <t>BUTRFLD</t>
  </si>
  <si>
    <t>LEWISTN</t>
  </si>
  <si>
    <t>ROCKFRD</t>
  </si>
  <si>
    <t>ULEN</t>
  </si>
  <si>
    <t>LK CRYS</t>
  </si>
  <si>
    <t>PINE RV</t>
  </si>
  <si>
    <t>FILMORE</t>
  </si>
  <si>
    <t>CLERBRK</t>
  </si>
  <si>
    <t>W CENTR</t>
  </si>
  <si>
    <t>ACGC</t>
  </si>
  <si>
    <t>MARTIN</t>
  </si>
  <si>
    <t>NRMCTYW</t>
  </si>
  <si>
    <t>ECENTRL</t>
  </si>
  <si>
    <t>WINEMAC</t>
  </si>
  <si>
    <t>HWR W W</t>
  </si>
  <si>
    <t>LACQUIP</t>
  </si>
  <si>
    <t>ADABORU</t>
  </si>
  <si>
    <t>GLENVLE</t>
  </si>
  <si>
    <t>CLGRBRD</t>
  </si>
  <si>
    <t>RDWD FL</t>
  </si>
  <si>
    <t>REFERENDUM_PHASEOUT_20060912</t>
  </si>
  <si>
    <t>BY DISTRICT NUMBER</t>
  </si>
  <si>
    <t xml:space="preserve"> # YRS</t>
  </si>
  <si>
    <t>NO=0</t>
  </si>
  <si>
    <t>WALKER-HACKENSACK-AKELEY</t>
  </si>
  <si>
    <t>START YR IS BALLOT TYPO MOUNTAIN IRON-BU</t>
  </si>
  <si>
    <t>OPERATING REFERENDUM RESULTS, 1991 TO 2008</t>
  </si>
  <si>
    <t>Referendum_upto2006_20090625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</si>
</sst>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mm/dd/yy"/>
    <numFmt numFmtId="165" formatCode="0.00000000"/>
    <numFmt numFmtId="166" formatCode="0.00000000_)"/>
    <numFmt numFmtId="167" formatCode="_([$€-2]* #,##0.00_);_([$€-2]* \(#,##0.00\);_([$€-2]* &quot;-&quot;??_)"/>
    <numFmt numFmtId="168" formatCode="mm/dd/yy_)"/>
    <numFmt numFmtId="169" formatCode="dd\-mmm\-yy_)"/>
    <numFmt numFmtId="170" formatCode="0_)"/>
    <numFmt numFmtId="171" formatCode="0.00_)"/>
    <numFmt numFmtId="172" formatCode="0.0_)"/>
    <numFmt numFmtId="177" formatCode="0.000000"/>
    <numFmt numFmtId="179" formatCode="0.0000"/>
    <numFmt numFmtId="181" formatCode="#,##0.0000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4"/>
      <name val="Arial"/>
      <family val="2"/>
    </font>
    <font>
      <sz val="2"/>
      <name val="Arial"/>
      <family val="2"/>
    </font>
    <font>
      <sz val="10"/>
      <name val="Arial"/>
      <family val="2"/>
    </font>
    <font>
      <sz val="8"/>
      <name val="Arial"/>
    </font>
    <font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4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/>
    <xf numFmtId="166" fontId="0" fillId="0" borderId="0" xfId="0" applyNumberFormat="1" applyProtection="1"/>
    <xf numFmtId="37" fontId="0" fillId="0" borderId="0" xfId="0" applyNumberFormat="1" applyProtection="1"/>
    <xf numFmtId="16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7" fontId="0" fillId="2" borderId="0" xfId="1" applyFont="1" applyFill="1" applyBorder="1"/>
    <xf numFmtId="167" fontId="0" fillId="2" borderId="0" xfId="1" quotePrefix="1" applyFont="1" applyFill="1" applyBorder="1" applyAlignment="1">
      <alignment horizontal="left"/>
    </xf>
    <xf numFmtId="167" fontId="0" fillId="2" borderId="0" xfId="1" applyFont="1" applyFill="1" applyBorder="1" applyAlignment="1">
      <alignment horizontal="right"/>
    </xf>
    <xf numFmtId="167" fontId="0" fillId="2" borderId="0" xfId="1" applyFont="1" applyFill="1" applyBorder="1" applyAlignment="1">
      <alignment horizontal="left"/>
    </xf>
    <xf numFmtId="167" fontId="0" fillId="2" borderId="0" xfId="1" quotePrefix="1" applyFont="1" applyFill="1" applyBorder="1"/>
    <xf numFmtId="0" fontId="0" fillId="2" borderId="0" xfId="0" applyFill="1"/>
    <xf numFmtId="0" fontId="2" fillId="2" borderId="0" xfId="0" applyFont="1" applyFill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right"/>
    </xf>
    <xf numFmtId="168" fontId="0" fillId="0" borderId="0" xfId="0" applyNumberFormat="1" applyProtection="1"/>
    <xf numFmtId="0" fontId="0" fillId="0" borderId="0" xfId="0" applyProtection="1"/>
    <xf numFmtId="39" fontId="0" fillId="0" borderId="0" xfId="0" applyNumberFormat="1" applyProtection="1"/>
    <xf numFmtId="169" fontId="0" fillId="0" borderId="0" xfId="0" applyNumberFormat="1" applyProtection="1"/>
    <xf numFmtId="170" fontId="0" fillId="0" borderId="0" xfId="0" applyNumberFormat="1" applyAlignment="1" applyProtection="1">
      <alignment horizontal="right"/>
    </xf>
    <xf numFmtId="170" fontId="0" fillId="0" borderId="0" xfId="0" applyNumberFormat="1" applyProtection="1"/>
    <xf numFmtId="171" fontId="0" fillId="0" borderId="0" xfId="0" applyNumberFormat="1" applyProtection="1"/>
    <xf numFmtId="172" fontId="0" fillId="0" borderId="0" xfId="0" applyNumberFormat="1" applyProtection="1"/>
    <xf numFmtId="0" fontId="3" fillId="0" borderId="0" xfId="0" applyFont="1"/>
    <xf numFmtId="3" fontId="0" fillId="0" borderId="0" xfId="0" applyNumberFormat="1"/>
    <xf numFmtId="3" fontId="0" fillId="0" borderId="0" xfId="0" applyNumberFormat="1" applyProtection="1"/>
    <xf numFmtId="0" fontId="0" fillId="0" borderId="0" xfId="0" applyFill="1"/>
    <xf numFmtId="4" fontId="0" fillId="0" borderId="0" xfId="0" applyNumberFormat="1" applyFill="1"/>
    <xf numFmtId="0" fontId="4" fillId="0" borderId="0" xfId="0" applyFont="1" applyFill="1"/>
    <xf numFmtId="4" fontId="0" fillId="0" borderId="0" xfId="0" quotePrefix="1" applyNumberFormat="1"/>
    <xf numFmtId="164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/>
    <xf numFmtId="0" fontId="0" fillId="0" borderId="0" xfId="0" applyBorder="1"/>
    <xf numFmtId="37" fontId="0" fillId="0" borderId="0" xfId="0" applyNumberFormat="1" applyBorder="1"/>
    <xf numFmtId="0" fontId="0" fillId="0" borderId="0" xfId="0" applyBorder="1" applyAlignment="1">
      <alignment horizontal="right"/>
    </xf>
    <xf numFmtId="4" fontId="0" fillId="0" borderId="0" xfId="0" applyNumberFormat="1" applyBorder="1"/>
    <xf numFmtId="177" fontId="0" fillId="0" borderId="0" xfId="0" applyNumberFormat="1" applyBorder="1"/>
    <xf numFmtId="4" fontId="0" fillId="0" borderId="0" xfId="0" applyNumberFormat="1" applyBorder="1" applyAlignment="1">
      <alignment horizontal="right"/>
    </xf>
    <xf numFmtId="1" fontId="0" fillId="0" borderId="0" xfId="0" applyNumberFormat="1" applyBorder="1"/>
    <xf numFmtId="0" fontId="5" fillId="0" borderId="0" xfId="0" applyFont="1" applyBorder="1"/>
    <xf numFmtId="164" fontId="0" fillId="0" borderId="0" xfId="0" applyNumberFormat="1" applyBorder="1"/>
    <xf numFmtId="0" fontId="0" fillId="0" borderId="0" xfId="0" applyFill="1" applyBorder="1"/>
    <xf numFmtId="0" fontId="0" fillId="0" borderId="1" xfId="0" applyBorder="1"/>
    <xf numFmtId="0" fontId="0" fillId="0" borderId="2" xfId="0" applyBorder="1"/>
    <xf numFmtId="4" fontId="0" fillId="0" borderId="2" xfId="0" applyNumberFormat="1" applyBorder="1" applyAlignment="1">
      <alignment horizontal="right"/>
    </xf>
    <xf numFmtId="4" fontId="0" fillId="0" borderId="2" xfId="0" applyNumberFormat="1" applyBorder="1"/>
    <xf numFmtId="4" fontId="0" fillId="0" borderId="3" xfId="0" applyNumberFormat="1" applyBorder="1"/>
    <xf numFmtId="0" fontId="0" fillId="0" borderId="4" xfId="0" applyBorder="1"/>
    <xf numFmtId="4" fontId="0" fillId="0" borderId="5" xfId="0" applyNumberFormat="1" applyBorder="1"/>
    <xf numFmtId="0" fontId="0" fillId="0" borderId="6" xfId="0" applyBorder="1"/>
    <xf numFmtId="0" fontId="0" fillId="0" borderId="7" xfId="0" applyBorder="1"/>
    <xf numFmtId="4" fontId="0" fillId="0" borderId="7" xfId="0" applyNumberFormat="1" applyBorder="1"/>
    <xf numFmtId="4" fontId="0" fillId="0" borderId="8" xfId="0" applyNumberFormat="1" applyBorder="1"/>
    <xf numFmtId="0" fontId="0" fillId="0" borderId="0" xfId="0" quotePrefix="1" applyFill="1" applyBorder="1"/>
    <xf numFmtId="1" fontId="0" fillId="0" borderId="0" xfId="0" applyNumberFormat="1" applyProtection="1"/>
    <xf numFmtId="4" fontId="0" fillId="0" borderId="0" xfId="0" applyNumberFormat="1" applyFill="1" applyBorder="1"/>
    <xf numFmtId="37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14" fontId="0" fillId="0" borderId="0" xfId="0" applyNumberFormat="1" applyFill="1" applyBorder="1"/>
    <xf numFmtId="4" fontId="0" fillId="0" borderId="0" xfId="0" applyNumberFormat="1" applyFill="1" applyBorder="1" applyAlignment="1">
      <alignment horizontal="right"/>
    </xf>
    <xf numFmtId="179" fontId="0" fillId="0" borderId="0" xfId="0" applyNumberFormat="1" applyFill="1" applyBorder="1"/>
    <xf numFmtId="179" fontId="0" fillId="0" borderId="0" xfId="0" applyNumberFormat="1" applyFill="1" applyBorder="1" applyAlignment="1">
      <alignment horizontal="right"/>
    </xf>
    <xf numFmtId="179" fontId="0" fillId="0" borderId="0" xfId="0" applyNumberFormat="1" applyFill="1" applyAlignment="1" applyProtection="1">
      <alignment horizontal="right"/>
    </xf>
    <xf numFmtId="177" fontId="0" fillId="0" borderId="0" xfId="0" applyNumberFormat="1" applyFill="1" applyBorder="1"/>
    <xf numFmtId="0" fontId="0" fillId="2" borderId="0" xfId="0" applyFill="1" applyBorder="1"/>
    <xf numFmtId="181" fontId="0" fillId="0" borderId="0" xfId="0" applyNumberFormat="1"/>
    <xf numFmtId="0" fontId="7" fillId="0" borderId="0" xfId="0" applyFont="1"/>
    <xf numFmtId="3" fontId="7" fillId="0" borderId="0" xfId="0" applyNumberFormat="1" applyFont="1"/>
    <xf numFmtId="0" fontId="7" fillId="0" borderId="0" xfId="0" applyFont="1" applyAlignment="1">
      <alignment horizontal="right"/>
    </xf>
    <xf numFmtId="3" fontId="7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4" fontId="7" fillId="0" borderId="0" xfId="0" applyNumberFormat="1" applyFont="1"/>
    <xf numFmtId="1" fontId="7" fillId="0" borderId="0" xfId="0" applyNumberFormat="1" applyFont="1" applyAlignment="1">
      <alignment horizontal="right"/>
    </xf>
    <xf numFmtId="1" fontId="7" fillId="0" borderId="0" xfId="0" applyNumberFormat="1" applyFont="1"/>
    <xf numFmtId="1" fontId="7" fillId="0" borderId="0" xfId="0" applyNumberFormat="1" applyFont="1" applyAlignment="1">
      <alignment horizontal="left"/>
    </xf>
    <xf numFmtId="1" fontId="0" fillId="0" borderId="0" xfId="0" applyNumberFormat="1" applyFill="1" applyBorder="1"/>
    <xf numFmtId="0" fontId="7" fillId="0" borderId="0" xfId="0" quotePrefix="1" applyFont="1" applyAlignment="1">
      <alignment horizontal="right"/>
    </xf>
    <xf numFmtId="3" fontId="7" fillId="0" borderId="0" xfId="0" quotePrefix="1" applyNumberFormat="1" applyFont="1" applyAlignment="1">
      <alignment horizontal="right"/>
    </xf>
    <xf numFmtId="3" fontId="0" fillId="0" borderId="0" xfId="0" quotePrefix="1" applyNumberFormat="1" applyAlignment="1">
      <alignment horizontal="right"/>
    </xf>
    <xf numFmtId="179" fontId="0" fillId="0" borderId="0" xfId="0" applyNumberFormat="1" applyFill="1"/>
    <xf numFmtId="0" fontId="0" fillId="3" borderId="0" xfId="0" applyFill="1"/>
    <xf numFmtId="0" fontId="0" fillId="0" borderId="9" xfId="0" applyBorder="1" applyAlignment="1">
      <alignment horizont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A85"/>
  <sheetViews>
    <sheetView tabSelected="1" zoomScale="75" workbookViewId="0"/>
  </sheetViews>
  <sheetFormatPr defaultRowHeight="12.75" x14ac:dyDescent="0.2"/>
  <cols>
    <col min="1" max="1" width="6.7109375" style="51" customWidth="1"/>
    <col min="2" max="2" width="60.7109375" style="51" customWidth="1"/>
    <col min="3" max="14" width="9.7109375" style="51" customWidth="1"/>
    <col min="15" max="16384" width="9.140625" style="51"/>
  </cols>
  <sheetData>
    <row r="1" spans="1:27" x14ac:dyDescent="0.2">
      <c r="A1" s="90">
        <v>112</v>
      </c>
      <c r="B1" s="51" t="s">
        <v>49</v>
      </c>
    </row>
    <row r="3" spans="1:27" x14ac:dyDescent="0.2">
      <c r="B3" s="66" t="s">
        <v>919</v>
      </c>
      <c r="N3" s="67" t="s">
        <v>1046</v>
      </c>
    </row>
    <row r="4" spans="1:27" x14ac:dyDescent="0.2">
      <c r="B4" s="66" t="str">
        <f>+VLOOKUP(DNUMBER06,NAMES,3,FALSE)&amp;" #"&amp;FIXED(DNUMBER06,0,TRUE)</f>
        <v>CHASKA #112</v>
      </c>
      <c r="N4" s="68">
        <v>39989</v>
      </c>
    </row>
    <row r="6" spans="1:27" x14ac:dyDescent="0.2">
      <c r="B6" s="51" t="s">
        <v>916</v>
      </c>
      <c r="C6" s="67" t="s">
        <v>48</v>
      </c>
      <c r="D6" s="67" t="s">
        <v>48</v>
      </c>
      <c r="E6" s="67" t="s">
        <v>48</v>
      </c>
      <c r="F6" s="67" t="s">
        <v>48</v>
      </c>
      <c r="G6" s="67" t="s">
        <v>48</v>
      </c>
      <c r="H6" s="67" t="s">
        <v>48</v>
      </c>
      <c r="I6" s="67" t="s">
        <v>48</v>
      </c>
      <c r="J6" s="67" t="s">
        <v>48</v>
      </c>
      <c r="K6" s="67" t="s">
        <v>48</v>
      </c>
      <c r="L6" s="67" t="s">
        <v>48</v>
      </c>
      <c r="M6" s="67" t="s">
        <v>48</v>
      </c>
      <c r="N6" s="67" t="s">
        <v>48</v>
      </c>
    </row>
    <row r="7" spans="1:27" x14ac:dyDescent="0.2">
      <c r="C7" s="51">
        <v>2007</v>
      </c>
      <c r="D7" s="51">
        <v>2008</v>
      </c>
      <c r="E7" s="51">
        <v>2009</v>
      </c>
      <c r="F7" s="51">
        <v>2010</v>
      </c>
      <c r="G7" s="51">
        <v>2011</v>
      </c>
      <c r="H7" s="51">
        <v>2012</v>
      </c>
      <c r="I7" s="51">
        <v>2013</v>
      </c>
      <c r="J7" s="51">
        <v>2014</v>
      </c>
      <c r="K7" s="51">
        <v>2015</v>
      </c>
      <c r="L7" s="51">
        <v>2016</v>
      </c>
      <c r="M7" s="51">
        <v>2017</v>
      </c>
      <c r="N7" s="51">
        <v>2018</v>
      </c>
      <c r="P7" s="51" t="s">
        <v>914</v>
      </c>
    </row>
    <row r="9" spans="1:27" x14ac:dyDescent="0.2">
      <c r="A9" s="51">
        <v>1</v>
      </c>
      <c r="B9" s="51" t="s">
        <v>901</v>
      </c>
      <c r="C9" s="65">
        <f t="shared" ref="C9:M11" si="0">VLOOKUP(DNUMBER06,Input2006,P9,FALSE)</f>
        <v>768.24</v>
      </c>
      <c r="D9" s="65">
        <f t="shared" si="0"/>
        <v>768.24</v>
      </c>
      <c r="E9" s="65">
        <f t="shared" si="0"/>
        <v>768.24</v>
      </c>
      <c r="F9" s="65">
        <f t="shared" si="0"/>
        <v>768.24</v>
      </c>
      <c r="G9" s="65">
        <f t="shared" si="0"/>
        <v>768.24</v>
      </c>
      <c r="H9" s="65">
        <f t="shared" si="0"/>
        <v>768.24</v>
      </c>
      <c r="I9" s="65">
        <f t="shared" si="0"/>
        <v>768.24</v>
      </c>
      <c r="J9" s="65">
        <f t="shared" si="0"/>
        <v>768.24</v>
      </c>
      <c r="K9" s="65">
        <f t="shared" si="0"/>
        <v>0</v>
      </c>
      <c r="L9" s="65">
        <f t="shared" si="0"/>
        <v>0</v>
      </c>
      <c r="M9" s="65">
        <f t="shared" si="0"/>
        <v>0</v>
      </c>
      <c r="N9" s="65">
        <v>0</v>
      </c>
      <c r="P9" s="51">
        <v>4</v>
      </c>
      <c r="Q9" s="51">
        <f>P9+1</f>
        <v>5</v>
      </c>
      <c r="R9" s="51">
        <f t="shared" ref="R9:Z11" si="1">Q9+1</f>
        <v>6</v>
      </c>
      <c r="S9" s="51">
        <f t="shared" si="1"/>
        <v>7</v>
      </c>
      <c r="T9" s="51">
        <f t="shared" si="1"/>
        <v>8</v>
      </c>
      <c r="U9" s="51">
        <f t="shared" si="1"/>
        <v>9</v>
      </c>
      <c r="V9" s="51">
        <f t="shared" si="1"/>
        <v>10</v>
      </c>
      <c r="W9" s="51">
        <f t="shared" si="1"/>
        <v>11</v>
      </c>
      <c r="X9" s="51">
        <f t="shared" si="1"/>
        <v>12</v>
      </c>
      <c r="Y9" s="51">
        <f t="shared" si="1"/>
        <v>13</v>
      </c>
      <c r="Z9" s="51">
        <f t="shared" si="1"/>
        <v>14</v>
      </c>
      <c r="AA9" s="51">
        <f>Z9+1</f>
        <v>15</v>
      </c>
    </row>
    <row r="10" spans="1:27" x14ac:dyDescent="0.2">
      <c r="A10" s="51">
        <f>A9+1</f>
        <v>2</v>
      </c>
      <c r="B10" s="51" t="s">
        <v>902</v>
      </c>
      <c r="C10" s="65">
        <f t="shared" si="0"/>
        <v>768.24</v>
      </c>
      <c r="D10" s="65">
        <f t="shared" si="0"/>
        <v>768.24</v>
      </c>
      <c r="E10" s="65">
        <f t="shared" si="0"/>
        <v>768.24</v>
      </c>
      <c r="F10" s="65">
        <f t="shared" si="0"/>
        <v>768.24</v>
      </c>
      <c r="G10" s="65">
        <f t="shared" si="0"/>
        <v>768.24</v>
      </c>
      <c r="H10" s="65">
        <f t="shared" si="0"/>
        <v>768.24</v>
      </c>
      <c r="I10" s="65">
        <f t="shared" si="0"/>
        <v>768.24</v>
      </c>
      <c r="J10" s="65">
        <f t="shared" si="0"/>
        <v>768.24</v>
      </c>
      <c r="K10" s="65">
        <f t="shared" si="0"/>
        <v>0</v>
      </c>
      <c r="L10" s="65">
        <f t="shared" si="0"/>
        <v>0</v>
      </c>
      <c r="M10" s="65">
        <f t="shared" si="0"/>
        <v>0</v>
      </c>
      <c r="N10" s="65">
        <v>0</v>
      </c>
      <c r="P10" s="51">
        <f>AA9+1</f>
        <v>16</v>
      </c>
      <c r="Q10" s="51">
        <f>P10+1</f>
        <v>17</v>
      </c>
      <c r="R10" s="51">
        <f t="shared" si="1"/>
        <v>18</v>
      </c>
      <c r="S10" s="51">
        <f t="shared" si="1"/>
        <v>19</v>
      </c>
      <c r="T10" s="51">
        <f t="shared" si="1"/>
        <v>20</v>
      </c>
      <c r="U10" s="51">
        <f t="shared" si="1"/>
        <v>21</v>
      </c>
      <c r="V10" s="51">
        <f t="shared" si="1"/>
        <v>22</v>
      </c>
      <c r="W10" s="51">
        <f t="shared" si="1"/>
        <v>23</v>
      </c>
      <c r="X10" s="51">
        <f t="shared" si="1"/>
        <v>24</v>
      </c>
      <c r="Y10" s="51">
        <f t="shared" si="1"/>
        <v>25</v>
      </c>
      <c r="Z10" s="51">
        <f t="shared" si="1"/>
        <v>26</v>
      </c>
      <c r="AA10" s="51">
        <f>Z10+1</f>
        <v>27</v>
      </c>
    </row>
    <row r="11" spans="1:27" x14ac:dyDescent="0.2">
      <c r="A11" s="51">
        <f>A10+1</f>
        <v>3</v>
      </c>
      <c r="B11" s="51" t="str">
        <f>+"AUTHORITY AFTER CY 2005 ELECTIONS, JOBZ EXEMPT = ("&amp;FIXED(A9,0)&amp;")-("&amp;FIXED(A10,0)&amp;") ="</f>
        <v>AUTHORITY AFTER CY 2005 ELECTIONS, JOBZ EXEMPT = (1)-(2) =</v>
      </c>
      <c r="C11" s="65">
        <f t="shared" si="0"/>
        <v>0</v>
      </c>
      <c r="D11" s="65">
        <f t="shared" si="0"/>
        <v>0</v>
      </c>
      <c r="E11" s="65">
        <f t="shared" si="0"/>
        <v>0</v>
      </c>
      <c r="F11" s="65">
        <f t="shared" si="0"/>
        <v>0</v>
      </c>
      <c r="G11" s="65">
        <f t="shared" si="0"/>
        <v>0</v>
      </c>
      <c r="H11" s="65">
        <f t="shared" si="0"/>
        <v>0</v>
      </c>
      <c r="I11" s="65">
        <f t="shared" si="0"/>
        <v>0</v>
      </c>
      <c r="J11" s="65">
        <f t="shared" si="0"/>
        <v>0</v>
      </c>
      <c r="K11" s="65">
        <f t="shared" si="0"/>
        <v>0</v>
      </c>
      <c r="L11" s="65">
        <f t="shared" si="0"/>
        <v>0</v>
      </c>
      <c r="M11" s="65">
        <f t="shared" si="0"/>
        <v>0</v>
      </c>
      <c r="N11" s="65">
        <v>0</v>
      </c>
      <c r="P11" s="51">
        <f>AA10+1</f>
        <v>28</v>
      </c>
      <c r="Q11" s="51">
        <f>P11+1</f>
        <v>29</v>
      </c>
      <c r="R11" s="51">
        <f t="shared" si="1"/>
        <v>30</v>
      </c>
      <c r="S11" s="51">
        <f t="shared" si="1"/>
        <v>31</v>
      </c>
      <c r="T11" s="51">
        <f t="shared" si="1"/>
        <v>32</v>
      </c>
      <c r="U11" s="51">
        <f t="shared" si="1"/>
        <v>33</v>
      </c>
      <c r="V11" s="51">
        <f t="shared" si="1"/>
        <v>34</v>
      </c>
      <c r="W11" s="51">
        <f t="shared" si="1"/>
        <v>35</v>
      </c>
      <c r="X11" s="51">
        <f t="shared" si="1"/>
        <v>36</v>
      </c>
      <c r="Y11" s="51">
        <f t="shared" si="1"/>
        <v>37</v>
      </c>
      <c r="Z11" s="51">
        <f t="shared" si="1"/>
        <v>38</v>
      </c>
      <c r="AA11" s="51">
        <f>Z11+1</f>
        <v>39</v>
      </c>
    </row>
    <row r="12" spans="1:27" x14ac:dyDescent="0.2"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27" x14ac:dyDescent="0.2">
      <c r="A13" s="51">
        <f>A11+1</f>
        <v>4</v>
      </c>
      <c r="B13" s="51" t="s">
        <v>911</v>
      </c>
      <c r="C13" s="69" t="s">
        <v>410</v>
      </c>
      <c r="D13" s="65">
        <f t="shared" ref="D13:N13" si="2">VLOOKUP(DNUMBER06,ADDCY06CPINO,Q9)</f>
        <v>0</v>
      </c>
      <c r="E13" s="65">
        <f t="shared" si="2"/>
        <v>0</v>
      </c>
      <c r="F13" s="65">
        <f t="shared" si="2"/>
        <v>0</v>
      </c>
      <c r="G13" s="65">
        <f t="shared" si="2"/>
        <v>0</v>
      </c>
      <c r="H13" s="65">
        <f t="shared" si="2"/>
        <v>0</v>
      </c>
      <c r="I13" s="65">
        <f t="shared" si="2"/>
        <v>0</v>
      </c>
      <c r="J13" s="65">
        <f t="shared" si="2"/>
        <v>0</v>
      </c>
      <c r="K13" s="65">
        <f t="shared" si="2"/>
        <v>0</v>
      </c>
      <c r="L13" s="65">
        <f t="shared" si="2"/>
        <v>0</v>
      </c>
      <c r="M13" s="65">
        <f t="shared" si="2"/>
        <v>0</v>
      </c>
      <c r="N13" s="65">
        <f t="shared" si="2"/>
        <v>0</v>
      </c>
    </row>
    <row r="14" spans="1:27" x14ac:dyDescent="0.2">
      <c r="A14" s="51">
        <f>A13+1</f>
        <v>5</v>
      </c>
      <c r="B14" s="51" t="s">
        <v>912</v>
      </c>
      <c r="C14" s="69" t="s">
        <v>410</v>
      </c>
      <c r="D14" s="65">
        <f t="shared" ref="D14:N14" si="3">VLOOKUP(DNUMBER06,ADDCY06CPIYES,Q9)</f>
        <v>285</v>
      </c>
      <c r="E14" s="65">
        <f t="shared" si="3"/>
        <v>285</v>
      </c>
      <c r="F14" s="65">
        <f t="shared" si="3"/>
        <v>285</v>
      </c>
      <c r="G14" s="65">
        <f t="shared" si="3"/>
        <v>285</v>
      </c>
      <c r="H14" s="65">
        <f t="shared" si="3"/>
        <v>285</v>
      </c>
      <c r="I14" s="65">
        <f t="shared" si="3"/>
        <v>285</v>
      </c>
      <c r="J14" s="65">
        <f t="shared" si="3"/>
        <v>285</v>
      </c>
      <c r="K14" s="65">
        <f t="shared" si="3"/>
        <v>285</v>
      </c>
      <c r="L14" s="65">
        <f t="shared" si="3"/>
        <v>285</v>
      </c>
      <c r="M14" s="65">
        <f t="shared" si="3"/>
        <v>285</v>
      </c>
      <c r="N14" s="65">
        <f t="shared" si="3"/>
        <v>0</v>
      </c>
    </row>
    <row r="15" spans="1:27" x14ac:dyDescent="0.2">
      <c r="A15" s="51">
        <f>A14+1</f>
        <v>6</v>
      </c>
      <c r="B15" s="51" t="s">
        <v>913</v>
      </c>
      <c r="C15" s="69" t="s">
        <v>410</v>
      </c>
      <c r="D15" s="70">
        <v>1</v>
      </c>
      <c r="E15" s="70">
        <f>IF(E14=0,1,IF($D14&gt;0,E28,E29))</f>
        <v>1.0061</v>
      </c>
      <c r="F15" s="70">
        <f t="shared" ref="F15:N15" si="4">IF(F14=0,1,IF($D14&gt;0,F28,F29))</f>
        <v>1.0037</v>
      </c>
      <c r="G15" s="70">
        <f t="shared" si="4"/>
        <v>1.0346</v>
      </c>
      <c r="H15" s="70">
        <f t="shared" si="4"/>
        <v>1.0656000000000001</v>
      </c>
      <c r="I15" s="70">
        <f t="shared" si="4"/>
        <v>1.0907</v>
      </c>
      <c r="J15" s="70">
        <f t="shared" si="4"/>
        <v>1.1181000000000001</v>
      </c>
      <c r="K15" s="70">
        <f t="shared" si="4"/>
        <v>1.1415</v>
      </c>
      <c r="L15" s="70">
        <f t="shared" si="4"/>
        <v>1.1644000000000001</v>
      </c>
      <c r="M15" s="70">
        <f t="shared" si="4"/>
        <v>1.1892</v>
      </c>
      <c r="N15" s="70">
        <f t="shared" si="4"/>
        <v>1</v>
      </c>
    </row>
    <row r="16" spans="1:27" x14ac:dyDescent="0.2">
      <c r="A16" s="51">
        <f>A15+1</f>
        <v>7</v>
      </c>
      <c r="B16" s="51" t="str">
        <f>+"AUTHORITY ADDED IN CY 2006, COMBINED = ("&amp;FIXED(A13,0)&amp;") + [("&amp;FIXED(A14,0)&amp;") X ("&amp;FIXED(A15,0)&amp;")] ="</f>
        <v>AUTHORITY ADDED IN CY 2006, COMBINED = (4) + [(5) X (6)] =</v>
      </c>
      <c r="C16" s="69" t="s">
        <v>410</v>
      </c>
      <c r="D16" s="65">
        <f>ROUND(D13+D14*D15,2)</f>
        <v>285</v>
      </c>
      <c r="E16" s="65">
        <f>ROUND(E13+E14*E15,2)</f>
        <v>286.74</v>
      </c>
      <c r="F16" s="65">
        <f t="shared" ref="F16:N16" si="5">ROUND(F13+F14*F15,2)</f>
        <v>286.05</v>
      </c>
      <c r="G16" s="65">
        <f t="shared" si="5"/>
        <v>294.86</v>
      </c>
      <c r="H16" s="65">
        <f t="shared" si="5"/>
        <v>303.7</v>
      </c>
      <c r="I16" s="65">
        <f t="shared" si="5"/>
        <v>310.85000000000002</v>
      </c>
      <c r="J16" s="65">
        <f t="shared" si="5"/>
        <v>318.66000000000003</v>
      </c>
      <c r="K16" s="65">
        <f t="shared" si="5"/>
        <v>325.33</v>
      </c>
      <c r="L16" s="65">
        <f t="shared" si="5"/>
        <v>331.85</v>
      </c>
      <c r="M16" s="65">
        <f t="shared" si="5"/>
        <v>338.92</v>
      </c>
      <c r="N16" s="65">
        <f t="shared" si="5"/>
        <v>0</v>
      </c>
    </row>
    <row r="17" spans="1:15" x14ac:dyDescent="0.2"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</row>
    <row r="18" spans="1:15" x14ac:dyDescent="0.2">
      <c r="A18" s="51">
        <f>A16+1</f>
        <v>8</v>
      </c>
      <c r="B18" s="51" t="s">
        <v>904</v>
      </c>
      <c r="C18" s="65">
        <v>0</v>
      </c>
      <c r="D18" s="65">
        <f t="shared" ref="D18:N18" si="6">VLOOKUP(DNUMBER06,SUBCY06,Q9)</f>
        <v>0</v>
      </c>
      <c r="E18" s="65">
        <f t="shared" si="6"/>
        <v>0</v>
      </c>
      <c r="F18" s="65">
        <f t="shared" si="6"/>
        <v>0</v>
      </c>
      <c r="G18" s="65">
        <f t="shared" si="6"/>
        <v>0</v>
      </c>
      <c r="H18" s="65">
        <f t="shared" si="6"/>
        <v>0</v>
      </c>
      <c r="I18" s="65">
        <f t="shared" si="6"/>
        <v>0</v>
      </c>
      <c r="J18" s="65">
        <f t="shared" si="6"/>
        <v>0</v>
      </c>
      <c r="K18" s="65">
        <f t="shared" si="6"/>
        <v>0</v>
      </c>
      <c r="L18" s="65">
        <f t="shared" si="6"/>
        <v>0</v>
      </c>
      <c r="M18" s="65">
        <f t="shared" si="6"/>
        <v>0</v>
      </c>
      <c r="N18" s="65">
        <f t="shared" si="6"/>
        <v>0</v>
      </c>
    </row>
    <row r="19" spans="1:15" x14ac:dyDescent="0.2">
      <c r="A19" s="51">
        <f>A18+1</f>
        <v>9</v>
      </c>
      <c r="B19" s="51" t="s">
        <v>903</v>
      </c>
      <c r="C19" s="65">
        <v>0</v>
      </c>
      <c r="D19" s="65">
        <f>D18</f>
        <v>0</v>
      </c>
      <c r="E19" s="65">
        <f t="shared" ref="E19:N19" si="7">E18</f>
        <v>0</v>
      </c>
      <c r="F19" s="65">
        <f t="shared" si="7"/>
        <v>0</v>
      </c>
      <c r="G19" s="65">
        <f t="shared" si="7"/>
        <v>0</v>
      </c>
      <c r="H19" s="65">
        <f t="shared" si="7"/>
        <v>0</v>
      </c>
      <c r="I19" s="65">
        <f t="shared" si="7"/>
        <v>0</v>
      </c>
      <c r="J19" s="65">
        <f t="shared" si="7"/>
        <v>0</v>
      </c>
      <c r="K19" s="65">
        <f t="shared" si="7"/>
        <v>0</v>
      </c>
      <c r="L19" s="65">
        <f t="shared" si="7"/>
        <v>0</v>
      </c>
      <c r="M19" s="65">
        <f t="shared" si="7"/>
        <v>0</v>
      </c>
      <c r="N19" s="65">
        <f t="shared" si="7"/>
        <v>0</v>
      </c>
    </row>
    <row r="20" spans="1:15" x14ac:dyDescent="0.2">
      <c r="A20" s="51">
        <f>A19+1</f>
        <v>10</v>
      </c>
      <c r="B20" s="51" t="str">
        <f>+"AUTHORITY CANCELLED IN CY 2006, JOBZ EXEMPT = ("&amp;FIXED(A18,0)&amp;")-("&amp;FIXED(A19,0)&amp;") ="</f>
        <v>AUTHORITY CANCELLED IN CY 2006, JOBZ EXEMPT = (8)-(9) =</v>
      </c>
      <c r="C20" s="65">
        <f>C18-C19</f>
        <v>0</v>
      </c>
      <c r="D20" s="65">
        <f t="shared" ref="D20:N20" si="8">D18-D19</f>
        <v>0</v>
      </c>
      <c r="E20" s="65">
        <f t="shared" si="8"/>
        <v>0</v>
      </c>
      <c r="F20" s="65">
        <f t="shared" si="8"/>
        <v>0</v>
      </c>
      <c r="G20" s="65">
        <f t="shared" si="8"/>
        <v>0</v>
      </c>
      <c r="H20" s="65">
        <f t="shared" si="8"/>
        <v>0</v>
      </c>
      <c r="I20" s="65">
        <f t="shared" si="8"/>
        <v>0</v>
      </c>
      <c r="J20" s="65">
        <f t="shared" si="8"/>
        <v>0</v>
      </c>
      <c r="K20" s="65">
        <f t="shared" si="8"/>
        <v>0</v>
      </c>
      <c r="L20" s="65">
        <f t="shared" si="8"/>
        <v>0</v>
      </c>
      <c r="M20" s="65">
        <f t="shared" si="8"/>
        <v>0</v>
      </c>
      <c r="N20" s="65">
        <f t="shared" si="8"/>
        <v>0</v>
      </c>
    </row>
    <row r="21" spans="1:15" x14ac:dyDescent="0.2"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15" x14ac:dyDescent="0.2">
      <c r="A22" s="51">
        <f>A20+1</f>
        <v>11</v>
      </c>
      <c r="B22" s="51" t="str">
        <f>+"AUTHORITY AFTER CY 2006, TOTAL = ("&amp;FIXED(A9,0)&amp;")+("&amp;FIXED(A16,0)&amp;")-("&amp;FIXED(A18,0)&amp;") ="</f>
        <v>AUTHORITY AFTER CY 2006, TOTAL = (1)+(7)-(8) =</v>
      </c>
      <c r="C22" s="65">
        <f>C9-C18</f>
        <v>768.24</v>
      </c>
      <c r="D22" s="65">
        <f>D9+D16-D18</f>
        <v>1053.24</v>
      </c>
      <c r="E22" s="65">
        <f t="shared" ref="E22:N22" si="9">E9+E16-E18</f>
        <v>1054.98</v>
      </c>
      <c r="F22" s="65">
        <f t="shared" si="9"/>
        <v>1054.29</v>
      </c>
      <c r="G22" s="65">
        <f t="shared" si="9"/>
        <v>1063.0999999999999</v>
      </c>
      <c r="H22" s="65">
        <f t="shared" si="9"/>
        <v>1071.94</v>
      </c>
      <c r="I22" s="65">
        <f t="shared" si="9"/>
        <v>1079.0900000000001</v>
      </c>
      <c r="J22" s="65">
        <f t="shared" si="9"/>
        <v>1086.9000000000001</v>
      </c>
      <c r="K22" s="65">
        <f t="shared" si="9"/>
        <v>325.33</v>
      </c>
      <c r="L22" s="65">
        <f t="shared" si="9"/>
        <v>331.85</v>
      </c>
      <c r="M22" s="65">
        <f t="shared" si="9"/>
        <v>338.92</v>
      </c>
      <c r="N22" s="65">
        <f t="shared" si="9"/>
        <v>0</v>
      </c>
    </row>
    <row r="23" spans="1:15" x14ac:dyDescent="0.2">
      <c r="A23" s="51">
        <f>A22+1</f>
        <v>12</v>
      </c>
      <c r="B23" s="51" t="str">
        <f>+"AUTHORITY AFTER CY 2006, JOBZ NONEXEMPT = ("&amp;FIXED(A10,0)&amp;")-("&amp;FIXED(A19,0)&amp;") ="</f>
        <v>AUTHORITY AFTER CY 2006, JOBZ NONEXEMPT = (2)-(9) =</v>
      </c>
      <c r="C23" s="65">
        <f>C10-C19</f>
        <v>768.24</v>
      </c>
      <c r="D23" s="65">
        <f>D10-D19</f>
        <v>768.24</v>
      </c>
      <c r="E23" s="65">
        <f t="shared" ref="E23:N23" si="10">E10-E19</f>
        <v>768.24</v>
      </c>
      <c r="F23" s="65">
        <f t="shared" si="10"/>
        <v>768.24</v>
      </c>
      <c r="G23" s="65">
        <f t="shared" si="10"/>
        <v>768.24</v>
      </c>
      <c r="H23" s="65">
        <f t="shared" si="10"/>
        <v>768.24</v>
      </c>
      <c r="I23" s="65">
        <f t="shared" si="10"/>
        <v>768.24</v>
      </c>
      <c r="J23" s="65">
        <f t="shared" si="10"/>
        <v>768.24</v>
      </c>
      <c r="K23" s="65">
        <f t="shared" si="10"/>
        <v>0</v>
      </c>
      <c r="L23" s="65">
        <f t="shared" si="10"/>
        <v>0</v>
      </c>
      <c r="M23" s="65">
        <f t="shared" si="10"/>
        <v>0</v>
      </c>
      <c r="N23" s="65">
        <f t="shared" si="10"/>
        <v>0</v>
      </c>
    </row>
    <row r="24" spans="1:15" x14ac:dyDescent="0.2">
      <c r="A24" s="51">
        <f>A23+1</f>
        <v>13</v>
      </c>
      <c r="B24" s="51" t="str">
        <f>+"AUTHORITY AFTER CY 2006, JOBZ EXEMPT = ("&amp;FIXED(A22,0)&amp;")-("&amp;FIXED(A23,0)&amp;") ="</f>
        <v>AUTHORITY AFTER CY 2006, JOBZ EXEMPT = (11)-(12) =</v>
      </c>
      <c r="C24" s="65">
        <f>C22-C23</f>
        <v>0</v>
      </c>
      <c r="D24" s="65">
        <f>D22-D23</f>
        <v>285</v>
      </c>
      <c r="E24" s="65">
        <f t="shared" ref="E24:N24" si="11">E22-E23</f>
        <v>286.74</v>
      </c>
      <c r="F24" s="65">
        <f t="shared" si="11"/>
        <v>286.04999999999995</v>
      </c>
      <c r="G24" s="65">
        <f t="shared" si="11"/>
        <v>294.8599999999999</v>
      </c>
      <c r="H24" s="65">
        <f t="shared" si="11"/>
        <v>303.70000000000005</v>
      </c>
      <c r="I24" s="65">
        <f t="shared" si="11"/>
        <v>310.85000000000014</v>
      </c>
      <c r="J24" s="65">
        <f t="shared" si="11"/>
        <v>318.66000000000008</v>
      </c>
      <c r="K24" s="65">
        <f t="shared" si="11"/>
        <v>325.33</v>
      </c>
      <c r="L24" s="65">
        <f t="shared" si="11"/>
        <v>331.85</v>
      </c>
      <c r="M24" s="65">
        <f t="shared" si="11"/>
        <v>338.92</v>
      </c>
      <c r="N24" s="65">
        <f t="shared" si="11"/>
        <v>0</v>
      </c>
    </row>
    <row r="27" spans="1:15" x14ac:dyDescent="0.2">
      <c r="A27" s="51">
        <f>A24+1</f>
        <v>14</v>
      </c>
      <c r="B27" s="51" t="s">
        <v>905</v>
      </c>
      <c r="C27" s="71" t="s">
        <v>410</v>
      </c>
      <c r="D27" s="71" t="s">
        <v>410</v>
      </c>
      <c r="E27" s="89">
        <v>1.0061</v>
      </c>
      <c r="F27" s="89">
        <v>0.99760000000000004</v>
      </c>
      <c r="G27" s="89">
        <v>1.0307999999999999</v>
      </c>
      <c r="H27" s="89">
        <v>1.03</v>
      </c>
      <c r="I27" s="89">
        <v>1.0236000000000001</v>
      </c>
      <c r="J27" s="89">
        <v>1.0250999999999999</v>
      </c>
      <c r="K27" s="89">
        <v>1.0208999999999999</v>
      </c>
      <c r="L27" s="35">
        <v>1.0201</v>
      </c>
      <c r="M27" s="35">
        <v>1.0213000000000001</v>
      </c>
      <c r="N27" s="35">
        <v>1.0210999999999999</v>
      </c>
      <c r="O27" s="72"/>
    </row>
    <row r="28" spans="1:15" x14ac:dyDescent="0.2">
      <c r="A28" s="51">
        <f>A27+1</f>
        <v>15</v>
      </c>
      <c r="B28" s="51" t="s">
        <v>906</v>
      </c>
      <c r="C28" s="71" t="s">
        <v>410</v>
      </c>
      <c r="D28" s="71">
        <v>1</v>
      </c>
      <c r="E28" s="70">
        <f>ROUND(E27*D28,4)</f>
        <v>1.0061</v>
      </c>
      <c r="F28" s="70">
        <f t="shared" ref="F28:N28" si="12">ROUND(F27*E28,4)</f>
        <v>1.0037</v>
      </c>
      <c r="G28" s="70">
        <f t="shared" si="12"/>
        <v>1.0346</v>
      </c>
      <c r="H28" s="70">
        <f t="shared" si="12"/>
        <v>1.0656000000000001</v>
      </c>
      <c r="I28" s="70">
        <f t="shared" si="12"/>
        <v>1.0907</v>
      </c>
      <c r="J28" s="70">
        <f t="shared" si="12"/>
        <v>1.1181000000000001</v>
      </c>
      <c r="K28" s="70">
        <f t="shared" si="12"/>
        <v>1.1415</v>
      </c>
      <c r="L28" s="70">
        <f t="shared" si="12"/>
        <v>1.1644000000000001</v>
      </c>
      <c r="M28" s="70">
        <f t="shared" si="12"/>
        <v>1.1892</v>
      </c>
      <c r="N28" s="70">
        <f t="shared" si="12"/>
        <v>1.2142999999999999</v>
      </c>
    </row>
    <row r="29" spans="1:15" x14ac:dyDescent="0.2">
      <c r="A29" s="51">
        <f>A28+1</f>
        <v>16</v>
      </c>
      <c r="B29" s="51" t="s">
        <v>907</v>
      </c>
      <c r="C29" s="71" t="s">
        <v>410</v>
      </c>
      <c r="D29" s="71" t="s">
        <v>410</v>
      </c>
      <c r="E29" s="71">
        <v>1</v>
      </c>
      <c r="F29" s="70">
        <f>ROUND(E29*F27,4)</f>
        <v>0.99760000000000004</v>
      </c>
      <c r="G29" s="70">
        <f t="shared" ref="G29:N29" si="13">ROUND(F29*G27,4)</f>
        <v>1.0283</v>
      </c>
      <c r="H29" s="70">
        <f t="shared" si="13"/>
        <v>1.0590999999999999</v>
      </c>
      <c r="I29" s="70">
        <f t="shared" si="13"/>
        <v>1.0841000000000001</v>
      </c>
      <c r="J29" s="70">
        <f t="shared" si="13"/>
        <v>1.1113</v>
      </c>
      <c r="K29" s="70">
        <f t="shared" si="13"/>
        <v>1.1345000000000001</v>
      </c>
      <c r="L29" s="70">
        <f t="shared" si="13"/>
        <v>1.1573</v>
      </c>
      <c r="M29" s="70">
        <f t="shared" si="13"/>
        <v>1.1819999999999999</v>
      </c>
      <c r="N29" s="70">
        <f t="shared" si="13"/>
        <v>1.2069000000000001</v>
      </c>
    </row>
    <row r="32" spans="1:15" x14ac:dyDescent="0.2">
      <c r="A32" s="51">
        <f>A29+1</f>
        <v>17</v>
      </c>
      <c r="B32" s="51" t="str">
        <f>+"TOTAL WITHOUT CPI ADJUSTMENT = ("&amp;FIXED(A9,0)&amp;")+("&amp;FIXED(A13,0)&amp;")-("&amp;FIXED(A18,0)&amp;") ="</f>
        <v>TOTAL WITHOUT CPI ADJUSTMENT = (1)+(4)-(8) =</v>
      </c>
      <c r="C32" s="71" t="s">
        <v>410</v>
      </c>
      <c r="D32" s="65">
        <f>D9+D13-D18</f>
        <v>768.24</v>
      </c>
      <c r="E32" s="65">
        <f t="shared" ref="E32:N32" si="14">E9+E13-E18</f>
        <v>768.24</v>
      </c>
      <c r="F32" s="65">
        <f t="shared" si="14"/>
        <v>768.24</v>
      </c>
      <c r="G32" s="65">
        <f t="shared" si="14"/>
        <v>768.24</v>
      </c>
      <c r="H32" s="65">
        <f t="shared" si="14"/>
        <v>768.24</v>
      </c>
      <c r="I32" s="65">
        <f t="shared" si="14"/>
        <v>768.24</v>
      </c>
      <c r="J32" s="65">
        <f t="shared" si="14"/>
        <v>768.24</v>
      </c>
      <c r="K32" s="65">
        <f t="shared" si="14"/>
        <v>0</v>
      </c>
      <c r="L32" s="65">
        <f t="shared" si="14"/>
        <v>0</v>
      </c>
      <c r="M32" s="65">
        <f t="shared" si="14"/>
        <v>0</v>
      </c>
      <c r="N32" s="65">
        <f t="shared" si="14"/>
        <v>0</v>
      </c>
    </row>
    <row r="33" spans="1:14" x14ac:dyDescent="0.2">
      <c r="A33" s="51">
        <f>A32+1</f>
        <v>18</v>
      </c>
      <c r="B33" s="51" t="str">
        <f>+"TOTAL WITH CPI ADJUSTMENT BEFORE THE ADJUSTMENT = ("&amp;FIXED(A14,0)&amp;") ="</f>
        <v>TOTAL WITH CPI ADJUSTMENT BEFORE THE ADJUSTMENT = (5) =</v>
      </c>
      <c r="C33" s="71" t="s">
        <v>410</v>
      </c>
      <c r="D33" s="65">
        <f>D14</f>
        <v>285</v>
      </c>
      <c r="E33" s="65">
        <f t="shared" ref="E33:N33" si="15">E14</f>
        <v>285</v>
      </c>
      <c r="F33" s="65">
        <f t="shared" si="15"/>
        <v>285</v>
      </c>
      <c r="G33" s="65">
        <f t="shared" si="15"/>
        <v>285</v>
      </c>
      <c r="H33" s="65">
        <f t="shared" si="15"/>
        <v>285</v>
      </c>
      <c r="I33" s="65">
        <f t="shared" si="15"/>
        <v>285</v>
      </c>
      <c r="J33" s="65">
        <f t="shared" si="15"/>
        <v>285</v>
      </c>
      <c r="K33" s="65">
        <f t="shared" si="15"/>
        <v>285</v>
      </c>
      <c r="L33" s="65">
        <f t="shared" si="15"/>
        <v>285</v>
      </c>
      <c r="M33" s="65">
        <f t="shared" si="15"/>
        <v>285</v>
      </c>
      <c r="N33" s="65">
        <f t="shared" si="15"/>
        <v>0</v>
      </c>
    </row>
    <row r="34" spans="1:14" x14ac:dyDescent="0.2"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</row>
    <row r="35" spans="1:14" x14ac:dyDescent="0.2">
      <c r="D35" s="67"/>
    </row>
    <row r="48" spans="1:14" x14ac:dyDescent="0.2">
      <c r="E48" s="65">
        <f>E22</f>
        <v>1054.98</v>
      </c>
      <c r="F48" s="65">
        <f t="shared" ref="F48:N48" si="16">F22</f>
        <v>1054.29</v>
      </c>
      <c r="G48" s="65">
        <f t="shared" si="16"/>
        <v>1063.0999999999999</v>
      </c>
      <c r="H48" s="65">
        <f t="shared" si="16"/>
        <v>1071.94</v>
      </c>
      <c r="I48" s="65">
        <f t="shared" si="16"/>
        <v>1079.0900000000001</v>
      </c>
      <c r="J48" s="65">
        <f t="shared" si="16"/>
        <v>1086.9000000000001</v>
      </c>
      <c r="K48" s="65">
        <f t="shared" si="16"/>
        <v>325.33</v>
      </c>
      <c r="L48" s="65">
        <f t="shared" si="16"/>
        <v>331.85</v>
      </c>
      <c r="M48" s="65">
        <f t="shared" si="16"/>
        <v>338.92</v>
      </c>
      <c r="N48" s="65">
        <f t="shared" si="16"/>
        <v>0</v>
      </c>
    </row>
    <row r="54" spans="3:13" x14ac:dyDescent="0.2"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</row>
    <row r="55" spans="3:13" x14ac:dyDescent="0.2"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</row>
    <row r="56" spans="3:13" x14ac:dyDescent="0.2"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</row>
    <row r="58" spans="3:13" x14ac:dyDescent="0.2"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</row>
    <row r="59" spans="3:13" x14ac:dyDescent="0.2"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</row>
    <row r="60" spans="3:13" x14ac:dyDescent="0.2"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</row>
    <row r="61" spans="3:13" x14ac:dyDescent="0.2"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</row>
    <row r="62" spans="3:13" x14ac:dyDescent="0.2"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4" spans="3:13" x14ac:dyDescent="0.2"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</row>
    <row r="65" spans="3:13" x14ac:dyDescent="0.2"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</row>
    <row r="66" spans="3:13" x14ac:dyDescent="0.2"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</row>
    <row r="67" spans="3:13" x14ac:dyDescent="0.2"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</row>
    <row r="68" spans="3:13" x14ac:dyDescent="0.2"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</row>
    <row r="69" spans="3:13" x14ac:dyDescent="0.2"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</row>
    <row r="70" spans="3:13" x14ac:dyDescent="0.2"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</row>
    <row r="71" spans="3:13" x14ac:dyDescent="0.2"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</row>
    <row r="72" spans="3:13" x14ac:dyDescent="0.2"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</row>
    <row r="73" spans="3:13" x14ac:dyDescent="0.2"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</row>
    <row r="74" spans="3:13" x14ac:dyDescent="0.2"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</row>
    <row r="75" spans="3:13" x14ac:dyDescent="0.2"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</row>
    <row r="76" spans="3:13" x14ac:dyDescent="0.2"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</row>
    <row r="77" spans="3:13" x14ac:dyDescent="0.2"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</row>
    <row r="78" spans="3:13" x14ac:dyDescent="0.2"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</row>
    <row r="79" spans="3:13" x14ac:dyDescent="0.2"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</row>
    <row r="80" spans="3:13" x14ac:dyDescent="0.2"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</row>
    <row r="83" spans="3:13" x14ac:dyDescent="0.2"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</row>
    <row r="85" spans="3:13" x14ac:dyDescent="0.2"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</row>
  </sheetData>
  <phoneticPr fontId="6" type="noConversion"/>
  <printOptions gridLines="1"/>
  <pageMargins left="0.5" right="0.5" top="1" bottom="1" header="0.5" footer="0.5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P58"/>
  <sheetViews>
    <sheetView zoomScale="7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"/>
    </sheetView>
  </sheetViews>
  <sheetFormatPr defaultRowHeight="12.75" x14ac:dyDescent="0.2"/>
  <cols>
    <col min="1" max="1" width="6.7109375" style="42" customWidth="1"/>
    <col min="2" max="2" width="40.7109375" style="42" customWidth="1"/>
    <col min="3" max="16" width="8.7109375" style="42" customWidth="1"/>
    <col min="17" max="17" width="18.140625" style="42" customWidth="1"/>
    <col min="18" max="16384" width="9.140625" style="42"/>
  </cols>
  <sheetData>
    <row r="1" spans="1:16" x14ac:dyDescent="0.2">
      <c r="A1" s="64">
        <v>2902</v>
      </c>
      <c r="B1" s="42" t="s">
        <v>49</v>
      </c>
      <c r="C1" s="50">
        <v>39302</v>
      </c>
    </row>
    <row r="3" spans="1:16" x14ac:dyDescent="0.2">
      <c r="B3" s="43" t="s">
        <v>910</v>
      </c>
      <c r="E3" s="49"/>
      <c r="P3" s="44" t="s">
        <v>1039</v>
      </c>
    </row>
    <row r="4" spans="1:16" x14ac:dyDescent="0.2">
      <c r="B4" s="43" t="e">
        <f>+VLOOKUP(DNUMBER3,AFTERCY01,3,FALSE)&amp;" #"&amp;FIXED(DNUMBER3,0,TRUE)</f>
        <v>#N/A</v>
      </c>
      <c r="P4" s="50">
        <v>38972</v>
      </c>
    </row>
    <row r="5" spans="1:16" x14ac:dyDescent="0.2">
      <c r="B5" s="43"/>
    </row>
    <row r="6" spans="1:16" x14ac:dyDescent="0.2">
      <c r="B6" s="42" t="s">
        <v>917</v>
      </c>
      <c r="C6" s="44" t="s">
        <v>48</v>
      </c>
      <c r="D6" s="44" t="s">
        <v>48</v>
      </c>
      <c r="E6" s="44" t="s">
        <v>48</v>
      </c>
      <c r="F6" s="44" t="s">
        <v>48</v>
      </c>
      <c r="G6" s="44" t="s">
        <v>48</v>
      </c>
      <c r="H6" s="44" t="s">
        <v>48</v>
      </c>
      <c r="I6" s="44" t="s">
        <v>48</v>
      </c>
      <c r="J6" s="44" t="s">
        <v>48</v>
      </c>
      <c r="K6" s="44" t="s">
        <v>48</v>
      </c>
      <c r="L6" s="44" t="s">
        <v>48</v>
      </c>
      <c r="M6" s="44" t="s">
        <v>48</v>
      </c>
      <c r="N6" s="44" t="s">
        <v>48</v>
      </c>
      <c r="O6" s="44" t="s">
        <v>48</v>
      </c>
      <c r="P6" s="44" t="s">
        <v>48</v>
      </c>
    </row>
    <row r="7" spans="1:16" x14ac:dyDescent="0.2">
      <c r="B7" s="42" t="s">
        <v>918</v>
      </c>
      <c r="C7" s="42">
        <v>2004</v>
      </c>
      <c r="D7" s="42">
        <f t="shared" ref="D7:M7" si="0">C7+1</f>
        <v>2005</v>
      </c>
      <c r="E7" s="42">
        <f t="shared" si="0"/>
        <v>2006</v>
      </c>
      <c r="F7" s="42">
        <f t="shared" si="0"/>
        <v>2007</v>
      </c>
      <c r="G7" s="42">
        <f t="shared" si="0"/>
        <v>2008</v>
      </c>
      <c r="H7" s="42">
        <f t="shared" si="0"/>
        <v>2009</v>
      </c>
      <c r="I7" s="42">
        <f t="shared" si="0"/>
        <v>2010</v>
      </c>
      <c r="J7" s="42">
        <f t="shared" si="0"/>
        <v>2011</v>
      </c>
      <c r="K7" s="42">
        <f t="shared" si="0"/>
        <v>2012</v>
      </c>
      <c r="L7" s="42">
        <f t="shared" si="0"/>
        <v>2013</v>
      </c>
      <c r="M7" s="42">
        <f t="shared" si="0"/>
        <v>2014</v>
      </c>
      <c r="N7" s="42">
        <f>M7+1</f>
        <v>2015</v>
      </c>
      <c r="O7" s="42">
        <f>N7+1</f>
        <v>2016</v>
      </c>
      <c r="P7" s="42">
        <f>O7+1</f>
        <v>2017</v>
      </c>
    </row>
    <row r="9" spans="1:16" x14ac:dyDescent="0.2">
      <c r="A9" s="42">
        <v>1</v>
      </c>
      <c r="B9" s="42" t="s">
        <v>872</v>
      </c>
      <c r="C9" s="45">
        <f t="shared" ref="C9:M9" si="1">VLOOKUP(DNUMBER3,AFTERCY01,C$58)</f>
        <v>312.91000000000003</v>
      </c>
      <c r="D9" s="45">
        <f t="shared" si="1"/>
        <v>312.91000000000003</v>
      </c>
      <c r="E9" s="45">
        <f t="shared" si="1"/>
        <v>312.91000000000003</v>
      </c>
      <c r="F9" s="45">
        <f t="shared" si="1"/>
        <v>0</v>
      </c>
      <c r="G9" s="45">
        <f t="shared" si="1"/>
        <v>0</v>
      </c>
      <c r="H9" s="45">
        <f t="shared" si="1"/>
        <v>0</v>
      </c>
      <c r="I9" s="45">
        <f t="shared" si="1"/>
        <v>0</v>
      </c>
      <c r="J9" s="45">
        <f t="shared" si="1"/>
        <v>0</v>
      </c>
      <c r="K9" s="45">
        <f t="shared" si="1"/>
        <v>0</v>
      </c>
      <c r="L9" s="45">
        <f t="shared" si="1"/>
        <v>0</v>
      </c>
      <c r="M9" s="45">
        <f t="shared" si="1"/>
        <v>0</v>
      </c>
      <c r="N9" s="45">
        <v>0</v>
      </c>
      <c r="O9" s="45">
        <v>0</v>
      </c>
      <c r="P9" s="45">
        <v>0</v>
      </c>
    </row>
    <row r="10" spans="1:16" x14ac:dyDescent="0.2">
      <c r="A10" s="42">
        <f>A9+1</f>
        <v>2</v>
      </c>
      <c r="B10" s="42" t="s">
        <v>870</v>
      </c>
      <c r="C10" s="45">
        <f t="shared" ref="C10:M10" si="2">VLOOKUP(DNUMBER3,SUBCY02,C$58)</f>
        <v>0</v>
      </c>
      <c r="D10" s="45">
        <f t="shared" si="2"/>
        <v>0</v>
      </c>
      <c r="E10" s="45">
        <f t="shared" si="2"/>
        <v>0</v>
      </c>
      <c r="F10" s="45">
        <f t="shared" si="2"/>
        <v>0</v>
      </c>
      <c r="G10" s="45">
        <f t="shared" si="2"/>
        <v>0</v>
      </c>
      <c r="H10" s="45">
        <f t="shared" si="2"/>
        <v>0</v>
      </c>
      <c r="I10" s="45">
        <f t="shared" si="2"/>
        <v>0</v>
      </c>
      <c r="J10" s="45">
        <f t="shared" si="2"/>
        <v>0</v>
      </c>
      <c r="K10" s="45">
        <f t="shared" si="2"/>
        <v>0</v>
      </c>
      <c r="L10" s="45">
        <f t="shared" si="2"/>
        <v>0</v>
      </c>
      <c r="M10" s="45">
        <f t="shared" si="2"/>
        <v>0</v>
      </c>
      <c r="N10" s="45">
        <v>0</v>
      </c>
      <c r="O10" s="45">
        <v>0</v>
      </c>
      <c r="P10" s="45">
        <v>0</v>
      </c>
    </row>
    <row r="11" spans="1:16" x14ac:dyDescent="0.2">
      <c r="A11" s="42">
        <f>A10+1</f>
        <v>3</v>
      </c>
      <c r="B11" s="42" t="s">
        <v>871</v>
      </c>
      <c r="C11" s="45">
        <f t="shared" ref="C11:M11" si="3">VLOOKUP(DNUMBER3,ADDCY02,C$58)</f>
        <v>0</v>
      </c>
      <c r="D11" s="45">
        <f t="shared" si="3"/>
        <v>0</v>
      </c>
      <c r="E11" s="45">
        <f t="shared" si="3"/>
        <v>0</v>
      </c>
      <c r="F11" s="45">
        <f t="shared" si="3"/>
        <v>0</v>
      </c>
      <c r="G11" s="45">
        <f t="shared" si="3"/>
        <v>0</v>
      </c>
      <c r="H11" s="45">
        <f t="shared" si="3"/>
        <v>0</v>
      </c>
      <c r="I11" s="45">
        <f t="shared" si="3"/>
        <v>0</v>
      </c>
      <c r="J11" s="45">
        <f t="shared" si="3"/>
        <v>0</v>
      </c>
      <c r="K11" s="45">
        <f t="shared" si="3"/>
        <v>0</v>
      </c>
      <c r="L11" s="45">
        <f t="shared" si="3"/>
        <v>0</v>
      </c>
      <c r="M11" s="45">
        <f t="shared" si="3"/>
        <v>0</v>
      </c>
      <c r="N11" s="45">
        <v>0</v>
      </c>
      <c r="O11" s="45">
        <v>0</v>
      </c>
      <c r="P11" s="45">
        <v>0</v>
      </c>
    </row>
    <row r="12" spans="1:16" x14ac:dyDescent="0.2">
      <c r="A12" s="42">
        <f>A11+1</f>
        <v>4</v>
      </c>
      <c r="B12" s="42" t="s">
        <v>863</v>
      </c>
    </row>
    <row r="13" spans="1:16" x14ac:dyDescent="0.2">
      <c r="B13" s="42" t="str">
        <f>+"= ("&amp;FIXED(A9,0)&amp;")-("&amp;FIXED(A10,0)&amp;")+("&amp;FIXED(A11,0)&amp;") ="</f>
        <v>= (1)-(2)+(3) =</v>
      </c>
      <c r="C13" s="45">
        <f t="shared" ref="C13:O13" si="4">C9-C10+C11</f>
        <v>312.91000000000003</v>
      </c>
      <c r="D13" s="45">
        <f t="shared" si="4"/>
        <v>312.91000000000003</v>
      </c>
      <c r="E13" s="45">
        <f t="shared" si="4"/>
        <v>312.91000000000003</v>
      </c>
      <c r="F13" s="45">
        <f t="shared" si="4"/>
        <v>0</v>
      </c>
      <c r="G13" s="45">
        <f t="shared" si="4"/>
        <v>0</v>
      </c>
      <c r="H13" s="45">
        <f t="shared" si="4"/>
        <v>0</v>
      </c>
      <c r="I13" s="45">
        <f t="shared" si="4"/>
        <v>0</v>
      </c>
      <c r="J13" s="45">
        <f t="shared" si="4"/>
        <v>0</v>
      </c>
      <c r="K13" s="45">
        <f t="shared" si="4"/>
        <v>0</v>
      </c>
      <c r="L13" s="45">
        <f t="shared" si="4"/>
        <v>0</v>
      </c>
      <c r="M13" s="45">
        <f t="shared" si="4"/>
        <v>0</v>
      </c>
      <c r="N13" s="45">
        <f t="shared" si="4"/>
        <v>0</v>
      </c>
      <c r="O13" s="45">
        <f t="shared" si="4"/>
        <v>0</v>
      </c>
      <c r="P13" s="45">
        <f>P9-P10+P11</f>
        <v>0</v>
      </c>
    </row>
    <row r="14" spans="1:16" x14ac:dyDescent="0.2"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</row>
    <row r="15" spans="1:16" x14ac:dyDescent="0.2">
      <c r="A15" s="42">
        <f>A12+1</f>
        <v>5</v>
      </c>
      <c r="B15" s="42" t="s">
        <v>865</v>
      </c>
      <c r="C15" s="45">
        <f>VLOOKUP(DNUMBER3,Inputall,32)</f>
        <v>642.22</v>
      </c>
      <c r="D15" s="45">
        <f>C15</f>
        <v>642.22</v>
      </c>
      <c r="E15" s="45">
        <f t="shared" ref="E15:P15" si="5">D15</f>
        <v>642.22</v>
      </c>
      <c r="F15" s="45">
        <f t="shared" si="5"/>
        <v>642.22</v>
      </c>
      <c r="G15" s="45">
        <f t="shared" si="5"/>
        <v>642.22</v>
      </c>
      <c r="H15" s="45">
        <f t="shared" si="5"/>
        <v>642.22</v>
      </c>
      <c r="I15" s="45">
        <f t="shared" si="5"/>
        <v>642.22</v>
      </c>
      <c r="J15" s="45">
        <f t="shared" si="5"/>
        <v>642.22</v>
      </c>
      <c r="K15" s="45">
        <f t="shared" si="5"/>
        <v>642.22</v>
      </c>
      <c r="L15" s="45">
        <f t="shared" si="5"/>
        <v>642.22</v>
      </c>
      <c r="M15" s="45">
        <f t="shared" si="5"/>
        <v>642.22</v>
      </c>
      <c r="N15" s="45">
        <f t="shared" si="5"/>
        <v>642.22</v>
      </c>
      <c r="O15" s="45">
        <f t="shared" si="5"/>
        <v>642.22</v>
      </c>
      <c r="P15" s="45">
        <f t="shared" si="5"/>
        <v>642.22</v>
      </c>
    </row>
    <row r="16" spans="1:16" x14ac:dyDescent="0.2">
      <c r="A16" s="42">
        <f>A15+1</f>
        <v>6</v>
      </c>
      <c r="B16" s="42" t="s">
        <v>866</v>
      </c>
      <c r="C16" s="45">
        <f>VLOOKUP(DNUMBER3,Inputall,33)</f>
        <v>639.07000000000005</v>
      </c>
      <c r="D16" s="45">
        <f>C16</f>
        <v>639.07000000000005</v>
      </c>
      <c r="E16" s="45">
        <f t="shared" ref="E16:P16" si="6">D16</f>
        <v>639.07000000000005</v>
      </c>
      <c r="F16" s="45">
        <f t="shared" si="6"/>
        <v>639.07000000000005</v>
      </c>
      <c r="G16" s="45">
        <f t="shared" si="6"/>
        <v>639.07000000000005</v>
      </c>
      <c r="H16" s="45">
        <f t="shared" si="6"/>
        <v>639.07000000000005</v>
      </c>
      <c r="I16" s="45">
        <f t="shared" si="6"/>
        <v>639.07000000000005</v>
      </c>
      <c r="J16" s="45">
        <f t="shared" si="6"/>
        <v>639.07000000000005</v>
      </c>
      <c r="K16" s="45">
        <f t="shared" si="6"/>
        <v>639.07000000000005</v>
      </c>
      <c r="L16" s="45">
        <f t="shared" si="6"/>
        <v>639.07000000000005</v>
      </c>
      <c r="M16" s="45">
        <f t="shared" si="6"/>
        <v>639.07000000000005</v>
      </c>
      <c r="N16" s="45">
        <f t="shared" si="6"/>
        <v>639.07000000000005</v>
      </c>
      <c r="O16" s="45">
        <f t="shared" si="6"/>
        <v>639.07000000000005</v>
      </c>
      <c r="P16" s="45">
        <f t="shared" si="6"/>
        <v>639.07000000000005</v>
      </c>
    </row>
    <row r="17" spans="1:16" x14ac:dyDescent="0.2">
      <c r="A17" s="42">
        <f>A16+1</f>
        <v>7</v>
      </c>
      <c r="B17" s="42" t="str">
        <f>+"ADJUSTMENT FACTOR  = ("&amp;FIXED(A15,0)&amp;")/("&amp;FIXED(A16,0)&amp;") ="</f>
        <v>ADJUSTMENT FACTOR  = (5)/(6) =</v>
      </c>
      <c r="C17" s="46">
        <f t="shared" ref="C17:P17" si="7">IF(C16=0,0,C15/C16)</f>
        <v>1.0049290375076283</v>
      </c>
      <c r="D17" s="46">
        <f t="shared" si="7"/>
        <v>1.0049290375076283</v>
      </c>
      <c r="E17" s="46">
        <f t="shared" si="7"/>
        <v>1.0049290375076283</v>
      </c>
      <c r="F17" s="46">
        <f t="shared" si="7"/>
        <v>1.0049290375076283</v>
      </c>
      <c r="G17" s="46">
        <f t="shared" si="7"/>
        <v>1.0049290375076283</v>
      </c>
      <c r="H17" s="46">
        <f t="shared" si="7"/>
        <v>1.0049290375076283</v>
      </c>
      <c r="I17" s="46">
        <f t="shared" si="7"/>
        <v>1.0049290375076283</v>
      </c>
      <c r="J17" s="46">
        <f t="shared" si="7"/>
        <v>1.0049290375076283</v>
      </c>
      <c r="K17" s="46">
        <f t="shared" si="7"/>
        <v>1.0049290375076283</v>
      </c>
      <c r="L17" s="46">
        <f t="shared" si="7"/>
        <v>1.0049290375076283</v>
      </c>
      <c r="M17" s="46">
        <f t="shared" si="7"/>
        <v>1.0049290375076283</v>
      </c>
      <c r="N17" s="46">
        <f t="shared" si="7"/>
        <v>1.0049290375076283</v>
      </c>
      <c r="O17" s="46">
        <f t="shared" si="7"/>
        <v>1.0049290375076283</v>
      </c>
      <c r="P17" s="46">
        <f t="shared" si="7"/>
        <v>1.0049290375076283</v>
      </c>
    </row>
    <row r="19" spans="1:16" x14ac:dyDescent="0.2">
      <c r="A19" s="42">
        <f>A17+1</f>
        <v>8</v>
      </c>
      <c r="B19" s="42" t="s">
        <v>864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</row>
    <row r="20" spans="1:16" x14ac:dyDescent="0.2">
      <c r="B20" s="42" t="str">
        <f>+"= ("&amp;FIXED(A12,0)&amp;") X ("&amp;FIXED(A17,0)&amp;") ="</f>
        <v>= (4) X (7) =</v>
      </c>
      <c r="C20" s="45">
        <f t="shared" ref="C20:P20" si="8">ROUND(C13*C17,2)</f>
        <v>314.45</v>
      </c>
      <c r="D20" s="45">
        <f t="shared" si="8"/>
        <v>314.45</v>
      </c>
      <c r="E20" s="45">
        <f t="shared" si="8"/>
        <v>314.45</v>
      </c>
      <c r="F20" s="45">
        <f t="shared" si="8"/>
        <v>0</v>
      </c>
      <c r="G20" s="45">
        <f t="shared" si="8"/>
        <v>0</v>
      </c>
      <c r="H20" s="45">
        <f t="shared" si="8"/>
        <v>0</v>
      </c>
      <c r="I20" s="45">
        <f t="shared" si="8"/>
        <v>0</v>
      </c>
      <c r="J20" s="45">
        <f t="shared" si="8"/>
        <v>0</v>
      </c>
      <c r="K20" s="45">
        <f t="shared" si="8"/>
        <v>0</v>
      </c>
      <c r="L20" s="45">
        <f t="shared" si="8"/>
        <v>0</v>
      </c>
      <c r="M20" s="45">
        <f t="shared" si="8"/>
        <v>0</v>
      </c>
      <c r="N20" s="45">
        <f t="shared" si="8"/>
        <v>0</v>
      </c>
      <c r="O20" s="45">
        <f t="shared" si="8"/>
        <v>0</v>
      </c>
      <c r="P20" s="45">
        <f t="shared" si="8"/>
        <v>0</v>
      </c>
    </row>
    <row r="21" spans="1:16" x14ac:dyDescent="0.2"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16" x14ac:dyDescent="0.2">
      <c r="A22" s="42">
        <f>A19+1</f>
        <v>9</v>
      </c>
      <c r="B22" s="42" t="s">
        <v>888</v>
      </c>
      <c r="C22" s="47" t="s">
        <v>410</v>
      </c>
      <c r="D22" s="45">
        <f t="shared" ref="D22:N22" si="9">VLOOKUP(DNUMBER3,ADDCY03,D$58)</f>
        <v>0</v>
      </c>
      <c r="E22" s="45">
        <f t="shared" si="9"/>
        <v>0</v>
      </c>
      <c r="F22" s="45">
        <f t="shared" si="9"/>
        <v>0</v>
      </c>
      <c r="G22" s="45">
        <f t="shared" si="9"/>
        <v>0</v>
      </c>
      <c r="H22" s="45">
        <f t="shared" si="9"/>
        <v>0</v>
      </c>
      <c r="I22" s="45">
        <f t="shared" si="9"/>
        <v>0</v>
      </c>
      <c r="J22" s="45">
        <f t="shared" si="9"/>
        <v>0</v>
      </c>
      <c r="K22" s="45">
        <f t="shared" si="9"/>
        <v>0</v>
      </c>
      <c r="L22" s="45">
        <f t="shared" si="9"/>
        <v>0</v>
      </c>
      <c r="M22" s="45">
        <f t="shared" si="9"/>
        <v>0</v>
      </c>
      <c r="N22" s="45">
        <f t="shared" si="9"/>
        <v>0</v>
      </c>
      <c r="O22" s="45">
        <v>0</v>
      </c>
      <c r="P22" s="45">
        <v>0</v>
      </c>
    </row>
    <row r="23" spans="1:16" x14ac:dyDescent="0.2">
      <c r="A23" s="42">
        <f>A22+1</f>
        <v>10</v>
      </c>
      <c r="B23" s="42" t="s">
        <v>889</v>
      </c>
      <c r="C23" s="47" t="s">
        <v>410</v>
      </c>
      <c r="D23" s="47" t="s">
        <v>410</v>
      </c>
      <c r="E23" s="45">
        <f t="shared" ref="E23:O23" si="10">VLOOKUP(DNUMBER3,ADDCY04,E$58)</f>
        <v>0</v>
      </c>
      <c r="F23" s="45">
        <f t="shared" si="10"/>
        <v>500</v>
      </c>
      <c r="G23" s="45">
        <f t="shared" si="10"/>
        <v>500</v>
      </c>
      <c r="H23" s="45">
        <f t="shared" si="10"/>
        <v>500</v>
      </c>
      <c r="I23" s="45">
        <f t="shared" si="10"/>
        <v>500</v>
      </c>
      <c r="J23" s="45">
        <f t="shared" si="10"/>
        <v>500</v>
      </c>
      <c r="K23" s="45">
        <f t="shared" si="10"/>
        <v>500</v>
      </c>
      <c r="L23" s="45">
        <f t="shared" si="10"/>
        <v>500</v>
      </c>
      <c r="M23" s="45">
        <f t="shared" si="10"/>
        <v>500</v>
      </c>
      <c r="N23" s="45">
        <f t="shared" si="10"/>
        <v>500</v>
      </c>
      <c r="O23" s="45">
        <f t="shared" si="10"/>
        <v>500</v>
      </c>
      <c r="P23" s="45">
        <v>0</v>
      </c>
    </row>
    <row r="24" spans="1:16" x14ac:dyDescent="0.2">
      <c r="A24" s="42">
        <f>A23+1</f>
        <v>11</v>
      </c>
      <c r="B24" s="42" t="s">
        <v>890</v>
      </c>
      <c r="C24" s="47" t="s">
        <v>410</v>
      </c>
      <c r="D24" s="47" t="s">
        <v>410</v>
      </c>
      <c r="E24" s="45">
        <f t="shared" ref="E24:P24" si="11">VLOOKUP(DNUMBER3,ADDCY05,E$58)</f>
        <v>0</v>
      </c>
      <c r="F24" s="45">
        <f t="shared" si="11"/>
        <v>0</v>
      </c>
      <c r="G24" s="45">
        <f t="shared" si="11"/>
        <v>0</v>
      </c>
      <c r="H24" s="45">
        <f t="shared" si="11"/>
        <v>0</v>
      </c>
      <c r="I24" s="45">
        <f t="shared" si="11"/>
        <v>0</v>
      </c>
      <c r="J24" s="45">
        <f t="shared" si="11"/>
        <v>0</v>
      </c>
      <c r="K24" s="45">
        <f t="shared" si="11"/>
        <v>0</v>
      </c>
      <c r="L24" s="45">
        <f t="shared" si="11"/>
        <v>0</v>
      </c>
      <c r="M24" s="45">
        <f t="shared" si="11"/>
        <v>0</v>
      </c>
      <c r="N24" s="45">
        <f t="shared" si="11"/>
        <v>0</v>
      </c>
      <c r="O24" s="45">
        <f t="shared" si="11"/>
        <v>0</v>
      </c>
      <c r="P24" s="45">
        <f t="shared" si="11"/>
        <v>0</v>
      </c>
    </row>
    <row r="25" spans="1:16" x14ac:dyDescent="0.2"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</row>
    <row r="26" spans="1:16" x14ac:dyDescent="0.2">
      <c r="A26" s="42">
        <f>A24+1</f>
        <v>12</v>
      </c>
      <c r="B26" s="42" t="s">
        <v>887</v>
      </c>
      <c r="C26" s="47" t="s">
        <v>410</v>
      </c>
      <c r="D26" s="45">
        <f t="shared" ref="D26:P26" si="12">D20*D55</f>
        <v>0</v>
      </c>
      <c r="E26" s="45">
        <f t="shared" si="12"/>
        <v>0</v>
      </c>
      <c r="F26" s="45">
        <f t="shared" si="12"/>
        <v>0</v>
      </c>
      <c r="G26" s="45">
        <f t="shared" si="12"/>
        <v>0</v>
      </c>
      <c r="H26" s="45">
        <f t="shared" si="12"/>
        <v>0</v>
      </c>
      <c r="I26" s="45">
        <f t="shared" si="12"/>
        <v>0</v>
      </c>
      <c r="J26" s="45">
        <f t="shared" si="12"/>
        <v>0</v>
      </c>
      <c r="K26" s="45">
        <f t="shared" si="12"/>
        <v>0</v>
      </c>
      <c r="L26" s="45">
        <f t="shared" si="12"/>
        <v>0</v>
      </c>
      <c r="M26" s="45">
        <f t="shared" si="12"/>
        <v>0</v>
      </c>
      <c r="N26" s="45">
        <f t="shared" si="12"/>
        <v>0</v>
      </c>
      <c r="O26" s="45">
        <f t="shared" si="12"/>
        <v>0</v>
      </c>
      <c r="P26" s="45">
        <f t="shared" si="12"/>
        <v>0</v>
      </c>
    </row>
    <row r="27" spans="1:16" x14ac:dyDescent="0.2">
      <c r="A27" s="42">
        <f>A26+1</f>
        <v>13</v>
      </c>
      <c r="B27" s="42" t="s">
        <v>891</v>
      </c>
      <c r="C27" s="47" t="s">
        <v>410</v>
      </c>
      <c r="D27" s="47" t="s">
        <v>410</v>
      </c>
      <c r="E27" s="45">
        <f>IF(DNUMBER3=852,396,E20*E56)</f>
        <v>0</v>
      </c>
      <c r="F27" s="45">
        <f t="shared" ref="F27:P27" si="13">IF(DNUMBER3=852,0,F20*F56)</f>
        <v>0</v>
      </c>
      <c r="G27" s="45">
        <f t="shared" si="13"/>
        <v>0</v>
      </c>
      <c r="H27" s="45">
        <f t="shared" si="13"/>
        <v>0</v>
      </c>
      <c r="I27" s="45">
        <f t="shared" si="13"/>
        <v>0</v>
      </c>
      <c r="J27" s="45">
        <f t="shared" si="13"/>
        <v>0</v>
      </c>
      <c r="K27" s="45">
        <f t="shared" si="13"/>
        <v>0</v>
      </c>
      <c r="L27" s="45">
        <f t="shared" si="13"/>
        <v>0</v>
      </c>
      <c r="M27" s="45">
        <f t="shared" si="13"/>
        <v>0</v>
      </c>
      <c r="N27" s="45">
        <f t="shared" si="13"/>
        <v>0</v>
      </c>
      <c r="O27" s="45">
        <f t="shared" si="13"/>
        <v>0</v>
      </c>
      <c r="P27" s="45">
        <f t="shared" si="13"/>
        <v>0</v>
      </c>
    </row>
    <row r="28" spans="1:16" x14ac:dyDescent="0.2">
      <c r="A28" s="42">
        <f>A27+1</f>
        <v>14</v>
      </c>
      <c r="B28" s="42" t="s">
        <v>892</v>
      </c>
      <c r="C28" s="47" t="s">
        <v>410</v>
      </c>
      <c r="D28" s="47" t="s">
        <v>410</v>
      </c>
      <c r="E28" s="45">
        <f>IF(DNUMBER3=815,0,VLOOKUP(DNUMBER3,SUBCY05,E$58))</f>
        <v>0</v>
      </c>
      <c r="F28" s="45">
        <f>IF(DNUMBER3=815,0,VLOOKUP(DNUMBER3,SUBCY05,F$58))</f>
        <v>0</v>
      </c>
      <c r="G28" s="45">
        <f>IF(DNUMBER3=815,0,VLOOKUP(DNUMBER3,SUBCY05,G$58))</f>
        <v>0</v>
      </c>
      <c r="H28" s="45">
        <f>IF(DNUMBER3=815,0,VLOOKUP(DNUMBER3,SUBCY05,H$58))</f>
        <v>0</v>
      </c>
      <c r="I28" s="45">
        <f t="shared" ref="I28:P28" si="14">VLOOKUP(DNUMBER3,SUBCY05,I$58)</f>
        <v>0</v>
      </c>
      <c r="J28" s="45">
        <f t="shared" si="14"/>
        <v>0</v>
      </c>
      <c r="K28" s="45">
        <f t="shared" si="14"/>
        <v>0</v>
      </c>
      <c r="L28" s="45">
        <f t="shared" si="14"/>
        <v>0</v>
      </c>
      <c r="M28" s="45">
        <f t="shared" si="14"/>
        <v>0</v>
      </c>
      <c r="N28" s="45">
        <f t="shared" si="14"/>
        <v>0</v>
      </c>
      <c r="O28" s="45">
        <f t="shared" si="14"/>
        <v>0</v>
      </c>
      <c r="P28" s="45">
        <f t="shared" si="14"/>
        <v>0</v>
      </c>
    </row>
    <row r="29" spans="1:16" x14ac:dyDescent="0.2">
      <c r="A29" s="42">
        <f>A28+1</f>
        <v>15</v>
      </c>
      <c r="B29" s="42" t="s">
        <v>893</v>
      </c>
      <c r="C29" s="47" t="s">
        <v>410</v>
      </c>
      <c r="D29" s="47" t="s">
        <v>410</v>
      </c>
      <c r="E29" s="47" t="str">
        <f>IF(DNUMBER3=815,4100,"N/A")</f>
        <v>N/A</v>
      </c>
      <c r="F29" s="45">
        <f>IF(DNUMBER3=815,4100,0)</f>
        <v>0</v>
      </c>
      <c r="G29" s="45">
        <f>IF(DNUMBER3=815,4100,0)</f>
        <v>0</v>
      </c>
      <c r="H29" s="45">
        <f>IF(DNUMBER3=815,1100,0)</f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</row>
    <row r="30" spans="1:16" ht="13.5" thickBot="1" x14ac:dyDescent="0.25">
      <c r="C30" s="47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</row>
    <row r="31" spans="1:16" x14ac:dyDescent="0.2">
      <c r="A31" s="52"/>
      <c r="B31" s="53"/>
      <c r="C31" s="54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6"/>
    </row>
    <row r="32" spans="1:16" x14ac:dyDescent="0.2">
      <c r="A32" s="57">
        <f>A29+1</f>
        <v>16</v>
      </c>
      <c r="B32" s="51" t="s">
        <v>885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58"/>
    </row>
    <row r="33" spans="1:16" x14ac:dyDescent="0.2">
      <c r="A33" s="57"/>
      <c r="B33" s="42" t="str">
        <f>+"+ [TOTAL OF ("&amp;FIXED(A19,0)&amp;") TO ("&amp;FIXED(A24,0)&amp;")]"</f>
        <v>+ [TOTAL OF (8) TO (11)]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58"/>
    </row>
    <row r="34" spans="1:16" x14ac:dyDescent="0.2">
      <c r="A34" s="57"/>
      <c r="B34" s="42" t="str">
        <f>+"- [TOTAL OF ("&amp;FIXED(A26,0)&amp;") TO ("&amp;FIXED(A29,0)&amp;")] ="</f>
        <v>- [TOTAL OF (12) TO (15)] =</v>
      </c>
      <c r="C34" s="45">
        <f>C20</f>
        <v>314.45</v>
      </c>
      <c r="D34" s="45">
        <f>D20+SUM(D22:D24)-SUM(D26:D29)</f>
        <v>314.45</v>
      </c>
      <c r="E34" s="45">
        <f t="shared" ref="E34:P34" si="15">E20+SUM(E22:E24)-SUM(E26:E29)</f>
        <v>314.45</v>
      </c>
      <c r="F34" s="45">
        <f t="shared" si="15"/>
        <v>500</v>
      </c>
      <c r="G34" s="45">
        <f t="shared" si="15"/>
        <v>500</v>
      </c>
      <c r="H34" s="45">
        <f t="shared" si="15"/>
        <v>500</v>
      </c>
      <c r="I34" s="45">
        <f t="shared" si="15"/>
        <v>500</v>
      </c>
      <c r="J34" s="45">
        <f t="shared" si="15"/>
        <v>500</v>
      </c>
      <c r="K34" s="45">
        <f t="shared" si="15"/>
        <v>500</v>
      </c>
      <c r="L34" s="45">
        <f t="shared" si="15"/>
        <v>500</v>
      </c>
      <c r="M34" s="45">
        <f t="shared" si="15"/>
        <v>500</v>
      </c>
      <c r="N34" s="45">
        <f t="shared" si="15"/>
        <v>500</v>
      </c>
      <c r="O34" s="45">
        <f t="shared" si="15"/>
        <v>500</v>
      </c>
      <c r="P34" s="58">
        <f t="shared" si="15"/>
        <v>0</v>
      </c>
    </row>
    <row r="35" spans="1:16" ht="13.5" thickBot="1" x14ac:dyDescent="0.25">
      <c r="A35" s="59"/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2"/>
    </row>
    <row r="37" spans="1:16" x14ac:dyDescent="0.2">
      <c r="A37" s="42">
        <f>A32+1</f>
        <v>17</v>
      </c>
      <c r="B37" s="42" t="s">
        <v>886</v>
      </c>
    </row>
    <row r="38" spans="1:16" x14ac:dyDescent="0.2">
      <c r="B38" s="42" t="str">
        <f>+"= ("&amp;FIXED(A23,0)&amp;")+("&amp;FIXED(A24,0)&amp;")-("&amp;FIXED(A29,0)&amp;") ="</f>
        <v>= (10)+(11)-(15) =</v>
      </c>
      <c r="C38" s="45">
        <v>0</v>
      </c>
      <c r="D38" s="45">
        <v>0</v>
      </c>
      <c r="E38" s="45">
        <f>IF(DNUMBER3=815,0,E23)</f>
        <v>0</v>
      </c>
      <c r="F38" s="45">
        <f>F23+F24-F29</f>
        <v>500</v>
      </c>
      <c r="G38" s="45">
        <f t="shared" ref="G38:P38" si="16">G23+G24-G29</f>
        <v>500</v>
      </c>
      <c r="H38" s="45">
        <f t="shared" si="16"/>
        <v>500</v>
      </c>
      <c r="I38" s="45">
        <f t="shared" si="16"/>
        <v>500</v>
      </c>
      <c r="J38" s="45">
        <f t="shared" si="16"/>
        <v>500</v>
      </c>
      <c r="K38" s="45">
        <f t="shared" si="16"/>
        <v>500</v>
      </c>
      <c r="L38" s="45">
        <f t="shared" si="16"/>
        <v>500</v>
      </c>
      <c r="M38" s="45">
        <f t="shared" si="16"/>
        <v>500</v>
      </c>
      <c r="N38" s="45">
        <f t="shared" si="16"/>
        <v>500</v>
      </c>
      <c r="O38" s="45">
        <f t="shared" si="16"/>
        <v>500</v>
      </c>
      <c r="P38" s="45">
        <f t="shared" si="16"/>
        <v>0</v>
      </c>
    </row>
    <row r="40" spans="1:16" x14ac:dyDescent="0.2">
      <c r="A40" s="42">
        <f>A37+1</f>
        <v>18</v>
      </c>
      <c r="B40" s="42" t="str">
        <f>+"TOTAL, JOBZ NONEXEMPT = ("&amp;FIXED(A32,0)&amp;")-("&amp;FIXED(A37,0)&amp;") ="</f>
        <v>TOTAL, JOBZ NONEXEMPT = (16)-(17) =</v>
      </c>
      <c r="C40" s="45">
        <f>C34-C38</f>
        <v>314.45</v>
      </c>
      <c r="D40" s="45">
        <f t="shared" ref="D40:P40" si="17">D34-D38</f>
        <v>314.45</v>
      </c>
      <c r="E40" s="45">
        <f t="shared" si="17"/>
        <v>314.45</v>
      </c>
      <c r="F40" s="45">
        <f t="shared" si="17"/>
        <v>0</v>
      </c>
      <c r="G40" s="45">
        <f t="shared" si="17"/>
        <v>0</v>
      </c>
      <c r="H40" s="45">
        <f t="shared" si="17"/>
        <v>0</v>
      </c>
      <c r="I40" s="45">
        <f t="shared" si="17"/>
        <v>0</v>
      </c>
      <c r="J40" s="45">
        <f t="shared" si="17"/>
        <v>0</v>
      </c>
      <c r="K40" s="45">
        <f t="shared" si="17"/>
        <v>0</v>
      </c>
      <c r="L40" s="45">
        <f t="shared" si="17"/>
        <v>0</v>
      </c>
      <c r="M40" s="45">
        <f t="shared" si="17"/>
        <v>0</v>
      </c>
      <c r="N40" s="45">
        <f t="shared" si="17"/>
        <v>0</v>
      </c>
      <c r="O40" s="45">
        <f t="shared" si="17"/>
        <v>0</v>
      </c>
      <c r="P40" s="45">
        <f t="shared" si="17"/>
        <v>0</v>
      </c>
    </row>
    <row r="42" spans="1:16" x14ac:dyDescent="0.2">
      <c r="B42" s="42" t="s">
        <v>510</v>
      </c>
    </row>
    <row r="44" spans="1:16" x14ac:dyDescent="0.2">
      <c r="B44" s="42" t="str">
        <f>+"THE ADJUSTMENT FACTOR SHOWN IN LINE ("&amp;FIXED(A17,0)&amp;") PROTECTS DISTRICTS FROM LOSING REFERENDUM REVENUE"</f>
        <v>THE ADJUSTMENT FACTOR SHOWN IN LINE (7) PROTECTS DISTRICTS FROM LOSING REFERENDUM REVENUE</v>
      </c>
    </row>
    <row r="45" spans="1:16" x14ac:dyDescent="0.2">
      <c r="B45" s="42" t="s">
        <v>873</v>
      </c>
    </row>
    <row r="47" spans="1:16" x14ac:dyDescent="0.2">
      <c r="B47" s="42" t="s">
        <v>894</v>
      </c>
    </row>
    <row r="48" spans="1:16" x14ac:dyDescent="0.2">
      <c r="B48" s="51" t="s">
        <v>895</v>
      </c>
    </row>
    <row r="49" spans="2:16" x14ac:dyDescent="0.2">
      <c r="B49" s="63" t="s">
        <v>896</v>
      </c>
    </row>
    <row r="50" spans="2:16" x14ac:dyDescent="0.2">
      <c r="B50" s="42" t="str">
        <f>+"FOR A POSITIVE NUMBER TO APPEAR IN LINE ("&amp;FIXED(A29,0)&amp;"), A DISTRICT WOULD NEED TO CREATE A NEW AUTHORITY IN 2004 THEN CANCEL IT IN 2005."</f>
        <v>FOR A POSITIVE NUMBER TO APPEAR IN LINE (15), A DISTRICT WOULD NEED TO CREATE A NEW AUTHORITY IN 2004 THEN CANCEL IT IN 2005.</v>
      </c>
    </row>
    <row r="55" spans="2:16" x14ac:dyDescent="0.2">
      <c r="C55" s="47" t="s">
        <v>410</v>
      </c>
      <c r="D55" s="48">
        <f t="shared" ref="D55:O55" si="18">VLOOKUP(DNUMBER3,SUBCY03,D$58)</f>
        <v>0</v>
      </c>
      <c r="E55" s="48">
        <f t="shared" si="18"/>
        <v>0</v>
      </c>
      <c r="F55" s="48">
        <f t="shared" si="18"/>
        <v>0</v>
      </c>
      <c r="G55" s="48">
        <f t="shared" si="18"/>
        <v>0</v>
      </c>
      <c r="H55" s="48">
        <f t="shared" si="18"/>
        <v>0</v>
      </c>
      <c r="I55" s="48">
        <f t="shared" si="18"/>
        <v>0</v>
      </c>
      <c r="J55" s="48">
        <f t="shared" si="18"/>
        <v>0</v>
      </c>
      <c r="K55" s="48">
        <f t="shared" si="18"/>
        <v>0</v>
      </c>
      <c r="L55" s="48">
        <f t="shared" si="18"/>
        <v>0</v>
      </c>
      <c r="M55" s="48">
        <f t="shared" si="18"/>
        <v>0</v>
      </c>
      <c r="N55" s="48">
        <f t="shared" si="18"/>
        <v>0</v>
      </c>
      <c r="O55" s="48">
        <f t="shared" si="18"/>
        <v>0</v>
      </c>
      <c r="P55" s="48"/>
    </row>
    <row r="56" spans="2:16" x14ac:dyDescent="0.2">
      <c r="C56" s="47" t="s">
        <v>410</v>
      </c>
      <c r="D56" s="47" t="s">
        <v>410</v>
      </c>
      <c r="E56" s="48">
        <f t="shared" ref="E56:O56" si="19">VLOOKUP(DNUMBER3,SUBCY04,E$58)</f>
        <v>0</v>
      </c>
      <c r="F56" s="48">
        <f t="shared" si="19"/>
        <v>0</v>
      </c>
      <c r="G56" s="48">
        <f t="shared" si="19"/>
        <v>0</v>
      </c>
      <c r="H56" s="48">
        <f t="shared" si="19"/>
        <v>0</v>
      </c>
      <c r="I56" s="48">
        <f t="shared" si="19"/>
        <v>0</v>
      </c>
      <c r="J56" s="48">
        <f t="shared" si="19"/>
        <v>0</v>
      </c>
      <c r="K56" s="48">
        <f t="shared" si="19"/>
        <v>0</v>
      </c>
      <c r="L56" s="48">
        <f t="shared" si="19"/>
        <v>0</v>
      </c>
      <c r="M56" s="48">
        <f t="shared" si="19"/>
        <v>0</v>
      </c>
      <c r="N56" s="48">
        <f t="shared" si="19"/>
        <v>0</v>
      </c>
      <c r="O56" s="48">
        <f t="shared" si="19"/>
        <v>0</v>
      </c>
      <c r="P56" s="48"/>
    </row>
    <row r="58" spans="2:16" x14ac:dyDescent="0.2">
      <c r="C58" s="42">
        <v>7</v>
      </c>
      <c r="D58" s="42">
        <f>+C58+1</f>
        <v>8</v>
      </c>
      <c r="E58" s="42">
        <f t="shared" ref="E58:P58" si="20">+D58+1</f>
        <v>9</v>
      </c>
      <c r="F58" s="42">
        <f t="shared" si="20"/>
        <v>10</v>
      </c>
      <c r="G58" s="42">
        <f t="shared" si="20"/>
        <v>11</v>
      </c>
      <c r="H58" s="42">
        <f t="shared" si="20"/>
        <v>12</v>
      </c>
      <c r="I58" s="42">
        <f t="shared" si="20"/>
        <v>13</v>
      </c>
      <c r="J58" s="42">
        <f t="shared" si="20"/>
        <v>14</v>
      </c>
      <c r="K58" s="42">
        <f t="shared" si="20"/>
        <v>15</v>
      </c>
      <c r="L58" s="42">
        <f t="shared" si="20"/>
        <v>16</v>
      </c>
      <c r="M58" s="42">
        <f t="shared" si="20"/>
        <v>17</v>
      </c>
      <c r="N58" s="42">
        <f t="shared" si="20"/>
        <v>18</v>
      </c>
      <c r="O58" s="42">
        <f t="shared" si="20"/>
        <v>19</v>
      </c>
      <c r="P58" s="42">
        <f t="shared" si="20"/>
        <v>20</v>
      </c>
    </row>
  </sheetData>
  <phoneticPr fontId="0" type="noConversion"/>
  <pageMargins left="0.5" right="0.5" top="1" bottom="1" header="0.5" footer="0.5"/>
  <pageSetup scale="7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M90"/>
  <sheetViews>
    <sheetView zoomScale="75" workbookViewId="0"/>
  </sheetViews>
  <sheetFormatPr defaultRowHeight="12.75" x14ac:dyDescent="0.2"/>
  <cols>
    <col min="1" max="1" width="6.7109375" customWidth="1"/>
    <col min="2" max="2" width="2.7109375" customWidth="1"/>
    <col min="3" max="3" width="30.5703125" customWidth="1"/>
    <col min="4" max="4" width="14.5703125" customWidth="1"/>
    <col min="5" max="5" width="20.7109375" customWidth="1"/>
    <col min="6" max="12" width="14.7109375" customWidth="1"/>
    <col min="13" max="15" width="12.7109375" customWidth="1"/>
  </cols>
  <sheetData>
    <row r="1" spans="1:13" x14ac:dyDescent="0.2">
      <c r="A1" s="64">
        <v>2902</v>
      </c>
      <c r="B1" t="s">
        <v>49</v>
      </c>
      <c r="D1" t="s">
        <v>788</v>
      </c>
    </row>
    <row r="3" spans="1:13" x14ac:dyDescent="0.2">
      <c r="A3" s="7" t="s">
        <v>438</v>
      </c>
      <c r="B3" s="7"/>
      <c r="L3" s="1"/>
    </row>
    <row r="4" spans="1:13" x14ac:dyDescent="0.2">
      <c r="A4" t="str">
        <f>VLOOKUP(Dnumber,Inputall,3)&amp;" #"&amp;FIXED(Dnumber,0,TRUE)</f>
        <v>WESTBROOK-WALNUT GROVE #2902</v>
      </c>
      <c r="L4" s="39"/>
    </row>
    <row r="5" spans="1:13" x14ac:dyDescent="0.2">
      <c r="E5" s="91" t="s">
        <v>437</v>
      </c>
      <c r="F5" s="91"/>
      <c r="G5" s="91"/>
      <c r="H5" s="91"/>
      <c r="I5" s="91"/>
      <c r="J5" s="91"/>
      <c r="K5" s="91"/>
      <c r="L5" s="91"/>
    </row>
    <row r="6" spans="1:13" x14ac:dyDescent="0.2">
      <c r="A6" t="s">
        <v>867</v>
      </c>
      <c r="L6" s="4"/>
    </row>
    <row r="7" spans="1:13" x14ac:dyDescent="0.2">
      <c r="A7" t="s">
        <v>868</v>
      </c>
      <c r="J7" s="1" t="s">
        <v>432</v>
      </c>
    </row>
    <row r="8" spans="1:13" x14ac:dyDescent="0.2">
      <c r="A8" t="s">
        <v>869</v>
      </c>
      <c r="E8" s="1" t="s">
        <v>34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433</v>
      </c>
    </row>
    <row r="9" spans="1:13" x14ac:dyDescent="0.2">
      <c r="D9" s="1" t="s">
        <v>45</v>
      </c>
      <c r="E9" s="1" t="s">
        <v>439</v>
      </c>
      <c r="F9" s="2" t="s">
        <v>36</v>
      </c>
      <c r="G9" s="2" t="s">
        <v>38</v>
      </c>
      <c r="H9" s="2" t="s">
        <v>39</v>
      </c>
      <c r="I9" s="2" t="s">
        <v>40</v>
      </c>
      <c r="J9" s="1" t="s">
        <v>434</v>
      </c>
      <c r="K9" s="1" t="s">
        <v>43</v>
      </c>
      <c r="L9" s="1" t="s">
        <v>412</v>
      </c>
    </row>
    <row r="10" spans="1:13" x14ac:dyDescent="0.2">
      <c r="D10" s="1" t="s">
        <v>435</v>
      </c>
      <c r="E10" s="1" t="s">
        <v>440</v>
      </c>
      <c r="F10" s="1" t="s">
        <v>37</v>
      </c>
      <c r="G10" s="1" t="s">
        <v>37</v>
      </c>
      <c r="H10" s="1" t="s">
        <v>37</v>
      </c>
      <c r="I10" s="1" t="s">
        <v>37</v>
      </c>
      <c r="J10" s="1" t="s">
        <v>42</v>
      </c>
      <c r="K10" s="1" t="s">
        <v>44</v>
      </c>
      <c r="L10" s="1" t="s">
        <v>413</v>
      </c>
    </row>
    <row r="12" spans="1:13" x14ac:dyDescent="0.2">
      <c r="C12" s="7" t="s">
        <v>420</v>
      </c>
      <c r="D12" s="6" t="s">
        <v>410</v>
      </c>
      <c r="E12" s="6">
        <f>L53</f>
        <v>3.53</v>
      </c>
      <c r="F12" s="6">
        <f>VLOOKUP(Dnumber,Inputall,8)</f>
        <v>724.38</v>
      </c>
      <c r="G12" s="6">
        <f>VLOOKUP(Dnumber,Inputall,9)</f>
        <v>0</v>
      </c>
      <c r="H12" s="6">
        <f>IF(Dnumber=81,303.79,VLOOKUP(Dnumber,Inputall,10))</f>
        <v>0</v>
      </c>
      <c r="I12" s="6">
        <f>VLOOKUP(Dnumber,Inputall,11)</f>
        <v>0</v>
      </c>
      <c r="J12" s="6">
        <f>VLOOKUP(Dnumber,Inputall,16)</f>
        <v>0</v>
      </c>
      <c r="K12" s="6">
        <f>VLOOKUP(Dnumber,Inputall,19)</f>
        <v>0</v>
      </c>
      <c r="L12" s="6" t="s">
        <v>410</v>
      </c>
      <c r="M12" s="3"/>
    </row>
    <row r="13" spans="1:13" x14ac:dyDescent="0.2">
      <c r="D13" s="6"/>
      <c r="E13" s="6"/>
      <c r="F13" s="6"/>
      <c r="G13" s="6"/>
      <c r="H13" s="6"/>
      <c r="I13" s="6"/>
      <c r="J13" s="6"/>
      <c r="K13" s="6"/>
      <c r="L13" s="6"/>
    </row>
    <row r="14" spans="1:13" x14ac:dyDescent="0.2">
      <c r="C14" s="7" t="s">
        <v>421</v>
      </c>
      <c r="D14" s="5" t="s">
        <v>410</v>
      </c>
      <c r="E14" s="5"/>
      <c r="F14" s="5" t="str">
        <f>IF(VLOOKUP(Dnumber,Inputall,20)=0,"N/A",VLOOKUP(Dnumber,Inputall,20))</f>
        <v>N/A</v>
      </c>
      <c r="G14" s="5" t="str">
        <f>IF(VLOOKUP(Dnumber,Inputall,21)=0,"N/A",VLOOKUP(Dnumber,Inputall,21))</f>
        <v>N/A</v>
      </c>
      <c r="H14" s="5" t="str">
        <f>IF(VLOOKUP(Dnumber,Inputall,22)=0,"N/A",VLOOKUP(Dnumber,Inputall,22))</f>
        <v>N/A</v>
      </c>
      <c r="I14" s="5" t="str">
        <f>IF(VLOOKUP(Dnumber,Inputall,23)=0,"N/A",VLOOKUP(Dnumber,Inputall,23))</f>
        <v>N/A</v>
      </c>
      <c r="J14" s="5" t="str">
        <f>IF(J12=0,"N/A",IF(Dnumber=2364,2001,IF(Dnumber=81,1999,IF(Dnumber=270,1999,IF(Dnumber=492,1999,IF(Dnumber=2835,1999,2000))))))</f>
        <v>N/A</v>
      </c>
      <c r="K14" s="5" t="str">
        <f>IF(K12=0,"N/A",2001)</f>
        <v>N/A</v>
      </c>
      <c r="L14" s="5" t="s">
        <v>410</v>
      </c>
      <c r="M14" s="3"/>
    </row>
    <row r="15" spans="1:13" x14ac:dyDescent="0.2">
      <c r="C15" t="s">
        <v>422</v>
      </c>
      <c r="D15" s="5" t="s">
        <v>410</v>
      </c>
      <c r="E15" s="5"/>
      <c r="F15" s="5" t="s">
        <v>409</v>
      </c>
      <c r="G15" s="5" t="s">
        <v>409</v>
      </c>
      <c r="H15" s="5" t="str">
        <f>IF(Dnumber=81,2002,"N/A")</f>
        <v>N/A</v>
      </c>
      <c r="I15" s="5" t="s">
        <v>409</v>
      </c>
      <c r="J15" s="5" t="str">
        <f>IF(VLOOKUP(Dnumber,Inputall,14)=0,"N/A",VLOOKUP(Dnumber,Inputall,14))</f>
        <v>N/A</v>
      </c>
      <c r="K15" s="5" t="str">
        <f>IF(VLOOKUP(Dnumber,Inputall,17)=0,"N/A",VLOOKUP(Dnumber,Inputall,17))</f>
        <v>N/A</v>
      </c>
      <c r="L15" s="5" t="s">
        <v>410</v>
      </c>
    </row>
    <row r="16" spans="1:13" x14ac:dyDescent="0.2">
      <c r="A16" s="1" t="s">
        <v>48</v>
      </c>
      <c r="B16" s="1"/>
      <c r="C16" t="s">
        <v>423</v>
      </c>
      <c r="D16" s="5" t="s">
        <v>410</v>
      </c>
      <c r="E16" s="5">
        <v>2012</v>
      </c>
      <c r="F16" s="5">
        <f>IF(VLOOKUP(Dnumber,Inputall,4)=0,"N/A",VLOOKUP(Dnumber,Inputall,4))</f>
        <v>2006</v>
      </c>
      <c r="G16" s="5" t="str">
        <f>IF(VLOOKUP(Dnumber,Inputall,5)=0,"N/A",VLOOKUP(Dnumber,Inputall,5))</f>
        <v>N/A</v>
      </c>
      <c r="H16" s="5" t="str">
        <f>IF(Dnumber=81,2011,IF(VLOOKUP(Dnumber,Inputall,6)=0,"N/A",VLOOKUP(Dnumber,Inputall,6)))</f>
        <v>N/A</v>
      </c>
      <c r="I16" s="5" t="str">
        <f>IF(VLOOKUP(Dnumber,Inputall,7)=0,"N/A",VLOOKUP(Dnumber,Inputall,7))</f>
        <v>N/A</v>
      </c>
      <c r="J16" s="5" t="str">
        <f>IF(VLOOKUP(Dnumber,Inputall,15)=0,"N/A",VLOOKUP(Dnumber,Inputall,15))</f>
        <v>N/A</v>
      </c>
      <c r="K16" s="5" t="str">
        <f>IF(VLOOKUP(Dnumber,Inputall,18)=0,"N/A",VLOOKUP(Dnumber,Inputall,18))</f>
        <v>N/A</v>
      </c>
      <c r="L16" s="5" t="s">
        <v>410</v>
      </c>
    </row>
    <row r="18" spans="1:13" x14ac:dyDescent="0.2">
      <c r="A18" s="1">
        <v>2001</v>
      </c>
      <c r="B18" s="1"/>
      <c r="C18" s="7" t="s">
        <v>428</v>
      </c>
      <c r="D18" s="3">
        <f>SUM(E18:L18)</f>
        <v>724.38</v>
      </c>
      <c r="E18" s="3"/>
      <c r="F18" s="3">
        <f>IF($A18&gt;F$16,0,F$12)</f>
        <v>724.38</v>
      </c>
      <c r="G18" s="3">
        <f>IF($A18&gt;G$16,0,G$12)</f>
        <v>0</v>
      </c>
      <c r="H18" s="3">
        <f>IF(Dnumber=81,0,IF($A18&gt;H$16,0,H$12))</f>
        <v>0</v>
      </c>
      <c r="I18" s="3">
        <f>IF($A18&gt;I$16,0,I$12)</f>
        <v>0</v>
      </c>
      <c r="J18" s="3">
        <v>0</v>
      </c>
      <c r="K18" s="3">
        <v>0</v>
      </c>
      <c r="L18" s="3">
        <f>IF(Dnumber=914,106.67,0)</f>
        <v>0</v>
      </c>
    </row>
    <row r="19" spans="1:13" x14ac:dyDescent="0.2">
      <c r="B19" s="1"/>
      <c r="C19" s="14" t="s">
        <v>429</v>
      </c>
      <c r="D19" s="6">
        <f>VLOOKUP(Dnumber,Inputall,27)</f>
        <v>991</v>
      </c>
      <c r="E19" s="6"/>
      <c r="F19" s="3"/>
      <c r="G19" s="3"/>
      <c r="H19" s="3"/>
      <c r="I19" s="3"/>
      <c r="J19" s="3"/>
      <c r="K19" s="3"/>
      <c r="L19" s="3"/>
    </row>
    <row r="20" spans="1:13" x14ac:dyDescent="0.2">
      <c r="B20" s="1"/>
      <c r="C20" s="7" t="s">
        <v>431</v>
      </c>
      <c r="D20" s="3">
        <f>MAX(0,D18-D19)</f>
        <v>0</v>
      </c>
      <c r="E20" s="6"/>
      <c r="F20" s="3">
        <f>MIN(D20,F18)</f>
        <v>0</v>
      </c>
      <c r="G20" s="3">
        <f>MIN(G18,D20-F20)</f>
        <v>0</v>
      </c>
      <c r="H20" s="3">
        <f>MIN(H18,D20-F20-G20)</f>
        <v>0</v>
      </c>
      <c r="I20" s="3">
        <f>MIN(I18,D20-F20-G20-H20)</f>
        <v>0</v>
      </c>
      <c r="J20" s="6">
        <v>0</v>
      </c>
      <c r="K20" s="6">
        <v>0</v>
      </c>
      <c r="L20" s="6">
        <v>0</v>
      </c>
    </row>
    <row r="21" spans="1:13" x14ac:dyDescent="0.2">
      <c r="B21" s="1"/>
      <c r="C21" s="14" t="s">
        <v>430</v>
      </c>
      <c r="D21" s="3">
        <f>SUM(E21:L21)</f>
        <v>724.38</v>
      </c>
      <c r="E21" s="3"/>
      <c r="F21" s="3">
        <f t="shared" ref="F21:L21" si="0">F18-F20</f>
        <v>724.38</v>
      </c>
      <c r="G21" s="3">
        <f t="shared" si="0"/>
        <v>0</v>
      </c>
      <c r="H21" s="3">
        <f t="shared" si="0"/>
        <v>0</v>
      </c>
      <c r="I21" s="3">
        <f t="shared" si="0"/>
        <v>0</v>
      </c>
      <c r="J21" s="3">
        <f t="shared" si="0"/>
        <v>0</v>
      </c>
      <c r="K21" s="3">
        <f t="shared" si="0"/>
        <v>0</v>
      </c>
      <c r="L21" s="3">
        <f t="shared" si="0"/>
        <v>0</v>
      </c>
    </row>
    <row r="22" spans="1:13" x14ac:dyDescent="0.2">
      <c r="C22" s="7" t="s">
        <v>46</v>
      </c>
      <c r="D22" s="6">
        <f>VLOOKUP(Dnumber,Inputall,12)</f>
        <v>0</v>
      </c>
      <c r="E22" s="3"/>
      <c r="F22" s="3">
        <f>MIN(F18,D22)</f>
        <v>0</v>
      </c>
      <c r="G22" s="3">
        <f>MIN(G18,D22-F22)</f>
        <v>0</v>
      </c>
      <c r="H22" s="3">
        <f>MIN(H18,D22-F22-G22)</f>
        <v>0</v>
      </c>
      <c r="I22" s="3">
        <f>MIN(I18,D22-F22-G22-H22)</f>
        <v>0</v>
      </c>
      <c r="J22" s="3">
        <v>0</v>
      </c>
      <c r="K22" s="3">
        <v>0</v>
      </c>
      <c r="L22" s="3">
        <v>0</v>
      </c>
    </row>
    <row r="23" spans="1:13" x14ac:dyDescent="0.2">
      <c r="C23" t="s">
        <v>436</v>
      </c>
      <c r="D23" s="3">
        <f>SUM(E23:L23)</f>
        <v>724.38</v>
      </c>
      <c r="E23" s="3"/>
      <c r="F23" s="3">
        <f t="shared" ref="F23:L23" si="1">F21-F22</f>
        <v>724.38</v>
      </c>
      <c r="G23" s="3">
        <f t="shared" si="1"/>
        <v>0</v>
      </c>
      <c r="H23" s="3">
        <f t="shared" si="1"/>
        <v>0</v>
      </c>
      <c r="I23" s="3">
        <f t="shared" si="1"/>
        <v>0</v>
      </c>
      <c r="J23" s="3">
        <f t="shared" si="1"/>
        <v>0</v>
      </c>
      <c r="K23" s="3">
        <f t="shared" si="1"/>
        <v>0</v>
      </c>
      <c r="L23" s="3">
        <f t="shared" si="1"/>
        <v>0</v>
      </c>
    </row>
    <row r="24" spans="1:13" x14ac:dyDescent="0.2">
      <c r="L24" s="3"/>
    </row>
    <row r="25" spans="1:13" x14ac:dyDescent="0.2">
      <c r="A25">
        <v>2002</v>
      </c>
      <c r="C25" t="s">
        <v>436</v>
      </c>
      <c r="D25" s="3">
        <f>SUM(E25:L25)</f>
        <v>724.38</v>
      </c>
      <c r="E25" s="3"/>
      <c r="F25" s="3">
        <f>IF(Dnumber=1.2,705,IF($A25&gt;F$16,0,F23))</f>
        <v>724.38</v>
      </c>
      <c r="G25" s="3">
        <f>IF(Dnumber=726,1076,IF($A25&gt;G$16,0,G23))</f>
        <v>0</v>
      </c>
      <c r="H25" s="3">
        <f>IF(Dnumber=81,H12,IF($A25&gt;H$16,0,H23))</f>
        <v>0</v>
      </c>
      <c r="I25" s="3">
        <f>IF($A25&gt;I$16,0,I23)</f>
        <v>0</v>
      </c>
      <c r="J25" s="3">
        <f>IF(A25&lt;J15,0,IF(A25&gt;J16,0,J12))</f>
        <v>0</v>
      </c>
      <c r="K25" s="3">
        <v>0</v>
      </c>
      <c r="L25" s="3">
        <v>0</v>
      </c>
    </row>
    <row r="26" spans="1:13" x14ac:dyDescent="0.2">
      <c r="D26" s="3"/>
      <c r="F26" s="3"/>
      <c r="L26" s="3"/>
    </row>
    <row r="27" spans="1:13" x14ac:dyDescent="0.2">
      <c r="A27">
        <v>2003</v>
      </c>
      <c r="C27" t="s">
        <v>411</v>
      </c>
      <c r="D27" s="3">
        <f>SUM(E27:L27)</f>
        <v>727.91</v>
      </c>
      <c r="E27" s="3">
        <f>E12</f>
        <v>3.53</v>
      </c>
      <c r="F27" s="3">
        <f>IF(Dnumber=273,401.93,IF($A27&gt;F16,0,F25))</f>
        <v>724.38</v>
      </c>
      <c r="G27" s="3">
        <f>IF($A27&gt;G16,0,G25)</f>
        <v>0</v>
      </c>
      <c r="H27" s="3">
        <f>IF($A27&gt;H16,0,H25)</f>
        <v>0</v>
      </c>
      <c r="I27" s="3">
        <f>IF($A27&gt;I16,0,I25)</f>
        <v>0</v>
      </c>
      <c r="J27" s="3">
        <f>IF($A27&lt;J15,0,J12)</f>
        <v>0</v>
      </c>
      <c r="K27" s="3">
        <f>IF($A27&lt;K15,0,K12)</f>
        <v>0</v>
      </c>
      <c r="L27" s="3">
        <v>0</v>
      </c>
      <c r="M27" s="3"/>
    </row>
    <row r="28" spans="1:13" x14ac:dyDescent="0.2">
      <c r="C28" t="s">
        <v>47</v>
      </c>
      <c r="D28" s="3">
        <f>SUM(E28:L28)</f>
        <v>415</v>
      </c>
      <c r="E28" s="3">
        <f>IF(Dnumber=709,58,MIN(E27,415))</f>
        <v>3.53</v>
      </c>
      <c r="F28" s="3">
        <f>IF(Dnumber=709,315,IF(Dnumber=2889,MIN(F27,415-J28-E28),MIN(F27,415-SUM($E28:E28))))</f>
        <v>411.47</v>
      </c>
      <c r="G28" s="3">
        <f>MIN(G27,415-SUM($E28:F28))</f>
        <v>0</v>
      </c>
      <c r="H28" s="3">
        <f>MIN(H27,415-SUM($E28:G28))</f>
        <v>0</v>
      </c>
      <c r="I28" s="3">
        <f>MIN(I27,415-SUM($E28:H28))</f>
        <v>0</v>
      </c>
      <c r="J28" s="3">
        <f>IF(Dnumber=2889,MIN(415,J27),MIN(J27,415-SUM($E28:I28)))</f>
        <v>0</v>
      </c>
      <c r="K28" s="3">
        <v>0</v>
      </c>
      <c r="L28" s="3">
        <v>0</v>
      </c>
    </row>
    <row r="29" spans="1:13" x14ac:dyDescent="0.2">
      <c r="C29" t="s">
        <v>436</v>
      </c>
      <c r="D29" s="3">
        <f>SUM(E29:L29)</f>
        <v>312.90999999999997</v>
      </c>
      <c r="E29" s="3">
        <f t="shared" ref="E29:K29" si="2">E27-E28</f>
        <v>0</v>
      </c>
      <c r="F29" s="3">
        <f t="shared" si="2"/>
        <v>312.90999999999997</v>
      </c>
      <c r="G29" s="3">
        <f t="shared" si="2"/>
        <v>0</v>
      </c>
      <c r="H29" s="3">
        <f t="shared" si="2"/>
        <v>0</v>
      </c>
      <c r="I29" s="3">
        <f t="shared" si="2"/>
        <v>0</v>
      </c>
      <c r="J29" s="3">
        <f t="shared" si="2"/>
        <v>0</v>
      </c>
      <c r="K29" s="3">
        <f t="shared" si="2"/>
        <v>0</v>
      </c>
      <c r="L29" s="3">
        <v>0</v>
      </c>
    </row>
    <row r="30" spans="1:13" x14ac:dyDescent="0.2">
      <c r="D30" s="3"/>
      <c r="J30" s="3"/>
      <c r="L30" s="3"/>
    </row>
    <row r="31" spans="1:13" x14ac:dyDescent="0.2">
      <c r="A31">
        <v>2004</v>
      </c>
      <c r="C31" t="s">
        <v>436</v>
      </c>
      <c r="D31" s="3">
        <f t="shared" ref="D31:D41" si="3">SUM(E31:L31)</f>
        <v>312.90999999999997</v>
      </c>
      <c r="E31" s="3">
        <f>E$29</f>
        <v>0</v>
      </c>
      <c r="F31" s="3">
        <f t="shared" ref="F31:J41" si="4">IF($A31&gt;F$16,0,F$29)</f>
        <v>312.90999999999997</v>
      </c>
      <c r="G31" s="3">
        <f t="shared" si="4"/>
        <v>0</v>
      </c>
      <c r="H31" s="3">
        <f t="shared" si="4"/>
        <v>0</v>
      </c>
      <c r="I31" s="3">
        <f t="shared" si="4"/>
        <v>0</v>
      </c>
      <c r="J31" s="3">
        <f t="shared" si="4"/>
        <v>0</v>
      </c>
      <c r="K31" s="3">
        <f>IF(Dnumber=294,837.38,IF(Dnumber=363,1,IF(Dnumber=740,444.44,IF($A31&gt;K$16,0,K$29))))</f>
        <v>0</v>
      </c>
      <c r="L31" s="3">
        <f>IF(Dnumber=1.2,765-735,0)</f>
        <v>0</v>
      </c>
    </row>
    <row r="32" spans="1:13" x14ac:dyDescent="0.2">
      <c r="A32">
        <f>A31+1</f>
        <v>2005</v>
      </c>
      <c r="C32" t="s">
        <v>436</v>
      </c>
      <c r="D32" s="3">
        <f t="shared" si="3"/>
        <v>312.90999999999997</v>
      </c>
      <c r="E32" s="3">
        <f>E$29</f>
        <v>0</v>
      </c>
      <c r="F32" s="3">
        <f t="shared" si="4"/>
        <v>312.90999999999997</v>
      </c>
      <c r="G32" s="3">
        <f t="shared" si="4"/>
        <v>0</v>
      </c>
      <c r="H32" s="3">
        <f t="shared" si="4"/>
        <v>0</v>
      </c>
      <c r="I32" s="3">
        <f t="shared" si="4"/>
        <v>0</v>
      </c>
      <c r="J32" s="3">
        <f t="shared" si="4"/>
        <v>0</v>
      </c>
      <c r="K32" s="3">
        <f>IF($A32&gt;K$16,0,K$31)</f>
        <v>0</v>
      </c>
      <c r="L32" s="3">
        <f>IF(Dnumber=1.2,795-735,0)</f>
        <v>0</v>
      </c>
    </row>
    <row r="33" spans="1:12" x14ac:dyDescent="0.2">
      <c r="A33">
        <f t="shared" ref="A33:A41" si="5">A32+1</f>
        <v>2006</v>
      </c>
      <c r="C33" t="s">
        <v>436</v>
      </c>
      <c r="D33" s="3">
        <f t="shared" si="3"/>
        <v>312.90999999999997</v>
      </c>
      <c r="E33" s="3">
        <f>E$29</f>
        <v>0</v>
      </c>
      <c r="F33" s="3">
        <f t="shared" si="4"/>
        <v>312.90999999999997</v>
      </c>
      <c r="G33" s="3">
        <f t="shared" si="4"/>
        <v>0</v>
      </c>
      <c r="H33" s="3">
        <f t="shared" si="4"/>
        <v>0</v>
      </c>
      <c r="I33" s="3">
        <f t="shared" si="4"/>
        <v>0</v>
      </c>
      <c r="J33" s="3">
        <f t="shared" si="4"/>
        <v>0</v>
      </c>
      <c r="K33" s="3">
        <f t="shared" ref="K33:K41" si="6">IF($A33&gt;K$16,0,K$31)</f>
        <v>0</v>
      </c>
      <c r="L33" s="3">
        <f>IF(Dnumber=1.2,825-735,0)</f>
        <v>0</v>
      </c>
    </row>
    <row r="34" spans="1:12" x14ac:dyDescent="0.2">
      <c r="A34">
        <f t="shared" si="5"/>
        <v>2007</v>
      </c>
      <c r="C34" t="s">
        <v>436</v>
      </c>
      <c r="D34" s="3">
        <f t="shared" si="3"/>
        <v>0</v>
      </c>
      <c r="E34" s="3">
        <f t="shared" ref="E34:E39" si="7">IF(SUM(F$29:L$29)=0,E$29,IF(SUM(F34:L34)&lt;SUM(F$33:L$33),0,IF($A34&gt;E$16,0,E$29)))</f>
        <v>0</v>
      </c>
      <c r="F34" s="3">
        <f t="shared" si="4"/>
        <v>0</v>
      </c>
      <c r="G34" s="3">
        <f t="shared" si="4"/>
        <v>0</v>
      </c>
      <c r="H34" s="3">
        <f t="shared" si="4"/>
        <v>0</v>
      </c>
      <c r="I34" s="3">
        <f t="shared" si="4"/>
        <v>0</v>
      </c>
      <c r="J34" s="3">
        <f t="shared" si="4"/>
        <v>0</v>
      </c>
      <c r="K34" s="3">
        <f t="shared" si="6"/>
        <v>0</v>
      </c>
      <c r="L34" s="3">
        <f>IF(Dnumber=1.2,860-735,0)</f>
        <v>0</v>
      </c>
    </row>
    <row r="35" spans="1:12" x14ac:dyDescent="0.2">
      <c r="A35">
        <f t="shared" si="5"/>
        <v>2008</v>
      </c>
      <c r="C35" t="s">
        <v>436</v>
      </c>
      <c r="D35" s="3">
        <f t="shared" si="3"/>
        <v>0</v>
      </c>
      <c r="E35" s="3">
        <f t="shared" si="7"/>
        <v>0</v>
      </c>
      <c r="F35" s="3">
        <f t="shared" si="4"/>
        <v>0</v>
      </c>
      <c r="G35" s="3">
        <f t="shared" si="4"/>
        <v>0</v>
      </c>
      <c r="H35" s="3">
        <f t="shared" si="4"/>
        <v>0</v>
      </c>
      <c r="I35" s="3">
        <f t="shared" si="4"/>
        <v>0</v>
      </c>
      <c r="J35" s="3">
        <f t="shared" si="4"/>
        <v>0</v>
      </c>
      <c r="K35" s="3">
        <f t="shared" si="6"/>
        <v>0</v>
      </c>
      <c r="L35" s="3">
        <f>IF(Dnumber=1.2,890-735,0)</f>
        <v>0</v>
      </c>
    </row>
    <row r="36" spans="1:12" x14ac:dyDescent="0.2">
      <c r="A36">
        <f t="shared" si="5"/>
        <v>2009</v>
      </c>
      <c r="C36" t="s">
        <v>436</v>
      </c>
      <c r="D36" s="3">
        <f t="shared" si="3"/>
        <v>0</v>
      </c>
      <c r="E36" s="3">
        <f t="shared" si="7"/>
        <v>0</v>
      </c>
      <c r="F36" s="3">
        <f t="shared" si="4"/>
        <v>0</v>
      </c>
      <c r="G36" s="3">
        <f t="shared" si="4"/>
        <v>0</v>
      </c>
      <c r="H36" s="3">
        <f t="shared" si="4"/>
        <v>0</v>
      </c>
      <c r="I36" s="3">
        <f t="shared" si="4"/>
        <v>0</v>
      </c>
      <c r="J36" s="3">
        <f t="shared" si="4"/>
        <v>0</v>
      </c>
      <c r="K36" s="3">
        <f t="shared" si="6"/>
        <v>0</v>
      </c>
      <c r="L36" s="3">
        <f>IF(Dnumber=1.2,925-735,0)</f>
        <v>0</v>
      </c>
    </row>
    <row r="37" spans="1:12" x14ac:dyDescent="0.2">
      <c r="A37">
        <f t="shared" si="5"/>
        <v>2010</v>
      </c>
      <c r="C37" t="s">
        <v>436</v>
      </c>
      <c r="D37" s="3">
        <f t="shared" si="3"/>
        <v>0</v>
      </c>
      <c r="E37" s="3">
        <f t="shared" si="7"/>
        <v>0</v>
      </c>
      <c r="F37" s="3">
        <f t="shared" si="4"/>
        <v>0</v>
      </c>
      <c r="G37" s="3">
        <f t="shared" si="4"/>
        <v>0</v>
      </c>
      <c r="H37" s="3">
        <f t="shared" si="4"/>
        <v>0</v>
      </c>
      <c r="I37" s="3">
        <f t="shared" si="4"/>
        <v>0</v>
      </c>
      <c r="J37" s="3">
        <f t="shared" si="4"/>
        <v>0</v>
      </c>
      <c r="K37" s="3">
        <f t="shared" si="6"/>
        <v>0</v>
      </c>
      <c r="L37" s="3">
        <f>IF(Dnumber=1.2,965-735,0)</f>
        <v>0</v>
      </c>
    </row>
    <row r="38" spans="1:12" x14ac:dyDescent="0.2">
      <c r="A38">
        <f t="shared" si="5"/>
        <v>2011</v>
      </c>
      <c r="C38" t="s">
        <v>436</v>
      </c>
      <c r="D38" s="3">
        <f t="shared" si="3"/>
        <v>0</v>
      </c>
      <c r="E38" s="3">
        <f t="shared" si="7"/>
        <v>0</v>
      </c>
      <c r="F38" s="3">
        <f t="shared" si="4"/>
        <v>0</v>
      </c>
      <c r="G38" s="3">
        <f t="shared" si="4"/>
        <v>0</v>
      </c>
      <c r="H38" s="3">
        <f t="shared" si="4"/>
        <v>0</v>
      </c>
      <c r="I38" s="3">
        <f t="shared" si="4"/>
        <v>0</v>
      </c>
      <c r="J38" s="3">
        <f t="shared" si="4"/>
        <v>0</v>
      </c>
      <c r="K38" s="3">
        <f t="shared" si="6"/>
        <v>0</v>
      </c>
      <c r="L38" s="3">
        <v>0</v>
      </c>
    </row>
    <row r="39" spans="1:12" x14ac:dyDescent="0.2">
      <c r="A39">
        <f t="shared" si="5"/>
        <v>2012</v>
      </c>
      <c r="C39" t="s">
        <v>436</v>
      </c>
      <c r="D39" s="3">
        <f t="shared" si="3"/>
        <v>0</v>
      </c>
      <c r="E39" s="3">
        <f t="shared" si="7"/>
        <v>0</v>
      </c>
      <c r="F39" s="3">
        <f t="shared" si="4"/>
        <v>0</v>
      </c>
      <c r="G39" s="3">
        <f t="shared" si="4"/>
        <v>0</v>
      </c>
      <c r="H39" s="3">
        <f t="shared" si="4"/>
        <v>0</v>
      </c>
      <c r="I39" s="3">
        <f t="shared" si="4"/>
        <v>0</v>
      </c>
      <c r="J39" s="3">
        <f t="shared" si="4"/>
        <v>0</v>
      </c>
      <c r="K39" s="3">
        <f t="shared" si="6"/>
        <v>0</v>
      </c>
      <c r="L39" s="3">
        <v>0</v>
      </c>
    </row>
    <row r="40" spans="1:12" x14ac:dyDescent="0.2">
      <c r="A40">
        <f t="shared" si="5"/>
        <v>2013</v>
      </c>
      <c r="C40" t="s">
        <v>436</v>
      </c>
      <c r="D40" s="3">
        <f t="shared" si="3"/>
        <v>0</v>
      </c>
      <c r="E40" s="3">
        <v>0</v>
      </c>
      <c r="F40" s="3">
        <f t="shared" si="4"/>
        <v>0</v>
      </c>
      <c r="G40" s="3">
        <f t="shared" si="4"/>
        <v>0</v>
      </c>
      <c r="H40" s="3">
        <f t="shared" si="4"/>
        <v>0</v>
      </c>
      <c r="I40" s="3">
        <f t="shared" si="4"/>
        <v>0</v>
      </c>
      <c r="J40" s="3">
        <f t="shared" si="4"/>
        <v>0</v>
      </c>
      <c r="K40" s="3">
        <f t="shared" si="6"/>
        <v>0</v>
      </c>
      <c r="L40" s="3">
        <v>0</v>
      </c>
    </row>
    <row r="41" spans="1:12" x14ac:dyDescent="0.2">
      <c r="A41">
        <f t="shared" si="5"/>
        <v>2014</v>
      </c>
      <c r="C41" t="s">
        <v>436</v>
      </c>
      <c r="D41" s="3">
        <f t="shared" si="3"/>
        <v>0</v>
      </c>
      <c r="E41" s="3">
        <v>0</v>
      </c>
      <c r="F41" s="3">
        <f t="shared" si="4"/>
        <v>0</v>
      </c>
      <c r="G41" s="3">
        <f t="shared" si="4"/>
        <v>0</v>
      </c>
      <c r="H41" s="3">
        <f t="shared" si="4"/>
        <v>0</v>
      </c>
      <c r="I41" s="3">
        <f t="shared" si="4"/>
        <v>0</v>
      </c>
      <c r="J41" s="3">
        <f t="shared" si="4"/>
        <v>0</v>
      </c>
      <c r="K41" s="3">
        <f t="shared" si="6"/>
        <v>0</v>
      </c>
      <c r="L41" s="3">
        <v>0</v>
      </c>
    </row>
    <row r="42" spans="1:12" x14ac:dyDescent="0.2">
      <c r="E42" s="3"/>
      <c r="F42" s="3"/>
      <c r="G42" s="3"/>
      <c r="H42" s="3"/>
      <c r="I42" s="3"/>
      <c r="J42" s="3"/>
      <c r="K42" s="3"/>
    </row>
    <row r="43" spans="1:12" x14ac:dyDescent="0.2">
      <c r="E43" s="3"/>
      <c r="F43" s="3"/>
      <c r="G43" s="3"/>
      <c r="H43" s="3"/>
      <c r="I43" s="3"/>
      <c r="J43" s="3"/>
      <c r="K43" s="3"/>
    </row>
    <row r="44" spans="1:12" x14ac:dyDescent="0.2">
      <c r="E44" s="3"/>
      <c r="F44" s="3"/>
      <c r="G44" s="3"/>
      <c r="H44" s="3"/>
      <c r="I44" s="3"/>
      <c r="J44" s="3"/>
      <c r="K44" s="3"/>
    </row>
    <row r="45" spans="1:12" x14ac:dyDescent="0.2">
      <c r="C45" t="s">
        <v>414</v>
      </c>
      <c r="E45" s="3"/>
      <c r="F45" s="3"/>
      <c r="H45" t="s">
        <v>807</v>
      </c>
      <c r="K45" s="3"/>
    </row>
    <row r="46" spans="1:12" x14ac:dyDescent="0.2">
      <c r="E46" s="3"/>
      <c r="F46" s="3"/>
      <c r="K46" s="3"/>
    </row>
    <row r="47" spans="1:12" x14ac:dyDescent="0.2">
      <c r="A47" s="1">
        <v>1</v>
      </c>
      <c r="B47" s="8"/>
      <c r="C47" t="s">
        <v>415</v>
      </c>
      <c r="D47" s="12">
        <f>VLOOKUP(Dnumber,Inputall,24)</f>
        <v>0</v>
      </c>
      <c r="G47" s="1" t="s">
        <v>813</v>
      </c>
      <c r="H47" t="s">
        <v>808</v>
      </c>
      <c r="L47" s="3">
        <f>VLOOKUP(Dnumber,Inputall,28)</f>
        <v>0</v>
      </c>
    </row>
    <row r="48" spans="1:12" x14ac:dyDescent="0.2">
      <c r="A48" s="1">
        <v>2</v>
      </c>
      <c r="B48" s="8"/>
      <c r="C48" s="3" t="s">
        <v>416</v>
      </c>
      <c r="D48" s="13">
        <f>VLOOKUP(Dnumber,Inputall,25)</f>
        <v>2479971</v>
      </c>
      <c r="G48" s="1" t="s">
        <v>814</v>
      </c>
      <c r="H48" t="s">
        <v>809</v>
      </c>
      <c r="L48" s="3">
        <f>VLOOKUP(Dnumber,Inputall,29)</f>
        <v>0</v>
      </c>
    </row>
    <row r="49" spans="1:13" x14ac:dyDescent="0.2">
      <c r="A49" s="1">
        <v>3</v>
      </c>
      <c r="B49" s="8"/>
      <c r="C49" s="3" t="s">
        <v>417</v>
      </c>
      <c r="D49" s="6">
        <f>VLOOKUP(Dnumber,Inputall,26)</f>
        <v>537.17999999999995</v>
      </c>
      <c r="G49" s="1" t="s">
        <v>815</v>
      </c>
      <c r="H49" t="s">
        <v>810</v>
      </c>
      <c r="L49" s="3">
        <f>VLOOKUP(Dnumber,Inputall,30)</f>
        <v>3.53</v>
      </c>
    </row>
    <row r="50" spans="1:13" x14ac:dyDescent="0.2">
      <c r="A50" s="1"/>
      <c r="B50" s="8"/>
      <c r="C50" s="3"/>
      <c r="D50" s="3"/>
      <c r="G50" s="1" t="s">
        <v>816</v>
      </c>
      <c r="H50" t="s">
        <v>811</v>
      </c>
      <c r="L50" s="3">
        <f>SUM(L47:L49)</f>
        <v>3.53</v>
      </c>
    </row>
    <row r="51" spans="1:13" x14ac:dyDescent="0.2">
      <c r="A51" s="1">
        <v>4</v>
      </c>
      <c r="B51" s="8"/>
      <c r="C51" s="3" t="s">
        <v>418</v>
      </c>
      <c r="D51" s="3"/>
      <c r="G51" s="1" t="s">
        <v>817</v>
      </c>
      <c r="H51" t="s">
        <v>828</v>
      </c>
      <c r="L51" s="9">
        <f>VLOOKUP(Dnumber,Inputall,31)</f>
        <v>1</v>
      </c>
    </row>
    <row r="52" spans="1:13" x14ac:dyDescent="0.2">
      <c r="A52" s="1"/>
      <c r="B52" s="8"/>
      <c r="C52" s="38" t="s">
        <v>830</v>
      </c>
      <c r="D52" s="3">
        <f>ROUND(1.231716469*D47*D48,2)</f>
        <v>0</v>
      </c>
    </row>
    <row r="53" spans="1:13" x14ac:dyDescent="0.2">
      <c r="A53" s="1">
        <v>5</v>
      </c>
      <c r="B53" s="8"/>
      <c r="C53" s="3" t="s">
        <v>419</v>
      </c>
      <c r="D53" s="3">
        <f>ROUND(D52/D49,2)</f>
        <v>0</v>
      </c>
      <c r="G53" s="1" t="s">
        <v>818</v>
      </c>
      <c r="H53" t="s">
        <v>812</v>
      </c>
      <c r="L53" s="3">
        <f>L50*L51</f>
        <v>3.53</v>
      </c>
    </row>
    <row r="54" spans="1:13" x14ac:dyDescent="0.2">
      <c r="A54" s="35"/>
      <c r="B54" s="35"/>
      <c r="C54" s="35"/>
      <c r="D54" s="35"/>
      <c r="E54" s="36"/>
      <c r="F54" s="36"/>
      <c r="G54" s="3"/>
      <c r="H54" s="3"/>
      <c r="I54" s="3"/>
      <c r="J54" s="3"/>
      <c r="K54" s="3"/>
    </row>
    <row r="55" spans="1:13" x14ac:dyDescent="0.2">
      <c r="A55" s="35"/>
      <c r="B55" s="35"/>
      <c r="D55" s="35"/>
      <c r="E55" s="36"/>
      <c r="F55" s="36"/>
      <c r="G55" s="3"/>
      <c r="H55" s="3"/>
      <c r="I55" s="3"/>
      <c r="J55" s="3"/>
      <c r="K55" s="3"/>
    </row>
    <row r="56" spans="1:13" x14ac:dyDescent="0.2">
      <c r="A56" s="35"/>
      <c r="B56" s="35"/>
      <c r="C56" t="str">
        <f>IF(Dnumber=VLOOKUP(Dnumber,CANCELLATIONS,1),Input01!A364,"")</f>
        <v/>
      </c>
      <c r="D56" s="35"/>
      <c r="E56" s="36"/>
      <c r="F56" s="36"/>
      <c r="G56" s="3"/>
      <c r="H56" s="3"/>
      <c r="I56" s="3"/>
      <c r="J56" s="3"/>
      <c r="K56" s="3"/>
    </row>
    <row r="57" spans="1:13" x14ac:dyDescent="0.2">
      <c r="C57" t="str">
        <f>IF(Dnumber=VLOOKUP(Dnumber,CANCELLATIONS,1),Input01!A365,"")</f>
        <v/>
      </c>
      <c r="E57" s="3"/>
      <c r="F57" s="3"/>
      <c r="G57" s="3"/>
      <c r="H57" s="3"/>
      <c r="I57" s="3"/>
      <c r="J57" s="3"/>
      <c r="K57" s="3"/>
    </row>
    <row r="58" spans="1:13" x14ac:dyDescent="0.2">
      <c r="E58" s="3"/>
      <c r="F58" s="3"/>
      <c r="G58" s="3"/>
      <c r="H58" s="3"/>
      <c r="I58" s="3"/>
      <c r="J58" s="3"/>
      <c r="K58" s="3"/>
    </row>
    <row r="59" spans="1:13" x14ac:dyDescent="0.2">
      <c r="E59" s="3"/>
      <c r="F59" s="3"/>
      <c r="G59" s="3"/>
      <c r="H59" s="3"/>
      <c r="I59" s="3"/>
      <c r="J59" s="3"/>
      <c r="K59" s="3"/>
    </row>
    <row r="60" spans="1:13" x14ac:dyDescent="0.2">
      <c r="E60" s="3"/>
      <c r="F60" s="3"/>
      <c r="G60" s="3"/>
      <c r="H60" s="3"/>
      <c r="I60" s="3"/>
      <c r="J60" s="3"/>
      <c r="K60" s="3"/>
    </row>
    <row r="61" spans="1:13" x14ac:dyDescent="0.2">
      <c r="E61" s="3"/>
      <c r="F61" s="3"/>
      <c r="G61" s="3"/>
      <c r="H61" s="3"/>
      <c r="I61" s="3"/>
      <c r="J61" s="3"/>
      <c r="K61" s="3"/>
    </row>
    <row r="62" spans="1:13" x14ac:dyDescent="0.2">
      <c r="A62" s="1"/>
      <c r="B62" s="1"/>
      <c r="C62" s="37" t="str">
        <f ca="1">+"STAR WARS EPISODE 2: ATTACK OF THE CLONES OPENS IN "&amp;FIXED(37392-NOW(),0,TRUE)&amp;" DAYS."</f>
        <v>STAR WARS EPISODE 2: ATTACK OF THE CLONES OPENS IN -3452 DAYS.</v>
      </c>
      <c r="D62" s="1"/>
      <c r="E62" s="3"/>
      <c r="F62" s="3"/>
      <c r="G62" s="3"/>
      <c r="H62" s="3"/>
      <c r="I62" s="3"/>
      <c r="J62" s="3"/>
      <c r="K62" s="3"/>
      <c r="M62" s="3"/>
    </row>
    <row r="63" spans="1:13" x14ac:dyDescent="0.2">
      <c r="E63" s="3"/>
      <c r="F63" s="3"/>
      <c r="G63" s="3"/>
      <c r="H63" s="3"/>
      <c r="I63" s="3"/>
      <c r="J63" s="3"/>
      <c r="K63" s="3"/>
      <c r="M63" s="3"/>
    </row>
    <row r="64" spans="1:13" x14ac:dyDescent="0.2">
      <c r="M64" s="3"/>
    </row>
    <row r="65" spans="1:13" x14ac:dyDescent="0.2">
      <c r="E65" s="3"/>
      <c r="F65" s="3"/>
      <c r="G65" s="3"/>
      <c r="H65" s="3"/>
      <c r="I65" s="3"/>
      <c r="J65" s="3"/>
      <c r="K65" s="3"/>
      <c r="M65" s="3"/>
    </row>
    <row r="66" spans="1:13" x14ac:dyDescent="0.2">
      <c r="E66" s="3"/>
      <c r="F66" s="3"/>
      <c r="G66" s="3"/>
      <c r="H66" s="3"/>
      <c r="I66" s="3"/>
      <c r="J66" s="3"/>
      <c r="K66" s="3"/>
      <c r="M66" s="3"/>
    </row>
    <row r="67" spans="1:13" x14ac:dyDescent="0.2">
      <c r="E67" s="3"/>
      <c r="F67" s="3"/>
      <c r="G67" s="3"/>
      <c r="H67" s="3"/>
      <c r="I67" s="3"/>
      <c r="J67" s="3"/>
      <c r="K67" s="3"/>
      <c r="M67" s="3"/>
    </row>
    <row r="68" spans="1:13" x14ac:dyDescent="0.2">
      <c r="E68" s="3"/>
      <c r="F68" s="3"/>
      <c r="G68" s="3"/>
      <c r="H68" s="3"/>
      <c r="I68" s="3"/>
      <c r="J68" s="3"/>
      <c r="K68" s="3"/>
      <c r="M68" s="3"/>
    </row>
    <row r="69" spans="1:13" x14ac:dyDescent="0.2">
      <c r="E69" s="3"/>
      <c r="F69" s="3"/>
      <c r="G69" s="3"/>
      <c r="H69" s="3"/>
      <c r="I69" s="3"/>
      <c r="J69" s="3"/>
      <c r="K69" s="3"/>
      <c r="M69" s="3"/>
    </row>
    <row r="70" spans="1:13" x14ac:dyDescent="0.2">
      <c r="E70" s="3"/>
      <c r="F70" s="3"/>
      <c r="G70" s="3"/>
      <c r="H70" s="3"/>
      <c r="I70" s="3"/>
      <c r="J70" s="3"/>
      <c r="K70" s="3"/>
      <c r="M70" s="3"/>
    </row>
    <row r="71" spans="1:13" x14ac:dyDescent="0.2">
      <c r="E71" s="3"/>
      <c r="F71" s="3"/>
      <c r="G71" s="3"/>
      <c r="H71" s="3"/>
      <c r="I71" s="3"/>
      <c r="J71" s="3"/>
      <c r="K71" s="3"/>
      <c r="M71" s="3"/>
    </row>
    <row r="72" spans="1:13" x14ac:dyDescent="0.2">
      <c r="E72" s="3"/>
      <c r="F72" s="3"/>
      <c r="G72" s="3"/>
      <c r="H72" s="3"/>
      <c r="I72" s="3"/>
      <c r="J72" s="3"/>
      <c r="K72" s="3"/>
      <c r="M72" s="3"/>
    </row>
    <row r="73" spans="1:13" x14ac:dyDescent="0.2">
      <c r="E73" s="3"/>
      <c r="F73" s="3"/>
      <c r="G73" s="3"/>
      <c r="H73" s="3"/>
      <c r="I73" s="3"/>
      <c r="J73" s="3"/>
      <c r="K73" s="3"/>
      <c r="M73" s="3"/>
    </row>
    <row r="74" spans="1:13" x14ac:dyDescent="0.2">
      <c r="E74" s="3"/>
      <c r="F74" s="3"/>
      <c r="G74" s="3"/>
      <c r="H74" s="3"/>
      <c r="I74" s="3"/>
      <c r="J74" s="3"/>
      <c r="K74" s="3"/>
      <c r="M74" s="3"/>
    </row>
    <row r="75" spans="1:13" x14ac:dyDescent="0.2">
      <c r="E75" s="3"/>
      <c r="F75" s="3"/>
      <c r="G75" s="3"/>
      <c r="H75" s="3"/>
      <c r="I75" s="3"/>
      <c r="J75" s="3"/>
      <c r="K75" s="3"/>
      <c r="M75" s="3"/>
    </row>
    <row r="76" spans="1:13" x14ac:dyDescent="0.2">
      <c r="E76" s="3"/>
      <c r="F76" s="3"/>
      <c r="G76" s="3"/>
      <c r="H76" s="3"/>
      <c r="I76" s="3"/>
      <c r="J76" s="3"/>
      <c r="K76" s="3"/>
    </row>
    <row r="77" spans="1:13" x14ac:dyDescent="0.2">
      <c r="A77" s="1"/>
      <c r="B77" s="1"/>
      <c r="C77" s="1"/>
      <c r="D77" s="1"/>
      <c r="E77" s="3"/>
      <c r="F77" s="3"/>
      <c r="G77" s="3"/>
      <c r="H77" s="3"/>
      <c r="I77" s="3"/>
      <c r="J77" s="3"/>
      <c r="K77" s="3"/>
    </row>
    <row r="78" spans="1:13" x14ac:dyDescent="0.2">
      <c r="E78" s="3"/>
      <c r="F78" s="3"/>
      <c r="G78" s="3"/>
      <c r="H78" s="3"/>
      <c r="I78" s="3"/>
      <c r="J78" s="3"/>
      <c r="K78" s="3"/>
    </row>
    <row r="79" spans="1:13" x14ac:dyDescent="0.2">
      <c r="E79" s="3"/>
      <c r="F79" s="3"/>
      <c r="G79" s="3"/>
      <c r="H79" s="3"/>
      <c r="I79" s="3"/>
      <c r="J79" s="3"/>
      <c r="K79" s="3"/>
    </row>
    <row r="80" spans="1:13" x14ac:dyDescent="0.2">
      <c r="E80" s="3"/>
      <c r="F80" s="3"/>
      <c r="G80" s="3"/>
      <c r="H80" s="3"/>
      <c r="I80" s="3"/>
      <c r="J80" s="3"/>
      <c r="K80" s="3"/>
    </row>
    <row r="81" spans="5:11" x14ac:dyDescent="0.2">
      <c r="E81" s="3"/>
      <c r="F81" s="3"/>
      <c r="G81" s="3"/>
      <c r="H81" s="3"/>
      <c r="I81" s="3"/>
      <c r="J81" s="3"/>
      <c r="K81" s="3"/>
    </row>
    <row r="82" spans="5:11" x14ac:dyDescent="0.2">
      <c r="E82" s="3"/>
      <c r="F82" s="3"/>
      <c r="G82" s="3"/>
      <c r="H82" s="3"/>
      <c r="I82" s="3"/>
      <c r="J82" s="3"/>
      <c r="K82" s="3"/>
    </row>
    <row r="83" spans="5:11" x14ac:dyDescent="0.2">
      <c r="E83" s="3"/>
      <c r="F83" s="3"/>
      <c r="G83" s="3"/>
      <c r="H83" s="3"/>
      <c r="I83" s="3"/>
      <c r="J83" s="3"/>
      <c r="K83" s="3"/>
    </row>
    <row r="84" spans="5:11" x14ac:dyDescent="0.2">
      <c r="E84" s="3"/>
      <c r="F84" s="3"/>
      <c r="G84" s="3"/>
      <c r="H84" s="3"/>
      <c r="I84" s="3"/>
      <c r="J84" s="3"/>
      <c r="K84" s="3"/>
    </row>
    <row r="85" spans="5:11" x14ac:dyDescent="0.2">
      <c r="E85" s="3"/>
      <c r="F85" s="3"/>
      <c r="G85" s="3"/>
      <c r="H85" s="3"/>
      <c r="I85" s="3"/>
      <c r="J85" s="3"/>
      <c r="K85" s="3"/>
    </row>
    <row r="86" spans="5:11" x14ac:dyDescent="0.2">
      <c r="E86" s="3"/>
      <c r="F86" s="3"/>
      <c r="G86" s="3"/>
      <c r="H86" s="3"/>
      <c r="I86" s="3"/>
      <c r="J86" s="3"/>
      <c r="K86" s="3"/>
    </row>
    <row r="87" spans="5:11" x14ac:dyDescent="0.2">
      <c r="E87" s="3"/>
      <c r="F87" s="3"/>
      <c r="G87" s="3"/>
      <c r="H87" s="3"/>
      <c r="I87" s="3"/>
      <c r="J87" s="3"/>
      <c r="K87" s="3"/>
    </row>
    <row r="88" spans="5:11" x14ac:dyDescent="0.2">
      <c r="E88" s="3"/>
      <c r="F88" s="3"/>
      <c r="G88" s="3"/>
      <c r="H88" s="3"/>
      <c r="I88" s="3"/>
      <c r="J88" s="3"/>
      <c r="K88" s="3"/>
    </row>
    <row r="89" spans="5:11" x14ac:dyDescent="0.2">
      <c r="E89" s="3"/>
      <c r="F89" s="3"/>
      <c r="G89" s="3"/>
      <c r="H89" s="3"/>
      <c r="I89" s="3"/>
      <c r="J89" s="3"/>
      <c r="K89" s="3"/>
    </row>
    <row r="90" spans="5:11" x14ac:dyDescent="0.2">
      <c r="E90" s="3"/>
      <c r="F90" s="3"/>
      <c r="G90" s="3"/>
      <c r="H90" s="3"/>
      <c r="I90" s="3"/>
      <c r="J90" s="3"/>
      <c r="K90" s="3"/>
    </row>
  </sheetData>
  <mergeCells count="1">
    <mergeCell ref="E5:L5"/>
  </mergeCells>
  <phoneticPr fontId="0" type="noConversion"/>
  <pageMargins left="0.75" right="0.75" top="1" bottom="1" header="0.5" footer="0.5"/>
  <pageSetup scale="68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33"/>
  <sheetViews>
    <sheetView workbookViewId="0"/>
  </sheetViews>
  <sheetFormatPr defaultRowHeight="12.75" x14ac:dyDescent="0.2"/>
  <cols>
    <col min="1" max="3" width="4.7109375" style="15" customWidth="1"/>
    <col min="4" max="4" width="80.7109375" style="15" customWidth="1"/>
    <col min="5" max="11" width="9.140625" style="15"/>
    <col min="12" max="12" width="10.42578125" style="15" customWidth="1"/>
    <col min="13" max="16384" width="9.140625" style="15"/>
  </cols>
  <sheetData>
    <row r="1" spans="1:4" x14ac:dyDescent="0.2">
      <c r="A1" s="15" t="s">
        <v>927</v>
      </c>
    </row>
    <row r="3" spans="1:4" x14ac:dyDescent="0.2">
      <c r="A3" s="15" t="s">
        <v>838</v>
      </c>
    </row>
    <row r="5" spans="1:4" x14ac:dyDescent="0.2">
      <c r="A5" s="15" t="s">
        <v>928</v>
      </c>
    </row>
    <row r="6" spans="1:4" x14ac:dyDescent="0.2">
      <c r="B6" s="74"/>
    </row>
    <row r="7" spans="1:4" x14ac:dyDescent="0.2">
      <c r="A7" s="74" t="s">
        <v>929</v>
      </c>
      <c r="B7" s="74"/>
      <c r="C7" s="20"/>
      <c r="D7" s="15" t="s">
        <v>930</v>
      </c>
    </row>
    <row r="8" spans="1:4" x14ac:dyDescent="0.2">
      <c r="B8" s="74"/>
      <c r="C8" s="20"/>
      <c r="D8" s="15" t="s">
        <v>931</v>
      </c>
    </row>
    <row r="9" spans="1:4" x14ac:dyDescent="0.2">
      <c r="B9" s="74"/>
      <c r="C9" s="20"/>
    </row>
    <row r="10" spans="1:4" x14ac:dyDescent="0.2">
      <c r="A10" s="15" t="s">
        <v>932</v>
      </c>
      <c r="B10" s="74"/>
      <c r="C10" s="20"/>
      <c r="D10" s="15" t="s">
        <v>933</v>
      </c>
    </row>
    <row r="11" spans="1:4" x14ac:dyDescent="0.2">
      <c r="B11" s="74"/>
      <c r="C11" s="20"/>
      <c r="D11" s="15" t="s">
        <v>934</v>
      </c>
    </row>
    <row r="12" spans="1:4" x14ac:dyDescent="0.2">
      <c r="B12" s="74"/>
      <c r="C12" s="20"/>
    </row>
    <row r="13" spans="1:4" x14ac:dyDescent="0.2">
      <c r="A13" s="15" t="s">
        <v>900</v>
      </c>
      <c r="B13" s="74"/>
      <c r="C13" s="20"/>
      <c r="D13" s="15" t="s">
        <v>935</v>
      </c>
    </row>
    <row r="14" spans="1:4" x14ac:dyDescent="0.2">
      <c r="C14" s="20"/>
      <c r="D14" s="15" t="s">
        <v>936</v>
      </c>
    </row>
    <row r="15" spans="1:4" x14ac:dyDescent="0.2">
      <c r="C15" s="20"/>
    </row>
    <row r="16" spans="1:4" x14ac:dyDescent="0.2">
      <c r="C16" s="20"/>
      <c r="D16" s="15" t="s">
        <v>937</v>
      </c>
    </row>
    <row r="17" spans="1:4" x14ac:dyDescent="0.2">
      <c r="C17" s="20"/>
      <c r="D17" s="15" t="s">
        <v>938</v>
      </c>
    </row>
    <row r="19" spans="1:4" x14ac:dyDescent="0.2">
      <c r="A19" s="15" t="s">
        <v>939</v>
      </c>
      <c r="D19" s="15" t="s">
        <v>940</v>
      </c>
    </row>
    <row r="21" spans="1:4" x14ac:dyDescent="0.2">
      <c r="A21" s="15" t="s">
        <v>941</v>
      </c>
      <c r="D21" s="15" t="s">
        <v>797</v>
      </c>
    </row>
    <row r="23" spans="1:4" x14ac:dyDescent="0.2">
      <c r="A23" s="15" t="s">
        <v>942</v>
      </c>
      <c r="D23" s="15" t="s">
        <v>798</v>
      </c>
    </row>
    <row r="24" spans="1:4" x14ac:dyDescent="0.2">
      <c r="D24" s="15" t="s">
        <v>801</v>
      </c>
    </row>
    <row r="25" spans="1:4" x14ac:dyDescent="0.2">
      <c r="A25" s="20"/>
    </row>
    <row r="26" spans="1:4" x14ac:dyDescent="0.2">
      <c r="A26" s="15" t="s">
        <v>796</v>
      </c>
      <c r="D26" s="15" t="s">
        <v>943</v>
      </c>
    </row>
    <row r="27" spans="1:4" x14ac:dyDescent="0.2">
      <c r="D27" s="15" t="s">
        <v>802</v>
      </c>
    </row>
    <row r="28" spans="1:4" x14ac:dyDescent="0.2">
      <c r="A28" s="20"/>
    </row>
    <row r="29" spans="1:4" x14ac:dyDescent="0.2">
      <c r="A29" s="20"/>
      <c r="D29" s="15" t="s">
        <v>944</v>
      </c>
    </row>
    <row r="30" spans="1:4" x14ac:dyDescent="0.2">
      <c r="A30" s="20"/>
      <c r="D30" s="15" t="s">
        <v>804</v>
      </c>
    </row>
    <row r="31" spans="1:4" x14ac:dyDescent="0.2">
      <c r="D31" s="15" t="s">
        <v>803</v>
      </c>
    </row>
    <row r="33" spans="1:4" x14ac:dyDescent="0.2">
      <c r="D33" s="15" t="s">
        <v>945</v>
      </c>
    </row>
    <row r="34" spans="1:4" x14ac:dyDescent="0.2">
      <c r="D34" s="15" t="s">
        <v>799</v>
      </c>
    </row>
    <row r="35" spans="1:4" x14ac:dyDescent="0.2">
      <c r="D35" s="15" t="s">
        <v>800</v>
      </c>
    </row>
    <row r="36" spans="1:4" x14ac:dyDescent="0.2">
      <c r="A36" s="20"/>
    </row>
    <row r="37" spans="1:4" x14ac:dyDescent="0.2">
      <c r="A37" s="15" t="s">
        <v>946</v>
      </c>
      <c r="D37" s="15" t="s">
        <v>806</v>
      </c>
    </row>
    <row r="38" spans="1:4" x14ac:dyDescent="0.2">
      <c r="D38" s="15" t="s">
        <v>947</v>
      </c>
    </row>
    <row r="40" spans="1:4" x14ac:dyDescent="0.2">
      <c r="A40" s="15" t="s">
        <v>948</v>
      </c>
      <c r="D40" s="15" t="s">
        <v>806</v>
      </c>
    </row>
    <row r="41" spans="1:4" x14ac:dyDescent="0.2">
      <c r="D41" s="15" t="s">
        <v>949</v>
      </c>
    </row>
    <row r="43" spans="1:4" x14ac:dyDescent="0.2">
      <c r="A43" s="15" t="s">
        <v>950</v>
      </c>
      <c r="D43" s="15" t="s">
        <v>951</v>
      </c>
    </row>
    <row r="45" spans="1:4" x14ac:dyDescent="0.2">
      <c r="A45" s="15" t="s">
        <v>952</v>
      </c>
    </row>
    <row r="47" spans="1:4" x14ac:dyDescent="0.2">
      <c r="A47" s="15" t="s">
        <v>953</v>
      </c>
    </row>
    <row r="49" spans="1:2" x14ac:dyDescent="0.2">
      <c r="A49" s="16" t="s">
        <v>954</v>
      </c>
    </row>
    <row r="50" spans="1:2" x14ac:dyDescent="0.2">
      <c r="A50" s="15" t="s">
        <v>955</v>
      </c>
    </row>
    <row r="52" spans="1:2" x14ac:dyDescent="0.2">
      <c r="A52" s="16" t="s">
        <v>956</v>
      </c>
    </row>
    <row r="53" spans="1:2" x14ac:dyDescent="0.2">
      <c r="A53" s="15" t="s">
        <v>957</v>
      </c>
    </row>
    <row r="54" spans="1:2" x14ac:dyDescent="0.2">
      <c r="A54" s="16" t="s">
        <v>958</v>
      </c>
    </row>
    <row r="55" spans="1:2" x14ac:dyDescent="0.2">
      <c r="A55" s="15" t="s">
        <v>959</v>
      </c>
    </row>
    <row r="57" spans="1:2" x14ac:dyDescent="0.2">
      <c r="A57" s="15" t="s">
        <v>441</v>
      </c>
    </row>
    <row r="59" spans="1:2" x14ac:dyDescent="0.2">
      <c r="A59" s="17" t="s">
        <v>442</v>
      </c>
      <c r="B59" s="15" t="s">
        <v>960</v>
      </c>
    </row>
    <row r="60" spans="1:2" x14ac:dyDescent="0.2">
      <c r="A60" s="17"/>
      <c r="B60" s="16" t="s">
        <v>961</v>
      </c>
    </row>
    <row r="61" spans="1:2" x14ac:dyDescent="0.2">
      <c r="A61" s="17"/>
      <c r="B61" s="15" t="s">
        <v>962</v>
      </c>
    </row>
    <row r="62" spans="1:2" x14ac:dyDescent="0.2">
      <c r="A62" s="17"/>
      <c r="B62" s="15" t="s">
        <v>963</v>
      </c>
    </row>
    <row r="63" spans="1:2" x14ac:dyDescent="0.2">
      <c r="A63" s="17"/>
      <c r="B63" s="15" t="s">
        <v>964</v>
      </c>
    </row>
    <row r="64" spans="1:2" x14ac:dyDescent="0.2">
      <c r="A64" s="17"/>
    </row>
    <row r="65" spans="1:4" x14ac:dyDescent="0.2">
      <c r="A65" s="17" t="s">
        <v>827</v>
      </c>
      <c r="B65" s="15" t="s">
        <v>965</v>
      </c>
    </row>
    <row r="66" spans="1:4" x14ac:dyDescent="0.2">
      <c r="A66" s="17"/>
      <c r="B66" s="15" t="s">
        <v>966</v>
      </c>
    </row>
    <row r="67" spans="1:4" x14ac:dyDescent="0.2">
      <c r="A67" s="17"/>
      <c r="B67" s="15" t="s">
        <v>967</v>
      </c>
    </row>
    <row r="68" spans="1:4" x14ac:dyDescent="0.2">
      <c r="A68" s="17"/>
      <c r="B68" s="15" t="s">
        <v>968</v>
      </c>
    </row>
    <row r="69" spans="1:4" x14ac:dyDescent="0.2">
      <c r="A69" s="17"/>
    </row>
    <row r="70" spans="1:4" x14ac:dyDescent="0.2">
      <c r="A70" s="17" t="s">
        <v>443</v>
      </c>
      <c r="B70" s="15" t="s">
        <v>444</v>
      </c>
    </row>
    <row r="72" spans="1:4" x14ac:dyDescent="0.2">
      <c r="B72" s="18" t="s">
        <v>445</v>
      </c>
      <c r="C72" s="18" t="s">
        <v>446</v>
      </c>
      <c r="D72" s="18"/>
    </row>
    <row r="73" spans="1:4" x14ac:dyDescent="0.2">
      <c r="B73" s="18"/>
      <c r="C73" s="18"/>
      <c r="D73" s="18"/>
    </row>
    <row r="74" spans="1:4" x14ac:dyDescent="0.2">
      <c r="B74" s="18"/>
      <c r="C74" s="18" t="s">
        <v>969</v>
      </c>
      <c r="D74" s="18"/>
    </row>
    <row r="75" spans="1:4" x14ac:dyDescent="0.2">
      <c r="B75" s="18"/>
      <c r="C75" s="18" t="s">
        <v>970</v>
      </c>
      <c r="D75" s="18"/>
    </row>
    <row r="76" spans="1:4" x14ac:dyDescent="0.2">
      <c r="B76" s="18"/>
      <c r="C76" s="18" t="s">
        <v>971</v>
      </c>
      <c r="D76" s="18"/>
    </row>
    <row r="77" spans="1:4" x14ac:dyDescent="0.2">
      <c r="B77" s="18"/>
      <c r="C77" s="18" t="s">
        <v>972</v>
      </c>
      <c r="D77" s="18"/>
    </row>
    <row r="78" spans="1:4" x14ac:dyDescent="0.2">
      <c r="B78" s="18"/>
      <c r="C78" s="18"/>
      <c r="D78" s="18"/>
    </row>
    <row r="79" spans="1:4" x14ac:dyDescent="0.2">
      <c r="B79" s="18"/>
      <c r="C79" s="18" t="s">
        <v>973</v>
      </c>
      <c r="D79" s="18"/>
    </row>
    <row r="80" spans="1:4" x14ac:dyDescent="0.2">
      <c r="B80" s="18"/>
      <c r="C80" s="16" t="s">
        <v>974</v>
      </c>
      <c r="D80" s="18"/>
    </row>
    <row r="81" spans="2:4" x14ac:dyDescent="0.2">
      <c r="B81" s="18"/>
      <c r="C81" s="16" t="s">
        <v>975</v>
      </c>
      <c r="D81" s="18"/>
    </row>
    <row r="82" spans="2:4" x14ac:dyDescent="0.2">
      <c r="B82" s="18"/>
      <c r="C82" s="15" t="s">
        <v>976</v>
      </c>
      <c r="D82" s="18"/>
    </row>
    <row r="83" spans="2:4" x14ac:dyDescent="0.2">
      <c r="B83" s="18"/>
      <c r="C83" s="15" t="s">
        <v>977</v>
      </c>
      <c r="D83" s="18"/>
    </row>
    <row r="84" spans="2:4" x14ac:dyDescent="0.2">
      <c r="B84" s="18"/>
      <c r="C84" s="15" t="s">
        <v>978</v>
      </c>
      <c r="D84" s="18"/>
    </row>
    <row r="85" spans="2:4" x14ac:dyDescent="0.2">
      <c r="B85" s="18"/>
      <c r="C85" s="18" t="s">
        <v>979</v>
      </c>
      <c r="D85" s="18"/>
    </row>
    <row r="86" spans="2:4" x14ac:dyDescent="0.2">
      <c r="B86" s="18"/>
      <c r="C86" s="18"/>
      <c r="D86" s="18"/>
    </row>
    <row r="87" spans="2:4" x14ac:dyDescent="0.2">
      <c r="B87" s="18" t="s">
        <v>447</v>
      </c>
      <c r="C87" s="18" t="s">
        <v>980</v>
      </c>
      <c r="D87" s="18"/>
    </row>
    <row r="88" spans="2:4" x14ac:dyDescent="0.2">
      <c r="B88" s="18"/>
      <c r="C88" s="18" t="s">
        <v>981</v>
      </c>
      <c r="D88" s="18"/>
    </row>
    <row r="89" spans="2:4" x14ac:dyDescent="0.2">
      <c r="B89" s="18"/>
      <c r="C89" s="18" t="s">
        <v>982</v>
      </c>
      <c r="D89" s="18"/>
    </row>
    <row r="90" spans="2:4" x14ac:dyDescent="0.2">
      <c r="B90" s="18"/>
      <c r="C90" s="18"/>
      <c r="D90" s="18"/>
    </row>
    <row r="91" spans="2:4" x14ac:dyDescent="0.2">
      <c r="B91" s="18" t="s">
        <v>448</v>
      </c>
      <c r="C91" s="18" t="s">
        <v>449</v>
      </c>
      <c r="D91" s="18"/>
    </row>
    <row r="92" spans="2:4" x14ac:dyDescent="0.2">
      <c r="B92" s="18"/>
      <c r="C92" s="18"/>
      <c r="D92" s="18"/>
    </row>
    <row r="93" spans="2:4" x14ac:dyDescent="0.2">
      <c r="B93" s="18"/>
      <c r="C93" s="16" t="s">
        <v>450</v>
      </c>
      <c r="D93" s="18" t="s">
        <v>0</v>
      </c>
    </row>
    <row r="94" spans="2:4" x14ac:dyDescent="0.2">
      <c r="B94" s="18"/>
      <c r="C94" s="18"/>
      <c r="D94" s="18" t="s">
        <v>1</v>
      </c>
    </row>
    <row r="95" spans="2:4" x14ac:dyDescent="0.2">
      <c r="B95" s="18"/>
      <c r="C95" s="18"/>
      <c r="D95" s="18" t="s">
        <v>2</v>
      </c>
    </row>
    <row r="96" spans="2:4" x14ac:dyDescent="0.2">
      <c r="B96" s="18"/>
      <c r="C96" s="18"/>
      <c r="D96" s="18" t="s">
        <v>3</v>
      </c>
    </row>
    <row r="97" spans="1:4" x14ac:dyDescent="0.2">
      <c r="B97" s="18"/>
      <c r="C97" s="18"/>
      <c r="D97" s="18" t="s">
        <v>4</v>
      </c>
    </row>
    <row r="98" spans="1:4" x14ac:dyDescent="0.2">
      <c r="B98" s="18"/>
      <c r="C98" s="18"/>
      <c r="D98" s="18"/>
    </row>
    <row r="99" spans="1:4" x14ac:dyDescent="0.2">
      <c r="B99" s="18"/>
      <c r="C99" s="16" t="s">
        <v>451</v>
      </c>
      <c r="D99" s="18" t="s">
        <v>5</v>
      </c>
    </row>
    <row r="100" spans="1:4" x14ac:dyDescent="0.2">
      <c r="B100" s="18"/>
      <c r="C100" s="18"/>
      <c r="D100" s="18" t="s">
        <v>6</v>
      </c>
    </row>
    <row r="101" spans="1:4" x14ac:dyDescent="0.2">
      <c r="B101" s="18"/>
      <c r="C101" s="18"/>
      <c r="D101" s="18" t="s">
        <v>7</v>
      </c>
    </row>
    <row r="102" spans="1:4" x14ac:dyDescent="0.2">
      <c r="B102" s="18"/>
      <c r="C102" s="18"/>
      <c r="D102" s="18" t="s">
        <v>8</v>
      </c>
    </row>
    <row r="103" spans="1:4" x14ac:dyDescent="0.2">
      <c r="B103" s="18"/>
      <c r="C103" s="18"/>
      <c r="D103" s="18" t="s">
        <v>9</v>
      </c>
    </row>
    <row r="104" spans="1:4" x14ac:dyDescent="0.2">
      <c r="B104" s="18"/>
      <c r="C104" s="18"/>
      <c r="D104" s="18"/>
    </row>
    <row r="105" spans="1:4" x14ac:dyDescent="0.2">
      <c r="A105" s="15" t="s">
        <v>452</v>
      </c>
      <c r="B105" s="18" t="s">
        <v>453</v>
      </c>
      <c r="C105" s="18"/>
      <c r="D105" s="18"/>
    </row>
    <row r="106" spans="1:4" x14ac:dyDescent="0.2">
      <c r="B106" s="18"/>
      <c r="C106" s="18"/>
      <c r="D106" s="18"/>
    </row>
    <row r="107" spans="1:4" x14ac:dyDescent="0.2">
      <c r="B107" s="18" t="s">
        <v>454</v>
      </c>
      <c r="C107" s="16" t="s">
        <v>10</v>
      </c>
      <c r="D107" s="18"/>
    </row>
    <row r="108" spans="1:4" x14ac:dyDescent="0.2">
      <c r="B108" s="18"/>
      <c r="C108" s="18" t="s">
        <v>11</v>
      </c>
      <c r="D108" s="18"/>
    </row>
    <row r="109" spans="1:4" x14ac:dyDescent="0.2">
      <c r="B109" s="18"/>
      <c r="C109" s="18" t="s">
        <v>12</v>
      </c>
      <c r="D109" s="18"/>
    </row>
    <row r="110" spans="1:4" x14ac:dyDescent="0.2">
      <c r="B110" s="18"/>
      <c r="C110" s="18" t="s">
        <v>13</v>
      </c>
      <c r="D110" s="18"/>
    </row>
    <row r="111" spans="1:4" x14ac:dyDescent="0.2">
      <c r="B111" s="18"/>
      <c r="C111" s="18" t="s">
        <v>14</v>
      </c>
      <c r="D111" s="18"/>
    </row>
    <row r="112" spans="1:4" x14ac:dyDescent="0.2">
      <c r="B112" s="18"/>
      <c r="C112" s="18" t="s">
        <v>15</v>
      </c>
      <c r="D112" s="18"/>
    </row>
    <row r="113" spans="1:4" x14ac:dyDescent="0.2">
      <c r="B113" s="18"/>
      <c r="C113" s="18" t="s">
        <v>16</v>
      </c>
      <c r="D113" s="18"/>
    </row>
    <row r="114" spans="1:4" x14ac:dyDescent="0.2">
      <c r="B114" s="18"/>
      <c r="C114" s="18" t="s">
        <v>17</v>
      </c>
      <c r="D114" s="18"/>
    </row>
    <row r="115" spans="1:4" x14ac:dyDescent="0.2">
      <c r="B115" s="18"/>
      <c r="C115" s="18"/>
      <c r="D115" s="18"/>
    </row>
    <row r="116" spans="1:4" x14ac:dyDescent="0.2">
      <c r="B116" s="18" t="s">
        <v>455</v>
      </c>
      <c r="C116" s="18" t="s">
        <v>18</v>
      </c>
      <c r="D116" s="18"/>
    </row>
    <row r="117" spans="1:4" x14ac:dyDescent="0.2">
      <c r="B117" s="18"/>
      <c r="C117" s="18" t="s">
        <v>19</v>
      </c>
      <c r="D117" s="18"/>
    </row>
    <row r="118" spans="1:4" x14ac:dyDescent="0.2">
      <c r="B118" s="18"/>
      <c r="C118" s="18" t="s">
        <v>20</v>
      </c>
      <c r="D118" s="18"/>
    </row>
    <row r="119" spans="1:4" x14ac:dyDescent="0.2">
      <c r="B119" s="18"/>
      <c r="C119" s="18"/>
      <c r="D119" s="18"/>
    </row>
    <row r="120" spans="1:4" x14ac:dyDescent="0.2">
      <c r="B120" s="18" t="s">
        <v>458</v>
      </c>
      <c r="C120" s="18" t="s">
        <v>21</v>
      </c>
      <c r="D120" s="18"/>
    </row>
    <row r="121" spans="1:4" x14ac:dyDescent="0.2">
      <c r="B121" s="18"/>
      <c r="C121" s="18" t="s">
        <v>22</v>
      </c>
      <c r="D121" s="18"/>
    </row>
    <row r="122" spans="1:4" x14ac:dyDescent="0.2">
      <c r="B122" s="18"/>
      <c r="C122" s="18"/>
      <c r="D122" s="18"/>
    </row>
    <row r="123" spans="1:4" x14ac:dyDescent="0.2">
      <c r="A123" s="15" t="s">
        <v>456</v>
      </c>
      <c r="B123" s="16" t="s">
        <v>23</v>
      </c>
      <c r="C123" s="18"/>
      <c r="D123" s="18"/>
    </row>
    <row r="124" spans="1:4" x14ac:dyDescent="0.2">
      <c r="B124" s="16" t="s">
        <v>24</v>
      </c>
      <c r="C124" s="18"/>
      <c r="D124" s="18"/>
    </row>
    <row r="125" spans="1:4" x14ac:dyDescent="0.2">
      <c r="B125" s="16" t="s">
        <v>25</v>
      </c>
      <c r="C125" s="18"/>
      <c r="D125" s="18"/>
    </row>
    <row r="126" spans="1:4" x14ac:dyDescent="0.2">
      <c r="B126" s="18" t="s">
        <v>26</v>
      </c>
      <c r="C126" s="18"/>
      <c r="D126" s="18"/>
    </row>
    <row r="127" spans="1:4" x14ac:dyDescent="0.2">
      <c r="B127" s="18" t="s">
        <v>27</v>
      </c>
      <c r="C127" s="18"/>
      <c r="D127" s="18"/>
    </row>
    <row r="128" spans="1:4" x14ac:dyDescent="0.2">
      <c r="B128" s="15" t="s">
        <v>28</v>
      </c>
    </row>
    <row r="129" spans="2:2" x14ac:dyDescent="0.2">
      <c r="B129" s="15" t="s">
        <v>29</v>
      </c>
    </row>
    <row r="131" spans="2:2" x14ac:dyDescent="0.2">
      <c r="B131" s="15" t="s">
        <v>30</v>
      </c>
    </row>
    <row r="132" spans="2:2" x14ac:dyDescent="0.2">
      <c r="B132" s="15" t="s">
        <v>31</v>
      </c>
    </row>
    <row r="133" spans="2:2" x14ac:dyDescent="0.2">
      <c r="B133" s="19" t="s">
        <v>457</v>
      </c>
    </row>
  </sheetData>
  <phoneticPr fontId="0" type="noConversion"/>
  <pageMargins left="1.25" right="0.75" top="1" bottom="1" header="0.5" footer="0.5"/>
  <pageSetup scale="77" fitToHeight="2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48"/>
  <sheetViews>
    <sheetView workbookViewId="0"/>
  </sheetViews>
  <sheetFormatPr defaultRowHeight="12.75" x14ac:dyDescent="0.2"/>
  <cols>
    <col min="1" max="1" width="96" style="20" customWidth="1"/>
    <col min="2" max="16384" width="9.140625" style="20"/>
  </cols>
  <sheetData>
    <row r="1" spans="1:1" x14ac:dyDescent="0.2">
      <c r="A1" s="21" t="s">
        <v>494</v>
      </c>
    </row>
    <row r="3" spans="1:1" x14ac:dyDescent="0.2">
      <c r="A3" s="20" t="s">
        <v>459</v>
      </c>
    </row>
    <row r="5" spans="1:1" x14ac:dyDescent="0.2">
      <c r="A5" s="20" t="s">
        <v>460</v>
      </c>
    </row>
    <row r="7" spans="1:1" x14ac:dyDescent="0.2">
      <c r="A7" s="20" t="s">
        <v>461</v>
      </c>
    </row>
    <row r="8" spans="1:1" x14ac:dyDescent="0.2">
      <c r="A8" s="20" t="s">
        <v>462</v>
      </c>
    </row>
    <row r="10" spans="1:1" x14ac:dyDescent="0.2">
      <c r="A10" s="20" t="s">
        <v>463</v>
      </c>
    </row>
    <row r="11" spans="1:1" x14ac:dyDescent="0.2">
      <c r="A11" s="20" t="s">
        <v>464</v>
      </c>
    </row>
    <row r="12" spans="1:1" x14ac:dyDescent="0.2">
      <c r="A12" s="20" t="s">
        <v>465</v>
      </c>
    </row>
    <row r="13" spans="1:1" x14ac:dyDescent="0.2">
      <c r="A13" s="20" t="s">
        <v>466</v>
      </c>
    </row>
    <row r="14" spans="1:1" x14ac:dyDescent="0.2">
      <c r="A14" s="20" t="s">
        <v>467</v>
      </c>
    </row>
    <row r="15" spans="1:1" x14ac:dyDescent="0.2">
      <c r="A15" s="20" t="s">
        <v>468</v>
      </c>
    </row>
    <row r="17" spans="1:1" x14ac:dyDescent="0.2">
      <c r="A17" s="20" t="s">
        <v>469</v>
      </c>
    </row>
    <row r="19" spans="1:1" x14ac:dyDescent="0.2">
      <c r="A19" s="20" t="s">
        <v>470</v>
      </c>
    </row>
    <row r="21" spans="1:1" x14ac:dyDescent="0.2">
      <c r="A21" s="20" t="s">
        <v>471</v>
      </c>
    </row>
    <row r="22" spans="1:1" x14ac:dyDescent="0.2">
      <c r="A22" s="20" t="s">
        <v>472</v>
      </c>
    </row>
    <row r="23" spans="1:1" x14ac:dyDescent="0.2">
      <c r="A23" s="20" t="s">
        <v>473</v>
      </c>
    </row>
    <row r="25" spans="1:1" x14ac:dyDescent="0.2">
      <c r="A25" s="21" t="s">
        <v>474</v>
      </c>
    </row>
    <row r="27" spans="1:1" x14ac:dyDescent="0.2">
      <c r="A27" s="20" t="s">
        <v>475</v>
      </c>
    </row>
    <row r="28" spans="1:1" x14ac:dyDescent="0.2">
      <c r="A28" s="20" t="s">
        <v>476</v>
      </c>
    </row>
    <row r="29" spans="1:1" x14ac:dyDescent="0.2">
      <c r="A29" s="20" t="s">
        <v>477</v>
      </c>
    </row>
    <row r="30" spans="1:1" x14ac:dyDescent="0.2">
      <c r="A30" s="20" t="s">
        <v>478</v>
      </c>
    </row>
    <row r="31" spans="1:1" x14ac:dyDescent="0.2">
      <c r="A31" s="20" t="s">
        <v>479</v>
      </c>
    </row>
    <row r="32" spans="1:1" x14ac:dyDescent="0.2">
      <c r="A32" s="20" t="s">
        <v>480</v>
      </c>
    </row>
    <row r="33" spans="1:1" x14ac:dyDescent="0.2">
      <c r="A33" s="20" t="s">
        <v>481</v>
      </c>
    </row>
    <row r="35" spans="1:1" x14ac:dyDescent="0.2">
      <c r="A35" s="20" t="s">
        <v>482</v>
      </c>
    </row>
    <row r="36" spans="1:1" x14ac:dyDescent="0.2">
      <c r="A36" s="20" t="s">
        <v>483</v>
      </c>
    </row>
    <row r="37" spans="1:1" x14ac:dyDescent="0.2">
      <c r="A37" s="20" t="s">
        <v>484</v>
      </c>
    </row>
    <row r="39" spans="1:1" x14ac:dyDescent="0.2">
      <c r="A39" s="20" t="s">
        <v>485</v>
      </c>
    </row>
    <row r="40" spans="1:1" x14ac:dyDescent="0.2">
      <c r="A40" s="20" t="s">
        <v>486</v>
      </c>
    </row>
    <row r="41" spans="1:1" x14ac:dyDescent="0.2">
      <c r="A41" s="20" t="s">
        <v>487</v>
      </c>
    </row>
    <row r="42" spans="1:1" x14ac:dyDescent="0.2">
      <c r="A42" s="20" t="s">
        <v>488</v>
      </c>
    </row>
    <row r="43" spans="1:1" x14ac:dyDescent="0.2">
      <c r="A43" s="20" t="s">
        <v>489</v>
      </c>
    </row>
    <row r="44" spans="1:1" x14ac:dyDescent="0.2">
      <c r="A44" s="20" t="s">
        <v>490</v>
      </c>
    </row>
    <row r="45" spans="1:1" x14ac:dyDescent="0.2">
      <c r="A45" s="20" t="s">
        <v>491</v>
      </c>
    </row>
    <row r="46" spans="1:1" x14ac:dyDescent="0.2">
      <c r="A46" s="20" t="s">
        <v>492</v>
      </c>
    </row>
    <row r="48" spans="1:1" x14ac:dyDescent="0.2">
      <c r="A48" s="20" t="s">
        <v>493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449"/>
  <sheetViews>
    <sheetView zoomScale="75" workbookViewId="0">
      <selection activeCell="A14" sqref="A14"/>
    </sheetView>
  </sheetViews>
  <sheetFormatPr defaultRowHeight="12.75" x14ac:dyDescent="0.2"/>
  <cols>
    <col min="1" max="1" width="4.7109375" customWidth="1"/>
    <col min="2" max="2" width="3.28515625" customWidth="1"/>
    <col min="3" max="3" width="7.7109375" customWidth="1"/>
    <col min="4" max="4" width="2.28515625" customWidth="1"/>
    <col min="5" max="16" width="7.7109375" customWidth="1"/>
    <col min="17" max="17" width="2.28515625" customWidth="1"/>
    <col min="18" max="26" width="7.7109375" customWidth="1"/>
  </cols>
  <sheetData>
    <row r="1" spans="1:26" x14ac:dyDescent="0.2">
      <c r="A1" s="41" t="s">
        <v>794</v>
      </c>
    </row>
    <row r="2" spans="1:26" x14ac:dyDescent="0.2">
      <c r="A2" s="41"/>
    </row>
    <row r="3" spans="1:26" x14ac:dyDescent="0.2">
      <c r="A3" s="41" t="s">
        <v>789</v>
      </c>
    </row>
    <row r="4" spans="1:26" x14ac:dyDescent="0.2">
      <c r="A4" s="41" t="s">
        <v>790</v>
      </c>
    </row>
    <row r="5" spans="1:26" x14ac:dyDescent="0.2">
      <c r="A5" s="41" t="s">
        <v>791</v>
      </c>
    </row>
    <row r="7" spans="1:26" x14ac:dyDescent="0.2">
      <c r="C7" s="27"/>
      <c r="F7" s="22" t="s">
        <v>580</v>
      </c>
      <c r="S7" s="22" t="s">
        <v>581</v>
      </c>
    </row>
    <row r="8" spans="1:26" x14ac:dyDescent="0.2">
      <c r="F8" s="22" t="s">
        <v>582</v>
      </c>
      <c r="S8" s="22" t="s">
        <v>582</v>
      </c>
    </row>
    <row r="9" spans="1:26" x14ac:dyDescent="0.2">
      <c r="F9" s="22"/>
      <c r="S9" s="22"/>
    </row>
    <row r="10" spans="1:26" x14ac:dyDescent="0.2">
      <c r="F10" s="23" t="s">
        <v>583</v>
      </c>
      <c r="G10" s="1"/>
      <c r="H10" s="1"/>
      <c r="I10" s="23" t="s">
        <v>584</v>
      </c>
      <c r="J10" s="1"/>
      <c r="K10" s="1"/>
      <c r="L10" s="23" t="s">
        <v>585</v>
      </c>
      <c r="M10" s="1"/>
      <c r="N10" s="1"/>
      <c r="O10" s="23" t="s">
        <v>586</v>
      </c>
      <c r="P10" s="1"/>
      <c r="Q10" s="1"/>
      <c r="R10" s="1"/>
      <c r="S10" s="23" t="s">
        <v>583</v>
      </c>
      <c r="T10" s="1"/>
      <c r="U10" s="1"/>
      <c r="V10" s="23" t="s">
        <v>584</v>
      </c>
      <c r="W10" s="1"/>
      <c r="X10" s="1"/>
      <c r="Y10" s="23" t="s">
        <v>585</v>
      </c>
      <c r="Z10" s="1"/>
    </row>
    <row r="11" spans="1:26" x14ac:dyDescent="0.2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E12" s="23" t="s">
        <v>36</v>
      </c>
      <c r="F12" s="23" t="s">
        <v>587</v>
      </c>
      <c r="G12" s="1"/>
      <c r="H12" s="23" t="s">
        <v>36</v>
      </c>
      <c r="I12" s="23" t="s">
        <v>587</v>
      </c>
      <c r="J12" s="1"/>
      <c r="K12" s="23" t="s">
        <v>36</v>
      </c>
      <c r="L12" s="23" t="s">
        <v>587</v>
      </c>
      <c r="M12" s="1"/>
      <c r="N12" s="23" t="s">
        <v>36</v>
      </c>
      <c r="O12" s="23" t="s">
        <v>587</v>
      </c>
      <c r="P12" s="1"/>
      <c r="Q12" s="1"/>
      <c r="R12" s="23" t="s">
        <v>36</v>
      </c>
      <c r="S12" s="23" t="s">
        <v>587</v>
      </c>
      <c r="T12" s="1"/>
      <c r="U12" s="23" t="s">
        <v>36</v>
      </c>
      <c r="V12" s="23" t="s">
        <v>587</v>
      </c>
      <c r="W12" s="1"/>
      <c r="X12" s="23" t="s">
        <v>36</v>
      </c>
      <c r="Y12" s="23" t="s">
        <v>587</v>
      </c>
      <c r="Z12" s="1"/>
    </row>
    <row r="13" spans="1:26" x14ac:dyDescent="0.2">
      <c r="A13" s="23"/>
      <c r="E13" s="28" t="s">
        <v>588</v>
      </c>
      <c r="F13" s="28" t="s">
        <v>588</v>
      </c>
      <c r="G13" s="28" t="s">
        <v>589</v>
      </c>
      <c r="H13" s="28" t="s">
        <v>588</v>
      </c>
      <c r="I13" s="28" t="s">
        <v>588</v>
      </c>
      <c r="J13" s="28" t="s">
        <v>589</v>
      </c>
      <c r="K13" s="28" t="s">
        <v>588</v>
      </c>
      <c r="L13" s="28" t="s">
        <v>588</v>
      </c>
      <c r="M13" s="28" t="s">
        <v>589</v>
      </c>
      <c r="N13" s="28" t="s">
        <v>588</v>
      </c>
      <c r="O13" s="28" t="s">
        <v>588</v>
      </c>
      <c r="P13" s="28" t="s">
        <v>589</v>
      </c>
      <c r="Q13" s="1"/>
      <c r="R13" s="28" t="s">
        <v>588</v>
      </c>
      <c r="S13" s="28" t="s">
        <v>588</v>
      </c>
      <c r="T13" s="28" t="s">
        <v>589</v>
      </c>
      <c r="U13" s="28" t="s">
        <v>588</v>
      </c>
      <c r="V13" s="28" t="s">
        <v>588</v>
      </c>
      <c r="W13" s="28" t="s">
        <v>589</v>
      </c>
      <c r="X13" s="28" t="s">
        <v>588</v>
      </c>
      <c r="Y13" s="28" t="s">
        <v>588</v>
      </c>
      <c r="Z13" s="28" t="s">
        <v>589</v>
      </c>
    </row>
    <row r="15" spans="1:26" x14ac:dyDescent="0.2">
      <c r="A15" s="29">
        <v>1</v>
      </c>
      <c r="B15" s="29">
        <v>1</v>
      </c>
      <c r="C15" s="22" t="s">
        <v>63</v>
      </c>
      <c r="D15" s="22" t="s">
        <v>590</v>
      </c>
      <c r="E15" s="29">
        <v>81</v>
      </c>
      <c r="F15" s="29">
        <v>99</v>
      </c>
      <c r="G15" s="30">
        <v>2</v>
      </c>
      <c r="H15" s="29"/>
      <c r="I15" s="29"/>
      <c r="J15" s="30"/>
      <c r="K15" s="29"/>
      <c r="L15" s="29"/>
      <c r="M15" s="30"/>
      <c r="N15" s="29"/>
      <c r="O15" s="29"/>
      <c r="P15" s="30"/>
      <c r="Q15" s="22" t="s">
        <v>590</v>
      </c>
      <c r="T15" s="30"/>
      <c r="W15" s="30"/>
      <c r="Z15" s="30"/>
    </row>
    <row r="16" spans="1:26" x14ac:dyDescent="0.2">
      <c r="A16" s="29">
        <v>1</v>
      </c>
      <c r="B16" s="29">
        <v>3</v>
      </c>
      <c r="C16" s="22" t="s">
        <v>64</v>
      </c>
      <c r="D16" s="22" t="s">
        <v>590</v>
      </c>
      <c r="E16" s="29"/>
      <c r="F16" s="29"/>
      <c r="G16" s="30"/>
      <c r="H16" s="29"/>
      <c r="I16" s="29"/>
      <c r="J16" s="30"/>
      <c r="K16" s="29"/>
      <c r="L16" s="29"/>
      <c r="M16" s="30"/>
      <c r="N16" s="29"/>
      <c r="O16" s="29"/>
      <c r="P16" s="30"/>
      <c r="Q16" s="22" t="s">
        <v>590</v>
      </c>
      <c r="T16" s="30"/>
      <c r="W16" s="30"/>
      <c r="Z16" s="30"/>
    </row>
    <row r="17" spans="1:26" x14ac:dyDescent="0.2">
      <c r="A17" s="29">
        <v>2</v>
      </c>
      <c r="B17" s="29">
        <v>1</v>
      </c>
      <c r="C17" s="22" t="s">
        <v>65</v>
      </c>
      <c r="D17" s="22" t="s">
        <v>590</v>
      </c>
      <c r="E17" s="29"/>
      <c r="F17" s="29"/>
      <c r="G17" s="30"/>
      <c r="H17" s="29"/>
      <c r="I17" s="29"/>
      <c r="J17" s="30"/>
      <c r="K17" s="29"/>
      <c r="L17" s="29"/>
      <c r="M17" s="30"/>
      <c r="N17" s="29"/>
      <c r="O17" s="29"/>
      <c r="P17" s="30"/>
      <c r="Q17" s="22" t="s">
        <v>590</v>
      </c>
      <c r="T17" s="30"/>
      <c r="W17" s="30"/>
      <c r="Z17" s="30"/>
    </row>
    <row r="18" spans="1:26" x14ac:dyDescent="0.2">
      <c r="A18" s="29">
        <v>4</v>
      </c>
      <c r="B18" s="29">
        <v>1</v>
      </c>
      <c r="C18" s="22" t="s">
        <v>66</v>
      </c>
      <c r="D18" s="22" t="s">
        <v>590</v>
      </c>
      <c r="E18" s="29"/>
      <c r="F18" s="29"/>
      <c r="G18" s="30"/>
      <c r="H18" s="29"/>
      <c r="I18" s="29"/>
      <c r="J18" s="30"/>
      <c r="K18" s="29"/>
      <c r="L18" s="29"/>
      <c r="M18" s="30"/>
      <c r="N18" s="29"/>
      <c r="O18" s="29"/>
      <c r="P18" s="30"/>
      <c r="Q18" s="22" t="s">
        <v>590</v>
      </c>
      <c r="T18" s="30"/>
      <c r="W18" s="30"/>
      <c r="Z18" s="30"/>
    </row>
    <row r="19" spans="1:26" x14ac:dyDescent="0.2">
      <c r="A19" s="29">
        <v>6</v>
      </c>
      <c r="B19" s="29">
        <v>3</v>
      </c>
      <c r="C19" s="22" t="s">
        <v>67</v>
      </c>
      <c r="D19" s="22" t="s">
        <v>590</v>
      </c>
      <c r="E19" s="29">
        <v>85</v>
      </c>
      <c r="F19" s="29">
        <v>99</v>
      </c>
      <c r="G19" s="30">
        <v>8</v>
      </c>
      <c r="H19" s="29">
        <v>87</v>
      </c>
      <c r="I19" s="29">
        <v>99</v>
      </c>
      <c r="J19" s="30">
        <v>7.1</v>
      </c>
      <c r="K19" s="29"/>
      <c r="L19" s="29"/>
      <c r="M19" s="30"/>
      <c r="N19" s="29"/>
      <c r="O19" s="29"/>
      <c r="P19" s="30"/>
      <c r="Q19" s="22" t="s">
        <v>590</v>
      </c>
      <c r="T19" s="30"/>
      <c r="W19" s="30"/>
      <c r="Z19" s="30"/>
    </row>
    <row r="20" spans="1:26" x14ac:dyDescent="0.2">
      <c r="A20" s="29">
        <v>11</v>
      </c>
      <c r="B20" s="29">
        <v>1</v>
      </c>
      <c r="C20" s="22" t="s">
        <v>591</v>
      </c>
      <c r="D20" s="22" t="s">
        <v>590</v>
      </c>
      <c r="E20" s="29">
        <v>82</v>
      </c>
      <c r="F20" s="29">
        <v>99</v>
      </c>
      <c r="G20" s="30">
        <v>6</v>
      </c>
      <c r="H20" s="29">
        <v>87</v>
      </c>
      <c r="I20" s="29">
        <v>99</v>
      </c>
      <c r="J20" s="30">
        <v>6</v>
      </c>
      <c r="K20" s="29"/>
      <c r="L20" s="29"/>
      <c r="M20" s="30"/>
      <c r="N20" s="29"/>
      <c r="O20" s="29"/>
      <c r="P20" s="30"/>
      <c r="Q20" s="22" t="s">
        <v>590</v>
      </c>
      <c r="T20" s="30"/>
      <c r="W20" s="30"/>
      <c r="Z20" s="30"/>
    </row>
    <row r="21" spans="1:26" x14ac:dyDescent="0.2">
      <c r="A21" s="29">
        <v>12</v>
      </c>
      <c r="B21" s="29">
        <v>1</v>
      </c>
      <c r="C21" s="22" t="s">
        <v>69</v>
      </c>
      <c r="D21" s="22" t="s">
        <v>590</v>
      </c>
      <c r="E21" s="29">
        <v>80</v>
      </c>
      <c r="F21" s="29">
        <v>99</v>
      </c>
      <c r="G21" s="30">
        <v>5</v>
      </c>
      <c r="H21" s="29">
        <v>81</v>
      </c>
      <c r="I21" s="29">
        <v>99</v>
      </c>
      <c r="J21" s="30">
        <v>6.5</v>
      </c>
      <c r="K21" s="29"/>
      <c r="L21" s="29"/>
      <c r="M21" s="30"/>
      <c r="N21" s="29"/>
      <c r="O21" s="29"/>
      <c r="P21" s="30"/>
      <c r="Q21" s="22" t="s">
        <v>590</v>
      </c>
      <c r="T21" s="30"/>
      <c r="W21" s="30"/>
      <c r="Z21" s="30"/>
    </row>
    <row r="22" spans="1:26" x14ac:dyDescent="0.2">
      <c r="A22" s="29">
        <v>13</v>
      </c>
      <c r="B22" s="29">
        <v>1</v>
      </c>
      <c r="C22" s="22" t="s">
        <v>70</v>
      </c>
      <c r="D22" s="22" t="s">
        <v>590</v>
      </c>
      <c r="E22" s="29">
        <v>86</v>
      </c>
      <c r="F22" s="29">
        <v>99</v>
      </c>
      <c r="G22" s="30">
        <v>7</v>
      </c>
      <c r="H22" s="29"/>
      <c r="I22" s="29"/>
      <c r="J22" s="30"/>
      <c r="K22" s="29"/>
      <c r="L22" s="29"/>
      <c r="M22" s="30"/>
      <c r="N22" s="29"/>
      <c r="O22" s="29"/>
      <c r="P22" s="30"/>
      <c r="Q22" s="22" t="s">
        <v>590</v>
      </c>
      <c r="R22" s="29">
        <v>81</v>
      </c>
      <c r="S22" s="29">
        <v>99</v>
      </c>
      <c r="T22" s="30">
        <v>5</v>
      </c>
      <c r="W22" s="30"/>
      <c r="Z22" s="30"/>
    </row>
    <row r="23" spans="1:26" x14ac:dyDescent="0.2">
      <c r="A23" s="29">
        <v>14</v>
      </c>
      <c r="B23" s="29">
        <v>1</v>
      </c>
      <c r="C23" s="22" t="s">
        <v>71</v>
      </c>
      <c r="D23" s="22" t="s">
        <v>590</v>
      </c>
      <c r="E23" s="29">
        <v>86</v>
      </c>
      <c r="F23" s="29">
        <v>99</v>
      </c>
      <c r="G23" s="30">
        <v>2</v>
      </c>
      <c r="H23" s="29">
        <v>87</v>
      </c>
      <c r="I23" s="29">
        <v>99</v>
      </c>
      <c r="J23" s="30">
        <v>13.5</v>
      </c>
      <c r="K23" s="29"/>
      <c r="L23" s="29"/>
      <c r="M23" s="30"/>
      <c r="N23" s="29"/>
      <c r="O23" s="29"/>
      <c r="P23" s="30"/>
      <c r="Q23" s="22" t="s">
        <v>590</v>
      </c>
      <c r="T23" s="30"/>
      <c r="W23" s="30"/>
      <c r="Z23" s="30"/>
    </row>
    <row r="24" spans="1:26" x14ac:dyDescent="0.2">
      <c r="A24" s="29">
        <v>15</v>
      </c>
      <c r="B24" s="29">
        <v>1</v>
      </c>
      <c r="C24" s="22" t="s">
        <v>72</v>
      </c>
      <c r="D24" s="22" t="s">
        <v>590</v>
      </c>
      <c r="E24" s="29"/>
      <c r="F24" s="29"/>
      <c r="G24" s="30"/>
      <c r="H24" s="29"/>
      <c r="I24" s="29"/>
      <c r="J24" s="30"/>
      <c r="K24" s="29"/>
      <c r="L24" s="29"/>
      <c r="M24" s="30"/>
      <c r="N24" s="29"/>
      <c r="O24" s="29"/>
      <c r="P24" s="30"/>
      <c r="Q24" s="22" t="s">
        <v>590</v>
      </c>
      <c r="T24" s="30"/>
      <c r="W24" s="30"/>
      <c r="Z24" s="30"/>
    </row>
    <row r="25" spans="1:26" x14ac:dyDescent="0.2">
      <c r="A25" s="29">
        <v>16</v>
      </c>
      <c r="B25" s="29">
        <v>1</v>
      </c>
      <c r="C25" s="22" t="s">
        <v>73</v>
      </c>
      <c r="D25" s="22" t="s">
        <v>590</v>
      </c>
      <c r="E25" s="29">
        <v>81</v>
      </c>
      <c r="F25" s="29">
        <v>99</v>
      </c>
      <c r="G25" s="30">
        <v>5</v>
      </c>
      <c r="H25" s="29">
        <v>86</v>
      </c>
      <c r="I25" s="29">
        <v>99</v>
      </c>
      <c r="J25" s="30">
        <v>6</v>
      </c>
      <c r="K25" s="29"/>
      <c r="L25" s="29"/>
      <c r="M25" s="30"/>
      <c r="N25" s="29"/>
      <c r="O25" s="29"/>
      <c r="P25" s="30"/>
      <c r="Q25" s="22" t="s">
        <v>590</v>
      </c>
      <c r="T25" s="30"/>
      <c r="W25" s="30"/>
      <c r="Z25" s="30"/>
    </row>
    <row r="26" spans="1:26" x14ac:dyDescent="0.2">
      <c r="A26" s="29">
        <v>21</v>
      </c>
      <c r="B26" s="29">
        <v>1</v>
      </c>
      <c r="C26" s="22" t="s">
        <v>592</v>
      </c>
      <c r="D26" s="22" t="s">
        <v>590</v>
      </c>
      <c r="E26" s="29"/>
      <c r="F26" s="29"/>
      <c r="G26" s="30"/>
      <c r="H26" s="29"/>
      <c r="I26" s="29"/>
      <c r="J26" s="30"/>
      <c r="K26" s="29"/>
      <c r="L26" s="29"/>
      <c r="M26" s="30"/>
      <c r="N26" s="29"/>
      <c r="O26" s="29"/>
      <c r="P26" s="30"/>
      <c r="Q26" s="22" t="s">
        <v>590</v>
      </c>
      <c r="T26" s="30"/>
      <c r="W26" s="30"/>
      <c r="Z26" s="30"/>
    </row>
    <row r="27" spans="1:26" x14ac:dyDescent="0.2">
      <c r="A27" s="29">
        <v>22</v>
      </c>
      <c r="B27" s="29">
        <v>1</v>
      </c>
      <c r="C27" s="22" t="s">
        <v>74</v>
      </c>
      <c r="D27" s="22" t="s">
        <v>590</v>
      </c>
      <c r="E27" s="29"/>
      <c r="F27" s="29"/>
      <c r="G27" s="30"/>
      <c r="H27" s="29"/>
      <c r="I27" s="29"/>
      <c r="J27" s="30"/>
      <c r="K27" s="29"/>
      <c r="L27" s="29"/>
      <c r="M27" s="30"/>
      <c r="N27" s="29"/>
      <c r="O27" s="29"/>
      <c r="P27" s="30"/>
      <c r="Q27" s="22" t="s">
        <v>590</v>
      </c>
      <c r="T27" s="30"/>
      <c r="W27" s="30"/>
      <c r="Z27" s="30"/>
    </row>
    <row r="28" spans="1:26" x14ac:dyDescent="0.2">
      <c r="A28" s="29">
        <v>23</v>
      </c>
      <c r="B28" s="29">
        <v>1</v>
      </c>
      <c r="C28" s="22" t="s">
        <v>75</v>
      </c>
      <c r="D28" s="22" t="s">
        <v>590</v>
      </c>
      <c r="E28" s="29"/>
      <c r="F28" s="29"/>
      <c r="G28" s="30"/>
      <c r="H28" s="29"/>
      <c r="I28" s="29"/>
      <c r="J28" s="30"/>
      <c r="K28" s="29"/>
      <c r="L28" s="29"/>
      <c r="M28" s="30"/>
      <c r="N28" s="29"/>
      <c r="O28" s="29"/>
      <c r="P28" s="30"/>
      <c r="Q28" s="22" t="s">
        <v>590</v>
      </c>
      <c r="T28" s="30"/>
      <c r="W28" s="30"/>
      <c r="Z28" s="30"/>
    </row>
    <row r="29" spans="1:26" x14ac:dyDescent="0.2">
      <c r="A29" s="29">
        <v>24</v>
      </c>
      <c r="B29" s="29">
        <v>1</v>
      </c>
      <c r="C29" s="22" t="s">
        <v>593</v>
      </c>
      <c r="D29" s="22" t="s">
        <v>590</v>
      </c>
      <c r="E29" s="29">
        <v>87</v>
      </c>
      <c r="F29" s="29">
        <v>99</v>
      </c>
      <c r="G29" s="30">
        <v>5</v>
      </c>
      <c r="H29" s="29"/>
      <c r="I29" s="29"/>
      <c r="J29" s="30"/>
      <c r="K29" s="29"/>
      <c r="L29" s="29"/>
      <c r="M29" s="30"/>
      <c r="N29" s="29"/>
      <c r="O29" s="29"/>
      <c r="P29" s="30"/>
      <c r="Q29" s="22" t="s">
        <v>590</v>
      </c>
      <c r="T29" s="30"/>
      <c r="W29" s="30"/>
      <c r="Z29" s="30"/>
    </row>
    <row r="30" spans="1:26" x14ac:dyDescent="0.2">
      <c r="A30" s="29">
        <v>31</v>
      </c>
      <c r="B30" s="29">
        <v>1</v>
      </c>
      <c r="C30" s="22" t="s">
        <v>77</v>
      </c>
      <c r="D30" s="22" t="s">
        <v>590</v>
      </c>
      <c r="E30" s="29"/>
      <c r="F30" s="29"/>
      <c r="G30" s="30"/>
      <c r="H30" s="29"/>
      <c r="I30" s="29"/>
      <c r="J30" s="30"/>
      <c r="K30" s="29"/>
      <c r="L30" s="29"/>
      <c r="M30" s="30"/>
      <c r="N30" s="29"/>
      <c r="O30" s="29"/>
      <c r="P30" s="30"/>
      <c r="Q30" s="22" t="s">
        <v>590</v>
      </c>
      <c r="T30" s="30"/>
      <c r="W30" s="30"/>
      <c r="Z30" s="30"/>
    </row>
    <row r="31" spans="1:26" x14ac:dyDescent="0.2">
      <c r="A31" s="29">
        <v>32</v>
      </c>
      <c r="B31" s="29">
        <v>1</v>
      </c>
      <c r="C31" s="22" t="s">
        <v>78</v>
      </c>
      <c r="D31" s="22" t="s">
        <v>590</v>
      </c>
      <c r="E31" s="29"/>
      <c r="F31" s="29"/>
      <c r="G31" s="30"/>
      <c r="H31" s="29"/>
      <c r="I31" s="29"/>
      <c r="J31" s="30"/>
      <c r="K31" s="29"/>
      <c r="L31" s="29"/>
      <c r="M31" s="30"/>
      <c r="N31" s="29"/>
      <c r="O31" s="29"/>
      <c r="P31" s="30"/>
      <c r="Q31" s="22" t="s">
        <v>590</v>
      </c>
      <c r="T31" s="30"/>
      <c r="W31" s="30"/>
      <c r="Z31" s="30"/>
    </row>
    <row r="32" spans="1:26" x14ac:dyDescent="0.2">
      <c r="A32" s="29">
        <v>36</v>
      </c>
      <c r="B32" s="29">
        <v>1</v>
      </c>
      <c r="C32" s="22" t="s">
        <v>79</v>
      </c>
      <c r="D32" s="22" t="s">
        <v>590</v>
      </c>
      <c r="E32" s="29"/>
      <c r="F32" s="29"/>
      <c r="G32" s="30"/>
      <c r="H32" s="29"/>
      <c r="I32" s="29"/>
      <c r="J32" s="30"/>
      <c r="K32" s="29"/>
      <c r="L32" s="29"/>
      <c r="M32" s="30"/>
      <c r="N32" s="29"/>
      <c r="O32" s="29"/>
      <c r="P32" s="30"/>
      <c r="Q32" s="22" t="s">
        <v>590</v>
      </c>
      <c r="T32" s="30"/>
      <c r="W32" s="30"/>
      <c r="Z32" s="30"/>
    </row>
    <row r="33" spans="1:26" x14ac:dyDescent="0.2">
      <c r="A33" s="29">
        <v>38</v>
      </c>
      <c r="B33" s="29">
        <v>1</v>
      </c>
      <c r="C33" s="22" t="s">
        <v>80</v>
      </c>
      <c r="D33" s="22" t="s">
        <v>590</v>
      </c>
      <c r="E33" s="29"/>
      <c r="F33" s="29"/>
      <c r="G33" s="30"/>
      <c r="H33" s="29"/>
      <c r="I33" s="29"/>
      <c r="J33" s="30"/>
      <c r="K33" s="29"/>
      <c r="L33" s="29"/>
      <c r="M33" s="30"/>
      <c r="N33" s="29"/>
      <c r="O33" s="29"/>
      <c r="P33" s="30"/>
      <c r="Q33" s="22" t="s">
        <v>590</v>
      </c>
      <c r="T33" s="30"/>
      <c r="W33" s="30"/>
      <c r="Z33" s="30"/>
    </row>
    <row r="34" spans="1:26" x14ac:dyDescent="0.2">
      <c r="A34" s="29">
        <v>47</v>
      </c>
      <c r="B34" s="29">
        <v>1</v>
      </c>
      <c r="C34" s="22" t="s">
        <v>81</v>
      </c>
      <c r="D34" s="22" t="s">
        <v>590</v>
      </c>
      <c r="E34" s="29"/>
      <c r="F34" s="29"/>
      <c r="G34" s="30"/>
      <c r="H34" s="29"/>
      <c r="I34" s="29"/>
      <c r="J34" s="30"/>
      <c r="K34" s="29"/>
      <c r="L34" s="29"/>
      <c r="M34" s="30"/>
      <c r="N34" s="29"/>
      <c r="O34" s="29"/>
      <c r="P34" s="30"/>
      <c r="Q34" s="22" t="s">
        <v>590</v>
      </c>
      <c r="T34" s="30"/>
      <c r="W34" s="30"/>
      <c r="Z34" s="30"/>
    </row>
    <row r="35" spans="1:26" x14ac:dyDescent="0.2">
      <c r="A35" s="29">
        <v>51</v>
      </c>
      <c r="B35" s="29">
        <v>1</v>
      </c>
      <c r="C35" s="22" t="s">
        <v>82</v>
      </c>
      <c r="D35" s="22" t="s">
        <v>590</v>
      </c>
      <c r="E35" s="29"/>
      <c r="F35" s="29"/>
      <c r="G35" s="30"/>
      <c r="H35" s="29"/>
      <c r="I35" s="29"/>
      <c r="J35" s="30"/>
      <c r="K35" s="29"/>
      <c r="L35" s="29"/>
      <c r="M35" s="30"/>
      <c r="N35" s="29"/>
      <c r="O35" s="29"/>
      <c r="P35" s="30"/>
      <c r="Q35" s="22" t="s">
        <v>590</v>
      </c>
      <c r="T35" s="30"/>
      <c r="W35" s="30"/>
      <c r="Z35" s="30"/>
    </row>
    <row r="36" spans="1:26" x14ac:dyDescent="0.2">
      <c r="A36" s="29">
        <v>57</v>
      </c>
      <c r="B36" s="29">
        <v>1</v>
      </c>
      <c r="C36" s="22" t="s">
        <v>594</v>
      </c>
      <c r="D36" s="22" t="s">
        <v>590</v>
      </c>
      <c r="E36" s="29">
        <v>79</v>
      </c>
      <c r="F36" s="29">
        <v>99</v>
      </c>
      <c r="G36" s="30">
        <v>16</v>
      </c>
      <c r="H36" s="29"/>
      <c r="I36" s="29"/>
      <c r="J36" s="30"/>
      <c r="K36" s="29"/>
      <c r="L36" s="29"/>
      <c r="M36" s="30"/>
      <c r="N36" s="29"/>
      <c r="O36" s="29"/>
      <c r="P36" s="30"/>
      <c r="Q36" s="22" t="s">
        <v>590</v>
      </c>
      <c r="T36" s="30"/>
      <c r="W36" s="30"/>
      <c r="Z36" s="30"/>
    </row>
    <row r="37" spans="1:26" x14ac:dyDescent="0.2">
      <c r="A37" s="29">
        <v>58</v>
      </c>
      <c r="B37" s="29">
        <v>1</v>
      </c>
      <c r="C37" s="22" t="s">
        <v>595</v>
      </c>
      <c r="D37" s="22" t="s">
        <v>590</v>
      </c>
      <c r="E37" s="29">
        <v>84</v>
      </c>
      <c r="F37" s="29">
        <v>99</v>
      </c>
      <c r="G37" s="30">
        <v>8</v>
      </c>
      <c r="H37" s="29"/>
      <c r="I37" s="29"/>
      <c r="J37" s="30"/>
      <c r="K37" s="29"/>
      <c r="L37" s="29"/>
      <c r="M37" s="30"/>
      <c r="N37" s="29"/>
      <c r="O37" s="29"/>
      <c r="P37" s="30"/>
      <c r="Q37" s="22" t="s">
        <v>590</v>
      </c>
      <c r="T37" s="30"/>
      <c r="W37" s="30"/>
      <c r="Z37" s="30"/>
    </row>
    <row r="38" spans="1:26" x14ac:dyDescent="0.2">
      <c r="A38" s="29">
        <v>60</v>
      </c>
      <c r="B38" s="29">
        <v>1</v>
      </c>
      <c r="C38" s="22" t="s">
        <v>596</v>
      </c>
      <c r="D38" s="22" t="s">
        <v>590</v>
      </c>
      <c r="E38" s="29">
        <v>87</v>
      </c>
      <c r="F38" s="29">
        <v>99</v>
      </c>
      <c r="G38" s="30">
        <v>5</v>
      </c>
      <c r="H38" s="29"/>
      <c r="I38" s="29"/>
      <c r="J38" s="30"/>
      <c r="K38" s="29"/>
      <c r="L38" s="29"/>
      <c r="M38" s="30"/>
      <c r="N38" s="29"/>
      <c r="O38" s="29"/>
      <c r="P38" s="30"/>
      <c r="Q38" s="22" t="s">
        <v>590</v>
      </c>
      <c r="T38" s="30"/>
      <c r="W38" s="30"/>
      <c r="Z38" s="30"/>
    </row>
    <row r="39" spans="1:26" x14ac:dyDescent="0.2">
      <c r="A39" s="29">
        <v>62</v>
      </c>
      <c r="B39" s="29">
        <v>1</v>
      </c>
      <c r="C39" s="22" t="s">
        <v>83</v>
      </c>
      <c r="D39" s="22" t="s">
        <v>590</v>
      </c>
      <c r="E39" s="29">
        <v>87</v>
      </c>
      <c r="F39" s="29">
        <v>4</v>
      </c>
      <c r="G39" s="30">
        <v>7</v>
      </c>
      <c r="H39" s="29"/>
      <c r="I39" s="29"/>
      <c r="J39" s="30"/>
      <c r="K39" s="29"/>
      <c r="L39" s="29"/>
      <c r="M39" s="30"/>
      <c r="N39" s="29"/>
      <c r="O39" s="29"/>
      <c r="P39" s="30"/>
      <c r="Q39" s="22" t="s">
        <v>590</v>
      </c>
      <c r="T39" s="30"/>
      <c r="W39" s="30"/>
      <c r="Z39" s="30"/>
    </row>
    <row r="40" spans="1:26" x14ac:dyDescent="0.2">
      <c r="A40" s="29">
        <v>70</v>
      </c>
      <c r="B40" s="29">
        <v>1</v>
      </c>
      <c r="C40" s="22" t="s">
        <v>511</v>
      </c>
      <c r="D40" s="22" t="s">
        <v>590</v>
      </c>
      <c r="E40" s="29">
        <v>83</v>
      </c>
      <c r="F40" s="29">
        <v>99</v>
      </c>
      <c r="G40" s="30">
        <v>7</v>
      </c>
      <c r="H40" s="29"/>
      <c r="I40" s="29"/>
      <c r="J40" s="30"/>
      <c r="K40" s="29"/>
      <c r="L40" s="29"/>
      <c r="M40" s="30"/>
      <c r="N40" s="29"/>
      <c r="O40" s="29"/>
      <c r="P40" s="30"/>
      <c r="Q40" s="22" t="s">
        <v>590</v>
      </c>
      <c r="T40" s="30"/>
      <c r="W40" s="30"/>
      <c r="Z40" s="30"/>
    </row>
    <row r="41" spans="1:26" x14ac:dyDescent="0.2">
      <c r="A41" s="29">
        <v>72</v>
      </c>
      <c r="B41" s="29">
        <v>1</v>
      </c>
      <c r="C41" s="22" t="s">
        <v>512</v>
      </c>
      <c r="D41" s="22" t="s">
        <v>590</v>
      </c>
      <c r="E41" s="29"/>
      <c r="F41" s="29"/>
      <c r="G41" s="30"/>
      <c r="H41" s="29"/>
      <c r="I41" s="29"/>
      <c r="J41" s="30"/>
      <c r="K41" s="29"/>
      <c r="L41" s="29"/>
      <c r="M41" s="30"/>
      <c r="N41" s="29"/>
      <c r="O41" s="29"/>
      <c r="P41" s="30"/>
      <c r="Q41" s="22" t="s">
        <v>590</v>
      </c>
      <c r="T41" s="30"/>
      <c r="W41" s="30"/>
      <c r="Z41" s="30"/>
    </row>
    <row r="42" spans="1:26" x14ac:dyDescent="0.2">
      <c r="A42" s="29">
        <v>75</v>
      </c>
      <c r="B42" s="29">
        <v>1</v>
      </c>
      <c r="C42" s="22" t="s">
        <v>84</v>
      </c>
      <c r="D42" s="22" t="s">
        <v>590</v>
      </c>
      <c r="E42" s="29">
        <v>76</v>
      </c>
      <c r="F42" s="29">
        <v>99</v>
      </c>
      <c r="G42" s="30">
        <v>10</v>
      </c>
      <c r="H42" s="29">
        <v>88</v>
      </c>
      <c r="I42" s="29">
        <v>7</v>
      </c>
      <c r="J42" s="30">
        <v>10</v>
      </c>
      <c r="K42" s="29"/>
      <c r="L42" s="29"/>
      <c r="M42" s="30"/>
      <c r="N42" s="29"/>
      <c r="O42" s="29"/>
      <c r="P42" s="30"/>
      <c r="Q42" s="22" t="s">
        <v>590</v>
      </c>
      <c r="T42" s="30"/>
      <c r="W42" s="30"/>
      <c r="Z42" s="30"/>
    </row>
    <row r="43" spans="1:26" x14ac:dyDescent="0.2">
      <c r="A43" s="29">
        <v>77</v>
      </c>
      <c r="B43" s="29">
        <v>1</v>
      </c>
      <c r="C43" s="22" t="s">
        <v>85</v>
      </c>
      <c r="D43" s="22" t="s">
        <v>590</v>
      </c>
      <c r="E43" s="29">
        <v>88</v>
      </c>
      <c r="F43" s="29">
        <v>4</v>
      </c>
      <c r="G43" s="30">
        <v>3</v>
      </c>
      <c r="H43" s="29"/>
      <c r="I43" s="29"/>
      <c r="J43" s="30"/>
      <c r="K43" s="29"/>
      <c r="L43" s="29"/>
      <c r="M43" s="30"/>
      <c r="N43" s="29"/>
      <c r="O43" s="29"/>
      <c r="P43" s="30"/>
      <c r="Q43" s="22" t="s">
        <v>590</v>
      </c>
      <c r="T43" s="30"/>
      <c r="W43" s="30"/>
      <c r="Z43" s="30"/>
    </row>
    <row r="44" spans="1:26" x14ac:dyDescent="0.2">
      <c r="A44" s="29">
        <v>78</v>
      </c>
      <c r="B44" s="29">
        <v>1</v>
      </c>
      <c r="C44" s="22" t="s">
        <v>597</v>
      </c>
      <c r="D44" s="22" t="s">
        <v>590</v>
      </c>
      <c r="E44" s="29">
        <v>81</v>
      </c>
      <c r="F44" s="29">
        <v>99</v>
      </c>
      <c r="G44" s="30">
        <v>8</v>
      </c>
      <c r="H44" s="29">
        <v>88</v>
      </c>
      <c r="I44" s="29">
        <v>99</v>
      </c>
      <c r="J44" s="30">
        <v>8</v>
      </c>
      <c r="K44" s="29"/>
      <c r="L44" s="29"/>
      <c r="M44" s="30"/>
      <c r="N44" s="29"/>
      <c r="O44" s="29"/>
      <c r="P44" s="30"/>
      <c r="Q44" s="22" t="s">
        <v>590</v>
      </c>
      <c r="T44" s="30"/>
      <c r="W44" s="30"/>
      <c r="Z44" s="30"/>
    </row>
    <row r="45" spans="1:26" x14ac:dyDescent="0.2">
      <c r="A45" s="29">
        <v>79</v>
      </c>
      <c r="B45" s="29">
        <v>1</v>
      </c>
      <c r="C45" s="22" t="s">
        <v>598</v>
      </c>
      <c r="D45" s="22" t="s">
        <v>590</v>
      </c>
      <c r="E45" s="29">
        <v>81</v>
      </c>
      <c r="F45" s="29">
        <v>99</v>
      </c>
      <c r="G45" s="30">
        <v>3</v>
      </c>
      <c r="H45" s="29">
        <v>87</v>
      </c>
      <c r="I45" s="29">
        <v>99</v>
      </c>
      <c r="J45" s="30">
        <v>3</v>
      </c>
      <c r="K45" s="29"/>
      <c r="L45" s="29"/>
      <c r="M45" s="30"/>
      <c r="N45" s="29"/>
      <c r="O45" s="29"/>
      <c r="P45" s="30"/>
      <c r="Q45" s="22" t="s">
        <v>590</v>
      </c>
      <c r="T45" s="30"/>
      <c r="W45" s="30"/>
      <c r="Z45" s="30"/>
    </row>
    <row r="46" spans="1:26" x14ac:dyDescent="0.2">
      <c r="A46" s="29">
        <v>81</v>
      </c>
      <c r="B46" s="29">
        <v>1</v>
      </c>
      <c r="C46" s="22" t="s">
        <v>86</v>
      </c>
      <c r="D46" s="22" t="s">
        <v>590</v>
      </c>
      <c r="E46" s="29">
        <v>75</v>
      </c>
      <c r="F46" s="29">
        <v>99</v>
      </c>
      <c r="G46" s="30">
        <v>5</v>
      </c>
      <c r="H46" s="29">
        <v>82</v>
      </c>
      <c r="I46" s="29">
        <v>99</v>
      </c>
      <c r="J46" s="30">
        <v>1.5</v>
      </c>
      <c r="K46" s="29"/>
      <c r="L46" s="29"/>
      <c r="M46" s="30"/>
      <c r="N46" s="29"/>
      <c r="O46" s="29"/>
      <c r="P46" s="30"/>
      <c r="Q46" s="22" t="s">
        <v>590</v>
      </c>
      <c r="T46" s="30"/>
      <c r="W46" s="30"/>
      <c r="Z46" s="30"/>
    </row>
    <row r="47" spans="1:26" x14ac:dyDescent="0.2">
      <c r="A47" s="29">
        <v>84</v>
      </c>
      <c r="B47" s="29">
        <v>1</v>
      </c>
      <c r="C47" s="22" t="s">
        <v>87</v>
      </c>
      <c r="D47" s="22" t="s">
        <v>590</v>
      </c>
      <c r="E47" s="29">
        <v>88</v>
      </c>
      <c r="F47" s="29">
        <v>2</v>
      </c>
      <c r="G47" s="30">
        <v>3</v>
      </c>
      <c r="H47" s="29"/>
      <c r="I47" s="29"/>
      <c r="J47" s="30"/>
      <c r="K47" s="29"/>
      <c r="L47" s="29"/>
      <c r="M47" s="30"/>
      <c r="N47" s="29"/>
      <c r="O47" s="29"/>
      <c r="P47" s="30"/>
      <c r="Q47" s="22" t="s">
        <v>590</v>
      </c>
      <c r="T47" s="30"/>
      <c r="W47" s="30"/>
      <c r="Z47" s="30"/>
    </row>
    <row r="48" spans="1:26" x14ac:dyDescent="0.2">
      <c r="A48" s="29">
        <v>85</v>
      </c>
      <c r="B48" s="29">
        <v>1</v>
      </c>
      <c r="C48" s="22" t="s">
        <v>88</v>
      </c>
      <c r="D48" s="22" t="s">
        <v>590</v>
      </c>
      <c r="E48" s="29"/>
      <c r="F48" s="29"/>
      <c r="G48" s="30"/>
      <c r="H48" s="29"/>
      <c r="I48" s="29"/>
      <c r="J48" s="30"/>
      <c r="K48" s="29"/>
      <c r="L48" s="29"/>
      <c r="M48" s="30"/>
      <c r="N48" s="29"/>
      <c r="O48" s="29"/>
      <c r="P48" s="30"/>
      <c r="Q48" s="22" t="s">
        <v>590</v>
      </c>
      <c r="T48" s="30"/>
      <c r="W48" s="30"/>
      <c r="Z48" s="30"/>
    </row>
    <row r="49" spans="1:26" x14ac:dyDescent="0.2">
      <c r="A49" s="29">
        <v>88</v>
      </c>
      <c r="B49" s="29">
        <v>1</v>
      </c>
      <c r="C49" s="22" t="s">
        <v>89</v>
      </c>
      <c r="D49" s="22" t="s">
        <v>590</v>
      </c>
      <c r="E49" s="29">
        <v>82</v>
      </c>
      <c r="F49" s="29">
        <v>99</v>
      </c>
      <c r="G49" s="30">
        <v>2</v>
      </c>
      <c r="H49" s="29"/>
      <c r="I49" s="29"/>
      <c r="J49" s="30"/>
      <c r="K49" s="29"/>
      <c r="L49" s="29"/>
      <c r="M49" s="30"/>
      <c r="N49" s="29"/>
      <c r="O49" s="29"/>
      <c r="P49" s="30"/>
      <c r="Q49" s="22" t="s">
        <v>590</v>
      </c>
      <c r="T49" s="30"/>
      <c r="W49" s="30"/>
      <c r="Z49" s="30"/>
    </row>
    <row r="50" spans="1:26" x14ac:dyDescent="0.2">
      <c r="A50" s="29">
        <v>91</v>
      </c>
      <c r="B50" s="29">
        <v>1</v>
      </c>
      <c r="C50" s="22" t="s">
        <v>90</v>
      </c>
      <c r="D50" s="22" t="s">
        <v>590</v>
      </c>
      <c r="E50" s="29"/>
      <c r="F50" s="29"/>
      <c r="G50" s="30"/>
      <c r="H50" s="29"/>
      <c r="I50" s="29"/>
      <c r="J50" s="30"/>
      <c r="K50" s="29"/>
      <c r="L50" s="29"/>
      <c r="M50" s="30"/>
      <c r="N50" s="29"/>
      <c r="O50" s="29"/>
      <c r="P50" s="30"/>
      <c r="Q50" s="22" t="s">
        <v>590</v>
      </c>
      <c r="T50" s="30"/>
      <c r="W50" s="30"/>
      <c r="Z50" s="30"/>
    </row>
    <row r="51" spans="1:26" x14ac:dyDescent="0.2">
      <c r="A51" s="29">
        <v>93</v>
      </c>
      <c r="B51" s="29">
        <v>1</v>
      </c>
      <c r="C51" s="22" t="s">
        <v>91</v>
      </c>
      <c r="D51" s="22" t="s">
        <v>590</v>
      </c>
      <c r="E51" s="29"/>
      <c r="F51" s="29"/>
      <c r="G51" s="30"/>
      <c r="H51" s="29"/>
      <c r="I51" s="29"/>
      <c r="J51" s="30"/>
      <c r="K51" s="29"/>
      <c r="L51" s="29"/>
      <c r="M51" s="30"/>
      <c r="N51" s="29"/>
      <c r="O51" s="29"/>
      <c r="P51" s="30"/>
      <c r="Q51" s="22" t="s">
        <v>590</v>
      </c>
      <c r="T51" s="30"/>
      <c r="W51" s="30"/>
      <c r="Z51" s="30"/>
    </row>
    <row r="52" spans="1:26" x14ac:dyDescent="0.2">
      <c r="A52" s="29">
        <v>94</v>
      </c>
      <c r="B52" s="29">
        <v>1</v>
      </c>
      <c r="C52" s="22" t="s">
        <v>92</v>
      </c>
      <c r="D52" s="22" t="s">
        <v>590</v>
      </c>
      <c r="E52" s="29"/>
      <c r="F52" s="29"/>
      <c r="G52" s="30"/>
      <c r="H52" s="29"/>
      <c r="I52" s="29"/>
      <c r="J52" s="30"/>
      <c r="K52" s="29"/>
      <c r="L52" s="29"/>
      <c r="M52" s="30"/>
      <c r="N52" s="29"/>
      <c r="O52" s="29"/>
      <c r="P52" s="30"/>
      <c r="Q52" s="22" t="s">
        <v>590</v>
      </c>
      <c r="T52" s="30"/>
      <c r="W52" s="30"/>
      <c r="Z52" s="30"/>
    </row>
    <row r="53" spans="1:26" x14ac:dyDescent="0.2">
      <c r="A53" s="29">
        <v>95</v>
      </c>
      <c r="B53" s="29">
        <v>1</v>
      </c>
      <c r="C53" s="22" t="s">
        <v>93</v>
      </c>
      <c r="D53" s="22" t="s">
        <v>590</v>
      </c>
      <c r="E53" s="29"/>
      <c r="F53" s="29"/>
      <c r="G53" s="30"/>
      <c r="H53" s="29"/>
      <c r="I53" s="29"/>
      <c r="J53" s="30"/>
      <c r="K53" s="29"/>
      <c r="L53" s="29"/>
      <c r="M53" s="30"/>
      <c r="N53" s="29"/>
      <c r="O53" s="29"/>
      <c r="P53" s="30"/>
      <c r="Q53" s="22" t="s">
        <v>590</v>
      </c>
      <c r="T53" s="30"/>
      <c r="W53" s="30"/>
      <c r="Z53" s="30"/>
    </row>
    <row r="54" spans="1:26" x14ac:dyDescent="0.2">
      <c r="A54" s="29">
        <v>97</v>
      </c>
      <c r="B54" s="29">
        <v>1</v>
      </c>
      <c r="C54" s="22" t="s">
        <v>94</v>
      </c>
      <c r="D54" s="22" t="s">
        <v>590</v>
      </c>
      <c r="E54" s="29"/>
      <c r="F54" s="29"/>
      <c r="G54" s="30"/>
      <c r="H54" s="29"/>
      <c r="I54" s="29"/>
      <c r="J54" s="30"/>
      <c r="K54" s="29"/>
      <c r="L54" s="29"/>
      <c r="M54" s="30"/>
      <c r="N54" s="29"/>
      <c r="O54" s="29"/>
      <c r="P54" s="30"/>
      <c r="Q54" s="22" t="s">
        <v>590</v>
      </c>
      <c r="T54" s="30"/>
      <c r="W54" s="30"/>
      <c r="Z54" s="30"/>
    </row>
    <row r="55" spans="1:26" x14ac:dyDescent="0.2">
      <c r="A55" s="29">
        <v>99</v>
      </c>
      <c r="B55" s="29">
        <v>1</v>
      </c>
      <c r="C55" s="22" t="s">
        <v>95</v>
      </c>
      <c r="D55" s="22" t="s">
        <v>590</v>
      </c>
      <c r="E55" s="29"/>
      <c r="F55" s="29"/>
      <c r="G55" s="30"/>
      <c r="H55" s="29"/>
      <c r="I55" s="29"/>
      <c r="J55" s="30"/>
      <c r="K55" s="29"/>
      <c r="L55" s="29"/>
      <c r="M55" s="30"/>
      <c r="N55" s="29"/>
      <c r="O55" s="29"/>
      <c r="P55" s="30"/>
      <c r="Q55" s="22" t="s">
        <v>590</v>
      </c>
      <c r="T55" s="30"/>
      <c r="W55" s="30"/>
      <c r="Z55" s="30"/>
    </row>
    <row r="56" spans="1:26" x14ac:dyDescent="0.2">
      <c r="A56" s="29">
        <v>100</v>
      </c>
      <c r="B56" s="29">
        <v>1</v>
      </c>
      <c r="C56" s="22" t="s">
        <v>96</v>
      </c>
      <c r="D56" s="22" t="s">
        <v>590</v>
      </c>
      <c r="E56" s="29">
        <v>74</v>
      </c>
      <c r="F56" s="29">
        <v>99</v>
      </c>
      <c r="G56" s="30">
        <v>6</v>
      </c>
      <c r="H56" s="29">
        <v>77</v>
      </c>
      <c r="I56" s="29">
        <v>99</v>
      </c>
      <c r="J56" s="30">
        <v>4</v>
      </c>
      <c r="K56" s="29"/>
      <c r="L56" s="29"/>
      <c r="M56" s="30"/>
      <c r="N56" s="29"/>
      <c r="O56" s="29"/>
      <c r="P56" s="30"/>
      <c r="Q56" s="22" t="s">
        <v>590</v>
      </c>
      <c r="T56" s="30"/>
      <c r="W56" s="30"/>
      <c r="Z56" s="30"/>
    </row>
    <row r="57" spans="1:26" x14ac:dyDescent="0.2">
      <c r="A57" s="29">
        <v>108</v>
      </c>
      <c r="B57" s="29">
        <v>1</v>
      </c>
      <c r="C57" s="22" t="s">
        <v>97</v>
      </c>
      <c r="D57" s="22" t="s">
        <v>590</v>
      </c>
      <c r="E57" s="29">
        <v>86</v>
      </c>
      <c r="F57" s="29">
        <v>5</v>
      </c>
      <c r="G57" s="30">
        <v>6</v>
      </c>
      <c r="H57" s="29"/>
      <c r="I57" s="29"/>
      <c r="J57" s="30"/>
      <c r="K57" s="29"/>
      <c r="L57" s="29"/>
      <c r="M57" s="30"/>
      <c r="N57" s="29"/>
      <c r="O57" s="29"/>
      <c r="P57" s="30"/>
      <c r="Q57" s="22" t="s">
        <v>590</v>
      </c>
      <c r="T57" s="30"/>
      <c r="W57" s="30"/>
      <c r="Z57" s="30"/>
    </row>
    <row r="58" spans="1:26" x14ac:dyDescent="0.2">
      <c r="A58" s="29">
        <v>110</v>
      </c>
      <c r="B58" s="29">
        <v>1</v>
      </c>
      <c r="C58" s="22" t="s">
        <v>98</v>
      </c>
      <c r="D58" s="22" t="s">
        <v>590</v>
      </c>
      <c r="E58" s="29">
        <v>83</v>
      </c>
      <c r="F58" s="29">
        <v>99</v>
      </c>
      <c r="G58" s="30">
        <v>4</v>
      </c>
      <c r="H58" s="29"/>
      <c r="I58" s="29"/>
      <c r="J58" s="30"/>
      <c r="K58" s="29"/>
      <c r="L58" s="29"/>
      <c r="M58" s="30"/>
      <c r="N58" s="29"/>
      <c r="O58" s="29"/>
      <c r="P58" s="30"/>
      <c r="Q58" s="22" t="s">
        <v>590</v>
      </c>
      <c r="T58" s="30"/>
      <c r="W58" s="30"/>
      <c r="Z58" s="30"/>
    </row>
    <row r="59" spans="1:26" x14ac:dyDescent="0.2">
      <c r="A59" s="29">
        <v>111</v>
      </c>
      <c r="B59" s="29">
        <v>1</v>
      </c>
      <c r="C59" s="22" t="s">
        <v>99</v>
      </c>
      <c r="D59" s="22" t="s">
        <v>590</v>
      </c>
      <c r="E59" s="29"/>
      <c r="F59" s="29"/>
      <c r="G59" s="30"/>
      <c r="H59" s="29"/>
      <c r="I59" s="29"/>
      <c r="J59" s="30"/>
      <c r="K59" s="29"/>
      <c r="L59" s="29"/>
      <c r="M59" s="30"/>
      <c r="N59" s="29"/>
      <c r="O59" s="29"/>
      <c r="P59" s="30"/>
      <c r="Q59" s="22" t="s">
        <v>590</v>
      </c>
      <c r="T59" s="30"/>
      <c r="W59" s="30"/>
      <c r="Z59" s="30"/>
    </row>
    <row r="60" spans="1:26" x14ac:dyDescent="0.2">
      <c r="A60" s="29">
        <v>112</v>
      </c>
      <c r="B60" s="29">
        <v>1</v>
      </c>
      <c r="C60" s="22" t="s">
        <v>100</v>
      </c>
      <c r="D60" s="22" t="s">
        <v>590</v>
      </c>
      <c r="E60" s="29">
        <v>88</v>
      </c>
      <c r="F60" s="29">
        <v>99</v>
      </c>
      <c r="G60" s="30">
        <v>7</v>
      </c>
      <c r="H60" s="29"/>
      <c r="I60" s="29"/>
      <c r="J60" s="30"/>
      <c r="K60" s="29"/>
      <c r="L60" s="29"/>
      <c r="M60" s="30"/>
      <c r="N60" s="29"/>
      <c r="O60" s="29"/>
      <c r="P60" s="30"/>
      <c r="Q60" s="22" t="s">
        <v>590</v>
      </c>
      <c r="T60" s="30"/>
      <c r="W60" s="30"/>
      <c r="Z60" s="30"/>
    </row>
    <row r="61" spans="1:26" x14ac:dyDescent="0.2">
      <c r="A61" s="29">
        <v>114</v>
      </c>
      <c r="B61" s="29">
        <v>1</v>
      </c>
      <c r="C61" s="22" t="s">
        <v>599</v>
      </c>
      <c r="D61" s="22" t="s">
        <v>590</v>
      </c>
      <c r="E61" s="29"/>
      <c r="F61" s="29"/>
      <c r="G61" s="30"/>
      <c r="H61" s="29"/>
      <c r="I61" s="29"/>
      <c r="J61" s="30"/>
      <c r="K61" s="29"/>
      <c r="L61" s="29"/>
      <c r="M61" s="30"/>
      <c r="N61" s="29"/>
      <c r="O61" s="29"/>
      <c r="P61" s="30"/>
      <c r="Q61" s="22" t="s">
        <v>590</v>
      </c>
      <c r="T61" s="30"/>
      <c r="W61" s="30"/>
      <c r="Z61" s="30"/>
    </row>
    <row r="62" spans="1:26" x14ac:dyDescent="0.2">
      <c r="A62" s="29">
        <v>115</v>
      </c>
      <c r="B62" s="29">
        <v>1</v>
      </c>
      <c r="C62" s="22" t="s">
        <v>102</v>
      </c>
      <c r="D62" s="22" t="s">
        <v>590</v>
      </c>
      <c r="E62" s="29"/>
      <c r="F62" s="29"/>
      <c r="G62" s="30"/>
      <c r="H62" s="29"/>
      <c r="I62" s="29"/>
      <c r="J62" s="30"/>
      <c r="K62" s="29"/>
      <c r="L62" s="29"/>
      <c r="M62" s="30"/>
      <c r="N62" s="29"/>
      <c r="O62" s="29"/>
      <c r="P62" s="30"/>
      <c r="Q62" s="22" t="s">
        <v>590</v>
      </c>
      <c r="T62" s="30"/>
      <c r="W62" s="30"/>
      <c r="Z62" s="30"/>
    </row>
    <row r="63" spans="1:26" x14ac:dyDescent="0.2">
      <c r="A63" s="29">
        <v>116</v>
      </c>
      <c r="B63" s="29">
        <v>1</v>
      </c>
      <c r="C63" s="22" t="s">
        <v>103</v>
      </c>
      <c r="D63" s="22" t="s">
        <v>590</v>
      </c>
      <c r="E63" s="29"/>
      <c r="F63" s="29"/>
      <c r="G63" s="30"/>
      <c r="H63" s="29"/>
      <c r="I63" s="29"/>
      <c r="J63" s="30"/>
      <c r="K63" s="29"/>
      <c r="L63" s="29"/>
      <c r="M63" s="30"/>
      <c r="N63" s="29"/>
      <c r="O63" s="29"/>
      <c r="P63" s="30"/>
      <c r="Q63" s="22" t="s">
        <v>590</v>
      </c>
      <c r="T63" s="30"/>
      <c r="W63" s="30"/>
      <c r="Z63" s="30"/>
    </row>
    <row r="64" spans="1:26" x14ac:dyDescent="0.2">
      <c r="A64" s="29">
        <v>117</v>
      </c>
      <c r="B64" s="29">
        <v>1</v>
      </c>
      <c r="C64" s="22" t="s">
        <v>600</v>
      </c>
      <c r="D64" s="22" t="s">
        <v>590</v>
      </c>
      <c r="E64" s="29"/>
      <c r="F64" s="29"/>
      <c r="G64" s="30"/>
      <c r="H64" s="29"/>
      <c r="I64" s="29"/>
      <c r="J64" s="30"/>
      <c r="K64" s="29"/>
      <c r="L64" s="29"/>
      <c r="M64" s="30"/>
      <c r="N64" s="29"/>
      <c r="O64" s="29"/>
      <c r="P64" s="30"/>
      <c r="Q64" s="22" t="s">
        <v>590</v>
      </c>
      <c r="T64" s="30"/>
      <c r="W64" s="30"/>
      <c r="Z64" s="30"/>
    </row>
    <row r="65" spans="1:26" x14ac:dyDescent="0.2">
      <c r="A65" s="29">
        <v>118</v>
      </c>
      <c r="B65" s="29">
        <v>1</v>
      </c>
      <c r="C65" s="22" t="s">
        <v>104</v>
      </c>
      <c r="D65" s="22" t="s">
        <v>590</v>
      </c>
      <c r="E65" s="29"/>
      <c r="F65" s="29"/>
      <c r="G65" s="30"/>
      <c r="H65" s="29"/>
      <c r="I65" s="29"/>
      <c r="J65" s="30"/>
      <c r="K65" s="29"/>
      <c r="L65" s="29"/>
      <c r="M65" s="30"/>
      <c r="N65" s="29"/>
      <c r="O65" s="29"/>
      <c r="P65" s="30"/>
      <c r="Q65" s="22" t="s">
        <v>590</v>
      </c>
      <c r="T65" s="30"/>
      <c r="W65" s="30"/>
      <c r="Z65" s="30"/>
    </row>
    <row r="66" spans="1:26" x14ac:dyDescent="0.2">
      <c r="A66" s="29">
        <v>119</v>
      </c>
      <c r="B66" s="29">
        <v>1</v>
      </c>
      <c r="C66" s="22" t="s">
        <v>601</v>
      </c>
      <c r="D66" s="22" t="s">
        <v>590</v>
      </c>
      <c r="E66" s="29"/>
      <c r="F66" s="29"/>
      <c r="G66" s="30"/>
      <c r="H66" s="29"/>
      <c r="I66" s="29"/>
      <c r="J66" s="30"/>
      <c r="K66" s="29"/>
      <c r="L66" s="29"/>
      <c r="M66" s="30"/>
      <c r="N66" s="29"/>
      <c r="O66" s="29"/>
      <c r="P66" s="30"/>
      <c r="Q66" s="22" t="s">
        <v>590</v>
      </c>
      <c r="T66" s="30"/>
      <c r="W66" s="30"/>
      <c r="Z66" s="30"/>
    </row>
    <row r="67" spans="1:26" x14ac:dyDescent="0.2">
      <c r="A67" s="29">
        <v>126</v>
      </c>
      <c r="B67" s="29">
        <v>1</v>
      </c>
      <c r="C67" s="22" t="s">
        <v>602</v>
      </c>
      <c r="D67" s="22" t="s">
        <v>590</v>
      </c>
      <c r="E67" s="29">
        <v>87</v>
      </c>
      <c r="F67" s="29">
        <v>6</v>
      </c>
      <c r="G67" s="30">
        <v>11</v>
      </c>
      <c r="H67" s="29">
        <v>88</v>
      </c>
      <c r="I67" s="29">
        <v>99</v>
      </c>
      <c r="J67" s="30">
        <v>6</v>
      </c>
      <c r="K67" s="29"/>
      <c r="L67" s="29"/>
      <c r="M67" s="30"/>
      <c r="N67" s="29"/>
      <c r="O67" s="29"/>
      <c r="P67" s="30"/>
      <c r="Q67" s="22" t="s">
        <v>590</v>
      </c>
      <c r="T67" s="30"/>
      <c r="W67" s="30"/>
      <c r="Z67" s="30"/>
    </row>
    <row r="68" spans="1:26" x14ac:dyDescent="0.2">
      <c r="A68" s="29">
        <v>127</v>
      </c>
      <c r="B68" s="29">
        <v>1</v>
      </c>
      <c r="C68" s="22" t="s">
        <v>603</v>
      </c>
      <c r="D68" s="22" t="s">
        <v>590</v>
      </c>
      <c r="E68" s="29">
        <v>77</v>
      </c>
      <c r="F68" s="29">
        <v>99</v>
      </c>
      <c r="G68" s="30">
        <v>5</v>
      </c>
      <c r="H68" s="29">
        <v>81</v>
      </c>
      <c r="I68" s="29">
        <v>99</v>
      </c>
      <c r="J68" s="30">
        <v>10</v>
      </c>
      <c r="K68" s="29"/>
      <c r="L68" s="29"/>
      <c r="M68" s="30"/>
      <c r="N68" s="29"/>
      <c r="O68" s="29"/>
      <c r="P68" s="30"/>
      <c r="Q68" s="22" t="s">
        <v>590</v>
      </c>
      <c r="T68" s="30"/>
      <c r="W68" s="30"/>
      <c r="Z68" s="30"/>
    </row>
    <row r="69" spans="1:26" x14ac:dyDescent="0.2">
      <c r="A69" s="29">
        <v>128</v>
      </c>
      <c r="B69" s="29">
        <v>1</v>
      </c>
      <c r="C69" s="22" t="s">
        <v>604</v>
      </c>
      <c r="D69" s="22" t="s">
        <v>590</v>
      </c>
      <c r="E69" s="29">
        <v>76</v>
      </c>
      <c r="F69" s="29">
        <v>99</v>
      </c>
      <c r="G69" s="30">
        <v>5</v>
      </c>
      <c r="H69" s="29">
        <v>81</v>
      </c>
      <c r="I69" s="29">
        <v>99</v>
      </c>
      <c r="J69" s="30">
        <v>10</v>
      </c>
      <c r="K69" s="29"/>
      <c r="L69" s="29"/>
      <c r="M69" s="30"/>
      <c r="N69" s="29"/>
      <c r="O69" s="29"/>
      <c r="P69" s="30"/>
      <c r="Q69" s="22" t="s">
        <v>590</v>
      </c>
      <c r="T69" s="30"/>
      <c r="W69" s="30"/>
      <c r="Z69" s="30"/>
    </row>
    <row r="70" spans="1:26" x14ac:dyDescent="0.2">
      <c r="A70" s="29">
        <v>129</v>
      </c>
      <c r="B70" s="29">
        <v>1</v>
      </c>
      <c r="C70" s="22" t="s">
        <v>105</v>
      </c>
      <c r="D70" s="22" t="s">
        <v>590</v>
      </c>
      <c r="E70" s="29"/>
      <c r="F70" s="29"/>
      <c r="G70" s="30"/>
      <c r="H70" s="29"/>
      <c r="I70" s="29"/>
      <c r="J70" s="30"/>
      <c r="K70" s="29"/>
      <c r="L70" s="29"/>
      <c r="M70" s="30"/>
      <c r="N70" s="29"/>
      <c r="O70" s="29"/>
      <c r="P70" s="30"/>
      <c r="Q70" s="22" t="s">
        <v>590</v>
      </c>
      <c r="T70" s="30"/>
      <c r="W70" s="30"/>
      <c r="Z70" s="30"/>
    </row>
    <row r="71" spans="1:26" x14ac:dyDescent="0.2">
      <c r="A71" s="29">
        <v>138</v>
      </c>
      <c r="B71" s="29">
        <v>1</v>
      </c>
      <c r="C71" s="22" t="s">
        <v>106</v>
      </c>
      <c r="D71" s="22" t="s">
        <v>590</v>
      </c>
      <c r="E71" s="29"/>
      <c r="F71" s="29"/>
      <c r="G71" s="30"/>
      <c r="H71" s="29"/>
      <c r="I71" s="29"/>
      <c r="J71" s="30"/>
      <c r="K71" s="29"/>
      <c r="L71" s="29"/>
      <c r="M71" s="30"/>
      <c r="N71" s="29"/>
      <c r="O71" s="29"/>
      <c r="P71" s="30"/>
      <c r="Q71" s="22" t="s">
        <v>590</v>
      </c>
      <c r="T71" s="30"/>
      <c r="W71" s="30"/>
      <c r="Z71" s="30"/>
    </row>
    <row r="72" spans="1:26" x14ac:dyDescent="0.2">
      <c r="A72" s="29">
        <v>139</v>
      </c>
      <c r="B72" s="29">
        <v>1</v>
      </c>
      <c r="C72" s="22" t="s">
        <v>107</v>
      </c>
      <c r="D72" s="22" t="s">
        <v>590</v>
      </c>
      <c r="E72" s="29"/>
      <c r="F72" s="29"/>
      <c r="G72" s="30"/>
      <c r="H72" s="29"/>
      <c r="I72" s="29"/>
      <c r="J72" s="30"/>
      <c r="K72" s="29"/>
      <c r="L72" s="29"/>
      <c r="M72" s="30"/>
      <c r="N72" s="29"/>
      <c r="O72" s="29"/>
      <c r="P72" s="30"/>
      <c r="Q72" s="22" t="s">
        <v>590</v>
      </c>
      <c r="T72" s="30"/>
      <c r="W72" s="30"/>
      <c r="Z72" s="30"/>
    </row>
    <row r="73" spans="1:26" x14ac:dyDescent="0.2">
      <c r="A73" s="29">
        <v>140</v>
      </c>
      <c r="B73" s="29">
        <v>1</v>
      </c>
      <c r="C73" s="22" t="s">
        <v>513</v>
      </c>
      <c r="D73" s="22" t="s">
        <v>590</v>
      </c>
      <c r="E73" s="29">
        <v>86</v>
      </c>
      <c r="F73" s="29">
        <v>99</v>
      </c>
      <c r="G73" s="30">
        <v>4</v>
      </c>
      <c r="H73" s="29"/>
      <c r="I73" s="29"/>
      <c r="J73" s="30"/>
      <c r="K73" s="29"/>
      <c r="L73" s="29"/>
      <c r="M73" s="30"/>
      <c r="N73" s="29"/>
      <c r="O73" s="29"/>
      <c r="P73" s="30"/>
      <c r="Q73" s="22" t="s">
        <v>590</v>
      </c>
      <c r="T73" s="30"/>
      <c r="W73" s="30"/>
      <c r="Z73" s="30"/>
    </row>
    <row r="74" spans="1:26" x14ac:dyDescent="0.2">
      <c r="A74" s="29">
        <v>141</v>
      </c>
      <c r="B74" s="29">
        <v>1</v>
      </c>
      <c r="C74" s="22" t="s">
        <v>605</v>
      </c>
      <c r="D74" s="22" t="s">
        <v>590</v>
      </c>
      <c r="E74" s="29"/>
      <c r="F74" s="29"/>
      <c r="G74" s="30"/>
      <c r="H74" s="29"/>
      <c r="I74" s="29"/>
      <c r="J74" s="30"/>
      <c r="K74" s="29"/>
      <c r="L74" s="29"/>
      <c r="M74" s="30"/>
      <c r="N74" s="29"/>
      <c r="O74" s="29"/>
      <c r="P74" s="30"/>
      <c r="Q74" s="22" t="s">
        <v>590</v>
      </c>
      <c r="T74" s="30"/>
      <c r="W74" s="30"/>
      <c r="Z74" s="30"/>
    </row>
    <row r="75" spans="1:26" x14ac:dyDescent="0.2">
      <c r="A75" s="29">
        <v>145</v>
      </c>
      <c r="B75" s="29">
        <v>1</v>
      </c>
      <c r="C75" s="22" t="s">
        <v>606</v>
      </c>
      <c r="D75" s="22" t="s">
        <v>590</v>
      </c>
      <c r="E75" s="29">
        <v>74</v>
      </c>
      <c r="F75" s="29">
        <v>99</v>
      </c>
      <c r="G75" s="30">
        <v>4</v>
      </c>
      <c r="H75" s="29"/>
      <c r="I75" s="29"/>
      <c r="J75" s="30"/>
      <c r="K75" s="29"/>
      <c r="L75" s="29"/>
      <c r="M75" s="30"/>
      <c r="N75" s="29"/>
      <c r="O75" s="29"/>
      <c r="P75" s="30"/>
      <c r="Q75" s="22" t="s">
        <v>590</v>
      </c>
      <c r="R75" s="29">
        <v>80</v>
      </c>
      <c r="S75" s="29">
        <v>99</v>
      </c>
      <c r="T75" s="30">
        <v>3</v>
      </c>
      <c r="W75" s="30"/>
      <c r="Z75" s="30"/>
    </row>
    <row r="76" spans="1:26" x14ac:dyDescent="0.2">
      <c r="A76" s="29">
        <v>146</v>
      </c>
      <c r="B76" s="29">
        <v>1</v>
      </c>
      <c r="C76" s="22" t="s">
        <v>108</v>
      </c>
      <c r="D76" s="22" t="s">
        <v>590</v>
      </c>
      <c r="E76" s="29">
        <v>85</v>
      </c>
      <c r="F76" s="29">
        <v>4</v>
      </c>
      <c r="G76" s="30">
        <v>2.5</v>
      </c>
      <c r="H76" s="29"/>
      <c r="I76" s="29"/>
      <c r="J76" s="30"/>
      <c r="K76" s="29"/>
      <c r="L76" s="29"/>
      <c r="M76" s="30"/>
      <c r="N76" s="29"/>
      <c r="O76" s="29"/>
      <c r="P76" s="30"/>
      <c r="Q76" s="22" t="s">
        <v>590</v>
      </c>
      <c r="T76" s="30"/>
      <c r="W76" s="30"/>
      <c r="Z76" s="30"/>
    </row>
    <row r="77" spans="1:26" x14ac:dyDescent="0.2">
      <c r="A77" s="29">
        <v>147</v>
      </c>
      <c r="B77" s="29">
        <v>1</v>
      </c>
      <c r="C77" s="22" t="s">
        <v>607</v>
      </c>
      <c r="D77" s="22" t="s">
        <v>590</v>
      </c>
      <c r="E77" s="29"/>
      <c r="F77" s="29"/>
      <c r="G77" s="30"/>
      <c r="H77" s="29"/>
      <c r="I77" s="29"/>
      <c r="J77" s="30"/>
      <c r="K77" s="29"/>
      <c r="L77" s="29"/>
      <c r="M77" s="30"/>
      <c r="N77" s="29"/>
      <c r="O77" s="29"/>
      <c r="P77" s="30"/>
      <c r="Q77" s="22" t="s">
        <v>590</v>
      </c>
      <c r="T77" s="30"/>
      <c r="W77" s="30"/>
      <c r="Z77" s="30"/>
    </row>
    <row r="78" spans="1:26" x14ac:dyDescent="0.2">
      <c r="A78" s="29">
        <v>150</v>
      </c>
      <c r="B78" s="29">
        <v>1</v>
      </c>
      <c r="C78" s="22" t="s">
        <v>109</v>
      </c>
      <c r="D78" s="22" t="s">
        <v>590</v>
      </c>
      <c r="E78" s="29">
        <v>76</v>
      </c>
      <c r="F78" s="29">
        <v>99</v>
      </c>
      <c r="G78" s="30">
        <v>10</v>
      </c>
      <c r="H78" s="29"/>
      <c r="I78" s="29"/>
      <c r="J78" s="30"/>
      <c r="K78" s="29"/>
      <c r="L78" s="29"/>
      <c r="M78" s="30"/>
      <c r="N78" s="29"/>
      <c r="O78" s="29"/>
      <c r="P78" s="30"/>
      <c r="Q78" s="22" t="s">
        <v>590</v>
      </c>
      <c r="T78" s="30"/>
      <c r="W78" s="30"/>
      <c r="Z78" s="30"/>
    </row>
    <row r="79" spans="1:26" x14ac:dyDescent="0.2">
      <c r="A79" s="29">
        <v>152</v>
      </c>
      <c r="B79" s="29">
        <v>1</v>
      </c>
      <c r="C79" s="22" t="s">
        <v>110</v>
      </c>
      <c r="D79" s="22" t="s">
        <v>590</v>
      </c>
      <c r="E79" s="29"/>
      <c r="F79" s="29"/>
      <c r="G79" s="30"/>
      <c r="H79" s="29"/>
      <c r="I79" s="29"/>
      <c r="J79" s="30"/>
      <c r="K79" s="29"/>
      <c r="L79" s="29"/>
      <c r="M79" s="30"/>
      <c r="N79" s="29"/>
      <c r="O79" s="29"/>
      <c r="P79" s="30"/>
      <c r="Q79" s="22" t="s">
        <v>590</v>
      </c>
      <c r="R79" s="29">
        <v>75</v>
      </c>
      <c r="S79" s="29">
        <v>99</v>
      </c>
      <c r="T79" s="30">
        <v>2</v>
      </c>
      <c r="U79" s="29">
        <v>78</v>
      </c>
      <c r="V79" s="29">
        <v>99</v>
      </c>
      <c r="W79" s="30">
        <v>2</v>
      </c>
      <c r="X79" s="29">
        <v>81</v>
      </c>
      <c r="Y79" s="29">
        <v>99</v>
      </c>
      <c r="Z79" s="30">
        <v>1</v>
      </c>
    </row>
    <row r="80" spans="1:26" x14ac:dyDescent="0.2">
      <c r="A80" s="29">
        <v>158</v>
      </c>
      <c r="B80" s="29">
        <v>1</v>
      </c>
      <c r="C80" s="22" t="s">
        <v>608</v>
      </c>
      <c r="D80" s="22" t="s">
        <v>590</v>
      </c>
      <c r="E80" s="29"/>
      <c r="F80" s="29"/>
      <c r="G80" s="30"/>
      <c r="H80" s="29"/>
      <c r="I80" s="29"/>
      <c r="J80" s="30"/>
      <c r="K80" s="29"/>
      <c r="L80" s="29"/>
      <c r="M80" s="30"/>
      <c r="N80" s="29"/>
      <c r="O80" s="29"/>
      <c r="P80" s="30"/>
      <c r="Q80" s="22" t="s">
        <v>590</v>
      </c>
      <c r="R80" s="29">
        <v>72</v>
      </c>
      <c r="S80" s="29">
        <v>99</v>
      </c>
      <c r="T80" s="30">
        <v>10</v>
      </c>
    </row>
    <row r="81" spans="1:20" x14ac:dyDescent="0.2">
      <c r="A81" s="29">
        <v>161</v>
      </c>
      <c r="B81" s="29">
        <v>1</v>
      </c>
      <c r="C81" s="22" t="s">
        <v>609</v>
      </c>
      <c r="D81" s="22" t="s">
        <v>590</v>
      </c>
      <c r="E81" s="29">
        <v>77</v>
      </c>
      <c r="F81" s="29">
        <v>99</v>
      </c>
      <c r="G81" s="30">
        <v>6</v>
      </c>
      <c r="H81" s="29">
        <v>87</v>
      </c>
      <c r="I81" s="29">
        <v>2</v>
      </c>
      <c r="J81" s="30">
        <v>6</v>
      </c>
      <c r="K81" s="29"/>
      <c r="L81" s="29"/>
      <c r="M81" s="30"/>
      <c r="N81" s="29"/>
      <c r="O81" s="29"/>
      <c r="P81" s="30"/>
      <c r="Q81" s="22" t="s">
        <v>590</v>
      </c>
      <c r="T81" s="30"/>
    </row>
    <row r="82" spans="1:20" x14ac:dyDescent="0.2">
      <c r="A82" s="29">
        <v>162</v>
      </c>
      <c r="B82" s="29">
        <v>1</v>
      </c>
      <c r="C82" s="22" t="s">
        <v>111</v>
      </c>
      <c r="D82" s="22" t="s">
        <v>590</v>
      </c>
      <c r="E82" s="29"/>
      <c r="F82" s="29"/>
      <c r="G82" s="30"/>
      <c r="H82" s="29"/>
      <c r="I82" s="29"/>
      <c r="J82" s="30"/>
      <c r="K82" s="29"/>
      <c r="L82" s="29"/>
      <c r="M82" s="30"/>
      <c r="N82" s="29"/>
      <c r="O82" s="29"/>
      <c r="P82" s="30"/>
      <c r="Q82" s="22" t="s">
        <v>590</v>
      </c>
      <c r="T82" s="30"/>
    </row>
    <row r="83" spans="1:20" x14ac:dyDescent="0.2">
      <c r="A83" s="29">
        <v>166</v>
      </c>
      <c r="B83" s="29">
        <v>1</v>
      </c>
      <c r="C83" s="22" t="s">
        <v>112</v>
      </c>
      <c r="D83" s="22" t="s">
        <v>590</v>
      </c>
      <c r="E83" s="29">
        <v>82</v>
      </c>
      <c r="F83" s="29">
        <v>99</v>
      </c>
      <c r="G83" s="30">
        <v>2</v>
      </c>
      <c r="H83" s="29"/>
      <c r="I83" s="29"/>
      <c r="J83" s="30"/>
      <c r="K83" s="29"/>
      <c r="L83" s="29"/>
      <c r="M83" s="30"/>
      <c r="N83" s="29"/>
      <c r="O83" s="29"/>
      <c r="P83" s="30"/>
      <c r="Q83" s="22" t="s">
        <v>590</v>
      </c>
      <c r="T83" s="30"/>
    </row>
    <row r="84" spans="1:20" x14ac:dyDescent="0.2">
      <c r="A84" s="29">
        <v>173</v>
      </c>
      <c r="B84" s="29">
        <v>1</v>
      </c>
      <c r="C84" s="22" t="s">
        <v>113</v>
      </c>
      <c r="D84" s="22" t="s">
        <v>590</v>
      </c>
      <c r="E84" s="29">
        <v>76</v>
      </c>
      <c r="F84" s="29">
        <v>99</v>
      </c>
      <c r="G84" s="30">
        <v>5</v>
      </c>
      <c r="H84" s="29"/>
      <c r="I84" s="29"/>
      <c r="J84" s="30"/>
      <c r="K84" s="29"/>
      <c r="L84" s="29"/>
      <c r="M84" s="30"/>
      <c r="N84" s="29"/>
      <c r="O84" s="29"/>
      <c r="P84" s="30"/>
      <c r="Q84" s="22" t="s">
        <v>590</v>
      </c>
      <c r="T84" s="30"/>
    </row>
    <row r="85" spans="1:20" x14ac:dyDescent="0.2">
      <c r="A85" s="29">
        <v>175</v>
      </c>
      <c r="B85" s="29">
        <v>1</v>
      </c>
      <c r="C85" s="22" t="s">
        <v>517</v>
      </c>
      <c r="D85" s="22" t="s">
        <v>590</v>
      </c>
      <c r="E85" s="29">
        <v>80</v>
      </c>
      <c r="F85" s="29">
        <v>99</v>
      </c>
      <c r="G85" s="30">
        <v>6</v>
      </c>
      <c r="H85" s="29"/>
      <c r="I85" s="29"/>
      <c r="J85" s="30"/>
      <c r="K85" s="29"/>
      <c r="L85" s="29"/>
      <c r="M85" s="30"/>
      <c r="N85" s="29"/>
      <c r="O85" s="29"/>
      <c r="P85" s="30"/>
      <c r="Q85" s="22" t="s">
        <v>590</v>
      </c>
      <c r="T85" s="30"/>
    </row>
    <row r="86" spans="1:20" x14ac:dyDescent="0.2">
      <c r="A86" s="29">
        <v>177</v>
      </c>
      <c r="B86" s="29">
        <v>1</v>
      </c>
      <c r="C86" s="22" t="s">
        <v>114</v>
      </c>
      <c r="D86" s="22" t="s">
        <v>590</v>
      </c>
      <c r="E86" s="29">
        <v>76</v>
      </c>
      <c r="F86" s="29">
        <v>99</v>
      </c>
      <c r="G86" s="30">
        <v>4</v>
      </c>
      <c r="H86" s="29"/>
      <c r="I86" s="29"/>
      <c r="J86" s="30"/>
      <c r="K86" s="29"/>
      <c r="L86" s="29"/>
      <c r="M86" s="30"/>
      <c r="N86" s="29"/>
      <c r="O86" s="29"/>
      <c r="P86" s="30"/>
      <c r="Q86" s="22" t="s">
        <v>590</v>
      </c>
      <c r="T86" s="30"/>
    </row>
    <row r="87" spans="1:20" x14ac:dyDescent="0.2">
      <c r="A87" s="29">
        <v>178</v>
      </c>
      <c r="B87" s="29">
        <v>1</v>
      </c>
      <c r="C87" s="22" t="s">
        <v>610</v>
      </c>
      <c r="D87" s="22" t="s">
        <v>590</v>
      </c>
      <c r="E87" s="29">
        <v>80</v>
      </c>
      <c r="F87" s="29">
        <v>99</v>
      </c>
      <c r="G87" s="30">
        <v>7</v>
      </c>
      <c r="H87" s="29"/>
      <c r="I87" s="29"/>
      <c r="J87" s="30"/>
      <c r="K87" s="29"/>
      <c r="L87" s="29"/>
      <c r="M87" s="30"/>
      <c r="N87" s="29"/>
      <c r="O87" s="29"/>
      <c r="P87" s="30"/>
      <c r="Q87" s="22" t="s">
        <v>590</v>
      </c>
      <c r="T87" s="30"/>
    </row>
    <row r="88" spans="1:20" x14ac:dyDescent="0.2">
      <c r="A88" s="29">
        <v>181</v>
      </c>
      <c r="B88" s="29">
        <v>1</v>
      </c>
      <c r="C88" s="22" t="s">
        <v>115</v>
      </c>
      <c r="D88" s="22" t="s">
        <v>590</v>
      </c>
      <c r="E88" s="29"/>
      <c r="F88" s="29"/>
      <c r="G88" s="30"/>
      <c r="H88" s="29"/>
      <c r="I88" s="29"/>
      <c r="J88" s="30"/>
      <c r="K88" s="29"/>
      <c r="L88" s="29"/>
      <c r="M88" s="30"/>
      <c r="N88" s="29"/>
      <c r="O88" s="29"/>
      <c r="P88" s="30"/>
      <c r="Q88" s="22" t="s">
        <v>590</v>
      </c>
      <c r="T88" s="30"/>
    </row>
    <row r="89" spans="1:20" x14ac:dyDescent="0.2">
      <c r="A89" s="29">
        <v>182</v>
      </c>
      <c r="B89" s="29">
        <v>1</v>
      </c>
      <c r="C89" s="22" t="s">
        <v>116</v>
      </c>
      <c r="D89" s="22" t="s">
        <v>590</v>
      </c>
      <c r="E89" s="29">
        <v>81</v>
      </c>
      <c r="F89" s="29">
        <v>99</v>
      </c>
      <c r="G89" s="30">
        <v>2</v>
      </c>
      <c r="H89" s="29"/>
      <c r="I89" s="29"/>
      <c r="J89" s="30"/>
      <c r="K89" s="29"/>
      <c r="L89" s="29"/>
      <c r="M89" s="30"/>
      <c r="N89" s="29"/>
      <c r="O89" s="29"/>
      <c r="P89" s="30"/>
      <c r="Q89" s="22" t="s">
        <v>590</v>
      </c>
      <c r="T89" s="30"/>
    </row>
    <row r="90" spans="1:20" x14ac:dyDescent="0.2">
      <c r="A90" s="29">
        <v>186</v>
      </c>
      <c r="B90" s="29">
        <v>1</v>
      </c>
      <c r="C90" s="22" t="s">
        <v>117</v>
      </c>
      <c r="D90" s="22" t="s">
        <v>590</v>
      </c>
      <c r="E90" s="29"/>
      <c r="F90" s="29"/>
      <c r="G90" s="30"/>
      <c r="H90" s="29"/>
      <c r="I90" s="29"/>
      <c r="J90" s="30"/>
      <c r="K90" s="29"/>
      <c r="L90" s="29"/>
      <c r="M90" s="30"/>
      <c r="N90" s="29"/>
      <c r="O90" s="29"/>
      <c r="P90" s="30"/>
      <c r="Q90" s="22" t="s">
        <v>590</v>
      </c>
      <c r="T90" s="30"/>
    </row>
    <row r="91" spans="1:20" x14ac:dyDescent="0.2">
      <c r="A91" s="29">
        <v>191</v>
      </c>
      <c r="B91" s="29">
        <v>1</v>
      </c>
      <c r="C91" s="22" t="s">
        <v>118</v>
      </c>
      <c r="D91" s="22" t="s">
        <v>590</v>
      </c>
      <c r="E91" s="29">
        <v>80</v>
      </c>
      <c r="F91" s="29">
        <v>99</v>
      </c>
      <c r="G91" s="30">
        <v>5</v>
      </c>
      <c r="H91" s="29">
        <v>86</v>
      </c>
      <c r="I91" s="29">
        <v>99</v>
      </c>
      <c r="J91" s="30">
        <v>5</v>
      </c>
      <c r="K91" s="29">
        <v>88</v>
      </c>
      <c r="L91" s="29">
        <v>99</v>
      </c>
      <c r="M91" s="30">
        <v>5</v>
      </c>
      <c r="N91" s="29"/>
      <c r="O91" s="29"/>
      <c r="P91" s="30"/>
      <c r="Q91" s="22" t="s">
        <v>590</v>
      </c>
      <c r="T91" s="30"/>
    </row>
    <row r="92" spans="1:20" x14ac:dyDescent="0.2">
      <c r="A92" s="29">
        <v>192</v>
      </c>
      <c r="B92" s="29">
        <v>1</v>
      </c>
      <c r="C92" s="22" t="s">
        <v>119</v>
      </c>
      <c r="D92" s="22" t="s">
        <v>590</v>
      </c>
      <c r="E92" s="29">
        <v>85</v>
      </c>
      <c r="F92" s="29">
        <v>5</v>
      </c>
      <c r="G92" s="30">
        <v>6.29</v>
      </c>
      <c r="H92" s="29"/>
      <c r="I92" s="29"/>
      <c r="J92" s="30"/>
      <c r="K92" s="29"/>
      <c r="L92" s="29"/>
      <c r="M92" s="30"/>
      <c r="N92" s="29"/>
      <c r="O92" s="29"/>
      <c r="P92" s="30"/>
      <c r="Q92" s="22" t="s">
        <v>590</v>
      </c>
      <c r="T92" s="30"/>
    </row>
    <row r="93" spans="1:20" x14ac:dyDescent="0.2">
      <c r="A93" s="29">
        <v>194</v>
      </c>
      <c r="B93" s="29">
        <v>1</v>
      </c>
      <c r="C93" s="22" t="s">
        <v>120</v>
      </c>
      <c r="D93" s="22" t="s">
        <v>590</v>
      </c>
      <c r="E93" s="29">
        <v>84</v>
      </c>
      <c r="F93" s="29">
        <v>99</v>
      </c>
      <c r="G93" s="30">
        <v>3</v>
      </c>
      <c r="H93" s="29"/>
      <c r="I93" s="29"/>
      <c r="J93" s="30"/>
      <c r="K93" s="29"/>
      <c r="L93" s="29"/>
      <c r="M93" s="30"/>
      <c r="N93" s="29"/>
      <c r="O93" s="29"/>
      <c r="P93" s="30"/>
      <c r="Q93" s="22" t="s">
        <v>590</v>
      </c>
      <c r="T93" s="30"/>
    </row>
    <row r="94" spans="1:20" x14ac:dyDescent="0.2">
      <c r="A94" s="29">
        <v>195</v>
      </c>
      <c r="B94" s="29">
        <v>1</v>
      </c>
      <c r="C94" s="22" t="s">
        <v>121</v>
      </c>
      <c r="D94" s="22" t="s">
        <v>590</v>
      </c>
      <c r="E94" s="29">
        <v>88</v>
      </c>
      <c r="F94" s="29">
        <v>99</v>
      </c>
      <c r="G94" s="30">
        <v>15</v>
      </c>
      <c r="H94" s="29"/>
      <c r="I94" s="29"/>
      <c r="J94" s="30"/>
      <c r="K94" s="29"/>
      <c r="L94" s="29"/>
      <c r="M94" s="30"/>
      <c r="N94" s="29"/>
      <c r="O94" s="29"/>
      <c r="P94" s="30"/>
      <c r="Q94" s="22" t="s">
        <v>590</v>
      </c>
      <c r="T94" s="30"/>
    </row>
    <row r="95" spans="1:20" x14ac:dyDescent="0.2">
      <c r="A95" s="29">
        <v>196</v>
      </c>
      <c r="B95" s="29">
        <v>1</v>
      </c>
      <c r="C95" s="22" t="s">
        <v>611</v>
      </c>
      <c r="D95" s="22" t="s">
        <v>590</v>
      </c>
      <c r="E95" s="29"/>
      <c r="F95" s="29"/>
      <c r="G95" s="30"/>
      <c r="H95" s="29"/>
      <c r="I95" s="29"/>
      <c r="J95" s="30"/>
      <c r="K95" s="29"/>
      <c r="L95" s="29"/>
      <c r="M95" s="30"/>
      <c r="N95" s="29"/>
      <c r="O95" s="29"/>
      <c r="P95" s="30"/>
      <c r="Q95" s="22" t="s">
        <v>590</v>
      </c>
      <c r="T95" s="30"/>
    </row>
    <row r="96" spans="1:20" x14ac:dyDescent="0.2">
      <c r="A96" s="29">
        <v>197</v>
      </c>
      <c r="B96" s="29">
        <v>1</v>
      </c>
      <c r="C96" s="22" t="s">
        <v>123</v>
      </c>
      <c r="D96" s="22" t="s">
        <v>590</v>
      </c>
      <c r="E96" s="29"/>
      <c r="F96" s="29"/>
      <c r="G96" s="30"/>
      <c r="H96" s="29"/>
      <c r="I96" s="29"/>
      <c r="J96" s="30"/>
      <c r="K96" s="29"/>
      <c r="L96" s="29"/>
      <c r="M96" s="30"/>
      <c r="N96" s="29"/>
      <c r="O96" s="29"/>
      <c r="P96" s="30"/>
      <c r="Q96" s="22" t="s">
        <v>590</v>
      </c>
      <c r="T96" s="30"/>
    </row>
    <row r="97" spans="1:20" x14ac:dyDescent="0.2">
      <c r="A97" s="29">
        <v>199</v>
      </c>
      <c r="B97" s="29">
        <v>1</v>
      </c>
      <c r="C97" s="22" t="s">
        <v>124</v>
      </c>
      <c r="D97" s="22" t="s">
        <v>590</v>
      </c>
      <c r="E97" s="29">
        <v>84</v>
      </c>
      <c r="F97" s="29">
        <v>5</v>
      </c>
      <c r="G97" s="30">
        <v>5.5</v>
      </c>
      <c r="H97" s="29">
        <v>87</v>
      </c>
      <c r="I97" s="29">
        <v>6</v>
      </c>
      <c r="J97" s="30">
        <v>9</v>
      </c>
      <c r="K97" s="29"/>
      <c r="L97" s="29"/>
      <c r="M97" s="30"/>
      <c r="N97" s="29"/>
      <c r="O97" s="29"/>
      <c r="P97" s="30"/>
      <c r="Q97" s="22" t="s">
        <v>590</v>
      </c>
      <c r="T97" s="30"/>
    </row>
    <row r="98" spans="1:20" x14ac:dyDescent="0.2">
      <c r="A98" s="29">
        <v>200</v>
      </c>
      <c r="B98" s="29">
        <v>1</v>
      </c>
      <c r="C98" s="22" t="s">
        <v>125</v>
      </c>
      <c r="D98" s="22" t="s">
        <v>590</v>
      </c>
      <c r="E98" s="29">
        <v>85</v>
      </c>
      <c r="F98" s="29">
        <v>99</v>
      </c>
      <c r="G98" s="30">
        <v>7.88</v>
      </c>
      <c r="H98" s="29"/>
      <c r="I98" s="29"/>
      <c r="J98" s="30"/>
      <c r="K98" s="29"/>
      <c r="L98" s="29"/>
      <c r="M98" s="30"/>
      <c r="N98" s="29"/>
      <c r="O98" s="29"/>
      <c r="P98" s="30"/>
      <c r="Q98" s="22" t="s">
        <v>590</v>
      </c>
      <c r="T98" s="30"/>
    </row>
    <row r="99" spans="1:20" x14ac:dyDescent="0.2">
      <c r="A99" s="29">
        <v>201</v>
      </c>
      <c r="B99" s="29">
        <v>1</v>
      </c>
      <c r="C99" s="22" t="s">
        <v>519</v>
      </c>
      <c r="D99" s="22" t="s">
        <v>590</v>
      </c>
      <c r="E99" s="29">
        <v>84</v>
      </c>
      <c r="F99" s="29">
        <v>99</v>
      </c>
      <c r="G99" s="30">
        <v>11</v>
      </c>
      <c r="H99" s="29"/>
      <c r="I99" s="29"/>
      <c r="J99" s="30"/>
      <c r="K99" s="29"/>
      <c r="L99" s="29"/>
      <c r="M99" s="30"/>
      <c r="N99" s="29"/>
      <c r="O99" s="29"/>
      <c r="P99" s="30"/>
      <c r="Q99" s="22" t="s">
        <v>590</v>
      </c>
      <c r="T99" s="30"/>
    </row>
    <row r="100" spans="1:20" x14ac:dyDescent="0.2">
      <c r="A100" s="29">
        <v>202</v>
      </c>
      <c r="B100" s="29">
        <v>1</v>
      </c>
      <c r="C100" s="22" t="s">
        <v>520</v>
      </c>
      <c r="D100" s="22" t="s">
        <v>590</v>
      </c>
      <c r="E100" s="29">
        <v>87</v>
      </c>
      <c r="F100" s="29">
        <v>3</v>
      </c>
      <c r="G100" s="30">
        <v>3</v>
      </c>
      <c r="H100" s="29"/>
      <c r="I100" s="29"/>
      <c r="J100" s="30"/>
      <c r="K100" s="29"/>
      <c r="L100" s="29"/>
      <c r="M100" s="30"/>
      <c r="N100" s="29"/>
      <c r="O100" s="29"/>
      <c r="P100" s="30"/>
      <c r="Q100" s="22" t="s">
        <v>590</v>
      </c>
      <c r="T100" s="30"/>
    </row>
    <row r="101" spans="1:20" x14ac:dyDescent="0.2">
      <c r="A101" s="29">
        <v>203</v>
      </c>
      <c r="B101" s="29">
        <v>1</v>
      </c>
      <c r="C101" s="22" t="s">
        <v>126</v>
      </c>
      <c r="D101" s="22" t="s">
        <v>590</v>
      </c>
      <c r="E101" s="29"/>
      <c r="F101" s="29"/>
      <c r="G101" s="30"/>
      <c r="H101" s="29"/>
      <c r="I101" s="29"/>
      <c r="J101" s="30"/>
      <c r="K101" s="29"/>
      <c r="L101" s="29"/>
      <c r="M101" s="30"/>
      <c r="N101" s="29"/>
      <c r="O101" s="29"/>
      <c r="P101" s="30"/>
      <c r="Q101" s="22" t="s">
        <v>590</v>
      </c>
      <c r="T101" s="30"/>
    </row>
    <row r="102" spans="1:20" x14ac:dyDescent="0.2">
      <c r="A102" s="29">
        <v>204</v>
      </c>
      <c r="B102" s="29">
        <v>1</v>
      </c>
      <c r="C102" s="22" t="s">
        <v>127</v>
      </c>
      <c r="D102" s="22" t="s">
        <v>590</v>
      </c>
      <c r="E102" s="29"/>
      <c r="F102" s="29"/>
      <c r="G102" s="30"/>
      <c r="H102" s="29"/>
      <c r="I102" s="29"/>
      <c r="J102" s="30"/>
      <c r="K102" s="29"/>
      <c r="L102" s="29"/>
      <c r="M102" s="30"/>
      <c r="N102" s="29"/>
      <c r="O102" s="29"/>
      <c r="P102" s="30"/>
      <c r="Q102" s="22" t="s">
        <v>590</v>
      </c>
      <c r="T102" s="30"/>
    </row>
    <row r="103" spans="1:20" x14ac:dyDescent="0.2">
      <c r="A103" s="29">
        <v>205</v>
      </c>
      <c r="B103" s="29">
        <v>1</v>
      </c>
      <c r="C103" s="22" t="s">
        <v>612</v>
      </c>
      <c r="D103" s="22" t="s">
        <v>590</v>
      </c>
      <c r="E103" s="29">
        <v>76</v>
      </c>
      <c r="F103" s="29">
        <v>99</v>
      </c>
      <c r="G103" s="30">
        <v>4</v>
      </c>
      <c r="H103" s="29">
        <v>81</v>
      </c>
      <c r="I103" s="29">
        <v>99</v>
      </c>
      <c r="J103" s="30">
        <v>4</v>
      </c>
      <c r="K103" s="29">
        <v>88</v>
      </c>
      <c r="L103" s="29">
        <v>99</v>
      </c>
      <c r="M103" s="30">
        <v>11</v>
      </c>
      <c r="N103" s="29"/>
      <c r="O103" s="29"/>
      <c r="P103" s="30"/>
      <c r="Q103" s="22" t="s">
        <v>590</v>
      </c>
      <c r="T103" s="30"/>
    </row>
    <row r="104" spans="1:20" x14ac:dyDescent="0.2">
      <c r="A104" s="29">
        <v>206</v>
      </c>
      <c r="B104" s="29">
        <v>1</v>
      </c>
      <c r="C104" s="22" t="s">
        <v>128</v>
      </c>
      <c r="D104" s="22" t="s">
        <v>590</v>
      </c>
      <c r="E104" s="29"/>
      <c r="F104" s="29"/>
      <c r="G104" s="30"/>
      <c r="H104" s="29"/>
      <c r="I104" s="29"/>
      <c r="J104" s="30"/>
      <c r="K104" s="29"/>
      <c r="L104" s="29"/>
      <c r="M104" s="30"/>
      <c r="N104" s="29"/>
      <c r="O104" s="29"/>
      <c r="P104" s="30"/>
      <c r="Q104" s="22" t="s">
        <v>590</v>
      </c>
      <c r="T104" s="30"/>
    </row>
    <row r="105" spans="1:20" x14ac:dyDescent="0.2">
      <c r="A105" s="29">
        <v>207</v>
      </c>
      <c r="B105" s="29">
        <v>1</v>
      </c>
      <c r="C105" s="22" t="s">
        <v>129</v>
      </c>
      <c r="D105" s="22" t="s">
        <v>590</v>
      </c>
      <c r="E105" s="29"/>
      <c r="F105" s="29"/>
      <c r="G105" s="30"/>
      <c r="H105" s="29"/>
      <c r="I105" s="29"/>
      <c r="J105" s="30"/>
      <c r="K105" s="29"/>
      <c r="L105" s="29"/>
      <c r="M105" s="30"/>
      <c r="N105" s="29"/>
      <c r="O105" s="29"/>
      <c r="P105" s="30"/>
      <c r="Q105" s="22" t="s">
        <v>590</v>
      </c>
      <c r="T105" s="30"/>
    </row>
    <row r="106" spans="1:20" x14ac:dyDescent="0.2">
      <c r="A106" s="29">
        <v>208</v>
      </c>
      <c r="B106" s="29">
        <v>1</v>
      </c>
      <c r="C106" s="22" t="s">
        <v>130</v>
      </c>
      <c r="D106" s="22" t="s">
        <v>590</v>
      </c>
      <c r="E106" s="29"/>
      <c r="F106" s="29"/>
      <c r="G106" s="30"/>
      <c r="H106" s="29"/>
      <c r="I106" s="29"/>
      <c r="J106" s="30"/>
      <c r="K106" s="29"/>
      <c r="L106" s="29"/>
      <c r="M106" s="30"/>
      <c r="N106" s="29"/>
      <c r="O106" s="29"/>
      <c r="P106" s="30"/>
      <c r="Q106" s="22" t="s">
        <v>590</v>
      </c>
      <c r="T106" s="30"/>
    </row>
    <row r="107" spans="1:20" x14ac:dyDescent="0.2">
      <c r="A107" s="29">
        <v>209</v>
      </c>
      <c r="B107" s="29">
        <v>1</v>
      </c>
      <c r="C107" s="22" t="s">
        <v>565</v>
      </c>
      <c r="D107" s="22" t="s">
        <v>590</v>
      </c>
      <c r="E107" s="29">
        <v>88</v>
      </c>
      <c r="F107" s="29">
        <v>3</v>
      </c>
      <c r="G107" s="30">
        <v>12</v>
      </c>
      <c r="J107" s="30"/>
      <c r="K107" s="29"/>
      <c r="L107" s="29"/>
      <c r="M107" s="30"/>
      <c r="N107" s="29"/>
      <c r="O107" s="29"/>
      <c r="P107" s="30"/>
      <c r="Q107" s="22" t="s">
        <v>590</v>
      </c>
      <c r="T107" s="30"/>
    </row>
    <row r="108" spans="1:20" x14ac:dyDescent="0.2">
      <c r="A108" s="29">
        <v>213</v>
      </c>
      <c r="B108" s="29">
        <v>1</v>
      </c>
      <c r="C108" s="22" t="s">
        <v>131</v>
      </c>
      <c r="D108" s="22" t="s">
        <v>590</v>
      </c>
      <c r="E108" s="29"/>
      <c r="F108" s="29"/>
      <c r="G108" s="30"/>
      <c r="H108" s="29"/>
      <c r="I108" s="29"/>
      <c r="J108" s="30"/>
      <c r="K108" s="29"/>
      <c r="L108" s="29"/>
      <c r="M108" s="30"/>
      <c r="N108" s="29"/>
      <c r="O108" s="29"/>
      <c r="P108" s="30"/>
      <c r="Q108" s="22" t="s">
        <v>590</v>
      </c>
      <c r="T108" s="30"/>
    </row>
    <row r="109" spans="1:20" x14ac:dyDescent="0.2">
      <c r="A109" s="29">
        <v>217</v>
      </c>
      <c r="B109" s="29">
        <v>1</v>
      </c>
      <c r="C109" s="22" t="s">
        <v>613</v>
      </c>
      <c r="D109" s="22" t="s">
        <v>590</v>
      </c>
      <c r="E109" s="29">
        <v>79</v>
      </c>
      <c r="F109" s="29">
        <v>99</v>
      </c>
      <c r="G109" s="30">
        <v>13.5</v>
      </c>
      <c r="H109" s="29"/>
      <c r="I109" s="29"/>
      <c r="J109" s="30"/>
      <c r="K109" s="29"/>
      <c r="L109" s="29"/>
      <c r="M109" s="30"/>
      <c r="N109" s="29"/>
      <c r="O109" s="29"/>
      <c r="P109" s="30"/>
      <c r="Q109" s="22" t="s">
        <v>590</v>
      </c>
      <c r="T109" s="30"/>
    </row>
    <row r="110" spans="1:20" x14ac:dyDescent="0.2">
      <c r="A110" s="29">
        <v>218</v>
      </c>
      <c r="B110" s="29">
        <v>1</v>
      </c>
      <c r="C110" s="22" t="s">
        <v>614</v>
      </c>
      <c r="D110" s="22" t="s">
        <v>590</v>
      </c>
      <c r="E110" s="29">
        <v>80</v>
      </c>
      <c r="F110" s="29">
        <v>99</v>
      </c>
      <c r="G110" s="30">
        <v>10</v>
      </c>
      <c r="J110" s="30"/>
      <c r="K110" s="29"/>
      <c r="L110" s="29"/>
      <c r="M110" s="30"/>
      <c r="N110" s="29"/>
      <c r="O110" s="29"/>
      <c r="P110" s="30"/>
      <c r="Q110" s="22" t="s">
        <v>590</v>
      </c>
      <c r="T110" s="30"/>
    </row>
    <row r="111" spans="1:20" x14ac:dyDescent="0.2">
      <c r="A111" s="29">
        <v>219</v>
      </c>
      <c r="B111" s="29">
        <v>1</v>
      </c>
      <c r="C111" s="22" t="s">
        <v>521</v>
      </c>
      <c r="D111" s="22" t="s">
        <v>590</v>
      </c>
      <c r="E111" s="29">
        <v>76</v>
      </c>
      <c r="F111" s="29">
        <v>99</v>
      </c>
      <c r="G111" s="30">
        <v>9.6300000000000008</v>
      </c>
      <c r="H111" s="29">
        <v>88</v>
      </c>
      <c r="I111" s="29">
        <v>1</v>
      </c>
      <c r="J111" s="30">
        <v>3</v>
      </c>
      <c r="K111" s="29"/>
      <c r="L111" s="29"/>
      <c r="M111" s="30"/>
      <c r="N111" s="29"/>
      <c r="O111" s="29"/>
      <c r="P111" s="30"/>
      <c r="Q111" s="22" t="s">
        <v>590</v>
      </c>
      <c r="T111" s="30"/>
    </row>
    <row r="112" spans="1:20" x14ac:dyDescent="0.2">
      <c r="A112" s="29">
        <v>222</v>
      </c>
      <c r="B112" s="29">
        <v>1</v>
      </c>
      <c r="C112" s="22" t="s">
        <v>522</v>
      </c>
      <c r="D112" s="22" t="s">
        <v>590</v>
      </c>
      <c r="E112" s="29">
        <v>74</v>
      </c>
      <c r="F112" s="29">
        <v>99</v>
      </c>
      <c r="G112" s="30">
        <v>9.1300000000000008</v>
      </c>
      <c r="H112" s="29"/>
      <c r="I112" s="29"/>
      <c r="J112" s="30"/>
      <c r="K112" s="29"/>
      <c r="L112" s="29"/>
      <c r="M112" s="30"/>
      <c r="N112" s="29"/>
      <c r="O112" s="29"/>
      <c r="P112" s="30"/>
      <c r="Q112" s="22" t="s">
        <v>590</v>
      </c>
      <c r="T112" s="30"/>
    </row>
    <row r="113" spans="1:20" x14ac:dyDescent="0.2">
      <c r="A113" s="29">
        <v>223</v>
      </c>
      <c r="B113" s="29">
        <v>1</v>
      </c>
      <c r="C113" s="22" t="s">
        <v>615</v>
      </c>
      <c r="D113" s="22" t="s">
        <v>590</v>
      </c>
      <c r="E113" s="29">
        <v>76</v>
      </c>
      <c r="F113" s="29">
        <v>99</v>
      </c>
      <c r="G113" s="30">
        <v>6.5</v>
      </c>
      <c r="H113" s="29">
        <v>87</v>
      </c>
      <c r="I113" s="29">
        <v>99</v>
      </c>
      <c r="J113" s="30">
        <v>13</v>
      </c>
      <c r="K113" s="29"/>
      <c r="L113" s="29"/>
      <c r="M113" s="30"/>
      <c r="N113" s="29"/>
      <c r="O113" s="29"/>
      <c r="P113" s="30"/>
      <c r="Q113" s="22" t="s">
        <v>590</v>
      </c>
      <c r="T113" s="30"/>
    </row>
    <row r="114" spans="1:20" x14ac:dyDescent="0.2">
      <c r="A114" s="29">
        <v>224</v>
      </c>
      <c r="B114" s="29">
        <v>1</v>
      </c>
      <c r="C114" s="22" t="s">
        <v>616</v>
      </c>
      <c r="D114" s="22" t="s">
        <v>590</v>
      </c>
      <c r="E114" s="29"/>
      <c r="F114" s="29"/>
      <c r="G114" s="30"/>
      <c r="H114" s="29"/>
      <c r="I114" s="29"/>
      <c r="J114" s="30"/>
      <c r="K114" s="29"/>
      <c r="L114" s="29"/>
      <c r="M114" s="30"/>
      <c r="N114" s="29"/>
      <c r="O114" s="29"/>
      <c r="P114" s="30"/>
      <c r="Q114" s="22" t="s">
        <v>590</v>
      </c>
      <c r="T114" s="30"/>
    </row>
    <row r="115" spans="1:20" x14ac:dyDescent="0.2">
      <c r="A115" s="29">
        <v>225</v>
      </c>
      <c r="B115" s="29">
        <v>1</v>
      </c>
      <c r="C115" s="22" t="s">
        <v>617</v>
      </c>
      <c r="D115" s="22" t="s">
        <v>590</v>
      </c>
      <c r="E115" s="29">
        <v>87</v>
      </c>
      <c r="F115" s="29">
        <v>99</v>
      </c>
      <c r="G115" s="30">
        <v>6</v>
      </c>
      <c r="H115" s="29"/>
      <c r="I115" s="29"/>
      <c r="J115" s="30"/>
      <c r="K115" s="29"/>
      <c r="L115" s="29"/>
      <c r="M115" s="30"/>
      <c r="N115" s="29"/>
      <c r="O115" s="29"/>
      <c r="P115" s="30"/>
      <c r="Q115" s="22" t="s">
        <v>590</v>
      </c>
      <c r="T115" s="30"/>
    </row>
    <row r="116" spans="1:20" x14ac:dyDescent="0.2">
      <c r="A116" s="29">
        <v>227</v>
      </c>
      <c r="B116" s="29">
        <v>1</v>
      </c>
      <c r="C116" s="22" t="s">
        <v>132</v>
      </c>
      <c r="D116" s="22" t="s">
        <v>590</v>
      </c>
      <c r="E116" s="29">
        <v>85</v>
      </c>
      <c r="F116" s="29">
        <v>99</v>
      </c>
      <c r="G116" s="30">
        <v>4</v>
      </c>
      <c r="H116" s="29"/>
      <c r="I116" s="29"/>
      <c r="J116" s="30"/>
      <c r="K116" s="29"/>
      <c r="L116" s="29"/>
      <c r="M116" s="30"/>
      <c r="N116" s="29"/>
      <c r="O116" s="29"/>
      <c r="P116" s="30"/>
      <c r="Q116" s="22" t="s">
        <v>590</v>
      </c>
      <c r="T116" s="30"/>
    </row>
    <row r="117" spans="1:20" x14ac:dyDescent="0.2">
      <c r="A117" s="29">
        <v>228</v>
      </c>
      <c r="B117" s="29">
        <v>1</v>
      </c>
      <c r="C117" s="22" t="s">
        <v>523</v>
      </c>
      <c r="D117" s="22" t="s">
        <v>590</v>
      </c>
      <c r="E117" s="29">
        <v>86</v>
      </c>
      <c r="F117" s="29">
        <v>5</v>
      </c>
      <c r="G117" s="30">
        <v>7.5</v>
      </c>
      <c r="H117" s="29"/>
      <c r="I117" s="29"/>
      <c r="J117" s="30"/>
      <c r="K117" s="29"/>
      <c r="L117" s="29"/>
      <c r="M117" s="30"/>
      <c r="N117" s="29"/>
      <c r="O117" s="29"/>
      <c r="P117" s="30"/>
      <c r="Q117" s="22" t="s">
        <v>590</v>
      </c>
      <c r="T117" s="30"/>
    </row>
    <row r="118" spans="1:20" x14ac:dyDescent="0.2">
      <c r="A118" s="29">
        <v>229</v>
      </c>
      <c r="B118" s="29">
        <v>1</v>
      </c>
      <c r="C118" s="22" t="s">
        <v>133</v>
      </c>
      <c r="D118" s="22" t="s">
        <v>590</v>
      </c>
      <c r="E118" s="29"/>
      <c r="F118" s="29"/>
      <c r="G118" s="30"/>
      <c r="H118" s="29"/>
      <c r="I118" s="29"/>
      <c r="J118" s="30"/>
      <c r="K118" s="29"/>
      <c r="L118" s="29"/>
      <c r="M118" s="30"/>
      <c r="N118" s="29"/>
      <c r="O118" s="29"/>
      <c r="P118" s="30"/>
      <c r="Q118" s="22" t="s">
        <v>590</v>
      </c>
      <c r="T118" s="30"/>
    </row>
    <row r="119" spans="1:20" x14ac:dyDescent="0.2">
      <c r="A119" s="29">
        <v>232</v>
      </c>
      <c r="B119" s="29">
        <v>1</v>
      </c>
      <c r="C119" s="22" t="s">
        <v>618</v>
      </c>
      <c r="D119" s="22" t="s">
        <v>590</v>
      </c>
      <c r="E119" s="29">
        <v>74</v>
      </c>
      <c r="F119" s="29">
        <v>99</v>
      </c>
      <c r="G119" s="30">
        <v>10</v>
      </c>
      <c r="H119" s="29">
        <v>75</v>
      </c>
      <c r="I119" s="29">
        <v>99</v>
      </c>
      <c r="J119" s="30">
        <v>6</v>
      </c>
      <c r="K119" s="29">
        <v>88</v>
      </c>
      <c r="L119" s="29">
        <v>5</v>
      </c>
      <c r="M119" s="30">
        <v>16</v>
      </c>
      <c r="N119" s="29"/>
      <c r="O119" s="29"/>
      <c r="P119" s="30"/>
      <c r="Q119" s="22" t="s">
        <v>590</v>
      </c>
      <c r="T119" s="30"/>
    </row>
    <row r="120" spans="1:20" x14ac:dyDescent="0.2">
      <c r="A120" s="29">
        <v>233</v>
      </c>
      <c r="B120" s="29">
        <v>1</v>
      </c>
      <c r="C120" s="22" t="s">
        <v>619</v>
      </c>
      <c r="D120" s="22" t="s">
        <v>590</v>
      </c>
      <c r="E120" s="29">
        <v>80</v>
      </c>
      <c r="F120" s="29">
        <v>99</v>
      </c>
      <c r="G120" s="30">
        <v>6</v>
      </c>
      <c r="H120" s="29">
        <v>86</v>
      </c>
      <c r="I120" s="29">
        <v>5</v>
      </c>
      <c r="J120" s="30">
        <v>7</v>
      </c>
      <c r="K120" s="29"/>
      <c r="L120" s="29"/>
      <c r="M120" s="30"/>
      <c r="N120" s="29"/>
      <c r="O120" s="29"/>
      <c r="P120" s="30"/>
      <c r="Q120" s="22" t="s">
        <v>590</v>
      </c>
      <c r="T120" s="30"/>
    </row>
    <row r="121" spans="1:20" x14ac:dyDescent="0.2">
      <c r="A121" s="29">
        <v>234</v>
      </c>
      <c r="B121" s="29">
        <v>1</v>
      </c>
      <c r="C121" s="22" t="s">
        <v>620</v>
      </c>
      <c r="D121" s="22" t="s">
        <v>590</v>
      </c>
      <c r="E121" s="29">
        <v>81</v>
      </c>
      <c r="F121" s="29">
        <v>99</v>
      </c>
      <c r="G121" s="30">
        <v>6</v>
      </c>
      <c r="H121" s="29"/>
      <c r="I121" s="29"/>
      <c r="J121" s="30"/>
      <c r="K121" s="29"/>
      <c r="L121" s="29"/>
      <c r="M121" s="30"/>
      <c r="N121" s="29"/>
      <c r="O121" s="29"/>
      <c r="P121" s="30"/>
      <c r="Q121" s="22" t="s">
        <v>590</v>
      </c>
      <c r="T121" s="30"/>
    </row>
    <row r="122" spans="1:20" x14ac:dyDescent="0.2">
      <c r="A122" s="29">
        <v>236</v>
      </c>
      <c r="B122" s="29">
        <v>1</v>
      </c>
      <c r="C122" s="22" t="s">
        <v>567</v>
      </c>
      <c r="D122" s="22" t="s">
        <v>590</v>
      </c>
      <c r="E122" s="29">
        <v>78</v>
      </c>
      <c r="F122" s="29">
        <v>99</v>
      </c>
      <c r="G122" s="30">
        <v>6</v>
      </c>
      <c r="H122" s="29"/>
      <c r="I122" s="29"/>
      <c r="J122" s="30"/>
      <c r="K122" s="29"/>
      <c r="L122" s="29"/>
      <c r="M122" s="30"/>
      <c r="N122" s="29"/>
      <c r="O122" s="29"/>
      <c r="P122" s="30"/>
      <c r="Q122" s="22" t="s">
        <v>590</v>
      </c>
      <c r="T122" s="30"/>
    </row>
    <row r="123" spans="1:20" x14ac:dyDescent="0.2">
      <c r="A123" s="29">
        <v>237</v>
      </c>
      <c r="B123" s="29">
        <v>1</v>
      </c>
      <c r="C123" s="22" t="s">
        <v>524</v>
      </c>
      <c r="D123" s="22" t="s">
        <v>590</v>
      </c>
      <c r="E123" s="29"/>
      <c r="F123" s="29"/>
      <c r="G123" s="30"/>
      <c r="H123" s="29"/>
      <c r="I123" s="29"/>
      <c r="J123" s="30"/>
      <c r="K123" s="29"/>
      <c r="L123" s="29"/>
      <c r="M123" s="30"/>
      <c r="N123" s="29"/>
      <c r="O123" s="29"/>
      <c r="P123" s="30"/>
      <c r="Q123" s="22" t="s">
        <v>590</v>
      </c>
      <c r="R123" s="29">
        <v>84</v>
      </c>
      <c r="S123" s="29">
        <v>5</v>
      </c>
      <c r="T123" s="30">
        <v>4</v>
      </c>
    </row>
    <row r="124" spans="1:20" x14ac:dyDescent="0.2">
      <c r="A124" s="29">
        <v>238</v>
      </c>
      <c r="B124" s="29">
        <v>1</v>
      </c>
      <c r="C124" s="22" t="s">
        <v>134</v>
      </c>
      <c r="D124" s="22" t="s">
        <v>590</v>
      </c>
      <c r="E124" s="29">
        <v>84</v>
      </c>
      <c r="F124" s="29">
        <v>99</v>
      </c>
      <c r="G124" s="30">
        <v>6</v>
      </c>
      <c r="H124" s="29">
        <v>88</v>
      </c>
      <c r="I124" s="29">
        <v>99</v>
      </c>
      <c r="J124" s="30">
        <v>6</v>
      </c>
      <c r="K124" s="29"/>
      <c r="L124" s="29"/>
      <c r="M124" s="30"/>
      <c r="N124" s="29"/>
      <c r="O124" s="29"/>
      <c r="P124" s="30"/>
      <c r="Q124" s="22" t="s">
        <v>590</v>
      </c>
      <c r="T124" s="30"/>
    </row>
    <row r="125" spans="1:20" x14ac:dyDescent="0.2">
      <c r="A125" s="29">
        <v>240</v>
      </c>
      <c r="B125" s="29">
        <v>1</v>
      </c>
      <c r="C125" s="22" t="s">
        <v>621</v>
      </c>
      <c r="D125" s="22" t="s">
        <v>590</v>
      </c>
      <c r="G125" s="30"/>
      <c r="J125" s="30"/>
      <c r="M125" s="30"/>
      <c r="P125" s="30"/>
      <c r="Q125" s="22" t="s">
        <v>590</v>
      </c>
      <c r="T125" s="30"/>
    </row>
    <row r="126" spans="1:20" x14ac:dyDescent="0.2">
      <c r="A126" s="29">
        <v>241</v>
      </c>
      <c r="B126" s="29">
        <v>1</v>
      </c>
      <c r="C126" s="22" t="s">
        <v>136</v>
      </c>
      <c r="D126" s="22" t="s">
        <v>590</v>
      </c>
      <c r="E126" s="29">
        <v>84</v>
      </c>
      <c r="F126" s="29">
        <v>99</v>
      </c>
      <c r="G126" s="30">
        <v>5.5</v>
      </c>
      <c r="J126" s="30"/>
      <c r="M126" s="30"/>
      <c r="P126" s="30"/>
      <c r="Q126" s="22" t="s">
        <v>590</v>
      </c>
      <c r="T126" s="30"/>
    </row>
    <row r="127" spans="1:20" x14ac:dyDescent="0.2">
      <c r="A127" s="29">
        <v>242</v>
      </c>
      <c r="B127" s="29">
        <v>1</v>
      </c>
      <c r="C127" s="22" t="s">
        <v>137</v>
      </c>
      <c r="D127" s="22" t="s">
        <v>590</v>
      </c>
      <c r="G127" s="30"/>
      <c r="J127" s="30"/>
      <c r="M127" s="30"/>
      <c r="P127" s="30"/>
      <c r="Q127" s="22" t="s">
        <v>590</v>
      </c>
      <c r="T127" s="30"/>
    </row>
    <row r="128" spans="1:20" x14ac:dyDescent="0.2">
      <c r="A128" s="29">
        <v>243</v>
      </c>
      <c r="B128" s="29">
        <v>1</v>
      </c>
      <c r="C128" s="22" t="s">
        <v>525</v>
      </c>
      <c r="D128" s="22" t="s">
        <v>590</v>
      </c>
      <c r="E128" s="29">
        <v>88</v>
      </c>
      <c r="F128" s="29">
        <v>4</v>
      </c>
      <c r="G128" s="30">
        <v>4</v>
      </c>
      <c r="J128" s="30"/>
      <c r="M128" s="30"/>
      <c r="P128" s="30"/>
      <c r="Q128" s="22" t="s">
        <v>590</v>
      </c>
      <c r="T128" s="30"/>
    </row>
    <row r="129" spans="1:20" x14ac:dyDescent="0.2">
      <c r="A129" s="29">
        <v>244</v>
      </c>
      <c r="B129" s="29">
        <v>1</v>
      </c>
      <c r="C129" s="22" t="s">
        <v>622</v>
      </c>
      <c r="D129" s="22" t="s">
        <v>590</v>
      </c>
      <c r="E129" s="29">
        <v>84</v>
      </c>
      <c r="F129" s="29">
        <v>99</v>
      </c>
      <c r="G129" s="30">
        <v>5</v>
      </c>
      <c r="H129" s="29">
        <v>85</v>
      </c>
      <c r="I129" s="29">
        <v>99</v>
      </c>
      <c r="J129" s="30">
        <v>5</v>
      </c>
      <c r="M129" s="30"/>
      <c r="P129" s="30"/>
      <c r="Q129" s="22" t="s">
        <v>590</v>
      </c>
      <c r="T129" s="30"/>
    </row>
    <row r="130" spans="1:20" x14ac:dyDescent="0.2">
      <c r="A130" s="29">
        <v>245</v>
      </c>
      <c r="B130" s="29">
        <v>1</v>
      </c>
      <c r="C130" s="22" t="s">
        <v>526</v>
      </c>
      <c r="D130" s="22" t="s">
        <v>590</v>
      </c>
      <c r="E130" s="29">
        <v>88</v>
      </c>
      <c r="F130" s="29">
        <v>99</v>
      </c>
      <c r="G130" s="30">
        <v>6</v>
      </c>
      <c r="J130" s="30"/>
      <c r="M130" s="30"/>
      <c r="P130" s="30"/>
      <c r="Q130" s="22" t="s">
        <v>590</v>
      </c>
      <c r="T130" s="30"/>
    </row>
    <row r="131" spans="1:20" x14ac:dyDescent="0.2">
      <c r="A131" s="29">
        <v>252</v>
      </c>
      <c r="B131" s="29">
        <v>1</v>
      </c>
      <c r="C131" s="22" t="s">
        <v>138</v>
      </c>
      <c r="D131" s="22" t="s">
        <v>590</v>
      </c>
      <c r="G131" s="30"/>
      <c r="J131" s="30"/>
      <c r="M131" s="30"/>
      <c r="P131" s="30"/>
      <c r="Q131" s="22" t="s">
        <v>590</v>
      </c>
      <c r="T131" s="30"/>
    </row>
    <row r="132" spans="1:20" x14ac:dyDescent="0.2">
      <c r="A132" s="29">
        <v>253</v>
      </c>
      <c r="B132" s="29">
        <v>1</v>
      </c>
      <c r="C132" s="22" t="s">
        <v>139</v>
      </c>
      <c r="D132" s="22" t="s">
        <v>590</v>
      </c>
      <c r="E132" s="29">
        <v>86</v>
      </c>
      <c r="F132" s="29">
        <v>99</v>
      </c>
      <c r="G132" s="30">
        <v>5</v>
      </c>
      <c r="J132" s="30"/>
      <c r="M132" s="30"/>
      <c r="P132" s="30"/>
      <c r="Q132" s="22" t="s">
        <v>590</v>
      </c>
      <c r="T132" s="30"/>
    </row>
    <row r="133" spans="1:20" x14ac:dyDescent="0.2">
      <c r="A133" s="29">
        <v>254</v>
      </c>
      <c r="B133" s="29">
        <v>1</v>
      </c>
      <c r="C133" s="22" t="s">
        <v>623</v>
      </c>
      <c r="D133" s="22" t="s">
        <v>590</v>
      </c>
      <c r="G133" s="30"/>
      <c r="J133" s="30"/>
      <c r="M133" s="30"/>
      <c r="P133" s="30"/>
      <c r="Q133" s="22" t="s">
        <v>590</v>
      </c>
      <c r="T133" s="30"/>
    </row>
    <row r="134" spans="1:20" x14ac:dyDescent="0.2">
      <c r="A134" s="29">
        <v>255</v>
      </c>
      <c r="B134" s="29">
        <v>1</v>
      </c>
      <c r="C134" s="22" t="s">
        <v>140</v>
      </c>
      <c r="D134" s="22" t="s">
        <v>590</v>
      </c>
      <c r="E134" s="29">
        <v>87</v>
      </c>
      <c r="F134" s="29">
        <v>4</v>
      </c>
      <c r="G134" s="30">
        <v>3</v>
      </c>
      <c r="J134" s="30"/>
      <c r="M134" s="30"/>
      <c r="P134" s="30"/>
      <c r="Q134" s="22" t="s">
        <v>590</v>
      </c>
      <c r="T134" s="30"/>
    </row>
    <row r="135" spans="1:20" x14ac:dyDescent="0.2">
      <c r="A135" s="29">
        <v>256</v>
      </c>
      <c r="B135" s="29">
        <v>1</v>
      </c>
      <c r="C135" s="22" t="s">
        <v>141</v>
      </c>
      <c r="D135" s="22" t="s">
        <v>590</v>
      </c>
      <c r="E135" s="29">
        <v>74</v>
      </c>
      <c r="F135" s="29">
        <v>99</v>
      </c>
      <c r="G135" s="30">
        <v>1</v>
      </c>
      <c r="H135" s="29">
        <v>88</v>
      </c>
      <c r="I135" s="29">
        <v>99</v>
      </c>
      <c r="J135" s="30">
        <v>3</v>
      </c>
      <c r="M135" s="30"/>
      <c r="P135" s="30"/>
      <c r="Q135" s="22" t="s">
        <v>590</v>
      </c>
      <c r="T135" s="30"/>
    </row>
    <row r="136" spans="1:20" x14ac:dyDescent="0.2">
      <c r="A136" s="29">
        <v>258</v>
      </c>
      <c r="B136" s="29">
        <v>1</v>
      </c>
      <c r="C136" s="22" t="s">
        <v>624</v>
      </c>
      <c r="D136" s="22" t="s">
        <v>590</v>
      </c>
      <c r="E136" s="29">
        <v>76</v>
      </c>
      <c r="F136" s="29">
        <v>99</v>
      </c>
      <c r="G136" s="30">
        <v>4</v>
      </c>
      <c r="H136" s="29">
        <v>84</v>
      </c>
      <c r="I136" s="29">
        <v>7</v>
      </c>
      <c r="J136" s="30">
        <v>7</v>
      </c>
      <c r="M136" s="30"/>
      <c r="P136" s="30"/>
      <c r="Q136" s="22" t="s">
        <v>590</v>
      </c>
      <c r="T136" s="30"/>
    </row>
    <row r="137" spans="1:20" x14ac:dyDescent="0.2">
      <c r="A137" s="29">
        <v>260</v>
      </c>
      <c r="B137" s="29">
        <v>1</v>
      </c>
      <c r="C137" s="22" t="s">
        <v>625</v>
      </c>
      <c r="D137" s="22" t="s">
        <v>590</v>
      </c>
      <c r="E137" s="29">
        <v>84</v>
      </c>
      <c r="F137" s="29">
        <v>7</v>
      </c>
      <c r="G137" s="30">
        <v>7</v>
      </c>
      <c r="J137" s="30"/>
      <c r="M137" s="30"/>
      <c r="P137" s="30"/>
      <c r="Q137" s="22" t="s">
        <v>590</v>
      </c>
      <c r="T137" s="30"/>
    </row>
    <row r="138" spans="1:20" x14ac:dyDescent="0.2">
      <c r="A138" s="29">
        <v>261</v>
      </c>
      <c r="B138" s="29">
        <v>1</v>
      </c>
      <c r="C138" s="22" t="s">
        <v>142</v>
      </c>
      <c r="D138" s="22" t="s">
        <v>590</v>
      </c>
      <c r="G138" s="30"/>
      <c r="J138" s="30"/>
      <c r="M138" s="30"/>
      <c r="P138" s="30"/>
      <c r="Q138" s="22" t="s">
        <v>590</v>
      </c>
      <c r="T138" s="30"/>
    </row>
    <row r="139" spans="1:20" x14ac:dyDescent="0.2">
      <c r="A139" s="29">
        <v>262</v>
      </c>
      <c r="B139" s="29">
        <v>1</v>
      </c>
      <c r="C139" s="22" t="s">
        <v>626</v>
      </c>
      <c r="D139" s="22" t="s">
        <v>590</v>
      </c>
      <c r="E139" s="29">
        <v>88</v>
      </c>
      <c r="F139" s="29">
        <v>3</v>
      </c>
      <c r="G139" s="30">
        <v>8</v>
      </c>
      <c r="J139" s="30"/>
      <c r="M139" s="30"/>
      <c r="P139" s="30"/>
      <c r="Q139" s="22" t="s">
        <v>590</v>
      </c>
      <c r="T139" s="30"/>
    </row>
    <row r="140" spans="1:20" x14ac:dyDescent="0.2">
      <c r="A140" s="29">
        <v>263</v>
      </c>
      <c r="B140" s="29">
        <v>1</v>
      </c>
      <c r="C140" s="22" t="s">
        <v>568</v>
      </c>
      <c r="D140" s="22" t="s">
        <v>590</v>
      </c>
      <c r="E140" s="29">
        <v>88</v>
      </c>
      <c r="F140" s="29">
        <v>2</v>
      </c>
      <c r="G140" s="30">
        <v>4</v>
      </c>
      <c r="J140" s="30"/>
      <c r="M140" s="30"/>
      <c r="P140" s="30"/>
      <c r="Q140" s="22" t="s">
        <v>590</v>
      </c>
      <c r="T140" s="30"/>
    </row>
    <row r="141" spans="1:20" x14ac:dyDescent="0.2">
      <c r="A141" s="29">
        <v>264</v>
      </c>
      <c r="B141" s="29">
        <v>1</v>
      </c>
      <c r="C141" s="22" t="s">
        <v>627</v>
      </c>
      <c r="D141" s="22" t="s">
        <v>590</v>
      </c>
      <c r="E141" s="29">
        <v>78</v>
      </c>
      <c r="F141" s="29">
        <v>99</v>
      </c>
      <c r="G141" s="30">
        <v>4</v>
      </c>
      <c r="H141" s="29">
        <v>87</v>
      </c>
      <c r="I141" s="29">
        <v>99</v>
      </c>
      <c r="J141" s="30">
        <v>6</v>
      </c>
      <c r="M141" s="30"/>
      <c r="P141" s="30"/>
      <c r="Q141" s="22" t="s">
        <v>590</v>
      </c>
      <c r="T141" s="30"/>
    </row>
    <row r="142" spans="1:20" x14ac:dyDescent="0.2">
      <c r="A142" s="29">
        <v>265</v>
      </c>
      <c r="B142" s="29">
        <v>1</v>
      </c>
      <c r="C142" s="22" t="s">
        <v>570</v>
      </c>
      <c r="D142" s="22" t="s">
        <v>590</v>
      </c>
      <c r="E142" s="29">
        <v>88</v>
      </c>
      <c r="F142" s="29">
        <v>3</v>
      </c>
      <c r="G142" s="30">
        <v>10</v>
      </c>
      <c r="J142" s="30"/>
      <c r="M142" s="30"/>
      <c r="P142" s="30"/>
      <c r="Q142" s="22" t="s">
        <v>590</v>
      </c>
      <c r="T142" s="30"/>
    </row>
    <row r="143" spans="1:20" x14ac:dyDescent="0.2">
      <c r="A143" s="29">
        <v>270</v>
      </c>
      <c r="B143" s="29">
        <v>1</v>
      </c>
      <c r="C143" s="22" t="s">
        <v>144</v>
      </c>
      <c r="D143" s="22" t="s">
        <v>590</v>
      </c>
      <c r="E143" s="29">
        <v>78</v>
      </c>
      <c r="F143" s="29">
        <v>99</v>
      </c>
      <c r="G143" s="30">
        <v>4.5</v>
      </c>
      <c r="H143" s="29">
        <v>85</v>
      </c>
      <c r="I143" s="29">
        <v>99</v>
      </c>
      <c r="J143" s="30">
        <v>4</v>
      </c>
      <c r="M143" s="30"/>
      <c r="P143" s="30"/>
      <c r="Q143" s="22" t="s">
        <v>590</v>
      </c>
      <c r="T143" s="30"/>
    </row>
    <row r="144" spans="1:20" x14ac:dyDescent="0.2">
      <c r="A144" s="29">
        <v>271</v>
      </c>
      <c r="B144" s="29">
        <v>1</v>
      </c>
      <c r="C144" s="22" t="s">
        <v>145</v>
      </c>
      <c r="D144" s="22" t="s">
        <v>590</v>
      </c>
      <c r="E144" s="29">
        <v>85</v>
      </c>
      <c r="F144" s="29">
        <v>99</v>
      </c>
      <c r="G144" s="30">
        <v>3.835</v>
      </c>
      <c r="H144" s="29">
        <v>87</v>
      </c>
      <c r="I144" s="29">
        <v>3</v>
      </c>
      <c r="J144" s="30">
        <v>6.5</v>
      </c>
      <c r="M144" s="30"/>
      <c r="P144" s="30"/>
      <c r="Q144" s="22" t="s">
        <v>590</v>
      </c>
      <c r="T144" s="30"/>
    </row>
    <row r="145" spans="1:20" x14ac:dyDescent="0.2">
      <c r="A145" s="29">
        <v>272</v>
      </c>
      <c r="B145" s="29">
        <v>1</v>
      </c>
      <c r="C145" s="22" t="s">
        <v>146</v>
      </c>
      <c r="D145" s="22" t="s">
        <v>590</v>
      </c>
      <c r="E145" s="29">
        <v>76</v>
      </c>
      <c r="F145" s="29">
        <v>99</v>
      </c>
      <c r="G145" s="30">
        <v>6</v>
      </c>
      <c r="H145" s="29">
        <v>82</v>
      </c>
      <c r="I145" s="29">
        <v>99</v>
      </c>
      <c r="J145" s="30">
        <v>2</v>
      </c>
      <c r="K145" s="29">
        <v>82</v>
      </c>
      <c r="L145" s="29">
        <v>1</v>
      </c>
      <c r="M145" s="30">
        <v>4</v>
      </c>
      <c r="P145" s="30"/>
      <c r="Q145" s="22" t="s">
        <v>590</v>
      </c>
      <c r="T145" s="30"/>
    </row>
    <row r="146" spans="1:20" x14ac:dyDescent="0.2">
      <c r="A146" s="29">
        <v>273</v>
      </c>
      <c r="B146" s="29">
        <v>1</v>
      </c>
      <c r="C146" s="22" t="s">
        <v>147</v>
      </c>
      <c r="D146" s="22" t="s">
        <v>590</v>
      </c>
      <c r="E146" s="29">
        <v>78</v>
      </c>
      <c r="F146" s="29">
        <v>99</v>
      </c>
      <c r="G146" s="30">
        <v>2.5</v>
      </c>
      <c r="H146" s="29">
        <v>82</v>
      </c>
      <c r="I146" s="29">
        <v>99</v>
      </c>
      <c r="J146" s="30">
        <v>6</v>
      </c>
      <c r="K146" s="29">
        <v>88</v>
      </c>
      <c r="L146" s="29">
        <v>5</v>
      </c>
      <c r="M146" s="30">
        <v>5</v>
      </c>
      <c r="P146" s="30"/>
      <c r="Q146" s="22" t="s">
        <v>590</v>
      </c>
      <c r="T146" s="30"/>
    </row>
    <row r="147" spans="1:20" x14ac:dyDescent="0.2">
      <c r="A147" s="29">
        <v>276</v>
      </c>
      <c r="B147" s="29">
        <v>1</v>
      </c>
      <c r="C147" s="22" t="s">
        <v>148</v>
      </c>
      <c r="D147" s="22" t="s">
        <v>590</v>
      </c>
      <c r="E147" s="29">
        <v>76</v>
      </c>
      <c r="F147" s="29">
        <v>99</v>
      </c>
      <c r="G147" s="30">
        <v>2.3980000000000001</v>
      </c>
      <c r="H147" s="29">
        <v>80</v>
      </c>
      <c r="I147" s="29">
        <v>99</v>
      </c>
      <c r="J147" s="30">
        <v>5.5</v>
      </c>
      <c r="K147" s="29">
        <v>82</v>
      </c>
      <c r="L147" s="29">
        <v>99</v>
      </c>
      <c r="M147" s="30">
        <v>9</v>
      </c>
      <c r="N147" s="29">
        <v>88</v>
      </c>
      <c r="O147" s="29">
        <v>99</v>
      </c>
      <c r="P147" s="30">
        <v>7.5</v>
      </c>
      <c r="Q147" s="22" t="s">
        <v>590</v>
      </c>
      <c r="T147" s="30"/>
    </row>
    <row r="148" spans="1:20" x14ac:dyDescent="0.2">
      <c r="A148" s="29">
        <v>277</v>
      </c>
      <c r="B148" s="29">
        <v>1</v>
      </c>
      <c r="C148" s="22" t="s">
        <v>149</v>
      </c>
      <c r="D148" s="22" t="s">
        <v>590</v>
      </c>
      <c r="E148" s="29">
        <v>81</v>
      </c>
      <c r="F148" s="29">
        <v>99</v>
      </c>
      <c r="G148" s="30">
        <v>6.2</v>
      </c>
      <c r="H148" s="29">
        <v>85</v>
      </c>
      <c r="I148" s="29">
        <v>4</v>
      </c>
      <c r="J148" s="30">
        <v>3</v>
      </c>
      <c r="M148" s="30"/>
      <c r="Q148" s="22" t="s">
        <v>590</v>
      </c>
      <c r="T148" s="30"/>
    </row>
    <row r="149" spans="1:20" x14ac:dyDescent="0.2">
      <c r="A149" s="29">
        <v>278</v>
      </c>
      <c r="B149" s="29">
        <v>1</v>
      </c>
      <c r="C149" s="22" t="s">
        <v>150</v>
      </c>
      <c r="D149" s="22" t="s">
        <v>590</v>
      </c>
      <c r="E149" s="29">
        <v>82</v>
      </c>
      <c r="F149" s="29">
        <v>99</v>
      </c>
      <c r="G149" s="30">
        <v>4.75</v>
      </c>
      <c r="H149" s="29">
        <v>84</v>
      </c>
      <c r="I149" s="29">
        <v>99</v>
      </c>
      <c r="J149" s="30">
        <v>4.5</v>
      </c>
      <c r="K149" s="29">
        <v>87</v>
      </c>
      <c r="L149" s="29">
        <v>99</v>
      </c>
      <c r="M149" s="30">
        <v>4.75</v>
      </c>
      <c r="Q149" s="22" t="s">
        <v>590</v>
      </c>
      <c r="T149" s="30"/>
    </row>
    <row r="150" spans="1:20" x14ac:dyDescent="0.2">
      <c r="A150" s="29">
        <v>279</v>
      </c>
      <c r="B150" s="29">
        <v>1</v>
      </c>
      <c r="C150" s="22" t="s">
        <v>151</v>
      </c>
      <c r="D150" s="22" t="s">
        <v>590</v>
      </c>
      <c r="E150" s="29">
        <v>88</v>
      </c>
      <c r="F150" s="29">
        <v>99</v>
      </c>
      <c r="G150" s="30">
        <v>8</v>
      </c>
      <c r="J150" s="30"/>
      <c r="M150" s="30"/>
      <c r="Q150" s="22" t="s">
        <v>590</v>
      </c>
      <c r="R150" s="29">
        <v>81</v>
      </c>
      <c r="S150" s="29">
        <v>99</v>
      </c>
      <c r="T150" s="30">
        <v>6</v>
      </c>
    </row>
    <row r="151" spans="1:20" x14ac:dyDescent="0.2">
      <c r="A151" s="29">
        <v>280</v>
      </c>
      <c r="B151" s="29">
        <v>1</v>
      </c>
      <c r="C151" s="22" t="s">
        <v>152</v>
      </c>
      <c r="D151" s="22" t="s">
        <v>590</v>
      </c>
      <c r="E151" s="29">
        <v>77</v>
      </c>
      <c r="F151" s="29">
        <v>99</v>
      </c>
      <c r="G151" s="30">
        <v>3.75</v>
      </c>
      <c r="H151" s="29">
        <v>83</v>
      </c>
      <c r="I151" s="29">
        <v>99</v>
      </c>
      <c r="J151" s="30">
        <v>3.25</v>
      </c>
      <c r="M151" s="30"/>
      <c r="Q151" s="22" t="s">
        <v>590</v>
      </c>
      <c r="T151" s="30"/>
    </row>
    <row r="152" spans="1:20" x14ac:dyDescent="0.2">
      <c r="A152" s="29">
        <v>281</v>
      </c>
      <c r="B152" s="29">
        <v>1</v>
      </c>
      <c r="C152" s="22" t="s">
        <v>153</v>
      </c>
      <c r="D152" s="22" t="s">
        <v>590</v>
      </c>
      <c r="E152" s="29">
        <v>81</v>
      </c>
      <c r="F152" s="29">
        <v>99</v>
      </c>
      <c r="G152" s="30">
        <v>8.5</v>
      </c>
      <c r="J152" s="30"/>
      <c r="M152" s="30"/>
      <c r="Q152" s="22" t="s">
        <v>590</v>
      </c>
      <c r="T152" s="30"/>
    </row>
    <row r="153" spans="1:20" x14ac:dyDescent="0.2">
      <c r="A153" s="29">
        <v>282</v>
      </c>
      <c r="B153" s="29">
        <v>1</v>
      </c>
      <c r="C153" s="22" t="s">
        <v>154</v>
      </c>
      <c r="D153" s="22" t="s">
        <v>590</v>
      </c>
      <c r="E153" s="29">
        <v>79</v>
      </c>
      <c r="F153" s="29">
        <v>99</v>
      </c>
      <c r="G153" s="30">
        <v>2.9</v>
      </c>
      <c r="H153" s="29">
        <v>82</v>
      </c>
      <c r="I153" s="29">
        <v>99</v>
      </c>
      <c r="J153" s="30">
        <v>3.9</v>
      </c>
      <c r="K153" s="29">
        <v>85</v>
      </c>
      <c r="L153" s="29">
        <v>99</v>
      </c>
      <c r="M153" s="30">
        <v>2.6</v>
      </c>
      <c r="Q153" s="22" t="s">
        <v>590</v>
      </c>
      <c r="T153" s="30"/>
    </row>
    <row r="154" spans="1:20" x14ac:dyDescent="0.2">
      <c r="A154" s="29">
        <v>283</v>
      </c>
      <c r="B154" s="29">
        <v>1</v>
      </c>
      <c r="C154" s="22" t="s">
        <v>155</v>
      </c>
      <c r="D154" s="22" t="s">
        <v>590</v>
      </c>
      <c r="E154" s="29">
        <v>78</v>
      </c>
      <c r="F154" s="29">
        <v>99</v>
      </c>
      <c r="G154" s="30">
        <v>4.5</v>
      </c>
      <c r="H154" s="29">
        <v>82</v>
      </c>
      <c r="I154" s="29">
        <v>99</v>
      </c>
      <c r="J154" s="30">
        <v>5.75</v>
      </c>
      <c r="K154" s="29">
        <v>85</v>
      </c>
      <c r="L154" s="29">
        <v>99</v>
      </c>
      <c r="M154" s="30">
        <v>5.5</v>
      </c>
      <c r="Q154" s="22" t="s">
        <v>590</v>
      </c>
      <c r="T154" s="30"/>
    </row>
    <row r="155" spans="1:20" x14ac:dyDescent="0.2">
      <c r="A155" s="29">
        <v>284</v>
      </c>
      <c r="B155" s="29">
        <v>1</v>
      </c>
      <c r="C155" s="22" t="s">
        <v>156</v>
      </c>
      <c r="D155" s="22" t="s">
        <v>590</v>
      </c>
      <c r="E155" s="29">
        <v>87</v>
      </c>
      <c r="F155" s="29">
        <v>8</v>
      </c>
      <c r="G155" s="30">
        <v>9.9700000000000006</v>
      </c>
      <c r="J155" s="30"/>
      <c r="M155" s="30"/>
      <c r="Q155" s="22" t="s">
        <v>590</v>
      </c>
      <c r="T155" s="30"/>
    </row>
    <row r="156" spans="1:20" x14ac:dyDescent="0.2">
      <c r="A156" s="29">
        <v>286</v>
      </c>
      <c r="B156" s="29">
        <v>1</v>
      </c>
      <c r="C156" s="22" t="s">
        <v>157</v>
      </c>
      <c r="D156" s="22" t="s">
        <v>590</v>
      </c>
      <c r="E156" s="29">
        <v>84</v>
      </c>
      <c r="F156" s="29">
        <v>99</v>
      </c>
      <c r="G156" s="30">
        <v>5.75</v>
      </c>
      <c r="H156" s="29">
        <v>87</v>
      </c>
      <c r="I156" s="29">
        <v>99</v>
      </c>
      <c r="J156" s="30">
        <v>4.25</v>
      </c>
      <c r="M156" s="30"/>
      <c r="Q156" s="22" t="s">
        <v>590</v>
      </c>
      <c r="T156" s="30"/>
    </row>
    <row r="157" spans="1:20" x14ac:dyDescent="0.2">
      <c r="A157" s="29">
        <v>294</v>
      </c>
      <c r="B157" s="29">
        <v>1</v>
      </c>
      <c r="C157" s="22" t="s">
        <v>158</v>
      </c>
      <c r="D157" s="22" t="s">
        <v>590</v>
      </c>
      <c r="E157" s="29">
        <v>88</v>
      </c>
      <c r="F157" s="29">
        <v>3</v>
      </c>
      <c r="G157" s="30">
        <v>6</v>
      </c>
      <c r="J157" s="30"/>
      <c r="M157" s="30"/>
      <c r="Q157" s="22" t="s">
        <v>590</v>
      </c>
      <c r="T157" s="30"/>
    </row>
    <row r="158" spans="1:20" x14ac:dyDescent="0.2">
      <c r="A158" s="29">
        <v>297</v>
      </c>
      <c r="B158" s="29">
        <v>1</v>
      </c>
      <c r="C158" s="22" t="s">
        <v>159</v>
      </c>
      <c r="D158" s="22" t="s">
        <v>590</v>
      </c>
      <c r="E158" s="29">
        <v>87</v>
      </c>
      <c r="F158" s="29">
        <v>99</v>
      </c>
      <c r="G158" s="30">
        <v>6</v>
      </c>
      <c r="J158" s="30"/>
      <c r="M158" s="30"/>
      <c r="Q158" s="22" t="s">
        <v>590</v>
      </c>
      <c r="T158" s="30"/>
    </row>
    <row r="159" spans="1:20" x14ac:dyDescent="0.2">
      <c r="A159" s="29">
        <v>299</v>
      </c>
      <c r="B159" s="29">
        <v>1</v>
      </c>
      <c r="C159" s="22" t="s">
        <v>160</v>
      </c>
      <c r="D159" s="22" t="s">
        <v>590</v>
      </c>
      <c r="G159" s="30"/>
      <c r="J159" s="30"/>
      <c r="M159" s="30"/>
      <c r="Q159" s="22" t="s">
        <v>590</v>
      </c>
      <c r="T159" s="30"/>
    </row>
    <row r="160" spans="1:20" x14ac:dyDescent="0.2">
      <c r="A160" s="29">
        <v>300</v>
      </c>
      <c r="B160" s="29">
        <v>1</v>
      </c>
      <c r="C160" s="22" t="s">
        <v>628</v>
      </c>
      <c r="D160" s="22" t="s">
        <v>590</v>
      </c>
      <c r="G160" s="30"/>
      <c r="J160" s="30"/>
      <c r="M160" s="30"/>
      <c r="Q160" s="22" t="s">
        <v>590</v>
      </c>
      <c r="T160" s="30"/>
    </row>
    <row r="161" spans="1:20" x14ac:dyDescent="0.2">
      <c r="A161" s="29">
        <v>301</v>
      </c>
      <c r="B161" s="29">
        <v>1</v>
      </c>
      <c r="C161" s="22" t="s">
        <v>629</v>
      </c>
      <c r="D161" s="22" t="s">
        <v>590</v>
      </c>
      <c r="G161" s="30"/>
      <c r="J161" s="30"/>
      <c r="M161" s="30"/>
      <c r="Q161" s="22" t="s">
        <v>590</v>
      </c>
      <c r="T161" s="30"/>
    </row>
    <row r="162" spans="1:20" x14ac:dyDescent="0.2">
      <c r="A162" s="29">
        <v>306</v>
      </c>
      <c r="B162" s="29">
        <v>1</v>
      </c>
      <c r="C162" s="22" t="s">
        <v>162</v>
      </c>
      <c r="D162" s="22" t="s">
        <v>590</v>
      </c>
      <c r="E162" s="29">
        <v>76</v>
      </c>
      <c r="F162" s="29">
        <v>99</v>
      </c>
      <c r="G162" s="30">
        <v>10</v>
      </c>
      <c r="J162" s="30"/>
      <c r="M162" s="30"/>
      <c r="Q162" s="22" t="s">
        <v>590</v>
      </c>
      <c r="T162" s="30"/>
    </row>
    <row r="163" spans="1:20" x14ac:dyDescent="0.2">
      <c r="A163" s="29">
        <v>308</v>
      </c>
      <c r="B163" s="29">
        <v>1</v>
      </c>
      <c r="C163" s="22" t="s">
        <v>163</v>
      </c>
      <c r="D163" s="22" t="s">
        <v>590</v>
      </c>
      <c r="G163" s="30"/>
      <c r="J163" s="30"/>
      <c r="M163" s="30"/>
      <c r="Q163" s="22" t="s">
        <v>590</v>
      </c>
      <c r="T163" s="30"/>
    </row>
    <row r="164" spans="1:20" x14ac:dyDescent="0.2">
      <c r="A164" s="29">
        <v>309</v>
      </c>
      <c r="B164" s="29">
        <v>1</v>
      </c>
      <c r="C164" s="22" t="s">
        <v>164</v>
      </c>
      <c r="D164" s="22" t="s">
        <v>590</v>
      </c>
      <c r="G164" s="30"/>
      <c r="J164" s="30"/>
      <c r="M164" s="30"/>
      <c r="Q164" s="22" t="s">
        <v>590</v>
      </c>
      <c r="T164" s="30"/>
    </row>
    <row r="165" spans="1:20" x14ac:dyDescent="0.2">
      <c r="A165" s="29">
        <v>314</v>
      </c>
      <c r="B165" s="29">
        <v>1</v>
      </c>
      <c r="C165" s="22" t="s">
        <v>165</v>
      </c>
      <c r="D165" s="22" t="s">
        <v>590</v>
      </c>
      <c r="G165" s="30"/>
      <c r="J165" s="30"/>
      <c r="M165" s="30"/>
      <c r="Q165" s="22" t="s">
        <v>590</v>
      </c>
      <c r="T165" s="30"/>
    </row>
    <row r="166" spans="1:20" x14ac:dyDescent="0.2">
      <c r="A166" s="29">
        <v>316</v>
      </c>
      <c r="B166" s="29">
        <v>1</v>
      </c>
      <c r="C166" s="22" t="s">
        <v>527</v>
      </c>
      <c r="D166" s="22" t="s">
        <v>590</v>
      </c>
      <c r="E166" s="29">
        <v>81</v>
      </c>
      <c r="F166" s="29">
        <v>99</v>
      </c>
      <c r="G166" s="30">
        <v>2</v>
      </c>
      <c r="J166" s="30"/>
      <c r="M166" s="30"/>
      <c r="Q166" s="22" t="s">
        <v>590</v>
      </c>
      <c r="T166" s="30"/>
    </row>
    <row r="167" spans="1:20" x14ac:dyDescent="0.2">
      <c r="A167" s="29">
        <v>317</v>
      </c>
      <c r="B167" s="29">
        <v>1</v>
      </c>
      <c r="C167" s="22" t="s">
        <v>167</v>
      </c>
      <c r="D167" s="22" t="s">
        <v>590</v>
      </c>
      <c r="G167" s="30"/>
      <c r="J167" s="30"/>
      <c r="M167" s="30"/>
      <c r="Q167" s="22" t="s">
        <v>590</v>
      </c>
      <c r="T167" s="30"/>
    </row>
    <row r="168" spans="1:20" x14ac:dyDescent="0.2">
      <c r="A168" s="29">
        <v>318</v>
      </c>
      <c r="B168" s="29">
        <v>1</v>
      </c>
      <c r="C168" s="22" t="s">
        <v>168</v>
      </c>
      <c r="D168" s="22" t="s">
        <v>590</v>
      </c>
      <c r="E168" s="29">
        <v>81</v>
      </c>
      <c r="F168" s="29">
        <v>99</v>
      </c>
      <c r="G168" s="30">
        <v>2</v>
      </c>
      <c r="H168" s="29">
        <v>88</v>
      </c>
      <c r="I168" s="29">
        <v>99</v>
      </c>
      <c r="J168" s="30">
        <v>3</v>
      </c>
      <c r="M168" s="30"/>
      <c r="Q168" s="22" t="s">
        <v>590</v>
      </c>
      <c r="T168" s="30"/>
    </row>
    <row r="169" spans="1:20" x14ac:dyDescent="0.2">
      <c r="A169" s="29">
        <v>319</v>
      </c>
      <c r="B169" s="29">
        <v>1</v>
      </c>
      <c r="C169" s="22" t="s">
        <v>169</v>
      </c>
      <c r="D169" s="22" t="s">
        <v>590</v>
      </c>
      <c r="E169" s="29">
        <v>81</v>
      </c>
      <c r="F169" s="29">
        <v>99</v>
      </c>
      <c r="G169" s="30">
        <v>2</v>
      </c>
      <c r="J169" s="30"/>
      <c r="M169" s="30"/>
      <c r="Q169" s="22" t="s">
        <v>590</v>
      </c>
      <c r="T169" s="30"/>
    </row>
    <row r="170" spans="1:20" x14ac:dyDescent="0.2">
      <c r="A170" s="29">
        <v>323</v>
      </c>
      <c r="B170" s="29">
        <v>2</v>
      </c>
      <c r="C170" s="22" t="s">
        <v>170</v>
      </c>
      <c r="D170" s="22" t="s">
        <v>590</v>
      </c>
      <c r="E170" s="29">
        <v>78</v>
      </c>
      <c r="F170" s="29">
        <v>99</v>
      </c>
      <c r="G170" s="30">
        <v>4</v>
      </c>
      <c r="H170" s="29">
        <v>80</v>
      </c>
      <c r="I170" s="29">
        <v>99</v>
      </c>
      <c r="J170" s="30">
        <v>10</v>
      </c>
      <c r="K170" s="29">
        <v>83</v>
      </c>
      <c r="L170" s="29">
        <v>99</v>
      </c>
      <c r="M170" s="30">
        <v>8</v>
      </c>
      <c r="Q170" s="22" t="s">
        <v>590</v>
      </c>
      <c r="T170" s="30"/>
    </row>
    <row r="171" spans="1:20" x14ac:dyDescent="0.2">
      <c r="A171" s="29">
        <v>324</v>
      </c>
      <c r="B171" s="29">
        <v>1</v>
      </c>
      <c r="C171" s="22" t="s">
        <v>528</v>
      </c>
      <c r="D171" s="22" t="s">
        <v>590</v>
      </c>
      <c r="G171" s="30"/>
      <c r="J171" s="30"/>
      <c r="M171" s="30"/>
      <c r="Q171" s="22" t="s">
        <v>590</v>
      </c>
      <c r="T171" s="30"/>
    </row>
    <row r="172" spans="1:20" x14ac:dyDescent="0.2">
      <c r="A172" s="29">
        <v>325</v>
      </c>
      <c r="B172" s="29">
        <v>1</v>
      </c>
      <c r="C172" s="22" t="s">
        <v>630</v>
      </c>
      <c r="D172" s="22" t="s">
        <v>590</v>
      </c>
      <c r="E172" s="29">
        <v>76</v>
      </c>
      <c r="F172" s="29">
        <v>99</v>
      </c>
      <c r="G172" s="30">
        <v>5</v>
      </c>
      <c r="J172" s="30"/>
      <c r="M172" s="30"/>
      <c r="Q172" s="22" t="s">
        <v>590</v>
      </c>
      <c r="T172" s="30"/>
    </row>
    <row r="173" spans="1:20" x14ac:dyDescent="0.2">
      <c r="A173" s="29">
        <v>328</v>
      </c>
      <c r="B173" s="29">
        <v>1</v>
      </c>
      <c r="C173" s="22" t="s">
        <v>529</v>
      </c>
      <c r="D173" s="22" t="s">
        <v>590</v>
      </c>
      <c r="E173" s="29">
        <v>87</v>
      </c>
      <c r="F173" s="29">
        <v>99</v>
      </c>
      <c r="G173" s="30">
        <v>12</v>
      </c>
      <c r="J173" s="30"/>
      <c r="M173" s="30"/>
      <c r="Q173" s="22" t="s">
        <v>590</v>
      </c>
      <c r="T173" s="30"/>
    </row>
    <row r="174" spans="1:20" x14ac:dyDescent="0.2">
      <c r="A174" s="29">
        <v>330</v>
      </c>
      <c r="B174" s="29">
        <v>1</v>
      </c>
      <c r="C174" s="22" t="s">
        <v>171</v>
      </c>
      <c r="D174" s="22" t="s">
        <v>590</v>
      </c>
      <c r="G174" s="30"/>
      <c r="J174" s="30"/>
      <c r="M174" s="30"/>
      <c r="Q174" s="22" t="s">
        <v>590</v>
      </c>
      <c r="T174" s="30"/>
    </row>
    <row r="175" spans="1:20" x14ac:dyDescent="0.2">
      <c r="A175" s="29">
        <v>332</v>
      </c>
      <c r="B175" s="29">
        <v>1</v>
      </c>
      <c r="C175" s="22" t="s">
        <v>172</v>
      </c>
      <c r="D175" s="22" t="s">
        <v>590</v>
      </c>
      <c r="G175" s="30"/>
      <c r="J175" s="30"/>
      <c r="M175" s="30"/>
      <c r="Q175" s="22" t="s">
        <v>590</v>
      </c>
      <c r="T175" s="30"/>
    </row>
    <row r="176" spans="1:20" x14ac:dyDescent="0.2">
      <c r="A176" s="29">
        <v>333</v>
      </c>
      <c r="B176" s="29">
        <v>1</v>
      </c>
      <c r="C176" s="22" t="s">
        <v>173</v>
      </c>
      <c r="D176" s="22" t="s">
        <v>590</v>
      </c>
      <c r="G176" s="30"/>
      <c r="J176" s="30"/>
      <c r="M176" s="30"/>
      <c r="Q176" s="22" t="s">
        <v>590</v>
      </c>
      <c r="T176" s="30"/>
    </row>
    <row r="177" spans="1:20" x14ac:dyDescent="0.2">
      <c r="A177" s="29">
        <v>341</v>
      </c>
      <c r="B177" s="29">
        <v>1</v>
      </c>
      <c r="C177" s="22" t="s">
        <v>631</v>
      </c>
      <c r="D177" s="22" t="s">
        <v>590</v>
      </c>
      <c r="G177" s="30"/>
      <c r="J177" s="30"/>
      <c r="M177" s="30"/>
      <c r="Q177" s="22" t="s">
        <v>590</v>
      </c>
      <c r="T177" s="30"/>
    </row>
    <row r="178" spans="1:20" x14ac:dyDescent="0.2">
      <c r="A178" s="29">
        <v>345</v>
      </c>
      <c r="B178" s="29">
        <v>1</v>
      </c>
      <c r="C178" s="22" t="s">
        <v>174</v>
      </c>
      <c r="D178" s="22" t="s">
        <v>590</v>
      </c>
      <c r="G178" s="30"/>
      <c r="J178" s="30"/>
      <c r="M178" s="30"/>
      <c r="Q178" s="22" t="s">
        <v>590</v>
      </c>
      <c r="T178" s="30"/>
    </row>
    <row r="179" spans="1:20" x14ac:dyDescent="0.2">
      <c r="A179" s="29">
        <v>346</v>
      </c>
      <c r="B179" s="29">
        <v>1</v>
      </c>
      <c r="C179" s="22" t="s">
        <v>632</v>
      </c>
      <c r="D179" s="22" t="s">
        <v>590</v>
      </c>
      <c r="E179" s="29">
        <v>86</v>
      </c>
      <c r="F179" s="29">
        <v>3</v>
      </c>
      <c r="G179" s="30">
        <v>9</v>
      </c>
      <c r="H179" s="29">
        <v>88</v>
      </c>
      <c r="I179" s="29">
        <v>99</v>
      </c>
      <c r="J179" s="30">
        <v>9</v>
      </c>
      <c r="M179" s="30"/>
      <c r="Q179" s="22" t="s">
        <v>590</v>
      </c>
      <c r="T179" s="30"/>
    </row>
    <row r="180" spans="1:20" x14ac:dyDescent="0.2">
      <c r="A180" s="29">
        <v>347</v>
      </c>
      <c r="B180" s="29">
        <v>1</v>
      </c>
      <c r="C180" s="22" t="s">
        <v>175</v>
      </c>
      <c r="D180" s="22" t="s">
        <v>590</v>
      </c>
      <c r="G180" s="30"/>
      <c r="J180" s="30"/>
      <c r="M180" s="30"/>
      <c r="Q180" s="22" t="s">
        <v>590</v>
      </c>
      <c r="T180" s="30"/>
    </row>
    <row r="181" spans="1:20" x14ac:dyDescent="0.2">
      <c r="A181" s="29">
        <v>351</v>
      </c>
      <c r="B181" s="29">
        <v>1</v>
      </c>
      <c r="C181" s="22" t="s">
        <v>530</v>
      </c>
      <c r="D181" s="22" t="s">
        <v>590</v>
      </c>
      <c r="E181" s="29">
        <v>78</v>
      </c>
      <c r="F181" s="29">
        <v>99</v>
      </c>
      <c r="G181" s="30">
        <v>10</v>
      </c>
      <c r="H181" s="29">
        <v>85</v>
      </c>
      <c r="I181" s="29">
        <v>4</v>
      </c>
      <c r="J181" s="30">
        <v>3</v>
      </c>
      <c r="M181" s="30"/>
      <c r="Q181" s="22" t="s">
        <v>590</v>
      </c>
      <c r="T181" s="30"/>
    </row>
    <row r="182" spans="1:20" x14ac:dyDescent="0.2">
      <c r="A182" s="29">
        <v>352</v>
      </c>
      <c r="B182" s="29">
        <v>1</v>
      </c>
      <c r="C182" s="22" t="s">
        <v>531</v>
      </c>
      <c r="D182" s="22" t="s">
        <v>590</v>
      </c>
      <c r="E182" s="29">
        <v>79</v>
      </c>
      <c r="F182" s="29">
        <v>99</v>
      </c>
      <c r="G182" s="30">
        <v>10</v>
      </c>
      <c r="J182" s="30"/>
      <c r="M182" s="30"/>
      <c r="Q182" s="22" t="s">
        <v>590</v>
      </c>
      <c r="T182" s="30"/>
    </row>
    <row r="183" spans="1:20" x14ac:dyDescent="0.2">
      <c r="A183" s="29">
        <v>353</v>
      </c>
      <c r="B183" s="29">
        <v>1</v>
      </c>
      <c r="C183" s="22" t="s">
        <v>633</v>
      </c>
      <c r="D183" s="22" t="s">
        <v>590</v>
      </c>
      <c r="G183" s="30"/>
      <c r="J183" s="30"/>
      <c r="M183" s="30"/>
      <c r="Q183" s="22" t="s">
        <v>590</v>
      </c>
      <c r="T183" s="30"/>
    </row>
    <row r="184" spans="1:20" x14ac:dyDescent="0.2">
      <c r="A184" s="29">
        <v>354</v>
      </c>
      <c r="B184" s="29">
        <v>1</v>
      </c>
      <c r="C184" s="22" t="s">
        <v>532</v>
      </c>
      <c r="D184" s="22" t="s">
        <v>590</v>
      </c>
      <c r="E184" s="29">
        <v>78</v>
      </c>
      <c r="F184" s="29">
        <v>99</v>
      </c>
      <c r="G184" s="30">
        <v>8</v>
      </c>
      <c r="J184" s="30"/>
      <c r="M184" s="30"/>
      <c r="Q184" s="22" t="s">
        <v>590</v>
      </c>
      <c r="T184" s="30"/>
    </row>
    <row r="185" spans="1:20" x14ac:dyDescent="0.2">
      <c r="A185" s="29">
        <v>356</v>
      </c>
      <c r="B185" s="29">
        <v>1</v>
      </c>
      <c r="C185" s="22" t="s">
        <v>176</v>
      </c>
      <c r="D185" s="22" t="s">
        <v>590</v>
      </c>
      <c r="E185" s="29">
        <v>75</v>
      </c>
      <c r="F185" s="29">
        <v>99</v>
      </c>
      <c r="G185" s="30">
        <v>15</v>
      </c>
      <c r="J185" s="30"/>
      <c r="M185" s="30"/>
      <c r="Q185" s="22" t="s">
        <v>590</v>
      </c>
      <c r="T185" s="30"/>
    </row>
    <row r="186" spans="1:20" x14ac:dyDescent="0.2">
      <c r="A186" s="29">
        <v>361</v>
      </c>
      <c r="B186" s="29">
        <v>1</v>
      </c>
      <c r="C186" s="22" t="s">
        <v>177</v>
      </c>
      <c r="D186" s="22" t="s">
        <v>590</v>
      </c>
      <c r="G186" s="30"/>
      <c r="J186" s="30"/>
      <c r="M186" s="30"/>
      <c r="Q186" s="22" t="s">
        <v>590</v>
      </c>
      <c r="T186" s="30"/>
    </row>
    <row r="187" spans="1:20" x14ac:dyDescent="0.2">
      <c r="A187" s="29">
        <v>362</v>
      </c>
      <c r="B187" s="29">
        <v>1</v>
      </c>
      <c r="C187" s="22" t="s">
        <v>178</v>
      </c>
      <c r="D187" s="22" t="s">
        <v>590</v>
      </c>
      <c r="G187" s="30"/>
      <c r="J187" s="30"/>
      <c r="M187" s="30"/>
      <c r="Q187" s="22" t="s">
        <v>590</v>
      </c>
      <c r="T187" s="30"/>
    </row>
    <row r="188" spans="1:20" x14ac:dyDescent="0.2">
      <c r="A188" s="29">
        <v>363</v>
      </c>
      <c r="B188" s="29">
        <v>1</v>
      </c>
      <c r="C188" s="22" t="s">
        <v>179</v>
      </c>
      <c r="D188" s="22" t="s">
        <v>590</v>
      </c>
      <c r="G188" s="30"/>
      <c r="J188" s="30"/>
      <c r="M188" s="30"/>
      <c r="Q188" s="22" t="s">
        <v>590</v>
      </c>
      <c r="T188" s="30"/>
    </row>
    <row r="189" spans="1:20" x14ac:dyDescent="0.2">
      <c r="A189" s="29">
        <v>371</v>
      </c>
      <c r="B189" s="29">
        <v>1</v>
      </c>
      <c r="C189" s="22" t="s">
        <v>180</v>
      </c>
      <c r="D189" s="22" t="s">
        <v>590</v>
      </c>
      <c r="E189" s="29">
        <v>79</v>
      </c>
      <c r="F189" s="29">
        <v>99</v>
      </c>
      <c r="G189" s="30">
        <v>5</v>
      </c>
      <c r="H189" s="29">
        <v>83</v>
      </c>
      <c r="I189" s="29">
        <v>99</v>
      </c>
      <c r="J189" s="30">
        <v>7</v>
      </c>
      <c r="M189" s="30"/>
      <c r="Q189" s="22" t="s">
        <v>590</v>
      </c>
      <c r="T189" s="30"/>
    </row>
    <row r="190" spans="1:20" x14ac:dyDescent="0.2">
      <c r="A190" s="29">
        <v>376</v>
      </c>
      <c r="B190" s="29">
        <v>1</v>
      </c>
      <c r="C190" s="22" t="s">
        <v>634</v>
      </c>
      <c r="D190" s="22" t="s">
        <v>590</v>
      </c>
      <c r="E190" s="29">
        <v>77</v>
      </c>
      <c r="F190" s="29">
        <v>99</v>
      </c>
      <c r="G190" s="30">
        <v>10</v>
      </c>
      <c r="H190" s="29">
        <v>83</v>
      </c>
      <c r="I190" s="29">
        <v>99</v>
      </c>
      <c r="J190" s="30">
        <v>10.75</v>
      </c>
      <c r="M190" s="30"/>
      <c r="Q190" s="22" t="s">
        <v>590</v>
      </c>
      <c r="T190" s="30"/>
    </row>
    <row r="191" spans="1:20" x14ac:dyDescent="0.2">
      <c r="A191" s="29">
        <v>377</v>
      </c>
      <c r="B191" s="29">
        <v>1</v>
      </c>
      <c r="C191" s="22" t="s">
        <v>635</v>
      </c>
      <c r="D191" s="22" t="s">
        <v>590</v>
      </c>
      <c r="G191" s="30"/>
      <c r="J191" s="30"/>
      <c r="M191" s="30"/>
      <c r="Q191" s="22" t="s">
        <v>590</v>
      </c>
      <c r="T191" s="30"/>
    </row>
    <row r="192" spans="1:20" x14ac:dyDescent="0.2">
      <c r="A192" s="29">
        <v>378</v>
      </c>
      <c r="B192" s="29">
        <v>1</v>
      </c>
      <c r="C192" s="22" t="s">
        <v>181</v>
      </c>
      <c r="D192" s="22" t="s">
        <v>590</v>
      </c>
      <c r="E192" s="29">
        <v>87</v>
      </c>
      <c r="F192" s="29">
        <v>99</v>
      </c>
      <c r="G192" s="30">
        <v>6</v>
      </c>
      <c r="J192" s="30"/>
      <c r="M192" s="30"/>
      <c r="Q192" s="22" t="s">
        <v>590</v>
      </c>
      <c r="T192" s="30"/>
    </row>
    <row r="193" spans="1:20" x14ac:dyDescent="0.2">
      <c r="A193" s="29">
        <v>381</v>
      </c>
      <c r="B193" s="29">
        <v>1</v>
      </c>
      <c r="C193" s="22" t="s">
        <v>182</v>
      </c>
      <c r="D193" s="22" t="s">
        <v>590</v>
      </c>
      <c r="E193" s="29">
        <v>81</v>
      </c>
      <c r="F193" s="29">
        <v>99</v>
      </c>
      <c r="G193" s="30">
        <v>2</v>
      </c>
      <c r="J193" s="30"/>
      <c r="M193" s="30"/>
      <c r="Q193" s="22" t="s">
        <v>590</v>
      </c>
      <c r="T193" s="30"/>
    </row>
    <row r="194" spans="1:20" x14ac:dyDescent="0.2">
      <c r="A194" s="29">
        <v>390</v>
      </c>
      <c r="B194" s="29">
        <v>1</v>
      </c>
      <c r="C194" s="22" t="s">
        <v>183</v>
      </c>
      <c r="D194" s="22" t="s">
        <v>590</v>
      </c>
      <c r="G194" s="30"/>
      <c r="J194" s="30"/>
      <c r="M194" s="30"/>
      <c r="Q194" s="22" t="s">
        <v>590</v>
      </c>
      <c r="T194" s="30"/>
    </row>
    <row r="195" spans="1:20" x14ac:dyDescent="0.2">
      <c r="A195" s="29">
        <v>391</v>
      </c>
      <c r="B195" s="29">
        <v>1</v>
      </c>
      <c r="C195" s="22" t="s">
        <v>184</v>
      </c>
      <c r="D195" s="22" t="s">
        <v>590</v>
      </c>
      <c r="G195" s="30"/>
      <c r="J195" s="30"/>
      <c r="M195" s="30"/>
      <c r="Q195" s="22" t="s">
        <v>590</v>
      </c>
      <c r="T195" s="30"/>
    </row>
    <row r="196" spans="1:20" x14ac:dyDescent="0.2">
      <c r="A196" s="29">
        <v>392</v>
      </c>
      <c r="B196" s="29">
        <v>1</v>
      </c>
      <c r="C196" s="22" t="s">
        <v>185</v>
      </c>
      <c r="D196" s="22" t="s">
        <v>590</v>
      </c>
      <c r="E196" s="29">
        <v>88</v>
      </c>
      <c r="F196" s="29">
        <v>99</v>
      </c>
      <c r="G196" s="30">
        <v>6</v>
      </c>
      <c r="J196" s="30"/>
      <c r="M196" s="30"/>
      <c r="Q196" s="22" t="s">
        <v>590</v>
      </c>
      <c r="T196" s="30"/>
    </row>
    <row r="197" spans="1:20" x14ac:dyDescent="0.2">
      <c r="A197" s="29">
        <v>393</v>
      </c>
      <c r="B197" s="29">
        <v>1</v>
      </c>
      <c r="C197" s="22" t="s">
        <v>636</v>
      </c>
      <c r="D197" s="22" t="s">
        <v>590</v>
      </c>
      <c r="E197" s="29">
        <v>86</v>
      </c>
      <c r="F197" s="29">
        <v>5</v>
      </c>
      <c r="G197" s="30">
        <v>2.5</v>
      </c>
      <c r="J197" s="30"/>
      <c r="M197" s="30"/>
      <c r="Q197" s="22" t="s">
        <v>590</v>
      </c>
      <c r="T197" s="30"/>
    </row>
    <row r="198" spans="1:20" x14ac:dyDescent="0.2">
      <c r="A198" s="29">
        <v>394</v>
      </c>
      <c r="B198" s="29">
        <v>1</v>
      </c>
      <c r="C198" s="22" t="s">
        <v>186</v>
      </c>
      <c r="D198" s="22" t="s">
        <v>590</v>
      </c>
      <c r="E198" s="29">
        <v>85</v>
      </c>
      <c r="F198" s="29">
        <v>4</v>
      </c>
      <c r="G198" s="30">
        <v>4</v>
      </c>
      <c r="J198" s="30"/>
      <c r="M198" s="30"/>
      <c r="Q198" s="22" t="s">
        <v>590</v>
      </c>
      <c r="T198" s="30"/>
    </row>
    <row r="199" spans="1:20" x14ac:dyDescent="0.2">
      <c r="A199" s="29">
        <v>395</v>
      </c>
      <c r="B199" s="29">
        <v>1</v>
      </c>
      <c r="C199" s="22" t="s">
        <v>637</v>
      </c>
      <c r="D199" s="22" t="s">
        <v>590</v>
      </c>
      <c r="E199" s="29">
        <v>79</v>
      </c>
      <c r="F199" s="29">
        <v>99</v>
      </c>
      <c r="G199" s="30">
        <v>5</v>
      </c>
      <c r="J199" s="30"/>
      <c r="M199" s="30"/>
      <c r="Q199" s="22" t="s">
        <v>590</v>
      </c>
      <c r="T199" s="30"/>
    </row>
    <row r="200" spans="1:20" x14ac:dyDescent="0.2">
      <c r="A200" s="29">
        <v>402</v>
      </c>
      <c r="B200" s="29">
        <v>1</v>
      </c>
      <c r="C200" s="22" t="s">
        <v>187</v>
      </c>
      <c r="D200" s="22" t="s">
        <v>590</v>
      </c>
      <c r="E200" s="29">
        <v>86</v>
      </c>
      <c r="F200" s="29">
        <v>99</v>
      </c>
      <c r="G200" s="30">
        <v>7</v>
      </c>
      <c r="J200" s="30"/>
      <c r="M200" s="30"/>
      <c r="Q200" s="22" t="s">
        <v>590</v>
      </c>
      <c r="T200" s="30"/>
    </row>
    <row r="201" spans="1:20" x14ac:dyDescent="0.2">
      <c r="A201" s="29">
        <v>403</v>
      </c>
      <c r="B201" s="29">
        <v>1</v>
      </c>
      <c r="C201" s="22" t="s">
        <v>188</v>
      </c>
      <c r="D201" s="22" t="s">
        <v>590</v>
      </c>
      <c r="G201" s="30"/>
      <c r="J201" s="30"/>
      <c r="M201" s="30"/>
      <c r="Q201" s="22" t="s">
        <v>590</v>
      </c>
      <c r="T201" s="30"/>
    </row>
    <row r="202" spans="1:20" x14ac:dyDescent="0.2">
      <c r="A202" s="29">
        <v>404</v>
      </c>
      <c r="B202" s="29">
        <v>1</v>
      </c>
      <c r="C202" s="22" t="s">
        <v>189</v>
      </c>
      <c r="D202" s="22" t="s">
        <v>590</v>
      </c>
      <c r="E202" s="29">
        <v>82</v>
      </c>
      <c r="F202" s="29">
        <v>99</v>
      </c>
      <c r="G202" s="30">
        <v>2.4500000000000002</v>
      </c>
      <c r="H202" s="29">
        <v>83</v>
      </c>
      <c r="I202" s="29">
        <v>99</v>
      </c>
      <c r="J202" s="30">
        <v>5</v>
      </c>
      <c r="M202" s="30"/>
      <c r="Q202" s="22" t="s">
        <v>590</v>
      </c>
      <c r="T202" s="30"/>
    </row>
    <row r="203" spans="1:20" x14ac:dyDescent="0.2">
      <c r="A203" s="29">
        <v>408</v>
      </c>
      <c r="B203" s="29">
        <v>1</v>
      </c>
      <c r="C203" s="22" t="s">
        <v>533</v>
      </c>
      <c r="D203" s="22" t="s">
        <v>590</v>
      </c>
      <c r="E203" s="29">
        <v>84</v>
      </c>
      <c r="F203" s="29">
        <v>99</v>
      </c>
      <c r="G203" s="30">
        <v>5</v>
      </c>
      <c r="J203" s="30"/>
      <c r="M203" s="30"/>
      <c r="Q203" s="22" t="s">
        <v>590</v>
      </c>
      <c r="R203" s="29">
        <v>74</v>
      </c>
      <c r="S203" s="29">
        <v>99</v>
      </c>
      <c r="T203" s="30">
        <v>5</v>
      </c>
    </row>
    <row r="204" spans="1:20" x14ac:dyDescent="0.2">
      <c r="A204" s="29">
        <v>409</v>
      </c>
      <c r="B204" s="29">
        <v>1</v>
      </c>
      <c r="C204" s="22" t="s">
        <v>190</v>
      </c>
      <c r="D204" s="22" t="s">
        <v>590</v>
      </c>
      <c r="G204" s="30"/>
      <c r="J204" s="30"/>
      <c r="M204" s="30"/>
      <c r="Q204" s="22" t="s">
        <v>590</v>
      </c>
      <c r="T204" s="30"/>
    </row>
    <row r="205" spans="1:20" x14ac:dyDescent="0.2">
      <c r="A205" s="29">
        <v>411</v>
      </c>
      <c r="B205" s="29">
        <v>1</v>
      </c>
      <c r="C205" s="22" t="s">
        <v>191</v>
      </c>
      <c r="D205" s="22" t="s">
        <v>590</v>
      </c>
      <c r="E205" s="29">
        <v>82</v>
      </c>
      <c r="F205" s="29">
        <v>99</v>
      </c>
      <c r="G205" s="30">
        <v>6</v>
      </c>
      <c r="J205" s="30"/>
      <c r="M205" s="30"/>
      <c r="Q205" s="22" t="s">
        <v>590</v>
      </c>
      <c r="T205" s="30"/>
    </row>
    <row r="206" spans="1:20" x14ac:dyDescent="0.2">
      <c r="A206" s="29">
        <v>412</v>
      </c>
      <c r="B206" s="29">
        <v>1</v>
      </c>
      <c r="C206" s="22" t="s">
        <v>638</v>
      </c>
      <c r="D206" s="22" t="s">
        <v>590</v>
      </c>
      <c r="E206" s="29">
        <v>81</v>
      </c>
      <c r="F206" s="29">
        <v>99</v>
      </c>
      <c r="G206" s="30">
        <v>6</v>
      </c>
      <c r="J206" s="30"/>
      <c r="M206" s="30"/>
      <c r="Q206" s="22" t="s">
        <v>590</v>
      </c>
      <c r="T206" s="30"/>
    </row>
    <row r="207" spans="1:20" x14ac:dyDescent="0.2">
      <c r="A207" s="29">
        <v>413</v>
      </c>
      <c r="B207" s="29">
        <v>1</v>
      </c>
      <c r="C207" s="22" t="s">
        <v>192</v>
      </c>
      <c r="D207" s="22" t="s">
        <v>590</v>
      </c>
      <c r="G207" s="30"/>
      <c r="J207" s="30"/>
      <c r="M207" s="30"/>
      <c r="Q207" s="22" t="s">
        <v>590</v>
      </c>
      <c r="T207" s="30"/>
    </row>
    <row r="208" spans="1:20" x14ac:dyDescent="0.2">
      <c r="A208" s="29">
        <v>414</v>
      </c>
      <c r="B208" s="29">
        <v>1</v>
      </c>
      <c r="C208" s="22" t="s">
        <v>193</v>
      </c>
      <c r="D208" s="22" t="s">
        <v>590</v>
      </c>
      <c r="G208" s="30"/>
      <c r="J208" s="30"/>
      <c r="M208" s="30"/>
      <c r="Q208" s="22" t="s">
        <v>590</v>
      </c>
      <c r="T208" s="30"/>
    </row>
    <row r="209" spans="1:20" x14ac:dyDescent="0.2">
      <c r="A209" s="29">
        <v>415</v>
      </c>
      <c r="B209" s="29">
        <v>1</v>
      </c>
      <c r="C209" s="22" t="s">
        <v>194</v>
      </c>
      <c r="D209" s="22" t="s">
        <v>590</v>
      </c>
      <c r="E209" s="29">
        <v>81</v>
      </c>
      <c r="F209" s="29">
        <v>99</v>
      </c>
      <c r="G209" s="30">
        <v>3</v>
      </c>
      <c r="J209" s="30"/>
      <c r="M209" s="30"/>
      <c r="Q209" s="22" t="s">
        <v>590</v>
      </c>
      <c r="T209" s="30"/>
    </row>
    <row r="210" spans="1:20" x14ac:dyDescent="0.2">
      <c r="A210" s="29">
        <v>417</v>
      </c>
      <c r="B210" s="29">
        <v>1</v>
      </c>
      <c r="C210" s="22" t="s">
        <v>195</v>
      </c>
      <c r="D210" s="22" t="s">
        <v>590</v>
      </c>
      <c r="E210" s="29">
        <v>88</v>
      </c>
      <c r="F210" s="29">
        <v>3</v>
      </c>
      <c r="G210" s="30">
        <v>3</v>
      </c>
      <c r="J210" s="30"/>
      <c r="M210" s="30"/>
      <c r="Q210" s="22" t="s">
        <v>590</v>
      </c>
      <c r="T210" s="30"/>
    </row>
    <row r="211" spans="1:20" x14ac:dyDescent="0.2">
      <c r="A211" s="29">
        <v>418</v>
      </c>
      <c r="B211" s="29">
        <v>1</v>
      </c>
      <c r="C211" s="22" t="s">
        <v>196</v>
      </c>
      <c r="D211" s="22" t="s">
        <v>590</v>
      </c>
      <c r="G211" s="30"/>
      <c r="J211" s="30"/>
      <c r="M211" s="30"/>
      <c r="Q211" s="22" t="s">
        <v>590</v>
      </c>
      <c r="R211" s="29">
        <v>79</v>
      </c>
      <c r="S211" s="29">
        <v>99</v>
      </c>
      <c r="T211" s="30">
        <v>2</v>
      </c>
    </row>
    <row r="212" spans="1:20" x14ac:dyDescent="0.2">
      <c r="A212" s="29">
        <v>421</v>
      </c>
      <c r="B212" s="29">
        <v>1</v>
      </c>
      <c r="C212" s="22" t="s">
        <v>639</v>
      </c>
      <c r="D212" s="22" t="s">
        <v>590</v>
      </c>
      <c r="G212" s="30"/>
      <c r="J212" s="30"/>
      <c r="M212" s="30"/>
      <c r="Q212" s="22" t="s">
        <v>590</v>
      </c>
      <c r="T212" s="30"/>
    </row>
    <row r="213" spans="1:20" x14ac:dyDescent="0.2">
      <c r="A213" s="29">
        <v>422</v>
      </c>
      <c r="B213" s="29">
        <v>1</v>
      </c>
      <c r="C213" s="22" t="s">
        <v>640</v>
      </c>
      <c r="D213" s="22" t="s">
        <v>590</v>
      </c>
      <c r="E213" s="29">
        <v>82</v>
      </c>
      <c r="F213" s="29">
        <v>99</v>
      </c>
      <c r="G213" s="30">
        <v>1.5</v>
      </c>
      <c r="H213" s="29">
        <v>87</v>
      </c>
      <c r="I213" s="29">
        <v>4</v>
      </c>
      <c r="J213" s="30">
        <v>7</v>
      </c>
      <c r="M213" s="30"/>
      <c r="Q213" s="22" t="s">
        <v>590</v>
      </c>
      <c r="T213" s="30"/>
    </row>
    <row r="214" spans="1:20" x14ac:dyDescent="0.2">
      <c r="A214" s="29">
        <v>423</v>
      </c>
      <c r="B214" s="29">
        <v>1</v>
      </c>
      <c r="C214" s="22" t="s">
        <v>197</v>
      </c>
      <c r="D214" s="22" t="s">
        <v>590</v>
      </c>
      <c r="G214" s="30"/>
      <c r="J214" s="30"/>
      <c r="M214" s="30"/>
      <c r="Q214" s="22" t="s">
        <v>590</v>
      </c>
      <c r="T214" s="30"/>
    </row>
    <row r="215" spans="1:20" x14ac:dyDescent="0.2">
      <c r="A215" s="29">
        <v>424</v>
      </c>
      <c r="B215" s="29">
        <v>1</v>
      </c>
      <c r="C215" s="22" t="s">
        <v>198</v>
      </c>
      <c r="D215" s="22" t="s">
        <v>590</v>
      </c>
      <c r="G215" s="30"/>
      <c r="J215" s="30"/>
      <c r="M215" s="30"/>
      <c r="Q215" s="22" t="s">
        <v>590</v>
      </c>
      <c r="T215" s="30"/>
    </row>
    <row r="216" spans="1:20" x14ac:dyDescent="0.2">
      <c r="A216" s="29">
        <v>425</v>
      </c>
      <c r="B216" s="29">
        <v>1</v>
      </c>
      <c r="C216" s="22" t="s">
        <v>641</v>
      </c>
      <c r="D216" s="22" t="s">
        <v>590</v>
      </c>
      <c r="G216" s="30"/>
      <c r="J216" s="30"/>
      <c r="M216" s="30"/>
      <c r="Q216" s="22" t="s">
        <v>590</v>
      </c>
      <c r="T216" s="30"/>
    </row>
    <row r="217" spans="1:20" x14ac:dyDescent="0.2">
      <c r="A217" s="29">
        <v>426</v>
      </c>
      <c r="B217" s="29">
        <v>1</v>
      </c>
      <c r="C217" s="22" t="s">
        <v>642</v>
      </c>
      <c r="D217" s="22" t="s">
        <v>590</v>
      </c>
      <c r="E217" s="29">
        <v>78</v>
      </c>
      <c r="F217" s="29">
        <v>99</v>
      </c>
      <c r="G217" s="30">
        <v>3.8</v>
      </c>
      <c r="J217" s="30"/>
      <c r="M217" s="30"/>
      <c r="Q217" s="22" t="s">
        <v>590</v>
      </c>
      <c r="T217" s="30"/>
    </row>
    <row r="218" spans="1:20" x14ac:dyDescent="0.2">
      <c r="A218" s="29">
        <v>427</v>
      </c>
      <c r="B218" s="29">
        <v>1</v>
      </c>
      <c r="C218" s="22" t="s">
        <v>643</v>
      </c>
      <c r="D218" s="22" t="s">
        <v>590</v>
      </c>
      <c r="E218" s="29">
        <v>77</v>
      </c>
      <c r="F218" s="29">
        <v>99</v>
      </c>
      <c r="G218" s="30">
        <v>4</v>
      </c>
      <c r="J218" s="30"/>
      <c r="M218" s="30"/>
      <c r="Q218" s="22" t="s">
        <v>590</v>
      </c>
      <c r="T218" s="30"/>
    </row>
    <row r="219" spans="1:20" x14ac:dyDescent="0.2">
      <c r="A219" s="29">
        <v>432</v>
      </c>
      <c r="B219" s="29">
        <v>1</v>
      </c>
      <c r="C219" s="22" t="s">
        <v>199</v>
      </c>
      <c r="D219" s="22" t="s">
        <v>590</v>
      </c>
      <c r="G219" s="30"/>
      <c r="J219" s="30"/>
      <c r="M219" s="30"/>
      <c r="Q219" s="22" t="s">
        <v>590</v>
      </c>
      <c r="T219" s="30"/>
    </row>
    <row r="220" spans="1:20" x14ac:dyDescent="0.2">
      <c r="A220" s="29">
        <v>435</v>
      </c>
      <c r="B220" s="29">
        <v>1</v>
      </c>
      <c r="C220" s="22" t="s">
        <v>200</v>
      </c>
      <c r="D220" s="22" t="s">
        <v>590</v>
      </c>
      <c r="G220" s="30"/>
      <c r="J220" s="30"/>
      <c r="M220" s="30"/>
      <c r="Q220" s="22" t="s">
        <v>590</v>
      </c>
      <c r="T220" s="30"/>
    </row>
    <row r="221" spans="1:20" x14ac:dyDescent="0.2">
      <c r="A221" s="29">
        <v>436</v>
      </c>
      <c r="B221" s="29">
        <v>1</v>
      </c>
      <c r="C221" s="22" t="s">
        <v>644</v>
      </c>
      <c r="D221" s="22" t="s">
        <v>590</v>
      </c>
      <c r="E221" s="29">
        <v>88</v>
      </c>
      <c r="F221" s="29">
        <v>5</v>
      </c>
      <c r="G221" s="30">
        <v>5</v>
      </c>
      <c r="J221" s="30"/>
      <c r="M221" s="30"/>
      <c r="Q221" s="22" t="s">
        <v>590</v>
      </c>
      <c r="R221" s="29">
        <v>71</v>
      </c>
      <c r="S221" s="29">
        <v>99</v>
      </c>
      <c r="T221" s="30">
        <v>7.5</v>
      </c>
    </row>
    <row r="222" spans="1:20" x14ac:dyDescent="0.2">
      <c r="A222" s="29">
        <v>437</v>
      </c>
      <c r="B222" s="29">
        <v>1</v>
      </c>
      <c r="C222" s="22" t="s">
        <v>645</v>
      </c>
      <c r="D222" s="22" t="s">
        <v>590</v>
      </c>
      <c r="E222" s="29">
        <v>82</v>
      </c>
      <c r="F222" s="29">
        <v>99</v>
      </c>
      <c r="G222" s="30">
        <v>6</v>
      </c>
      <c r="J222" s="30"/>
      <c r="M222" s="30"/>
      <c r="Q222" s="22" t="s">
        <v>590</v>
      </c>
      <c r="T222" s="30"/>
    </row>
    <row r="223" spans="1:20" x14ac:dyDescent="0.2">
      <c r="A223" s="29">
        <v>440</v>
      </c>
      <c r="B223" s="29">
        <v>1</v>
      </c>
      <c r="C223" s="22" t="s">
        <v>646</v>
      </c>
      <c r="D223" s="22" t="s">
        <v>590</v>
      </c>
      <c r="E223" s="29">
        <v>75</v>
      </c>
      <c r="F223" s="29">
        <v>99</v>
      </c>
      <c r="G223" s="30">
        <v>42.66</v>
      </c>
      <c r="J223" s="30"/>
      <c r="M223" s="30"/>
      <c r="Q223" s="22" t="s">
        <v>590</v>
      </c>
      <c r="T223" s="30"/>
    </row>
    <row r="224" spans="1:20" x14ac:dyDescent="0.2">
      <c r="A224" s="29">
        <v>441</v>
      </c>
      <c r="B224" s="29">
        <v>1</v>
      </c>
      <c r="C224" s="22" t="s">
        <v>201</v>
      </c>
      <c r="D224" s="22" t="s">
        <v>590</v>
      </c>
      <c r="E224" s="29">
        <v>88</v>
      </c>
      <c r="F224" s="29">
        <v>5</v>
      </c>
      <c r="G224" s="30">
        <v>7</v>
      </c>
      <c r="J224" s="30"/>
      <c r="M224" s="30"/>
      <c r="Q224" s="22" t="s">
        <v>590</v>
      </c>
      <c r="T224" s="30"/>
    </row>
    <row r="225" spans="1:20" x14ac:dyDescent="0.2">
      <c r="A225" s="29">
        <v>442</v>
      </c>
      <c r="B225" s="29">
        <v>1</v>
      </c>
      <c r="C225" s="22" t="s">
        <v>647</v>
      </c>
      <c r="D225" s="22" t="s">
        <v>590</v>
      </c>
      <c r="G225" s="30"/>
      <c r="J225" s="30"/>
      <c r="M225" s="30"/>
      <c r="Q225" s="22" t="s">
        <v>590</v>
      </c>
      <c r="T225" s="30"/>
    </row>
    <row r="226" spans="1:20" x14ac:dyDescent="0.2">
      <c r="A226" s="29">
        <v>443</v>
      </c>
      <c r="B226" s="29">
        <v>1</v>
      </c>
      <c r="C226" s="22" t="s">
        <v>648</v>
      </c>
      <c r="D226" s="22" t="s">
        <v>590</v>
      </c>
      <c r="E226" s="29">
        <v>78</v>
      </c>
      <c r="F226" s="29">
        <v>99</v>
      </c>
      <c r="G226" s="30">
        <v>7</v>
      </c>
      <c r="H226" s="29">
        <v>88</v>
      </c>
      <c r="I226" s="29">
        <v>99</v>
      </c>
      <c r="J226" s="30">
        <v>6</v>
      </c>
      <c r="M226" s="30"/>
      <c r="Q226" s="22" t="s">
        <v>590</v>
      </c>
      <c r="T226" s="30"/>
    </row>
    <row r="227" spans="1:20" x14ac:dyDescent="0.2">
      <c r="A227" s="29">
        <v>444</v>
      </c>
      <c r="B227" s="29">
        <v>1</v>
      </c>
      <c r="C227" s="22" t="s">
        <v>534</v>
      </c>
      <c r="D227" s="22" t="s">
        <v>590</v>
      </c>
      <c r="E227" s="29">
        <v>76</v>
      </c>
      <c r="F227" s="29">
        <v>99</v>
      </c>
      <c r="G227" s="30">
        <v>20</v>
      </c>
      <c r="H227" s="29">
        <v>77</v>
      </c>
      <c r="I227" s="29">
        <v>99</v>
      </c>
      <c r="J227" s="30">
        <v>31.54</v>
      </c>
      <c r="M227" s="30"/>
      <c r="Q227" s="22" t="s">
        <v>590</v>
      </c>
      <c r="T227" s="30"/>
    </row>
    <row r="228" spans="1:20" x14ac:dyDescent="0.2">
      <c r="A228" s="29">
        <v>446</v>
      </c>
      <c r="B228" s="29">
        <v>1</v>
      </c>
      <c r="C228" s="22" t="s">
        <v>535</v>
      </c>
      <c r="D228" s="22" t="s">
        <v>590</v>
      </c>
      <c r="E228" s="29">
        <v>78</v>
      </c>
      <c r="F228" s="29">
        <v>99</v>
      </c>
      <c r="G228" s="30">
        <v>5</v>
      </c>
      <c r="J228" s="30"/>
      <c r="M228" s="30"/>
      <c r="Q228" s="22" t="s">
        <v>590</v>
      </c>
      <c r="T228" s="30"/>
    </row>
    <row r="229" spans="1:20" x14ac:dyDescent="0.2">
      <c r="A229" s="29">
        <v>447</v>
      </c>
      <c r="B229" s="29">
        <v>1</v>
      </c>
      <c r="C229" s="22" t="s">
        <v>202</v>
      </c>
      <c r="D229" s="22" t="s">
        <v>590</v>
      </c>
      <c r="G229" s="30"/>
      <c r="J229" s="30"/>
      <c r="M229" s="30"/>
      <c r="Q229" s="22" t="s">
        <v>590</v>
      </c>
      <c r="R229" s="29">
        <v>76</v>
      </c>
      <c r="S229" s="29">
        <v>99</v>
      </c>
      <c r="T229" s="30">
        <v>10</v>
      </c>
    </row>
    <row r="230" spans="1:20" x14ac:dyDescent="0.2">
      <c r="A230" s="29">
        <v>451</v>
      </c>
      <c r="B230" s="29">
        <v>1</v>
      </c>
      <c r="C230" s="22" t="s">
        <v>571</v>
      </c>
      <c r="D230" s="22" t="s">
        <v>590</v>
      </c>
      <c r="E230" s="29">
        <v>76</v>
      </c>
      <c r="F230" s="29">
        <v>99</v>
      </c>
      <c r="G230" s="30">
        <v>7</v>
      </c>
      <c r="H230" s="29">
        <v>88</v>
      </c>
      <c r="I230" s="29">
        <v>99</v>
      </c>
      <c r="J230" s="30">
        <v>8</v>
      </c>
      <c r="M230" s="30"/>
      <c r="Q230" s="22" t="s">
        <v>590</v>
      </c>
      <c r="T230" s="30"/>
    </row>
    <row r="231" spans="1:20" x14ac:dyDescent="0.2">
      <c r="A231" s="29">
        <v>453</v>
      </c>
      <c r="B231" s="29">
        <v>1</v>
      </c>
      <c r="C231" s="22" t="s">
        <v>649</v>
      </c>
      <c r="D231" s="22" t="s">
        <v>590</v>
      </c>
      <c r="E231" s="29">
        <v>76</v>
      </c>
      <c r="F231" s="29">
        <v>99</v>
      </c>
      <c r="G231" s="30">
        <v>6</v>
      </c>
      <c r="J231" s="30"/>
      <c r="M231" s="30"/>
      <c r="Q231" s="22" t="s">
        <v>590</v>
      </c>
      <c r="T231" s="30"/>
    </row>
    <row r="232" spans="1:20" x14ac:dyDescent="0.2">
      <c r="A232" s="29">
        <v>454</v>
      </c>
      <c r="B232" s="29">
        <v>1</v>
      </c>
      <c r="C232" s="22" t="s">
        <v>650</v>
      </c>
      <c r="D232" s="22" t="s">
        <v>590</v>
      </c>
      <c r="E232" s="29">
        <v>78</v>
      </c>
      <c r="F232" s="29">
        <v>99</v>
      </c>
      <c r="G232" s="30">
        <v>3</v>
      </c>
      <c r="H232" s="29">
        <v>82</v>
      </c>
      <c r="I232" s="29">
        <v>99</v>
      </c>
      <c r="J232" s="30">
        <v>2.5</v>
      </c>
      <c r="M232" s="30"/>
      <c r="Q232" s="22" t="s">
        <v>590</v>
      </c>
      <c r="T232" s="30"/>
    </row>
    <row r="233" spans="1:20" x14ac:dyDescent="0.2">
      <c r="A233" s="29">
        <v>456</v>
      </c>
      <c r="B233" s="29">
        <v>1</v>
      </c>
      <c r="C233" s="22" t="s">
        <v>651</v>
      </c>
      <c r="D233" s="22" t="s">
        <v>590</v>
      </c>
      <c r="E233" s="29">
        <v>80</v>
      </c>
      <c r="F233" s="29">
        <v>99</v>
      </c>
      <c r="G233" s="30">
        <v>4</v>
      </c>
      <c r="H233" s="29">
        <v>87</v>
      </c>
      <c r="I233" s="29">
        <v>99</v>
      </c>
      <c r="J233" s="30">
        <v>8</v>
      </c>
      <c r="M233" s="30"/>
      <c r="Q233" s="22" t="s">
        <v>590</v>
      </c>
      <c r="T233" s="30"/>
    </row>
    <row r="234" spans="1:20" x14ac:dyDescent="0.2">
      <c r="A234" s="29">
        <v>457</v>
      </c>
      <c r="B234" s="29">
        <v>1</v>
      </c>
      <c r="C234" s="22" t="s">
        <v>536</v>
      </c>
      <c r="D234" s="22" t="s">
        <v>590</v>
      </c>
      <c r="E234" s="29">
        <v>78</v>
      </c>
      <c r="F234" s="29">
        <v>99</v>
      </c>
      <c r="G234" s="30">
        <v>9.85</v>
      </c>
      <c r="J234" s="30"/>
      <c r="M234" s="30"/>
      <c r="Q234" s="22" t="s">
        <v>590</v>
      </c>
      <c r="T234" s="30"/>
    </row>
    <row r="235" spans="1:20" x14ac:dyDescent="0.2">
      <c r="A235" s="29">
        <v>458</v>
      </c>
      <c r="B235" s="29">
        <v>1</v>
      </c>
      <c r="C235" s="22" t="s">
        <v>203</v>
      </c>
      <c r="D235" s="22" t="s">
        <v>590</v>
      </c>
      <c r="E235" s="29">
        <v>76</v>
      </c>
      <c r="F235" s="29">
        <v>99</v>
      </c>
      <c r="G235" s="30">
        <v>4</v>
      </c>
      <c r="H235" s="29">
        <v>86</v>
      </c>
      <c r="I235" s="29">
        <v>99</v>
      </c>
      <c r="J235" s="30">
        <v>4.28</v>
      </c>
      <c r="M235" s="30"/>
      <c r="Q235" s="22" t="s">
        <v>590</v>
      </c>
      <c r="T235" s="30"/>
    </row>
    <row r="236" spans="1:20" x14ac:dyDescent="0.2">
      <c r="A236" s="29">
        <v>459</v>
      </c>
      <c r="B236" s="29">
        <v>1</v>
      </c>
      <c r="C236" s="22" t="s">
        <v>652</v>
      </c>
      <c r="D236" s="22" t="s">
        <v>590</v>
      </c>
      <c r="E236" s="29">
        <v>76</v>
      </c>
      <c r="F236" s="29">
        <v>99</v>
      </c>
      <c r="G236" s="30">
        <v>6</v>
      </c>
      <c r="J236" s="30"/>
      <c r="M236" s="30"/>
      <c r="Q236" s="22" t="s">
        <v>590</v>
      </c>
      <c r="T236" s="30"/>
    </row>
    <row r="237" spans="1:20" x14ac:dyDescent="0.2">
      <c r="A237" s="29">
        <v>460</v>
      </c>
      <c r="B237" s="29">
        <v>1</v>
      </c>
      <c r="C237" s="22" t="s">
        <v>653</v>
      </c>
      <c r="D237" s="22" t="s">
        <v>590</v>
      </c>
      <c r="E237" s="29">
        <v>76</v>
      </c>
      <c r="F237" s="29">
        <v>99</v>
      </c>
      <c r="G237" s="30">
        <v>7</v>
      </c>
      <c r="H237" s="29">
        <v>87</v>
      </c>
      <c r="I237" s="29">
        <v>99</v>
      </c>
      <c r="J237" s="30">
        <v>7.1</v>
      </c>
      <c r="M237" s="30"/>
      <c r="Q237" s="22" t="s">
        <v>590</v>
      </c>
      <c r="T237" s="30"/>
    </row>
    <row r="238" spans="1:20" x14ac:dyDescent="0.2">
      <c r="A238" s="29">
        <v>461</v>
      </c>
      <c r="B238" s="29">
        <v>1</v>
      </c>
      <c r="C238" s="22" t="s">
        <v>654</v>
      </c>
      <c r="D238" s="22" t="s">
        <v>590</v>
      </c>
      <c r="E238" s="29">
        <v>87</v>
      </c>
      <c r="F238" s="29">
        <v>6</v>
      </c>
      <c r="G238" s="30">
        <v>15</v>
      </c>
      <c r="J238" s="30"/>
      <c r="M238" s="30"/>
      <c r="Q238" s="22" t="s">
        <v>590</v>
      </c>
      <c r="T238" s="30"/>
    </row>
    <row r="239" spans="1:20" x14ac:dyDescent="0.2">
      <c r="A239" s="29">
        <v>463</v>
      </c>
      <c r="B239" s="29">
        <v>1</v>
      </c>
      <c r="C239" s="22" t="s">
        <v>204</v>
      </c>
      <c r="D239" s="22" t="s">
        <v>590</v>
      </c>
      <c r="G239" s="30"/>
      <c r="J239" s="30"/>
      <c r="M239" s="30"/>
      <c r="Q239" s="22" t="s">
        <v>590</v>
      </c>
      <c r="T239" s="30"/>
    </row>
    <row r="240" spans="1:20" x14ac:dyDescent="0.2">
      <c r="A240" s="29">
        <v>464</v>
      </c>
      <c r="B240" s="29">
        <v>1</v>
      </c>
      <c r="C240" s="22" t="s">
        <v>537</v>
      </c>
      <c r="D240" s="22" t="s">
        <v>590</v>
      </c>
      <c r="G240" s="30"/>
      <c r="J240" s="30"/>
      <c r="M240" s="30"/>
      <c r="Q240" s="22" t="s">
        <v>590</v>
      </c>
      <c r="T240" s="30"/>
    </row>
    <row r="241" spans="1:20" x14ac:dyDescent="0.2">
      <c r="A241" s="29">
        <v>465</v>
      </c>
      <c r="B241" s="29">
        <v>1</v>
      </c>
      <c r="C241" s="22" t="s">
        <v>205</v>
      </c>
      <c r="D241" s="22" t="s">
        <v>590</v>
      </c>
      <c r="G241" s="30"/>
      <c r="J241" s="30"/>
      <c r="M241" s="30"/>
      <c r="Q241" s="22" t="s">
        <v>590</v>
      </c>
      <c r="T241" s="30"/>
    </row>
    <row r="242" spans="1:20" x14ac:dyDescent="0.2">
      <c r="A242" s="29">
        <v>466</v>
      </c>
      <c r="B242" s="29">
        <v>1</v>
      </c>
      <c r="C242" s="22" t="s">
        <v>206</v>
      </c>
      <c r="D242" s="22" t="s">
        <v>590</v>
      </c>
      <c r="E242" s="29">
        <v>85</v>
      </c>
      <c r="F242" s="29">
        <v>5</v>
      </c>
      <c r="G242" s="30">
        <v>5</v>
      </c>
      <c r="J242" s="30"/>
      <c r="M242" s="30"/>
      <c r="Q242" s="22" t="s">
        <v>590</v>
      </c>
      <c r="T242" s="30"/>
    </row>
    <row r="243" spans="1:20" x14ac:dyDescent="0.2">
      <c r="A243" s="29">
        <v>473</v>
      </c>
      <c r="B243" s="29">
        <v>1</v>
      </c>
      <c r="C243" s="22" t="s">
        <v>207</v>
      </c>
      <c r="D243" s="22" t="s">
        <v>590</v>
      </c>
      <c r="E243" s="29">
        <v>88</v>
      </c>
      <c r="F243" s="29">
        <v>99</v>
      </c>
      <c r="G243" s="30">
        <v>5</v>
      </c>
      <c r="J243" s="30"/>
      <c r="M243" s="30"/>
      <c r="Q243" s="22" t="s">
        <v>590</v>
      </c>
      <c r="T243" s="30"/>
    </row>
    <row r="244" spans="1:20" x14ac:dyDescent="0.2">
      <c r="A244" s="29">
        <v>477</v>
      </c>
      <c r="B244" s="29">
        <v>1</v>
      </c>
      <c r="C244" s="22" t="s">
        <v>208</v>
      </c>
      <c r="D244" s="22" t="s">
        <v>590</v>
      </c>
      <c r="G244" s="30"/>
      <c r="J244" s="30"/>
      <c r="M244" s="30"/>
      <c r="Q244" s="22" t="s">
        <v>590</v>
      </c>
      <c r="T244" s="30"/>
    </row>
    <row r="245" spans="1:20" x14ac:dyDescent="0.2">
      <c r="A245" s="29">
        <v>480</v>
      </c>
      <c r="B245" s="29">
        <v>1</v>
      </c>
      <c r="C245" s="22" t="s">
        <v>209</v>
      </c>
      <c r="D245" s="22" t="s">
        <v>590</v>
      </c>
      <c r="G245" s="30"/>
      <c r="J245" s="30"/>
      <c r="M245" s="30"/>
      <c r="Q245" s="22" t="s">
        <v>590</v>
      </c>
      <c r="T245" s="30"/>
    </row>
    <row r="246" spans="1:20" x14ac:dyDescent="0.2">
      <c r="A246" s="29">
        <v>482</v>
      </c>
      <c r="B246" s="29">
        <v>1</v>
      </c>
      <c r="C246" s="22" t="s">
        <v>210</v>
      </c>
      <c r="D246" s="22" t="s">
        <v>590</v>
      </c>
      <c r="G246" s="30"/>
      <c r="J246" s="30"/>
      <c r="M246" s="30"/>
      <c r="Q246" s="22" t="s">
        <v>590</v>
      </c>
      <c r="T246" s="30"/>
    </row>
    <row r="247" spans="1:20" x14ac:dyDescent="0.2">
      <c r="A247" s="29">
        <v>483</v>
      </c>
      <c r="B247" s="29">
        <v>1</v>
      </c>
      <c r="C247" s="22" t="s">
        <v>655</v>
      </c>
      <c r="D247" s="22" t="s">
        <v>590</v>
      </c>
      <c r="G247" s="30"/>
      <c r="J247" s="30"/>
      <c r="M247" s="30"/>
      <c r="Q247" s="22" t="s">
        <v>590</v>
      </c>
      <c r="T247" s="30"/>
    </row>
    <row r="248" spans="1:20" x14ac:dyDescent="0.2">
      <c r="A248" s="29">
        <v>484</v>
      </c>
      <c r="B248" s="29">
        <v>1</v>
      </c>
      <c r="C248" s="22" t="s">
        <v>211</v>
      </c>
      <c r="D248" s="22" t="s">
        <v>590</v>
      </c>
      <c r="G248" s="30"/>
      <c r="J248" s="30"/>
      <c r="M248" s="30"/>
      <c r="Q248" s="22" t="s">
        <v>590</v>
      </c>
      <c r="T248" s="30"/>
    </row>
    <row r="249" spans="1:20" x14ac:dyDescent="0.2">
      <c r="A249" s="29">
        <v>485</v>
      </c>
      <c r="B249" s="29">
        <v>1</v>
      </c>
      <c r="C249" s="22" t="s">
        <v>212</v>
      </c>
      <c r="D249" s="22" t="s">
        <v>590</v>
      </c>
      <c r="G249" s="30"/>
      <c r="J249" s="30"/>
      <c r="M249" s="30"/>
      <c r="Q249" s="22" t="s">
        <v>590</v>
      </c>
      <c r="T249" s="30"/>
    </row>
    <row r="250" spans="1:20" x14ac:dyDescent="0.2">
      <c r="A250" s="29">
        <v>486</v>
      </c>
      <c r="B250" s="29">
        <v>1</v>
      </c>
      <c r="C250" s="22" t="s">
        <v>213</v>
      </c>
      <c r="D250" s="22" t="s">
        <v>590</v>
      </c>
      <c r="G250" s="30"/>
      <c r="J250" s="30"/>
      <c r="M250" s="30"/>
      <c r="Q250" s="22" t="s">
        <v>590</v>
      </c>
      <c r="T250" s="30"/>
    </row>
    <row r="251" spans="1:20" x14ac:dyDescent="0.2">
      <c r="A251" s="29">
        <v>487</v>
      </c>
      <c r="B251" s="29">
        <v>1</v>
      </c>
      <c r="C251" s="22" t="s">
        <v>214</v>
      </c>
      <c r="D251" s="22" t="s">
        <v>590</v>
      </c>
      <c r="G251" s="30"/>
      <c r="J251" s="30"/>
      <c r="M251" s="30"/>
      <c r="Q251" s="22" t="s">
        <v>590</v>
      </c>
      <c r="T251" s="30"/>
    </row>
    <row r="252" spans="1:20" x14ac:dyDescent="0.2">
      <c r="A252" s="29">
        <v>492</v>
      </c>
      <c r="B252" s="29">
        <v>1</v>
      </c>
      <c r="C252" s="22" t="s">
        <v>215</v>
      </c>
      <c r="D252" s="22" t="s">
        <v>590</v>
      </c>
      <c r="E252" s="29">
        <v>84</v>
      </c>
      <c r="F252" s="29">
        <v>99</v>
      </c>
      <c r="G252" s="30">
        <v>3.5</v>
      </c>
      <c r="J252" s="30"/>
      <c r="M252" s="30"/>
      <c r="Q252" s="22" t="s">
        <v>590</v>
      </c>
      <c r="T252" s="30"/>
    </row>
    <row r="253" spans="1:20" x14ac:dyDescent="0.2">
      <c r="A253" s="29">
        <v>495</v>
      </c>
      <c r="B253" s="29">
        <v>1</v>
      </c>
      <c r="C253" s="22" t="s">
        <v>216</v>
      </c>
      <c r="D253" s="22" t="s">
        <v>590</v>
      </c>
      <c r="E253" s="29">
        <v>84</v>
      </c>
      <c r="F253" s="29">
        <v>99</v>
      </c>
      <c r="G253" s="30">
        <v>4</v>
      </c>
      <c r="J253" s="30"/>
      <c r="M253" s="30"/>
      <c r="Q253" s="22" t="s">
        <v>590</v>
      </c>
      <c r="T253" s="30"/>
    </row>
    <row r="254" spans="1:20" x14ac:dyDescent="0.2">
      <c r="A254" s="29">
        <v>497</v>
      </c>
      <c r="B254" s="29">
        <v>1</v>
      </c>
      <c r="C254" s="22" t="s">
        <v>217</v>
      </c>
      <c r="D254" s="22" t="s">
        <v>590</v>
      </c>
      <c r="E254" s="29">
        <v>77</v>
      </c>
      <c r="F254" s="29">
        <v>99</v>
      </c>
      <c r="G254" s="30">
        <v>4</v>
      </c>
      <c r="H254" s="29">
        <v>86</v>
      </c>
      <c r="I254" s="29">
        <v>99</v>
      </c>
      <c r="J254" s="30">
        <v>5.5</v>
      </c>
      <c r="M254" s="30"/>
      <c r="Q254" s="22" t="s">
        <v>590</v>
      </c>
      <c r="T254" s="30"/>
    </row>
    <row r="255" spans="1:20" x14ac:dyDescent="0.2">
      <c r="A255" s="29">
        <v>499</v>
      </c>
      <c r="B255" s="29">
        <v>1</v>
      </c>
      <c r="C255" s="22" t="s">
        <v>218</v>
      </c>
      <c r="D255" s="22" t="s">
        <v>590</v>
      </c>
      <c r="E255" s="29">
        <v>81</v>
      </c>
      <c r="F255" s="29">
        <v>99</v>
      </c>
      <c r="G255" s="30">
        <v>6</v>
      </c>
      <c r="J255" s="30"/>
      <c r="M255" s="30"/>
      <c r="Q255" s="22" t="s">
        <v>590</v>
      </c>
      <c r="T255" s="30"/>
    </row>
    <row r="256" spans="1:20" x14ac:dyDescent="0.2">
      <c r="A256" s="29">
        <v>500</v>
      </c>
      <c r="B256" s="29">
        <v>1</v>
      </c>
      <c r="C256" s="22" t="s">
        <v>219</v>
      </c>
      <c r="D256" s="22" t="s">
        <v>590</v>
      </c>
      <c r="E256" s="29">
        <v>79</v>
      </c>
      <c r="F256" s="29">
        <v>99</v>
      </c>
      <c r="G256" s="30">
        <v>6</v>
      </c>
      <c r="H256" s="29">
        <v>88</v>
      </c>
      <c r="I256" s="29">
        <v>99</v>
      </c>
      <c r="J256" s="30">
        <v>6</v>
      </c>
      <c r="M256" s="30"/>
      <c r="Q256" s="22" t="s">
        <v>590</v>
      </c>
      <c r="T256" s="30"/>
    </row>
    <row r="257" spans="1:20" x14ac:dyDescent="0.2">
      <c r="A257" s="29">
        <v>504</v>
      </c>
      <c r="B257" s="29">
        <v>1</v>
      </c>
      <c r="C257" s="22" t="s">
        <v>656</v>
      </c>
      <c r="D257" s="22" t="s">
        <v>590</v>
      </c>
      <c r="E257" s="29">
        <v>87</v>
      </c>
      <c r="F257" s="29">
        <v>99</v>
      </c>
      <c r="G257" s="30">
        <v>10</v>
      </c>
      <c r="J257" s="30"/>
      <c r="M257" s="30"/>
      <c r="Q257" s="22" t="s">
        <v>590</v>
      </c>
      <c r="T257" s="30"/>
    </row>
    <row r="258" spans="1:20" x14ac:dyDescent="0.2">
      <c r="A258" s="29">
        <v>505</v>
      </c>
      <c r="B258" s="29">
        <v>1</v>
      </c>
      <c r="C258" s="22" t="s">
        <v>220</v>
      </c>
      <c r="D258" s="22" t="s">
        <v>590</v>
      </c>
      <c r="E258" s="29">
        <v>88</v>
      </c>
      <c r="F258" s="29">
        <v>99</v>
      </c>
      <c r="G258" s="30">
        <v>10</v>
      </c>
      <c r="J258" s="30"/>
      <c r="M258" s="30"/>
      <c r="Q258" s="22" t="s">
        <v>590</v>
      </c>
      <c r="R258" s="29">
        <v>78</v>
      </c>
      <c r="S258" s="29">
        <v>99</v>
      </c>
      <c r="T258" s="30">
        <v>2</v>
      </c>
    </row>
    <row r="259" spans="1:20" x14ac:dyDescent="0.2">
      <c r="A259" s="29">
        <v>507</v>
      </c>
      <c r="B259" s="29">
        <v>1</v>
      </c>
      <c r="C259" s="22" t="s">
        <v>221</v>
      </c>
      <c r="D259" s="22" t="s">
        <v>590</v>
      </c>
      <c r="E259" s="29">
        <v>76</v>
      </c>
      <c r="F259" s="29">
        <v>99</v>
      </c>
      <c r="G259" s="30">
        <v>8</v>
      </c>
      <c r="H259" s="29">
        <v>88</v>
      </c>
      <c r="I259" s="29">
        <v>5</v>
      </c>
      <c r="J259" s="30">
        <v>8.5</v>
      </c>
      <c r="M259" s="30"/>
      <c r="Q259" s="22" t="s">
        <v>590</v>
      </c>
      <c r="T259" s="30"/>
    </row>
    <row r="260" spans="1:20" x14ac:dyDescent="0.2">
      <c r="A260" s="29">
        <v>508</v>
      </c>
      <c r="B260" s="29">
        <v>1</v>
      </c>
      <c r="C260" s="22" t="s">
        <v>222</v>
      </c>
      <c r="D260" s="22" t="s">
        <v>590</v>
      </c>
      <c r="E260" s="29">
        <v>86</v>
      </c>
      <c r="F260" s="29">
        <v>99</v>
      </c>
      <c r="G260" s="30">
        <v>5</v>
      </c>
      <c r="J260" s="30"/>
      <c r="M260" s="30"/>
      <c r="Q260" s="22" t="s">
        <v>590</v>
      </c>
      <c r="T260" s="30"/>
    </row>
    <row r="261" spans="1:20" x14ac:dyDescent="0.2">
      <c r="A261" s="29">
        <v>511</v>
      </c>
      <c r="B261" s="29">
        <v>1</v>
      </c>
      <c r="C261" s="22" t="s">
        <v>223</v>
      </c>
      <c r="D261" s="22" t="s">
        <v>590</v>
      </c>
      <c r="E261" s="29">
        <v>87</v>
      </c>
      <c r="F261" s="29">
        <v>99</v>
      </c>
      <c r="G261" s="30">
        <v>6.8</v>
      </c>
      <c r="J261" s="30"/>
      <c r="M261" s="30"/>
      <c r="Q261" s="22" t="s">
        <v>590</v>
      </c>
      <c r="T261" s="30"/>
    </row>
    <row r="262" spans="1:20" x14ac:dyDescent="0.2">
      <c r="A262" s="29">
        <v>513</v>
      </c>
      <c r="B262" s="29">
        <v>1</v>
      </c>
      <c r="C262" s="22" t="s">
        <v>224</v>
      </c>
      <c r="D262" s="22" t="s">
        <v>590</v>
      </c>
      <c r="E262" s="29">
        <v>82</v>
      </c>
      <c r="F262" s="29">
        <v>99</v>
      </c>
      <c r="G262" s="30">
        <v>10</v>
      </c>
      <c r="J262" s="30"/>
      <c r="M262" s="30"/>
      <c r="Q262" s="22" t="s">
        <v>590</v>
      </c>
      <c r="T262" s="30"/>
    </row>
    <row r="263" spans="1:20" x14ac:dyDescent="0.2">
      <c r="A263" s="29">
        <v>514</v>
      </c>
      <c r="B263" s="29">
        <v>1</v>
      </c>
      <c r="C263" s="22" t="s">
        <v>225</v>
      </c>
      <c r="D263" s="22" t="s">
        <v>590</v>
      </c>
      <c r="E263" s="29">
        <v>80</v>
      </c>
      <c r="F263" s="29">
        <v>99</v>
      </c>
      <c r="G263" s="30">
        <v>10</v>
      </c>
      <c r="J263" s="30"/>
      <c r="M263" s="30"/>
      <c r="Q263" s="22" t="s">
        <v>590</v>
      </c>
      <c r="T263" s="30"/>
    </row>
    <row r="264" spans="1:20" x14ac:dyDescent="0.2">
      <c r="A264" s="29">
        <v>516</v>
      </c>
      <c r="B264" s="29">
        <v>1</v>
      </c>
      <c r="C264" s="22" t="s">
        <v>226</v>
      </c>
      <c r="D264" s="22" t="s">
        <v>590</v>
      </c>
      <c r="E264" s="29">
        <v>82</v>
      </c>
      <c r="F264" s="29">
        <v>99</v>
      </c>
      <c r="G264" s="30">
        <v>8</v>
      </c>
      <c r="J264" s="30"/>
      <c r="M264" s="30"/>
      <c r="Q264" s="22" t="s">
        <v>590</v>
      </c>
      <c r="T264" s="30"/>
    </row>
    <row r="265" spans="1:20" x14ac:dyDescent="0.2">
      <c r="A265" s="29">
        <v>518</v>
      </c>
      <c r="B265" s="29">
        <v>1</v>
      </c>
      <c r="C265" s="22" t="s">
        <v>227</v>
      </c>
      <c r="D265" s="22" t="s">
        <v>590</v>
      </c>
      <c r="E265" s="29">
        <v>88</v>
      </c>
      <c r="F265" s="29">
        <v>3</v>
      </c>
      <c r="G265" s="30">
        <v>7.2</v>
      </c>
      <c r="J265" s="30"/>
      <c r="M265" s="30"/>
      <c r="Q265" s="22" t="s">
        <v>590</v>
      </c>
      <c r="T265" s="30"/>
    </row>
    <row r="266" spans="1:20" x14ac:dyDescent="0.2">
      <c r="A266" s="29">
        <v>521</v>
      </c>
      <c r="B266" s="29">
        <v>1</v>
      </c>
      <c r="C266" s="22" t="s">
        <v>657</v>
      </c>
      <c r="D266" s="22" t="s">
        <v>590</v>
      </c>
      <c r="G266" s="30"/>
      <c r="J266" s="30"/>
      <c r="M266" s="30"/>
      <c r="Q266" s="22" t="s">
        <v>590</v>
      </c>
      <c r="T266" s="30"/>
    </row>
    <row r="267" spans="1:20" x14ac:dyDescent="0.2">
      <c r="A267" s="29">
        <v>522</v>
      </c>
      <c r="B267" s="29">
        <v>1</v>
      </c>
      <c r="C267" s="22" t="s">
        <v>658</v>
      </c>
      <c r="D267" s="22" t="s">
        <v>590</v>
      </c>
      <c r="E267" s="29">
        <v>79</v>
      </c>
      <c r="F267" s="29">
        <v>99</v>
      </c>
      <c r="G267" s="30">
        <v>12</v>
      </c>
      <c r="H267" s="29">
        <v>81</v>
      </c>
      <c r="I267" s="29">
        <v>99</v>
      </c>
      <c r="J267" s="30">
        <v>10</v>
      </c>
      <c r="M267" s="30"/>
      <c r="Q267" s="22" t="s">
        <v>590</v>
      </c>
      <c r="T267" s="30"/>
    </row>
    <row r="268" spans="1:20" x14ac:dyDescent="0.2">
      <c r="A268" s="29">
        <v>523</v>
      </c>
      <c r="B268" s="29">
        <v>1</v>
      </c>
      <c r="C268" s="22" t="s">
        <v>541</v>
      </c>
      <c r="D268" s="22" t="s">
        <v>590</v>
      </c>
      <c r="E268" s="29">
        <v>81</v>
      </c>
      <c r="F268" s="29">
        <v>99</v>
      </c>
      <c r="G268" s="30">
        <v>10</v>
      </c>
      <c r="J268" s="30"/>
      <c r="M268" s="30"/>
      <c r="Q268" s="22" t="s">
        <v>590</v>
      </c>
      <c r="T268" s="30"/>
    </row>
    <row r="269" spans="1:20" x14ac:dyDescent="0.2">
      <c r="A269" s="29">
        <v>524</v>
      </c>
      <c r="B269" s="29">
        <v>1</v>
      </c>
      <c r="C269" s="22" t="s">
        <v>659</v>
      </c>
      <c r="D269" s="22" t="s">
        <v>590</v>
      </c>
      <c r="E269" s="29">
        <v>82</v>
      </c>
      <c r="F269" s="29">
        <v>99</v>
      </c>
      <c r="G269" s="30">
        <v>10</v>
      </c>
      <c r="J269" s="30"/>
      <c r="M269" s="30"/>
      <c r="Q269" s="22" t="s">
        <v>590</v>
      </c>
      <c r="T269" s="30"/>
    </row>
    <row r="270" spans="1:20" x14ac:dyDescent="0.2">
      <c r="A270" s="29">
        <v>525</v>
      </c>
      <c r="B270" s="29">
        <v>1</v>
      </c>
      <c r="C270" s="22" t="s">
        <v>660</v>
      </c>
      <c r="D270" s="22" t="s">
        <v>590</v>
      </c>
      <c r="E270" s="29">
        <v>75</v>
      </c>
      <c r="F270" s="29">
        <v>99</v>
      </c>
      <c r="G270" s="30">
        <v>5</v>
      </c>
      <c r="H270" s="29">
        <v>76</v>
      </c>
      <c r="I270" s="29">
        <v>99</v>
      </c>
      <c r="J270" s="30">
        <v>13.5</v>
      </c>
      <c r="M270" s="30"/>
      <c r="Q270" s="22" t="s">
        <v>590</v>
      </c>
      <c r="T270" s="30"/>
    </row>
    <row r="271" spans="1:20" x14ac:dyDescent="0.2">
      <c r="A271" s="29">
        <v>526</v>
      </c>
      <c r="B271" s="29">
        <v>1</v>
      </c>
      <c r="C271" s="22" t="s">
        <v>542</v>
      </c>
      <c r="D271" s="22" t="s">
        <v>590</v>
      </c>
      <c r="G271" s="30"/>
      <c r="J271" s="30"/>
      <c r="M271" s="30"/>
      <c r="Q271" s="22" t="s">
        <v>590</v>
      </c>
      <c r="T271" s="30"/>
    </row>
    <row r="272" spans="1:20" x14ac:dyDescent="0.2">
      <c r="A272" s="29">
        <v>531</v>
      </c>
      <c r="B272" s="29">
        <v>1</v>
      </c>
      <c r="C272" s="22" t="s">
        <v>228</v>
      </c>
      <c r="D272" s="22" t="s">
        <v>590</v>
      </c>
      <c r="E272" s="29">
        <v>87</v>
      </c>
      <c r="F272" s="29">
        <v>99</v>
      </c>
      <c r="G272" s="30">
        <v>6</v>
      </c>
      <c r="J272" s="30"/>
      <c r="M272" s="30"/>
      <c r="Q272" s="22" t="s">
        <v>590</v>
      </c>
      <c r="T272" s="30"/>
    </row>
    <row r="273" spans="1:20" x14ac:dyDescent="0.2">
      <c r="A273" s="29">
        <v>533</v>
      </c>
      <c r="B273" s="29">
        <v>1</v>
      </c>
      <c r="C273" s="22" t="s">
        <v>229</v>
      </c>
      <c r="D273" s="22" t="s">
        <v>590</v>
      </c>
      <c r="G273" s="30"/>
      <c r="J273" s="30"/>
      <c r="M273" s="30"/>
      <c r="Q273" s="22" t="s">
        <v>590</v>
      </c>
      <c r="T273" s="30"/>
    </row>
    <row r="274" spans="1:20" x14ac:dyDescent="0.2">
      <c r="A274" s="29">
        <v>534</v>
      </c>
      <c r="B274" s="29">
        <v>1</v>
      </c>
      <c r="C274" s="22" t="s">
        <v>230</v>
      </c>
      <c r="D274" s="22" t="s">
        <v>590</v>
      </c>
      <c r="E274" s="29">
        <v>88</v>
      </c>
      <c r="F274" s="29">
        <v>7</v>
      </c>
      <c r="G274" s="30">
        <v>7</v>
      </c>
      <c r="J274" s="30"/>
      <c r="M274" s="30"/>
      <c r="Q274" s="22" t="s">
        <v>590</v>
      </c>
      <c r="T274" s="30"/>
    </row>
    <row r="275" spans="1:20" x14ac:dyDescent="0.2">
      <c r="A275" s="29">
        <v>535</v>
      </c>
      <c r="B275" s="29">
        <v>1</v>
      </c>
      <c r="C275" s="22" t="s">
        <v>231</v>
      </c>
      <c r="D275" s="22" t="s">
        <v>590</v>
      </c>
      <c r="E275" s="29">
        <v>84</v>
      </c>
      <c r="F275" s="29">
        <v>99</v>
      </c>
      <c r="G275" s="30">
        <v>4.2</v>
      </c>
      <c r="J275" s="30"/>
      <c r="M275" s="30"/>
      <c r="Q275" s="22" t="s">
        <v>590</v>
      </c>
      <c r="T275" s="30"/>
    </row>
    <row r="276" spans="1:20" x14ac:dyDescent="0.2">
      <c r="A276" s="29">
        <v>542</v>
      </c>
      <c r="B276" s="29">
        <v>1</v>
      </c>
      <c r="C276" s="22" t="s">
        <v>232</v>
      </c>
      <c r="D276" s="22" t="s">
        <v>590</v>
      </c>
      <c r="G276" s="30"/>
      <c r="J276" s="30"/>
      <c r="M276" s="30"/>
      <c r="Q276" s="22" t="s">
        <v>590</v>
      </c>
      <c r="T276" s="30"/>
    </row>
    <row r="277" spans="1:20" x14ac:dyDescent="0.2">
      <c r="A277" s="29">
        <v>543</v>
      </c>
      <c r="B277" s="29">
        <v>1</v>
      </c>
      <c r="C277" s="22" t="s">
        <v>573</v>
      </c>
      <c r="D277" s="22" t="s">
        <v>590</v>
      </c>
      <c r="G277" s="30"/>
      <c r="J277" s="30"/>
      <c r="M277" s="30"/>
      <c r="Q277" s="22" t="s">
        <v>590</v>
      </c>
      <c r="T277" s="30"/>
    </row>
    <row r="278" spans="1:20" x14ac:dyDescent="0.2">
      <c r="A278" s="29">
        <v>544</v>
      </c>
      <c r="B278" s="29">
        <v>1</v>
      </c>
      <c r="C278" s="22" t="s">
        <v>233</v>
      </c>
      <c r="D278" s="22" t="s">
        <v>590</v>
      </c>
      <c r="E278" s="29">
        <v>88</v>
      </c>
      <c r="F278" s="29">
        <v>10</v>
      </c>
      <c r="G278" s="30">
        <v>5</v>
      </c>
      <c r="J278" s="30"/>
      <c r="M278" s="30"/>
      <c r="Q278" s="22" t="s">
        <v>590</v>
      </c>
      <c r="T278" s="30"/>
    </row>
    <row r="279" spans="1:20" x14ac:dyDescent="0.2">
      <c r="A279" s="29">
        <v>545</v>
      </c>
      <c r="B279" s="29">
        <v>1</v>
      </c>
      <c r="C279" s="22" t="s">
        <v>234</v>
      </c>
      <c r="D279" s="22" t="s">
        <v>590</v>
      </c>
      <c r="G279" s="30"/>
      <c r="J279" s="30"/>
      <c r="M279" s="30"/>
      <c r="Q279" s="22" t="s">
        <v>590</v>
      </c>
      <c r="T279" s="30"/>
    </row>
    <row r="280" spans="1:20" x14ac:dyDescent="0.2">
      <c r="A280" s="29">
        <v>547</v>
      </c>
      <c r="B280" s="29">
        <v>1</v>
      </c>
      <c r="C280" s="22" t="s">
        <v>235</v>
      </c>
      <c r="D280" s="22" t="s">
        <v>590</v>
      </c>
      <c r="G280" s="30"/>
      <c r="J280" s="30"/>
      <c r="M280" s="30"/>
      <c r="Q280" s="22" t="s">
        <v>590</v>
      </c>
      <c r="T280" s="30"/>
    </row>
    <row r="281" spans="1:20" x14ac:dyDescent="0.2">
      <c r="A281" s="29">
        <v>548</v>
      </c>
      <c r="B281" s="29">
        <v>1</v>
      </c>
      <c r="C281" s="22" t="s">
        <v>236</v>
      </c>
      <c r="D281" s="22" t="s">
        <v>590</v>
      </c>
      <c r="G281" s="30"/>
      <c r="J281" s="30"/>
      <c r="M281" s="30"/>
      <c r="Q281" s="22" t="s">
        <v>590</v>
      </c>
      <c r="T281" s="30"/>
    </row>
    <row r="282" spans="1:20" x14ac:dyDescent="0.2">
      <c r="A282" s="29">
        <v>549</v>
      </c>
      <c r="B282" s="29">
        <v>1</v>
      </c>
      <c r="C282" s="22" t="s">
        <v>237</v>
      </c>
      <c r="D282" s="22" t="s">
        <v>590</v>
      </c>
      <c r="G282" s="30"/>
      <c r="J282" s="30"/>
      <c r="M282" s="30"/>
      <c r="Q282" s="22" t="s">
        <v>590</v>
      </c>
      <c r="T282" s="30"/>
    </row>
    <row r="283" spans="1:20" x14ac:dyDescent="0.2">
      <c r="A283" s="29">
        <v>550</v>
      </c>
      <c r="B283" s="29">
        <v>1</v>
      </c>
      <c r="C283" s="22" t="s">
        <v>238</v>
      </c>
      <c r="D283" s="22" t="s">
        <v>590</v>
      </c>
      <c r="G283" s="30"/>
      <c r="J283" s="30"/>
      <c r="M283" s="30"/>
      <c r="Q283" s="22" t="s">
        <v>590</v>
      </c>
      <c r="T283" s="30"/>
    </row>
    <row r="284" spans="1:20" x14ac:dyDescent="0.2">
      <c r="A284" s="29">
        <v>553</v>
      </c>
      <c r="B284" s="29">
        <v>1</v>
      </c>
      <c r="C284" s="22" t="s">
        <v>239</v>
      </c>
      <c r="D284" s="22" t="s">
        <v>590</v>
      </c>
      <c r="G284" s="30"/>
      <c r="J284" s="30"/>
      <c r="M284" s="30"/>
      <c r="Q284" s="22" t="s">
        <v>590</v>
      </c>
      <c r="T284" s="30"/>
    </row>
    <row r="285" spans="1:20" x14ac:dyDescent="0.2">
      <c r="A285" s="29">
        <v>561</v>
      </c>
      <c r="B285" s="29">
        <v>1</v>
      </c>
      <c r="C285" s="22" t="s">
        <v>240</v>
      </c>
      <c r="D285" s="22" t="s">
        <v>590</v>
      </c>
      <c r="E285" s="29">
        <v>76</v>
      </c>
      <c r="F285" s="29">
        <v>99</v>
      </c>
      <c r="G285" s="30">
        <v>10</v>
      </c>
      <c r="J285" s="30"/>
      <c r="M285" s="30"/>
      <c r="Q285" s="22" t="s">
        <v>590</v>
      </c>
      <c r="T285" s="30"/>
    </row>
    <row r="286" spans="1:20" x14ac:dyDescent="0.2">
      <c r="A286" s="29">
        <v>564</v>
      </c>
      <c r="B286" s="29">
        <v>1</v>
      </c>
      <c r="C286" s="22" t="s">
        <v>241</v>
      </c>
      <c r="D286" s="22" t="s">
        <v>590</v>
      </c>
      <c r="G286" s="30"/>
      <c r="J286" s="30"/>
      <c r="M286" s="30"/>
      <c r="Q286" s="22" t="s">
        <v>590</v>
      </c>
      <c r="T286" s="30"/>
    </row>
    <row r="287" spans="1:20" x14ac:dyDescent="0.2">
      <c r="A287" s="29">
        <v>566</v>
      </c>
      <c r="B287" s="29">
        <v>1</v>
      </c>
      <c r="C287" s="22" t="s">
        <v>661</v>
      </c>
      <c r="D287" s="22" t="s">
        <v>590</v>
      </c>
      <c r="E287" s="29">
        <v>85</v>
      </c>
      <c r="F287" s="29">
        <v>5</v>
      </c>
      <c r="G287" s="30">
        <v>3</v>
      </c>
      <c r="J287" s="30"/>
      <c r="M287" s="30"/>
      <c r="Q287" s="22" t="s">
        <v>590</v>
      </c>
      <c r="T287" s="30"/>
    </row>
    <row r="288" spans="1:20" x14ac:dyDescent="0.2">
      <c r="A288" s="29">
        <v>570</v>
      </c>
      <c r="B288" s="29">
        <v>1</v>
      </c>
      <c r="C288" s="22" t="s">
        <v>662</v>
      </c>
      <c r="D288" s="22" t="s">
        <v>590</v>
      </c>
      <c r="E288" s="29">
        <v>88</v>
      </c>
      <c r="F288" s="29">
        <v>99</v>
      </c>
      <c r="G288" s="30">
        <v>10</v>
      </c>
      <c r="J288" s="30"/>
      <c r="M288" s="30"/>
      <c r="Q288" s="22" t="s">
        <v>590</v>
      </c>
      <c r="T288" s="30"/>
    </row>
    <row r="289" spans="1:20" x14ac:dyDescent="0.2">
      <c r="A289" s="29">
        <v>573</v>
      </c>
      <c r="B289" s="29">
        <v>1</v>
      </c>
      <c r="C289" s="22" t="s">
        <v>663</v>
      </c>
      <c r="D289" s="22" t="s">
        <v>590</v>
      </c>
      <c r="G289" s="30"/>
      <c r="J289" s="30"/>
      <c r="M289" s="30"/>
      <c r="Q289" s="22" t="s">
        <v>590</v>
      </c>
      <c r="T289" s="30"/>
    </row>
    <row r="290" spans="1:20" x14ac:dyDescent="0.2">
      <c r="A290" s="29">
        <v>576</v>
      </c>
      <c r="B290" s="29">
        <v>1</v>
      </c>
      <c r="C290" s="22" t="s">
        <v>664</v>
      </c>
      <c r="D290" s="22" t="s">
        <v>590</v>
      </c>
      <c r="G290" s="30"/>
      <c r="J290" s="30"/>
      <c r="M290" s="30"/>
      <c r="Q290" s="22" t="s">
        <v>590</v>
      </c>
      <c r="T290" s="30"/>
    </row>
    <row r="291" spans="1:20" x14ac:dyDescent="0.2">
      <c r="A291" s="29">
        <v>577</v>
      </c>
      <c r="B291" s="29">
        <v>1</v>
      </c>
      <c r="C291" s="22" t="s">
        <v>242</v>
      </c>
      <c r="D291" s="22" t="s">
        <v>590</v>
      </c>
      <c r="G291" s="30"/>
      <c r="J291" s="30"/>
      <c r="M291" s="30"/>
      <c r="Q291" s="22" t="s">
        <v>590</v>
      </c>
      <c r="T291" s="30"/>
    </row>
    <row r="292" spans="1:20" x14ac:dyDescent="0.2">
      <c r="A292" s="29">
        <v>578</v>
      </c>
      <c r="B292" s="29">
        <v>1</v>
      </c>
      <c r="C292" s="22" t="s">
        <v>243</v>
      </c>
      <c r="D292" s="22" t="s">
        <v>590</v>
      </c>
      <c r="G292" s="30"/>
      <c r="J292" s="30"/>
      <c r="M292" s="30"/>
      <c r="Q292" s="22" t="s">
        <v>590</v>
      </c>
      <c r="T292" s="30"/>
    </row>
    <row r="293" spans="1:20" x14ac:dyDescent="0.2">
      <c r="A293" s="29">
        <v>581</v>
      </c>
      <c r="B293" s="29">
        <v>1</v>
      </c>
      <c r="C293" s="22" t="s">
        <v>244</v>
      </c>
      <c r="D293" s="22" t="s">
        <v>590</v>
      </c>
      <c r="E293" s="29">
        <v>80</v>
      </c>
      <c r="F293" s="29">
        <v>99</v>
      </c>
      <c r="G293" s="30">
        <v>5</v>
      </c>
      <c r="J293" s="30"/>
      <c r="M293" s="30"/>
      <c r="Q293" s="22" t="s">
        <v>590</v>
      </c>
      <c r="T293" s="30"/>
    </row>
    <row r="294" spans="1:20" x14ac:dyDescent="0.2">
      <c r="A294" s="29">
        <v>582</v>
      </c>
      <c r="B294" s="29">
        <v>1</v>
      </c>
      <c r="C294" s="22" t="s">
        <v>665</v>
      </c>
      <c r="D294" s="22" t="s">
        <v>590</v>
      </c>
      <c r="E294" s="29">
        <v>75</v>
      </c>
      <c r="F294" s="29">
        <v>99</v>
      </c>
      <c r="G294" s="30">
        <v>3</v>
      </c>
      <c r="H294" s="29">
        <v>87</v>
      </c>
      <c r="I294" s="29">
        <v>99</v>
      </c>
      <c r="J294" s="30">
        <v>16</v>
      </c>
      <c r="M294" s="30"/>
      <c r="Q294" s="22" t="s">
        <v>590</v>
      </c>
      <c r="T294" s="30"/>
    </row>
    <row r="295" spans="1:20" x14ac:dyDescent="0.2">
      <c r="A295" s="29">
        <v>583</v>
      </c>
      <c r="B295" s="29">
        <v>1</v>
      </c>
      <c r="C295" s="22" t="s">
        <v>666</v>
      </c>
      <c r="D295" s="22" t="s">
        <v>590</v>
      </c>
      <c r="G295" s="30"/>
      <c r="J295" s="30"/>
      <c r="M295" s="30"/>
      <c r="Q295" s="22" t="s">
        <v>590</v>
      </c>
      <c r="T295" s="30"/>
    </row>
    <row r="296" spans="1:20" x14ac:dyDescent="0.2">
      <c r="A296" s="29">
        <v>584</v>
      </c>
      <c r="B296" s="29">
        <v>1</v>
      </c>
      <c r="C296" s="22" t="s">
        <v>245</v>
      </c>
      <c r="D296" s="22" t="s">
        <v>590</v>
      </c>
      <c r="E296" s="29">
        <v>81</v>
      </c>
      <c r="F296" s="29">
        <v>99</v>
      </c>
      <c r="G296" s="30">
        <v>5</v>
      </c>
      <c r="J296" s="30"/>
      <c r="M296" s="30"/>
      <c r="Q296" s="22" t="s">
        <v>590</v>
      </c>
      <c r="T296" s="30"/>
    </row>
    <row r="297" spans="1:20" x14ac:dyDescent="0.2">
      <c r="A297" s="29">
        <v>592</v>
      </c>
      <c r="B297" s="29">
        <v>1</v>
      </c>
      <c r="C297" s="22" t="s">
        <v>246</v>
      </c>
      <c r="D297" s="22" t="s">
        <v>590</v>
      </c>
      <c r="E297" s="29">
        <v>75</v>
      </c>
      <c r="F297" s="29">
        <v>99</v>
      </c>
      <c r="G297" s="30">
        <v>20</v>
      </c>
      <c r="J297" s="30"/>
      <c r="M297" s="30"/>
      <c r="Q297" s="22" t="s">
        <v>590</v>
      </c>
      <c r="T297" s="30"/>
    </row>
    <row r="298" spans="1:20" x14ac:dyDescent="0.2">
      <c r="A298" s="29">
        <v>593</v>
      </c>
      <c r="B298" s="29">
        <v>1</v>
      </c>
      <c r="C298" s="22" t="s">
        <v>247</v>
      </c>
      <c r="D298" s="22" t="s">
        <v>590</v>
      </c>
      <c r="G298" s="30"/>
      <c r="J298" s="30"/>
      <c r="M298" s="30"/>
      <c r="Q298" s="22" t="s">
        <v>590</v>
      </c>
      <c r="T298" s="30"/>
    </row>
    <row r="299" spans="1:20" x14ac:dyDescent="0.2">
      <c r="A299" s="29">
        <v>595</v>
      </c>
      <c r="B299" s="29">
        <v>1</v>
      </c>
      <c r="C299" s="22" t="s">
        <v>248</v>
      </c>
      <c r="D299" s="22" t="s">
        <v>590</v>
      </c>
      <c r="G299" s="30"/>
      <c r="J299" s="30"/>
      <c r="M299" s="30"/>
      <c r="Q299" s="22" t="s">
        <v>590</v>
      </c>
      <c r="T299" s="30"/>
    </row>
    <row r="300" spans="1:20" x14ac:dyDescent="0.2">
      <c r="A300" s="29">
        <v>597</v>
      </c>
      <c r="B300" s="29">
        <v>1</v>
      </c>
      <c r="C300" s="22" t="s">
        <v>667</v>
      </c>
      <c r="D300" s="22" t="s">
        <v>590</v>
      </c>
      <c r="E300" s="29">
        <v>72</v>
      </c>
      <c r="F300" s="29">
        <v>99</v>
      </c>
      <c r="G300" s="30">
        <v>8.5</v>
      </c>
      <c r="J300" s="30"/>
      <c r="M300" s="30"/>
      <c r="Q300" s="22" t="s">
        <v>590</v>
      </c>
      <c r="R300" s="29">
        <v>77</v>
      </c>
      <c r="S300" s="29">
        <v>99</v>
      </c>
      <c r="T300" s="30">
        <v>8</v>
      </c>
    </row>
    <row r="301" spans="1:20" x14ac:dyDescent="0.2">
      <c r="A301" s="29">
        <v>599</v>
      </c>
      <c r="B301" s="29">
        <v>1</v>
      </c>
      <c r="C301" s="22" t="s">
        <v>668</v>
      </c>
      <c r="D301" s="22" t="s">
        <v>590</v>
      </c>
      <c r="G301" s="30"/>
      <c r="J301" s="30"/>
      <c r="M301" s="30"/>
      <c r="Q301" s="22" t="s">
        <v>590</v>
      </c>
      <c r="T301" s="30"/>
    </row>
    <row r="302" spans="1:20" x14ac:dyDescent="0.2">
      <c r="A302" s="29">
        <v>600</v>
      </c>
      <c r="B302" s="29">
        <v>1</v>
      </c>
      <c r="C302" s="22" t="s">
        <v>250</v>
      </c>
      <c r="D302" s="22" t="s">
        <v>590</v>
      </c>
      <c r="E302" s="29">
        <v>78</v>
      </c>
      <c r="F302" s="29">
        <v>99</v>
      </c>
      <c r="G302" s="30">
        <v>10</v>
      </c>
      <c r="H302" s="29">
        <v>86</v>
      </c>
      <c r="I302" s="29">
        <v>99</v>
      </c>
      <c r="J302" s="30">
        <v>6</v>
      </c>
      <c r="M302" s="30"/>
      <c r="Q302" s="22" t="s">
        <v>590</v>
      </c>
      <c r="T302" s="30"/>
    </row>
    <row r="303" spans="1:20" x14ac:dyDescent="0.2">
      <c r="A303" s="29">
        <v>601</v>
      </c>
      <c r="B303" s="29">
        <v>1</v>
      </c>
      <c r="C303" s="22" t="s">
        <v>251</v>
      </c>
      <c r="D303" s="22" t="s">
        <v>590</v>
      </c>
      <c r="E303" s="29">
        <v>79</v>
      </c>
      <c r="F303" s="29">
        <v>99</v>
      </c>
      <c r="G303" s="30">
        <v>6</v>
      </c>
      <c r="J303" s="30"/>
      <c r="M303" s="30"/>
      <c r="Q303" s="22" t="s">
        <v>590</v>
      </c>
      <c r="T303" s="30"/>
    </row>
    <row r="304" spans="1:20" x14ac:dyDescent="0.2">
      <c r="A304" s="29">
        <v>603</v>
      </c>
      <c r="B304" s="29">
        <v>1</v>
      </c>
      <c r="C304" s="22" t="s">
        <v>669</v>
      </c>
      <c r="D304" s="22" t="s">
        <v>590</v>
      </c>
      <c r="E304" s="29">
        <v>74</v>
      </c>
      <c r="F304" s="29">
        <v>99</v>
      </c>
      <c r="G304" s="30">
        <v>7</v>
      </c>
      <c r="J304" s="30"/>
      <c r="M304" s="30"/>
      <c r="Q304" s="22" t="s">
        <v>590</v>
      </c>
      <c r="T304" s="30"/>
    </row>
    <row r="305" spans="1:20" x14ac:dyDescent="0.2">
      <c r="A305" s="29">
        <v>604</v>
      </c>
      <c r="B305" s="29">
        <v>1</v>
      </c>
      <c r="C305" s="22" t="s">
        <v>670</v>
      </c>
      <c r="D305" s="22" t="s">
        <v>590</v>
      </c>
      <c r="E305" s="29">
        <v>87</v>
      </c>
      <c r="F305" s="29">
        <v>3</v>
      </c>
      <c r="G305" s="30">
        <v>4</v>
      </c>
      <c r="J305" s="30"/>
      <c r="M305" s="30"/>
      <c r="Q305" s="22" t="s">
        <v>590</v>
      </c>
      <c r="T305" s="30"/>
    </row>
    <row r="306" spans="1:20" x14ac:dyDescent="0.2">
      <c r="A306" s="29">
        <v>611</v>
      </c>
      <c r="B306" s="29">
        <v>1</v>
      </c>
      <c r="C306" s="22" t="s">
        <v>252</v>
      </c>
      <c r="D306" s="22" t="s">
        <v>590</v>
      </c>
      <c r="E306" s="29">
        <v>83</v>
      </c>
      <c r="F306" s="29">
        <v>99</v>
      </c>
      <c r="G306" s="30">
        <v>8</v>
      </c>
      <c r="J306" s="30"/>
      <c r="M306" s="30"/>
      <c r="Q306" s="22" t="s">
        <v>590</v>
      </c>
      <c r="T306" s="30"/>
    </row>
    <row r="307" spans="1:20" x14ac:dyDescent="0.2">
      <c r="A307" s="29">
        <v>612</v>
      </c>
      <c r="B307" s="29">
        <v>1</v>
      </c>
      <c r="C307" s="22" t="s">
        <v>671</v>
      </c>
      <c r="D307" s="22" t="s">
        <v>590</v>
      </c>
      <c r="G307" s="30"/>
      <c r="J307" s="30"/>
      <c r="M307" s="30"/>
      <c r="Q307" s="22" t="s">
        <v>590</v>
      </c>
      <c r="T307" s="30"/>
    </row>
    <row r="308" spans="1:20" x14ac:dyDescent="0.2">
      <c r="A308" s="29">
        <v>614</v>
      </c>
      <c r="B308" s="29">
        <v>1</v>
      </c>
      <c r="C308" s="22" t="s">
        <v>672</v>
      </c>
      <c r="D308" s="22" t="s">
        <v>590</v>
      </c>
      <c r="E308" s="29">
        <v>74</v>
      </c>
      <c r="F308" s="29">
        <v>99</v>
      </c>
      <c r="G308" s="30">
        <v>10</v>
      </c>
      <c r="J308" s="30"/>
      <c r="M308" s="30"/>
      <c r="Q308" s="22" t="s">
        <v>590</v>
      </c>
      <c r="T308" s="30"/>
    </row>
    <row r="309" spans="1:20" x14ac:dyDescent="0.2">
      <c r="A309" s="29">
        <v>615</v>
      </c>
      <c r="B309" s="29">
        <v>1</v>
      </c>
      <c r="C309" s="22" t="s">
        <v>673</v>
      </c>
      <c r="D309" s="22" t="s">
        <v>590</v>
      </c>
      <c r="G309" s="30"/>
      <c r="J309" s="30"/>
      <c r="M309" s="30"/>
      <c r="Q309" s="22" t="s">
        <v>590</v>
      </c>
      <c r="R309" s="29">
        <v>79</v>
      </c>
      <c r="S309" s="29">
        <v>99</v>
      </c>
      <c r="T309" s="30">
        <v>4</v>
      </c>
    </row>
    <row r="310" spans="1:20" x14ac:dyDescent="0.2">
      <c r="A310" s="29">
        <v>621</v>
      </c>
      <c r="B310" s="29">
        <v>1</v>
      </c>
      <c r="C310" s="22" t="s">
        <v>253</v>
      </c>
      <c r="D310" s="22" t="s">
        <v>590</v>
      </c>
      <c r="E310" s="29">
        <v>86</v>
      </c>
      <c r="F310" s="29">
        <v>99</v>
      </c>
      <c r="G310" s="30">
        <v>6.2</v>
      </c>
      <c r="J310" s="30"/>
      <c r="M310" s="30"/>
      <c r="Q310" s="22" t="s">
        <v>590</v>
      </c>
      <c r="T310" s="30"/>
    </row>
    <row r="311" spans="1:20" x14ac:dyDescent="0.2">
      <c r="A311" s="29">
        <v>622</v>
      </c>
      <c r="B311" s="29">
        <v>1</v>
      </c>
      <c r="C311" s="22" t="s">
        <v>254</v>
      </c>
      <c r="D311" s="22" t="s">
        <v>590</v>
      </c>
      <c r="E311" s="29">
        <v>87</v>
      </c>
      <c r="F311" s="29">
        <v>3</v>
      </c>
      <c r="G311" s="30">
        <v>9</v>
      </c>
      <c r="H311" s="29">
        <v>88</v>
      </c>
      <c r="I311" s="29">
        <v>3</v>
      </c>
      <c r="J311" s="30">
        <v>6</v>
      </c>
      <c r="M311" s="30"/>
      <c r="Q311" s="22" t="s">
        <v>590</v>
      </c>
      <c r="T311" s="30"/>
    </row>
    <row r="312" spans="1:20" x14ac:dyDescent="0.2">
      <c r="A312" s="29">
        <v>623</v>
      </c>
      <c r="B312" s="29">
        <v>1</v>
      </c>
      <c r="C312" s="22" t="s">
        <v>255</v>
      </c>
      <c r="D312" s="22" t="s">
        <v>590</v>
      </c>
      <c r="E312" s="29">
        <v>81</v>
      </c>
      <c r="F312" s="29">
        <v>99</v>
      </c>
      <c r="G312" s="30">
        <v>5.5</v>
      </c>
      <c r="H312" s="29">
        <v>86</v>
      </c>
      <c r="I312" s="29">
        <v>99</v>
      </c>
      <c r="J312" s="30">
        <v>5.5</v>
      </c>
      <c r="M312" s="30"/>
      <c r="Q312" s="22" t="s">
        <v>590</v>
      </c>
      <c r="T312" s="30"/>
    </row>
    <row r="313" spans="1:20" x14ac:dyDescent="0.2">
      <c r="A313" s="29">
        <v>624</v>
      </c>
      <c r="B313" s="29">
        <v>1</v>
      </c>
      <c r="C313" s="22" t="s">
        <v>256</v>
      </c>
      <c r="D313" s="22" t="s">
        <v>590</v>
      </c>
      <c r="E313" s="29">
        <v>80</v>
      </c>
      <c r="F313" s="29">
        <v>99</v>
      </c>
      <c r="G313" s="30">
        <v>9</v>
      </c>
      <c r="H313" s="29">
        <v>84</v>
      </c>
      <c r="I313" s="29">
        <v>99</v>
      </c>
      <c r="J313" s="30">
        <v>1</v>
      </c>
      <c r="M313" s="30"/>
      <c r="Q313" s="22" t="s">
        <v>590</v>
      </c>
      <c r="T313" s="30"/>
    </row>
    <row r="314" spans="1:20" x14ac:dyDescent="0.2">
      <c r="A314" s="29">
        <v>625</v>
      </c>
      <c r="B314" s="29">
        <v>1</v>
      </c>
      <c r="C314" s="22" t="s">
        <v>257</v>
      </c>
      <c r="D314" s="22" t="s">
        <v>590</v>
      </c>
      <c r="G314" s="30"/>
      <c r="J314" s="30"/>
      <c r="M314" s="30"/>
      <c r="Q314" s="22" t="s">
        <v>590</v>
      </c>
      <c r="T314" s="30"/>
    </row>
    <row r="315" spans="1:20" x14ac:dyDescent="0.2">
      <c r="A315" s="29">
        <v>627</v>
      </c>
      <c r="B315" s="29">
        <v>1</v>
      </c>
      <c r="C315" s="22" t="s">
        <v>258</v>
      </c>
      <c r="D315" s="22" t="s">
        <v>590</v>
      </c>
      <c r="G315" s="30"/>
      <c r="J315" s="30"/>
      <c r="M315" s="30"/>
      <c r="Q315" s="22" t="s">
        <v>590</v>
      </c>
      <c r="R315" s="29">
        <v>79</v>
      </c>
      <c r="S315" s="29">
        <v>99</v>
      </c>
      <c r="T315" s="30">
        <v>3</v>
      </c>
    </row>
    <row r="316" spans="1:20" x14ac:dyDescent="0.2">
      <c r="A316" s="29">
        <v>628</v>
      </c>
      <c r="B316" s="29">
        <v>1</v>
      </c>
      <c r="C316" s="22" t="s">
        <v>259</v>
      </c>
      <c r="D316" s="22" t="s">
        <v>590</v>
      </c>
      <c r="G316" s="30"/>
      <c r="J316" s="30"/>
      <c r="M316" s="30"/>
      <c r="Q316" s="22" t="s">
        <v>590</v>
      </c>
      <c r="T316" s="30"/>
    </row>
    <row r="317" spans="1:20" x14ac:dyDescent="0.2">
      <c r="A317" s="29">
        <v>630</v>
      </c>
      <c r="B317" s="29">
        <v>1</v>
      </c>
      <c r="C317" s="22" t="s">
        <v>260</v>
      </c>
      <c r="D317" s="22" t="s">
        <v>590</v>
      </c>
      <c r="G317" s="30"/>
      <c r="J317" s="30"/>
      <c r="M317" s="30"/>
      <c r="Q317" s="22" t="s">
        <v>590</v>
      </c>
      <c r="T317" s="30"/>
    </row>
    <row r="318" spans="1:20" x14ac:dyDescent="0.2">
      <c r="A318" s="29">
        <v>631</v>
      </c>
      <c r="B318" s="29">
        <v>1</v>
      </c>
      <c r="C318" s="22" t="s">
        <v>543</v>
      </c>
      <c r="D318" s="22" t="s">
        <v>590</v>
      </c>
      <c r="E318" s="29">
        <v>80</v>
      </c>
      <c r="F318" s="29">
        <v>99</v>
      </c>
      <c r="G318" s="30">
        <v>4</v>
      </c>
      <c r="H318" s="29">
        <v>82</v>
      </c>
      <c r="I318" s="29">
        <v>99</v>
      </c>
      <c r="J318" s="30">
        <v>5</v>
      </c>
      <c r="K318" s="29">
        <v>88</v>
      </c>
      <c r="L318" s="29">
        <v>99</v>
      </c>
      <c r="M318" s="30">
        <v>10</v>
      </c>
      <c r="Q318" s="22" t="s">
        <v>590</v>
      </c>
      <c r="T318" s="30"/>
    </row>
    <row r="319" spans="1:20" x14ac:dyDescent="0.2">
      <c r="A319" s="29">
        <v>633</v>
      </c>
      <c r="B319" s="29">
        <v>1</v>
      </c>
      <c r="C319" s="22" t="s">
        <v>544</v>
      </c>
      <c r="D319" s="22" t="s">
        <v>590</v>
      </c>
      <c r="G319" s="30"/>
      <c r="J319" s="30"/>
      <c r="M319" s="31"/>
      <c r="Q319" s="22" t="s">
        <v>590</v>
      </c>
      <c r="T319" s="30"/>
    </row>
    <row r="320" spans="1:20" x14ac:dyDescent="0.2">
      <c r="A320" s="29">
        <v>635</v>
      </c>
      <c r="B320" s="29">
        <v>1</v>
      </c>
      <c r="C320" s="22" t="s">
        <v>261</v>
      </c>
      <c r="D320" s="22" t="s">
        <v>590</v>
      </c>
      <c r="E320" s="29">
        <v>87</v>
      </c>
      <c r="F320" s="29">
        <v>5</v>
      </c>
      <c r="G320" s="30">
        <v>10</v>
      </c>
      <c r="J320" s="30"/>
      <c r="M320" s="31"/>
      <c r="Q320" s="22" t="s">
        <v>590</v>
      </c>
      <c r="T320" s="30"/>
    </row>
    <row r="321" spans="1:20" x14ac:dyDescent="0.2">
      <c r="A321" s="29">
        <v>636</v>
      </c>
      <c r="B321" s="29">
        <v>1</v>
      </c>
      <c r="C321" s="22" t="s">
        <v>545</v>
      </c>
      <c r="D321" s="22" t="s">
        <v>590</v>
      </c>
      <c r="E321" s="29">
        <v>77</v>
      </c>
      <c r="F321" s="29">
        <v>99</v>
      </c>
      <c r="G321" s="30">
        <v>3.5</v>
      </c>
      <c r="J321" s="30"/>
      <c r="M321" s="31"/>
      <c r="Q321" s="22" t="s">
        <v>590</v>
      </c>
      <c r="T321" s="30"/>
    </row>
    <row r="322" spans="1:20" x14ac:dyDescent="0.2">
      <c r="A322" s="29">
        <v>637</v>
      </c>
      <c r="B322" s="29">
        <v>1</v>
      </c>
      <c r="C322" s="22" t="s">
        <v>674</v>
      </c>
      <c r="D322" s="22" t="s">
        <v>590</v>
      </c>
      <c r="G322" s="30"/>
      <c r="J322" s="30"/>
      <c r="M322" s="31"/>
      <c r="Q322" s="22" t="s">
        <v>590</v>
      </c>
      <c r="T322" s="30"/>
    </row>
    <row r="323" spans="1:20" x14ac:dyDescent="0.2">
      <c r="A323" s="29">
        <v>638</v>
      </c>
      <c r="B323" s="29">
        <v>1</v>
      </c>
      <c r="C323" s="22" t="s">
        <v>574</v>
      </c>
      <c r="D323" s="22" t="s">
        <v>590</v>
      </c>
      <c r="E323" s="29">
        <v>77</v>
      </c>
      <c r="F323" s="29">
        <v>99</v>
      </c>
      <c r="G323" s="30">
        <v>3.5</v>
      </c>
      <c r="J323" s="30"/>
      <c r="M323" s="31"/>
      <c r="Q323" s="22" t="s">
        <v>590</v>
      </c>
      <c r="T323" s="30"/>
    </row>
    <row r="324" spans="1:20" x14ac:dyDescent="0.2">
      <c r="A324" s="29">
        <v>640</v>
      </c>
      <c r="B324" s="29">
        <v>1</v>
      </c>
      <c r="C324" s="22" t="s">
        <v>262</v>
      </c>
      <c r="D324" s="22" t="s">
        <v>590</v>
      </c>
      <c r="E324" s="29">
        <v>80</v>
      </c>
      <c r="F324" s="29">
        <v>99</v>
      </c>
      <c r="G324" s="30">
        <v>4</v>
      </c>
      <c r="J324" s="30"/>
      <c r="M324" s="31"/>
      <c r="Q324" s="22" t="s">
        <v>590</v>
      </c>
      <c r="T324" s="30"/>
    </row>
    <row r="325" spans="1:20" x14ac:dyDescent="0.2">
      <c r="A325" s="29">
        <v>641</v>
      </c>
      <c r="B325" s="29">
        <v>1</v>
      </c>
      <c r="C325" s="22" t="s">
        <v>675</v>
      </c>
      <c r="D325" s="22" t="s">
        <v>590</v>
      </c>
      <c r="E325" s="29">
        <v>88</v>
      </c>
      <c r="F325" s="29">
        <v>99</v>
      </c>
      <c r="G325" s="30">
        <v>10.5</v>
      </c>
      <c r="J325" s="30"/>
      <c r="M325" s="31"/>
      <c r="Q325" s="22" t="s">
        <v>590</v>
      </c>
      <c r="T325" s="30"/>
    </row>
    <row r="326" spans="1:20" x14ac:dyDescent="0.2">
      <c r="A326" s="29">
        <v>646</v>
      </c>
      <c r="B326" s="29">
        <v>1</v>
      </c>
      <c r="C326" s="22" t="s">
        <v>676</v>
      </c>
      <c r="D326" s="22" t="s">
        <v>590</v>
      </c>
      <c r="G326" s="30"/>
      <c r="J326" s="30"/>
      <c r="M326" s="31"/>
      <c r="Q326" s="22" t="s">
        <v>590</v>
      </c>
      <c r="T326" s="30"/>
    </row>
    <row r="327" spans="1:20" x14ac:dyDescent="0.2">
      <c r="A327" s="29">
        <v>647</v>
      </c>
      <c r="B327" s="29">
        <v>1</v>
      </c>
      <c r="C327" s="22" t="s">
        <v>677</v>
      </c>
      <c r="D327" s="22" t="s">
        <v>590</v>
      </c>
      <c r="E327" s="29">
        <v>83</v>
      </c>
      <c r="F327" s="29">
        <v>99</v>
      </c>
      <c r="G327" s="30">
        <v>7</v>
      </c>
      <c r="J327" s="30"/>
      <c r="M327" s="31"/>
      <c r="Q327" s="22" t="s">
        <v>590</v>
      </c>
      <c r="T327" s="30"/>
    </row>
    <row r="328" spans="1:20" x14ac:dyDescent="0.2">
      <c r="A328" s="29">
        <v>648</v>
      </c>
      <c r="B328" s="29">
        <v>1</v>
      </c>
      <c r="C328" s="22" t="s">
        <v>678</v>
      </c>
      <c r="D328" s="22" t="s">
        <v>590</v>
      </c>
      <c r="G328" s="30"/>
      <c r="J328" s="30"/>
      <c r="M328" s="31"/>
      <c r="Q328" s="22" t="s">
        <v>590</v>
      </c>
      <c r="T328" s="30"/>
    </row>
    <row r="329" spans="1:20" x14ac:dyDescent="0.2">
      <c r="A329" s="29">
        <v>649</v>
      </c>
      <c r="B329" s="29">
        <v>1</v>
      </c>
      <c r="C329" s="22" t="s">
        <v>679</v>
      </c>
      <c r="D329" s="22" t="s">
        <v>590</v>
      </c>
      <c r="G329" s="30"/>
      <c r="J329" s="30"/>
      <c r="M329" s="31"/>
      <c r="Q329" s="22" t="s">
        <v>590</v>
      </c>
      <c r="T329" s="30"/>
    </row>
    <row r="330" spans="1:20" x14ac:dyDescent="0.2">
      <c r="A330" s="29">
        <v>650</v>
      </c>
      <c r="B330" s="29">
        <v>1</v>
      </c>
      <c r="C330" s="22" t="s">
        <v>680</v>
      </c>
      <c r="D330" s="22" t="s">
        <v>590</v>
      </c>
      <c r="E330" s="29">
        <v>79</v>
      </c>
      <c r="F330" s="29">
        <v>99</v>
      </c>
      <c r="G330" s="30">
        <v>8.5</v>
      </c>
      <c r="J330" s="30"/>
      <c r="M330" s="31"/>
      <c r="Q330" s="22" t="s">
        <v>590</v>
      </c>
      <c r="T330" s="30"/>
    </row>
    <row r="331" spans="1:20" x14ac:dyDescent="0.2">
      <c r="A331" s="29">
        <v>651</v>
      </c>
      <c r="B331" s="29">
        <v>1</v>
      </c>
      <c r="C331" s="22" t="s">
        <v>546</v>
      </c>
      <c r="D331" s="22" t="s">
        <v>590</v>
      </c>
      <c r="G331" s="30"/>
      <c r="J331" s="30"/>
      <c r="M331" s="31"/>
      <c r="Q331" s="22" t="s">
        <v>590</v>
      </c>
      <c r="T331" s="30"/>
    </row>
    <row r="332" spans="1:20" x14ac:dyDescent="0.2">
      <c r="A332" s="29">
        <v>652</v>
      </c>
      <c r="B332" s="29">
        <v>1</v>
      </c>
      <c r="C332" s="22" t="s">
        <v>681</v>
      </c>
      <c r="D332" s="22" t="s">
        <v>590</v>
      </c>
      <c r="G332" s="30"/>
      <c r="J332" s="30"/>
      <c r="M332" s="31"/>
      <c r="Q332" s="22" t="s">
        <v>590</v>
      </c>
      <c r="T332" s="30"/>
    </row>
    <row r="333" spans="1:20" x14ac:dyDescent="0.2">
      <c r="A333" s="29">
        <v>653</v>
      </c>
      <c r="B333" s="29">
        <v>1</v>
      </c>
      <c r="C333" s="22" t="s">
        <v>682</v>
      </c>
      <c r="D333" s="22" t="s">
        <v>590</v>
      </c>
      <c r="G333" s="30"/>
      <c r="J333" s="30"/>
      <c r="M333" s="31"/>
      <c r="Q333" s="22" t="s">
        <v>590</v>
      </c>
      <c r="T333" s="30"/>
    </row>
    <row r="334" spans="1:20" x14ac:dyDescent="0.2">
      <c r="A334" s="29">
        <v>654</v>
      </c>
      <c r="B334" s="29">
        <v>1</v>
      </c>
      <c r="C334" s="22" t="s">
        <v>683</v>
      </c>
      <c r="D334" s="22" t="s">
        <v>590</v>
      </c>
      <c r="G334" s="30"/>
      <c r="J334" s="30"/>
      <c r="M334" s="31"/>
      <c r="Q334" s="22" t="s">
        <v>590</v>
      </c>
      <c r="T334" s="30"/>
    </row>
    <row r="335" spans="1:20" x14ac:dyDescent="0.2">
      <c r="A335" s="29">
        <v>655</v>
      </c>
      <c r="B335" s="29">
        <v>1</v>
      </c>
      <c r="C335" s="22" t="s">
        <v>684</v>
      </c>
      <c r="D335" s="22" t="s">
        <v>590</v>
      </c>
      <c r="E335" s="29">
        <v>75</v>
      </c>
      <c r="F335" s="29">
        <v>99</v>
      </c>
      <c r="G335" s="30">
        <v>3</v>
      </c>
      <c r="J335" s="30"/>
      <c r="M335" s="31"/>
      <c r="Q335" s="22" t="s">
        <v>590</v>
      </c>
      <c r="T335" s="30"/>
    </row>
    <row r="336" spans="1:20" x14ac:dyDescent="0.2">
      <c r="A336" s="29">
        <v>656</v>
      </c>
      <c r="B336" s="29">
        <v>1</v>
      </c>
      <c r="C336" s="22" t="s">
        <v>263</v>
      </c>
      <c r="D336" s="22" t="s">
        <v>590</v>
      </c>
      <c r="E336" s="29">
        <v>87</v>
      </c>
      <c r="F336" s="29">
        <v>4</v>
      </c>
      <c r="G336" s="30">
        <v>5.9989999999999997</v>
      </c>
      <c r="J336" s="30"/>
      <c r="M336" s="31"/>
      <c r="Q336" s="22" t="s">
        <v>590</v>
      </c>
      <c r="T336" s="30"/>
    </row>
    <row r="337" spans="1:20" x14ac:dyDescent="0.2">
      <c r="A337" s="29">
        <v>657</v>
      </c>
      <c r="B337" s="29">
        <v>1</v>
      </c>
      <c r="C337" s="22" t="s">
        <v>685</v>
      </c>
      <c r="D337" s="22" t="s">
        <v>590</v>
      </c>
      <c r="E337" s="29">
        <v>88</v>
      </c>
      <c r="F337" s="29">
        <v>6</v>
      </c>
      <c r="G337" s="30">
        <v>14.5</v>
      </c>
      <c r="J337" s="30"/>
      <c r="M337" s="31"/>
      <c r="Q337" s="22" t="s">
        <v>590</v>
      </c>
      <c r="T337" s="30"/>
    </row>
    <row r="338" spans="1:20" x14ac:dyDescent="0.2">
      <c r="A338" s="29">
        <v>659</v>
      </c>
      <c r="B338" s="29">
        <v>1</v>
      </c>
      <c r="C338" s="22" t="s">
        <v>264</v>
      </c>
      <c r="D338" s="22" t="s">
        <v>590</v>
      </c>
      <c r="E338" s="29">
        <v>88</v>
      </c>
      <c r="F338" s="29">
        <v>5</v>
      </c>
      <c r="G338" s="30">
        <v>8.5</v>
      </c>
      <c r="H338" s="29">
        <v>88</v>
      </c>
      <c r="I338" s="29">
        <v>5</v>
      </c>
      <c r="J338" s="30">
        <v>6</v>
      </c>
      <c r="M338" s="31"/>
      <c r="Q338" s="22" t="s">
        <v>590</v>
      </c>
      <c r="T338" s="30"/>
    </row>
    <row r="339" spans="1:20" x14ac:dyDescent="0.2">
      <c r="A339" s="29">
        <v>669</v>
      </c>
      <c r="B339" s="29">
        <v>1</v>
      </c>
      <c r="C339" s="22" t="s">
        <v>686</v>
      </c>
      <c r="D339" s="22" t="s">
        <v>590</v>
      </c>
      <c r="E339" s="29">
        <v>76</v>
      </c>
      <c r="F339" s="29">
        <v>99</v>
      </c>
      <c r="G339" s="30">
        <v>10</v>
      </c>
      <c r="J339" s="30"/>
      <c r="M339" s="31"/>
      <c r="Q339" s="22" t="s">
        <v>590</v>
      </c>
      <c r="T339" s="30"/>
    </row>
    <row r="340" spans="1:20" x14ac:dyDescent="0.2">
      <c r="A340" s="29">
        <v>670</v>
      </c>
      <c r="B340" s="29">
        <v>1</v>
      </c>
      <c r="C340" s="22" t="s">
        <v>364</v>
      </c>
      <c r="D340" s="22" t="s">
        <v>590</v>
      </c>
      <c r="G340" s="30"/>
      <c r="J340" s="30"/>
      <c r="M340" s="31"/>
      <c r="Q340" s="22" t="s">
        <v>590</v>
      </c>
      <c r="T340" s="30"/>
    </row>
    <row r="341" spans="1:20" x14ac:dyDescent="0.2">
      <c r="A341" s="29">
        <v>671</v>
      </c>
      <c r="B341" s="29">
        <v>1</v>
      </c>
      <c r="C341" s="22" t="s">
        <v>265</v>
      </c>
      <c r="D341" s="22" t="s">
        <v>590</v>
      </c>
      <c r="G341" s="30"/>
      <c r="J341" s="30"/>
      <c r="M341" s="31"/>
      <c r="Q341" s="22" t="s">
        <v>590</v>
      </c>
      <c r="R341" s="29">
        <v>72</v>
      </c>
      <c r="S341" s="29">
        <v>99</v>
      </c>
      <c r="T341" s="30">
        <v>17</v>
      </c>
    </row>
    <row r="342" spans="1:20" x14ac:dyDescent="0.2">
      <c r="A342" s="29">
        <v>676</v>
      </c>
      <c r="B342" s="29">
        <v>1</v>
      </c>
      <c r="C342" s="22" t="s">
        <v>266</v>
      </c>
      <c r="D342" s="22" t="s">
        <v>590</v>
      </c>
      <c r="E342" s="29">
        <v>80</v>
      </c>
      <c r="F342" s="29">
        <v>99</v>
      </c>
      <c r="G342" s="30">
        <v>11</v>
      </c>
      <c r="J342" s="30"/>
      <c r="M342" s="31"/>
      <c r="Q342" s="22" t="s">
        <v>590</v>
      </c>
      <c r="T342" s="30"/>
    </row>
    <row r="343" spans="1:20" x14ac:dyDescent="0.2">
      <c r="A343" s="29">
        <v>678</v>
      </c>
      <c r="B343" s="29">
        <v>1</v>
      </c>
      <c r="C343" s="22" t="s">
        <v>575</v>
      </c>
      <c r="D343" s="22" t="s">
        <v>590</v>
      </c>
      <c r="E343" s="29">
        <v>87</v>
      </c>
      <c r="F343" s="29">
        <v>5</v>
      </c>
      <c r="G343" s="30">
        <v>6</v>
      </c>
      <c r="J343" s="30"/>
      <c r="M343" s="31"/>
      <c r="Q343" s="22" t="s">
        <v>590</v>
      </c>
      <c r="T343" s="30"/>
    </row>
    <row r="344" spans="1:20" x14ac:dyDescent="0.2">
      <c r="A344" s="29">
        <v>682</v>
      </c>
      <c r="B344" s="29">
        <v>1</v>
      </c>
      <c r="C344" s="22" t="s">
        <v>267</v>
      </c>
      <c r="D344" s="22" t="s">
        <v>590</v>
      </c>
      <c r="E344" s="29">
        <v>88</v>
      </c>
      <c r="F344" s="29">
        <v>5</v>
      </c>
      <c r="G344" s="30">
        <v>7.27</v>
      </c>
      <c r="J344" s="30"/>
      <c r="M344" s="31"/>
      <c r="Q344" s="22" t="s">
        <v>590</v>
      </c>
      <c r="T344" s="30"/>
    </row>
    <row r="345" spans="1:20" x14ac:dyDescent="0.2">
      <c r="A345" s="29">
        <v>690</v>
      </c>
      <c r="B345" s="29">
        <v>1</v>
      </c>
      <c r="C345" s="22" t="s">
        <v>268</v>
      </c>
      <c r="D345" s="22" t="s">
        <v>590</v>
      </c>
      <c r="G345" s="30"/>
      <c r="J345" s="30"/>
      <c r="M345" s="31"/>
      <c r="Q345" s="22" t="s">
        <v>590</v>
      </c>
      <c r="T345" s="30"/>
    </row>
    <row r="346" spans="1:20" x14ac:dyDescent="0.2">
      <c r="A346" s="29">
        <v>691</v>
      </c>
      <c r="B346" s="29">
        <v>1</v>
      </c>
      <c r="C346" s="22" t="s">
        <v>687</v>
      </c>
      <c r="D346" s="22" t="s">
        <v>590</v>
      </c>
      <c r="E346" s="29">
        <v>81</v>
      </c>
      <c r="F346" s="29">
        <v>99</v>
      </c>
      <c r="G346" s="30">
        <v>10</v>
      </c>
      <c r="J346" s="30"/>
      <c r="M346" s="31"/>
      <c r="Q346" s="22" t="s">
        <v>590</v>
      </c>
      <c r="T346" s="30"/>
    </row>
    <row r="347" spans="1:20" x14ac:dyDescent="0.2">
      <c r="A347" s="29">
        <v>692</v>
      </c>
      <c r="B347" s="29">
        <v>1</v>
      </c>
      <c r="C347" s="22" t="s">
        <v>688</v>
      </c>
      <c r="D347" s="22" t="s">
        <v>590</v>
      </c>
      <c r="E347" s="29">
        <v>78</v>
      </c>
      <c r="F347" s="29">
        <v>99</v>
      </c>
      <c r="G347" s="30">
        <v>10</v>
      </c>
      <c r="J347" s="30"/>
      <c r="M347" s="31"/>
      <c r="Q347" s="22" t="s">
        <v>590</v>
      </c>
      <c r="T347" s="30"/>
    </row>
    <row r="348" spans="1:20" x14ac:dyDescent="0.2">
      <c r="A348" s="29">
        <v>693</v>
      </c>
      <c r="B348" s="29">
        <v>1</v>
      </c>
      <c r="C348" s="22" t="s">
        <v>689</v>
      </c>
      <c r="D348" s="22" t="s">
        <v>590</v>
      </c>
      <c r="E348" s="29">
        <v>80</v>
      </c>
      <c r="F348" s="29">
        <v>99</v>
      </c>
      <c r="G348" s="30">
        <v>4</v>
      </c>
      <c r="H348" s="29">
        <v>82</v>
      </c>
      <c r="I348" s="29">
        <v>99</v>
      </c>
      <c r="J348" s="30">
        <v>2</v>
      </c>
      <c r="M348" s="31"/>
      <c r="Q348" s="22" t="s">
        <v>590</v>
      </c>
      <c r="T348" s="30"/>
    </row>
    <row r="349" spans="1:20" x14ac:dyDescent="0.2">
      <c r="A349" s="29">
        <v>695</v>
      </c>
      <c r="B349" s="29">
        <v>1</v>
      </c>
      <c r="C349" s="22" t="s">
        <v>269</v>
      </c>
      <c r="D349" s="22" t="s">
        <v>590</v>
      </c>
      <c r="E349" s="29">
        <v>81</v>
      </c>
      <c r="F349" s="29">
        <v>99</v>
      </c>
      <c r="G349" s="30">
        <v>5</v>
      </c>
      <c r="J349" s="30"/>
      <c r="M349" s="31"/>
      <c r="Q349" s="22" t="s">
        <v>590</v>
      </c>
      <c r="T349" s="30"/>
    </row>
    <row r="350" spans="1:20" x14ac:dyDescent="0.2">
      <c r="A350" s="29">
        <v>696</v>
      </c>
      <c r="B350" s="29">
        <v>1</v>
      </c>
      <c r="C350" s="22" t="s">
        <v>270</v>
      </c>
      <c r="D350" s="22" t="s">
        <v>590</v>
      </c>
      <c r="E350" s="29">
        <v>81</v>
      </c>
      <c r="F350" s="29">
        <v>99</v>
      </c>
      <c r="G350" s="30">
        <v>2</v>
      </c>
      <c r="J350" s="30"/>
      <c r="M350" s="31"/>
      <c r="Q350" s="22" t="s">
        <v>590</v>
      </c>
      <c r="T350" s="30"/>
    </row>
    <row r="351" spans="1:20" x14ac:dyDescent="0.2">
      <c r="A351" s="29">
        <v>697</v>
      </c>
      <c r="B351" s="29">
        <v>1</v>
      </c>
      <c r="C351" s="22" t="s">
        <v>690</v>
      </c>
      <c r="D351" s="22" t="s">
        <v>590</v>
      </c>
      <c r="E351" s="29">
        <v>79</v>
      </c>
      <c r="F351" s="29">
        <v>99</v>
      </c>
      <c r="G351" s="30">
        <v>6</v>
      </c>
      <c r="J351" s="30"/>
      <c r="M351" s="31"/>
      <c r="Q351" s="22" t="s">
        <v>590</v>
      </c>
      <c r="T351" s="30"/>
    </row>
    <row r="352" spans="1:20" x14ac:dyDescent="0.2">
      <c r="A352" s="29">
        <v>698</v>
      </c>
      <c r="B352" s="29">
        <v>1</v>
      </c>
      <c r="C352" s="22" t="s">
        <v>271</v>
      </c>
      <c r="D352" s="22" t="s">
        <v>590</v>
      </c>
      <c r="G352" s="30"/>
      <c r="J352" s="30"/>
      <c r="M352" s="31"/>
      <c r="Q352" s="22" t="s">
        <v>590</v>
      </c>
      <c r="T352" s="30"/>
    </row>
    <row r="353" spans="1:20" x14ac:dyDescent="0.2">
      <c r="A353" s="29">
        <v>699</v>
      </c>
      <c r="B353" s="29">
        <v>1</v>
      </c>
      <c r="C353" s="22" t="s">
        <v>691</v>
      </c>
      <c r="D353" s="22" t="s">
        <v>590</v>
      </c>
      <c r="E353" s="29">
        <v>81</v>
      </c>
      <c r="F353" s="29">
        <v>99</v>
      </c>
      <c r="G353" s="30">
        <v>2</v>
      </c>
      <c r="J353" s="30"/>
      <c r="M353" s="31"/>
      <c r="Q353" s="22" t="s">
        <v>590</v>
      </c>
      <c r="T353" s="30"/>
    </row>
    <row r="354" spans="1:20" x14ac:dyDescent="0.2">
      <c r="A354" s="29">
        <v>700</v>
      </c>
      <c r="B354" s="29">
        <v>1</v>
      </c>
      <c r="C354" s="22" t="s">
        <v>272</v>
      </c>
      <c r="D354" s="22" t="s">
        <v>590</v>
      </c>
      <c r="G354" s="30"/>
      <c r="J354" s="30"/>
      <c r="M354" s="31"/>
      <c r="Q354" s="22" t="s">
        <v>590</v>
      </c>
      <c r="T354" s="30"/>
    </row>
    <row r="355" spans="1:20" x14ac:dyDescent="0.2">
      <c r="A355" s="29">
        <v>701</v>
      </c>
      <c r="B355" s="29">
        <v>1</v>
      </c>
      <c r="C355" s="22" t="s">
        <v>273</v>
      </c>
      <c r="D355" s="22" t="s">
        <v>590</v>
      </c>
      <c r="E355" s="29">
        <v>81</v>
      </c>
      <c r="F355" s="29">
        <v>99</v>
      </c>
      <c r="G355" s="30">
        <v>7.4850000000000003</v>
      </c>
      <c r="J355" s="30"/>
      <c r="M355" s="31"/>
      <c r="Q355" s="22" t="s">
        <v>590</v>
      </c>
      <c r="T355" s="30"/>
    </row>
    <row r="356" spans="1:20" x14ac:dyDescent="0.2">
      <c r="A356" s="29">
        <v>704</v>
      </c>
      <c r="B356" s="29">
        <v>1</v>
      </c>
      <c r="C356" s="22" t="s">
        <v>274</v>
      </c>
      <c r="D356" s="22" t="s">
        <v>590</v>
      </c>
      <c r="G356" s="30"/>
      <c r="J356" s="30"/>
      <c r="M356" s="31"/>
      <c r="Q356" s="22" t="s">
        <v>590</v>
      </c>
      <c r="T356" s="30"/>
    </row>
    <row r="357" spans="1:20" x14ac:dyDescent="0.2">
      <c r="A357" s="29">
        <v>706</v>
      </c>
      <c r="B357" s="29">
        <v>1</v>
      </c>
      <c r="C357" s="22" t="s">
        <v>275</v>
      </c>
      <c r="D357" s="22" t="s">
        <v>590</v>
      </c>
      <c r="E357" s="29">
        <v>81</v>
      </c>
      <c r="F357" s="29">
        <v>99</v>
      </c>
      <c r="G357" s="30">
        <v>2</v>
      </c>
      <c r="J357" s="30"/>
      <c r="M357" s="31"/>
      <c r="Q357" s="22" t="s">
        <v>590</v>
      </c>
      <c r="T357" s="30"/>
    </row>
    <row r="358" spans="1:20" x14ac:dyDescent="0.2">
      <c r="A358" s="29">
        <v>707</v>
      </c>
      <c r="B358" s="29">
        <v>1</v>
      </c>
      <c r="C358" s="22" t="s">
        <v>276</v>
      </c>
      <c r="D358" s="22" t="s">
        <v>590</v>
      </c>
      <c r="G358" s="30"/>
      <c r="J358" s="30"/>
      <c r="M358" s="31"/>
      <c r="Q358" s="22" t="s">
        <v>590</v>
      </c>
      <c r="T358" s="30"/>
    </row>
    <row r="359" spans="1:20" x14ac:dyDescent="0.2">
      <c r="A359" s="29">
        <v>708</v>
      </c>
      <c r="B359" s="29">
        <v>1</v>
      </c>
      <c r="C359" s="22" t="s">
        <v>692</v>
      </c>
      <c r="D359" s="22" t="s">
        <v>590</v>
      </c>
      <c r="E359" s="29">
        <v>81</v>
      </c>
      <c r="F359" s="29">
        <v>99</v>
      </c>
      <c r="G359" s="30">
        <v>6</v>
      </c>
      <c r="J359" s="30"/>
      <c r="M359" s="31"/>
      <c r="Q359" s="22" t="s">
        <v>590</v>
      </c>
      <c r="T359" s="30"/>
    </row>
    <row r="360" spans="1:20" x14ac:dyDescent="0.2">
      <c r="A360" s="29">
        <v>709</v>
      </c>
      <c r="B360" s="29">
        <v>1</v>
      </c>
      <c r="C360" s="22" t="s">
        <v>277</v>
      </c>
      <c r="D360" s="22" t="s">
        <v>590</v>
      </c>
      <c r="G360" s="30"/>
      <c r="J360" s="30"/>
      <c r="M360" s="31"/>
      <c r="Q360" s="22" t="s">
        <v>590</v>
      </c>
      <c r="T360" s="30"/>
    </row>
    <row r="361" spans="1:20" x14ac:dyDescent="0.2">
      <c r="A361" s="29">
        <v>710</v>
      </c>
      <c r="B361" s="29">
        <v>1</v>
      </c>
      <c r="C361" s="22" t="s">
        <v>346</v>
      </c>
      <c r="D361" s="22" t="s">
        <v>590</v>
      </c>
      <c r="E361" s="29">
        <v>81</v>
      </c>
      <c r="F361" s="29">
        <v>99</v>
      </c>
      <c r="G361" s="30">
        <v>2</v>
      </c>
      <c r="J361" s="30"/>
      <c r="M361" s="31"/>
      <c r="Q361" s="22" t="s">
        <v>590</v>
      </c>
      <c r="T361" s="30"/>
    </row>
    <row r="362" spans="1:20" x14ac:dyDescent="0.2">
      <c r="A362" s="29">
        <v>712</v>
      </c>
      <c r="B362" s="29">
        <v>1</v>
      </c>
      <c r="C362" s="22" t="s">
        <v>693</v>
      </c>
      <c r="D362" s="22" t="s">
        <v>590</v>
      </c>
      <c r="E362" s="29">
        <v>81</v>
      </c>
      <c r="F362" s="29">
        <v>99</v>
      </c>
      <c r="G362" s="30">
        <v>2</v>
      </c>
      <c r="J362" s="30"/>
      <c r="M362" s="31"/>
      <c r="Q362" s="22" t="s">
        <v>590</v>
      </c>
      <c r="T362" s="30"/>
    </row>
    <row r="363" spans="1:20" x14ac:dyDescent="0.2">
      <c r="A363" s="29">
        <v>716</v>
      </c>
      <c r="B363" s="29">
        <v>1</v>
      </c>
      <c r="C363" s="22" t="s">
        <v>279</v>
      </c>
      <c r="D363" s="22" t="s">
        <v>590</v>
      </c>
      <c r="E363" s="29">
        <v>85</v>
      </c>
      <c r="F363" s="29">
        <v>99</v>
      </c>
      <c r="G363" s="30">
        <v>4</v>
      </c>
      <c r="H363" s="29">
        <v>88</v>
      </c>
      <c r="I363" s="29">
        <v>99</v>
      </c>
      <c r="J363" s="30">
        <v>5</v>
      </c>
      <c r="M363" s="31"/>
      <c r="Q363" s="22" t="s">
        <v>590</v>
      </c>
      <c r="T363" s="30"/>
    </row>
    <row r="364" spans="1:20" x14ac:dyDescent="0.2">
      <c r="A364" s="29">
        <v>717</v>
      </c>
      <c r="B364" s="29">
        <v>1</v>
      </c>
      <c r="C364" s="22" t="s">
        <v>280</v>
      </c>
      <c r="D364" s="22" t="s">
        <v>590</v>
      </c>
      <c r="G364" s="30"/>
      <c r="J364" s="30"/>
      <c r="M364" s="31"/>
      <c r="Q364" s="22" t="s">
        <v>590</v>
      </c>
      <c r="T364" s="30"/>
    </row>
    <row r="365" spans="1:20" x14ac:dyDescent="0.2">
      <c r="A365" s="29">
        <v>719</v>
      </c>
      <c r="B365" s="29">
        <v>1</v>
      </c>
      <c r="C365" s="22" t="s">
        <v>281</v>
      </c>
      <c r="D365" s="22" t="s">
        <v>590</v>
      </c>
      <c r="G365" s="30"/>
      <c r="J365" s="30"/>
      <c r="M365" s="31"/>
      <c r="Q365" s="22" t="s">
        <v>590</v>
      </c>
      <c r="T365" s="30"/>
    </row>
    <row r="366" spans="1:20" x14ac:dyDescent="0.2">
      <c r="A366" s="29">
        <v>720</v>
      </c>
      <c r="B366" s="29">
        <v>1</v>
      </c>
      <c r="C366" s="22" t="s">
        <v>282</v>
      </c>
      <c r="D366" s="22" t="s">
        <v>590</v>
      </c>
      <c r="E366" s="29">
        <v>88</v>
      </c>
      <c r="F366" s="29">
        <v>99</v>
      </c>
      <c r="G366" s="30">
        <v>9</v>
      </c>
      <c r="H366" s="29">
        <v>88</v>
      </c>
      <c r="I366" s="29">
        <v>3</v>
      </c>
      <c r="J366" s="30">
        <v>10.79</v>
      </c>
      <c r="M366" s="31"/>
      <c r="Q366" s="22" t="s">
        <v>590</v>
      </c>
      <c r="T366" s="30"/>
    </row>
    <row r="367" spans="1:20" x14ac:dyDescent="0.2">
      <c r="A367" s="29">
        <v>721</v>
      </c>
      <c r="B367" s="29">
        <v>1</v>
      </c>
      <c r="C367" s="22" t="s">
        <v>283</v>
      </c>
      <c r="D367" s="22" t="s">
        <v>590</v>
      </c>
      <c r="E367" s="29">
        <v>85</v>
      </c>
      <c r="F367" s="29">
        <v>5</v>
      </c>
      <c r="G367" s="30">
        <v>5</v>
      </c>
      <c r="J367" s="30"/>
      <c r="M367" s="31"/>
      <c r="Q367" s="22" t="s">
        <v>590</v>
      </c>
      <c r="T367" s="30"/>
    </row>
    <row r="368" spans="1:20" x14ac:dyDescent="0.2">
      <c r="A368" s="29">
        <v>726</v>
      </c>
      <c r="B368" s="29">
        <v>1</v>
      </c>
      <c r="C368" s="22" t="s">
        <v>284</v>
      </c>
      <c r="D368" s="22" t="s">
        <v>590</v>
      </c>
      <c r="E368" s="29">
        <v>84</v>
      </c>
      <c r="F368" s="29">
        <v>5</v>
      </c>
      <c r="G368" s="30">
        <v>5</v>
      </c>
      <c r="J368" s="30"/>
      <c r="M368" s="31"/>
      <c r="Q368" s="22" t="s">
        <v>590</v>
      </c>
      <c r="T368" s="30"/>
    </row>
    <row r="369" spans="1:20" x14ac:dyDescent="0.2">
      <c r="A369" s="29">
        <v>727</v>
      </c>
      <c r="B369" s="29">
        <v>1</v>
      </c>
      <c r="C369" s="22" t="s">
        <v>285</v>
      </c>
      <c r="D369" s="22" t="s">
        <v>590</v>
      </c>
      <c r="G369" s="30"/>
      <c r="J369" s="30"/>
      <c r="M369" s="31"/>
      <c r="Q369" s="22" t="s">
        <v>590</v>
      </c>
      <c r="T369" s="30"/>
    </row>
    <row r="370" spans="1:20" x14ac:dyDescent="0.2">
      <c r="A370" s="29">
        <v>728</v>
      </c>
      <c r="B370" s="29">
        <v>1</v>
      </c>
      <c r="C370" s="22" t="s">
        <v>286</v>
      </c>
      <c r="D370" s="22" t="s">
        <v>590</v>
      </c>
      <c r="E370" s="29">
        <v>88</v>
      </c>
      <c r="F370" s="29">
        <v>5</v>
      </c>
      <c r="G370" s="30">
        <v>5</v>
      </c>
      <c r="J370" s="30"/>
      <c r="M370" s="31"/>
      <c r="Q370" s="22" t="s">
        <v>590</v>
      </c>
      <c r="T370" s="30"/>
    </row>
    <row r="371" spans="1:20" x14ac:dyDescent="0.2">
      <c r="A371" s="29">
        <v>731</v>
      </c>
      <c r="B371" s="29">
        <v>1</v>
      </c>
      <c r="C371" s="22" t="s">
        <v>694</v>
      </c>
      <c r="D371" s="22" t="s">
        <v>590</v>
      </c>
      <c r="G371" s="30"/>
      <c r="J371" s="30"/>
      <c r="M371" s="31"/>
      <c r="Q371" s="22" t="s">
        <v>590</v>
      </c>
      <c r="T371" s="30"/>
    </row>
    <row r="372" spans="1:20" x14ac:dyDescent="0.2">
      <c r="A372" s="29">
        <v>732</v>
      </c>
      <c r="B372" s="29">
        <v>1</v>
      </c>
      <c r="C372" s="22" t="s">
        <v>576</v>
      </c>
      <c r="D372" s="22" t="s">
        <v>590</v>
      </c>
      <c r="E372" s="29">
        <v>86</v>
      </c>
      <c r="F372" s="29">
        <v>5</v>
      </c>
      <c r="G372" s="30">
        <v>4</v>
      </c>
      <c r="J372" s="30"/>
      <c r="M372" s="31"/>
      <c r="Q372" s="22" t="s">
        <v>590</v>
      </c>
      <c r="T372" s="30"/>
    </row>
    <row r="373" spans="1:20" x14ac:dyDescent="0.2">
      <c r="A373" s="29">
        <v>733</v>
      </c>
      <c r="B373" s="29">
        <v>1</v>
      </c>
      <c r="C373" s="22" t="s">
        <v>695</v>
      </c>
      <c r="D373" s="22" t="s">
        <v>590</v>
      </c>
      <c r="E373" s="29">
        <v>81</v>
      </c>
      <c r="F373" s="29">
        <v>99</v>
      </c>
      <c r="G373" s="30">
        <v>4</v>
      </c>
      <c r="J373" s="30"/>
      <c r="M373" s="31"/>
      <c r="Q373" s="22" t="s">
        <v>590</v>
      </c>
      <c r="T373" s="30"/>
    </row>
    <row r="374" spans="1:20" x14ac:dyDescent="0.2">
      <c r="A374" s="29">
        <v>734</v>
      </c>
      <c r="B374" s="29">
        <v>1</v>
      </c>
      <c r="C374" s="22" t="s">
        <v>696</v>
      </c>
      <c r="D374" s="22" t="s">
        <v>590</v>
      </c>
      <c r="E374" s="29">
        <v>86</v>
      </c>
      <c r="F374" s="29">
        <v>99</v>
      </c>
      <c r="G374" s="30">
        <v>5</v>
      </c>
      <c r="J374" s="30"/>
      <c r="M374" s="31"/>
      <c r="Q374" s="22" t="s">
        <v>590</v>
      </c>
      <c r="T374" s="30"/>
    </row>
    <row r="375" spans="1:20" x14ac:dyDescent="0.2">
      <c r="A375" s="29">
        <v>735</v>
      </c>
      <c r="B375" s="29">
        <v>1</v>
      </c>
      <c r="C375" s="22" t="s">
        <v>697</v>
      </c>
      <c r="D375" s="22" t="s">
        <v>590</v>
      </c>
      <c r="E375" s="29">
        <v>85</v>
      </c>
      <c r="F375" s="29">
        <v>99</v>
      </c>
      <c r="G375" s="30">
        <v>3.5</v>
      </c>
      <c r="J375" s="30"/>
      <c r="M375" s="31"/>
      <c r="Q375" s="22" t="s">
        <v>590</v>
      </c>
      <c r="T375" s="30"/>
    </row>
    <row r="376" spans="1:20" x14ac:dyDescent="0.2">
      <c r="A376" s="29">
        <v>736</v>
      </c>
      <c r="B376" s="29">
        <v>1</v>
      </c>
      <c r="C376" s="22" t="s">
        <v>698</v>
      </c>
      <c r="D376" s="22" t="s">
        <v>590</v>
      </c>
      <c r="G376" s="30"/>
      <c r="J376" s="30"/>
      <c r="M376" s="31"/>
      <c r="Q376" s="22" t="s">
        <v>590</v>
      </c>
      <c r="T376" s="30"/>
    </row>
    <row r="377" spans="1:20" x14ac:dyDescent="0.2">
      <c r="A377" s="29">
        <v>737</v>
      </c>
      <c r="B377" s="29">
        <v>1</v>
      </c>
      <c r="C377" s="22" t="s">
        <v>550</v>
      </c>
      <c r="D377" s="22" t="s">
        <v>590</v>
      </c>
      <c r="G377" s="30"/>
      <c r="J377" s="30"/>
      <c r="M377" s="31"/>
      <c r="Q377" s="22" t="s">
        <v>590</v>
      </c>
      <c r="T377" s="30"/>
    </row>
    <row r="378" spans="1:20" x14ac:dyDescent="0.2">
      <c r="A378" s="29">
        <v>738</v>
      </c>
      <c r="B378" s="29">
        <v>1</v>
      </c>
      <c r="C378" s="22" t="s">
        <v>287</v>
      </c>
      <c r="D378" s="22" t="s">
        <v>590</v>
      </c>
      <c r="G378" s="30"/>
      <c r="J378" s="30"/>
      <c r="M378" s="31"/>
      <c r="Q378" s="22" t="s">
        <v>590</v>
      </c>
      <c r="T378" s="30"/>
    </row>
    <row r="379" spans="1:20" x14ac:dyDescent="0.2">
      <c r="A379" s="29">
        <v>739</v>
      </c>
      <c r="B379" s="29">
        <v>1</v>
      </c>
      <c r="C379" s="22" t="s">
        <v>288</v>
      </c>
      <c r="D379" s="22" t="s">
        <v>590</v>
      </c>
      <c r="E379" s="29">
        <v>85</v>
      </c>
      <c r="F379" s="29">
        <v>99</v>
      </c>
      <c r="G379" s="30">
        <v>6</v>
      </c>
      <c r="J379" s="30"/>
      <c r="M379" s="31"/>
      <c r="Q379" s="22" t="s">
        <v>590</v>
      </c>
      <c r="T379" s="30"/>
    </row>
    <row r="380" spans="1:20" x14ac:dyDescent="0.2">
      <c r="A380" s="29">
        <v>740</v>
      </c>
      <c r="B380" s="29">
        <v>1</v>
      </c>
      <c r="C380" s="22" t="s">
        <v>289</v>
      </c>
      <c r="D380" s="22" t="s">
        <v>590</v>
      </c>
      <c r="G380" s="30"/>
      <c r="J380" s="30"/>
      <c r="M380" s="31"/>
      <c r="Q380" s="22" t="s">
        <v>590</v>
      </c>
      <c r="T380" s="30"/>
    </row>
    <row r="381" spans="1:20" x14ac:dyDescent="0.2">
      <c r="A381" s="29">
        <v>741</v>
      </c>
      <c r="B381" s="29">
        <v>1</v>
      </c>
      <c r="C381" s="22" t="s">
        <v>290</v>
      </c>
      <c r="D381" s="22" t="s">
        <v>590</v>
      </c>
      <c r="E381" s="29">
        <v>88</v>
      </c>
      <c r="F381" s="29">
        <v>5</v>
      </c>
      <c r="G381" s="30">
        <v>6</v>
      </c>
      <c r="J381" s="30"/>
      <c r="M381" s="31"/>
      <c r="Q381" s="22" t="s">
        <v>590</v>
      </c>
      <c r="T381" s="30"/>
    </row>
    <row r="382" spans="1:20" x14ac:dyDescent="0.2">
      <c r="A382" s="29">
        <v>742</v>
      </c>
      <c r="B382" s="29">
        <v>1</v>
      </c>
      <c r="C382" s="22" t="s">
        <v>291</v>
      </c>
      <c r="D382" s="22" t="s">
        <v>590</v>
      </c>
      <c r="E382" s="29">
        <v>83</v>
      </c>
      <c r="F382" s="29">
        <v>99</v>
      </c>
      <c r="G382" s="30">
        <v>3.5</v>
      </c>
      <c r="J382" s="30"/>
      <c r="M382" s="31"/>
      <c r="Q382" s="22" t="s">
        <v>590</v>
      </c>
      <c r="T382" s="30"/>
    </row>
    <row r="383" spans="1:20" x14ac:dyDescent="0.2">
      <c r="A383" s="29">
        <v>743</v>
      </c>
      <c r="B383" s="29">
        <v>1</v>
      </c>
      <c r="C383" s="22" t="s">
        <v>292</v>
      </c>
      <c r="D383" s="22" t="s">
        <v>590</v>
      </c>
      <c r="G383" s="30"/>
      <c r="J383" s="30"/>
      <c r="M383" s="31"/>
      <c r="Q383" s="22" t="s">
        <v>590</v>
      </c>
      <c r="T383" s="30"/>
    </row>
    <row r="384" spans="1:20" x14ac:dyDescent="0.2">
      <c r="A384" s="29">
        <v>745</v>
      </c>
      <c r="B384" s="29">
        <v>1</v>
      </c>
      <c r="C384" s="22" t="s">
        <v>293</v>
      </c>
      <c r="D384" s="22" t="s">
        <v>590</v>
      </c>
      <c r="E384" s="29">
        <v>75</v>
      </c>
      <c r="F384" s="29">
        <v>99</v>
      </c>
      <c r="G384" s="30">
        <v>3</v>
      </c>
      <c r="J384" s="30"/>
      <c r="M384" s="31"/>
      <c r="Q384" s="22" t="s">
        <v>590</v>
      </c>
      <c r="T384" s="30"/>
    </row>
    <row r="385" spans="1:20" x14ac:dyDescent="0.2">
      <c r="A385" s="29">
        <v>748</v>
      </c>
      <c r="B385" s="29">
        <v>1</v>
      </c>
      <c r="C385" s="22" t="s">
        <v>294</v>
      </c>
      <c r="D385" s="22" t="s">
        <v>590</v>
      </c>
      <c r="G385" s="30"/>
      <c r="J385" s="30"/>
      <c r="M385" s="31"/>
      <c r="Q385" s="22" t="s">
        <v>590</v>
      </c>
      <c r="T385" s="30"/>
    </row>
    <row r="386" spans="1:20" x14ac:dyDescent="0.2">
      <c r="A386" s="29">
        <v>750</v>
      </c>
      <c r="B386" s="29">
        <v>1</v>
      </c>
      <c r="C386" s="22" t="s">
        <v>295</v>
      </c>
      <c r="D386" s="22" t="s">
        <v>590</v>
      </c>
      <c r="G386" s="30"/>
      <c r="J386" s="30"/>
      <c r="M386" s="31"/>
      <c r="Q386" s="22" t="s">
        <v>590</v>
      </c>
      <c r="T386" s="30"/>
    </row>
    <row r="387" spans="1:20" x14ac:dyDescent="0.2">
      <c r="A387" s="29">
        <v>756</v>
      </c>
      <c r="B387" s="29">
        <v>1</v>
      </c>
      <c r="C387" s="22" t="s">
        <v>296</v>
      </c>
      <c r="D387" s="22" t="s">
        <v>590</v>
      </c>
      <c r="G387" s="30"/>
      <c r="J387" s="30"/>
      <c r="M387" s="31"/>
      <c r="Q387" s="22" t="s">
        <v>590</v>
      </c>
      <c r="R387" s="29">
        <v>74</v>
      </c>
      <c r="S387" s="29">
        <v>99</v>
      </c>
      <c r="T387" s="30">
        <v>4</v>
      </c>
    </row>
    <row r="388" spans="1:20" x14ac:dyDescent="0.2">
      <c r="A388" s="29">
        <v>761</v>
      </c>
      <c r="B388" s="29">
        <v>1</v>
      </c>
      <c r="C388" s="22" t="s">
        <v>297</v>
      </c>
      <c r="D388" s="22" t="s">
        <v>590</v>
      </c>
      <c r="E388" s="29">
        <v>74</v>
      </c>
      <c r="F388" s="29">
        <v>99</v>
      </c>
      <c r="G388" s="30">
        <v>5.3</v>
      </c>
      <c r="H388" s="29">
        <v>86</v>
      </c>
      <c r="I388" s="29">
        <v>6</v>
      </c>
      <c r="J388" s="30">
        <v>5.3</v>
      </c>
      <c r="M388" s="31"/>
      <c r="Q388" s="22" t="s">
        <v>590</v>
      </c>
      <c r="T388" s="30"/>
    </row>
    <row r="389" spans="1:20" x14ac:dyDescent="0.2">
      <c r="A389" s="29">
        <v>762</v>
      </c>
      <c r="B389" s="29">
        <v>1</v>
      </c>
      <c r="C389" s="22" t="s">
        <v>577</v>
      </c>
      <c r="D389" s="22" t="s">
        <v>590</v>
      </c>
      <c r="E389" s="29">
        <v>80</v>
      </c>
      <c r="F389" s="29">
        <v>99</v>
      </c>
      <c r="G389" s="30">
        <v>4</v>
      </c>
      <c r="H389" s="29">
        <v>85</v>
      </c>
      <c r="I389" s="29">
        <v>99</v>
      </c>
      <c r="J389" s="30">
        <v>4</v>
      </c>
      <c r="M389" s="31"/>
      <c r="Q389" s="22" t="s">
        <v>590</v>
      </c>
      <c r="T389" s="30"/>
    </row>
    <row r="390" spans="1:20" x14ac:dyDescent="0.2">
      <c r="A390" s="29">
        <v>763</v>
      </c>
      <c r="B390" s="29">
        <v>1</v>
      </c>
      <c r="C390" s="22" t="s">
        <v>298</v>
      </c>
      <c r="D390" s="22" t="s">
        <v>590</v>
      </c>
      <c r="E390" s="29">
        <v>86</v>
      </c>
      <c r="F390" s="29">
        <v>99</v>
      </c>
      <c r="G390" s="30">
        <v>6.5</v>
      </c>
      <c r="J390" s="30"/>
      <c r="M390" s="31"/>
      <c r="Q390" s="22" t="s">
        <v>590</v>
      </c>
      <c r="T390" s="30"/>
    </row>
    <row r="391" spans="1:20" x14ac:dyDescent="0.2">
      <c r="A391" s="29">
        <v>768</v>
      </c>
      <c r="B391" s="29">
        <v>1</v>
      </c>
      <c r="C391" s="22" t="s">
        <v>299</v>
      </c>
      <c r="D391" s="22" t="s">
        <v>590</v>
      </c>
      <c r="E391" s="29">
        <v>74</v>
      </c>
      <c r="F391" s="29">
        <v>99</v>
      </c>
      <c r="G391" s="30">
        <v>16</v>
      </c>
      <c r="J391" s="30"/>
      <c r="M391" s="31"/>
      <c r="Q391" s="22" t="s">
        <v>590</v>
      </c>
      <c r="T391" s="30"/>
    </row>
    <row r="392" spans="1:20" x14ac:dyDescent="0.2">
      <c r="A392" s="29">
        <v>769</v>
      </c>
      <c r="B392" s="29">
        <v>1</v>
      </c>
      <c r="C392" s="22" t="s">
        <v>300</v>
      </c>
      <c r="D392" s="22" t="s">
        <v>590</v>
      </c>
      <c r="G392" s="30"/>
      <c r="J392" s="30"/>
      <c r="M392" s="31"/>
      <c r="Q392" s="22" t="s">
        <v>590</v>
      </c>
      <c r="T392" s="30"/>
    </row>
    <row r="393" spans="1:20" x14ac:dyDescent="0.2">
      <c r="A393" s="29">
        <v>771</v>
      </c>
      <c r="B393" s="29">
        <v>1</v>
      </c>
      <c r="C393" s="22" t="s">
        <v>301</v>
      </c>
      <c r="D393" s="22" t="s">
        <v>590</v>
      </c>
      <c r="E393" s="29">
        <v>77</v>
      </c>
      <c r="F393" s="29">
        <v>99</v>
      </c>
      <c r="G393" s="30">
        <v>10</v>
      </c>
      <c r="J393" s="30"/>
      <c r="M393" s="31"/>
      <c r="Q393" s="22" t="s">
        <v>590</v>
      </c>
      <c r="T393" s="30"/>
    </row>
    <row r="394" spans="1:20" x14ac:dyDescent="0.2">
      <c r="A394" s="29">
        <v>775</v>
      </c>
      <c r="B394" s="29">
        <v>1</v>
      </c>
      <c r="C394" s="22" t="s">
        <v>699</v>
      </c>
      <c r="D394" s="22" t="s">
        <v>590</v>
      </c>
      <c r="E394" s="29">
        <v>81</v>
      </c>
      <c r="F394" s="29">
        <v>99</v>
      </c>
      <c r="G394" s="30">
        <v>9</v>
      </c>
      <c r="H394" s="29">
        <v>88</v>
      </c>
      <c r="I394" s="29">
        <v>3</v>
      </c>
      <c r="J394" s="30">
        <v>5</v>
      </c>
      <c r="M394" s="31"/>
      <c r="Q394" s="22" t="s">
        <v>590</v>
      </c>
      <c r="T394" s="30"/>
    </row>
    <row r="395" spans="1:20" x14ac:dyDescent="0.2">
      <c r="A395" s="29">
        <v>777</v>
      </c>
      <c r="B395" s="29">
        <v>1</v>
      </c>
      <c r="C395" s="22" t="s">
        <v>303</v>
      </c>
      <c r="D395" s="22" t="s">
        <v>590</v>
      </c>
      <c r="G395" s="30"/>
      <c r="J395" s="30"/>
      <c r="M395" s="31"/>
      <c r="Q395" s="22" t="s">
        <v>590</v>
      </c>
      <c r="T395" s="30"/>
    </row>
    <row r="396" spans="1:20" x14ac:dyDescent="0.2">
      <c r="A396" s="29">
        <v>784</v>
      </c>
      <c r="B396" s="29">
        <v>1</v>
      </c>
      <c r="C396" s="22" t="s">
        <v>700</v>
      </c>
      <c r="D396" s="22" t="s">
        <v>590</v>
      </c>
      <c r="E396" s="29">
        <v>87</v>
      </c>
      <c r="F396" s="29">
        <v>99</v>
      </c>
      <c r="G396" s="30">
        <v>8</v>
      </c>
      <c r="J396" s="30"/>
      <c r="M396" s="31"/>
      <c r="Q396" s="22" t="s">
        <v>590</v>
      </c>
      <c r="T396" s="30"/>
    </row>
    <row r="397" spans="1:20" x14ac:dyDescent="0.2">
      <c r="A397" s="29">
        <v>786</v>
      </c>
      <c r="B397" s="29">
        <v>1</v>
      </c>
      <c r="C397" s="22" t="s">
        <v>304</v>
      </c>
      <c r="D397" s="22" t="s">
        <v>590</v>
      </c>
      <c r="G397" s="30"/>
      <c r="J397" s="30"/>
      <c r="M397" s="31"/>
      <c r="Q397" s="22" t="s">
        <v>590</v>
      </c>
      <c r="T397" s="30"/>
    </row>
    <row r="398" spans="1:20" x14ac:dyDescent="0.2">
      <c r="A398" s="29">
        <v>787</v>
      </c>
      <c r="B398" s="29">
        <v>1</v>
      </c>
      <c r="C398" s="22" t="s">
        <v>305</v>
      </c>
      <c r="D398" s="22" t="s">
        <v>590</v>
      </c>
      <c r="G398" s="30"/>
      <c r="J398" s="30"/>
      <c r="M398" s="31"/>
      <c r="Q398" s="22" t="s">
        <v>590</v>
      </c>
      <c r="T398" s="30"/>
    </row>
    <row r="399" spans="1:20" x14ac:dyDescent="0.2">
      <c r="A399" s="29">
        <v>789</v>
      </c>
      <c r="B399" s="29">
        <v>1</v>
      </c>
      <c r="C399" s="22" t="s">
        <v>701</v>
      </c>
      <c r="D399" s="22" t="s">
        <v>590</v>
      </c>
      <c r="E399" s="29">
        <v>81</v>
      </c>
      <c r="F399" s="29">
        <v>99</v>
      </c>
      <c r="G399" s="30">
        <v>7</v>
      </c>
      <c r="J399" s="30"/>
      <c r="M399" s="31"/>
      <c r="Q399" s="22" t="s">
        <v>590</v>
      </c>
      <c r="T399" s="30"/>
    </row>
    <row r="400" spans="1:20" x14ac:dyDescent="0.2">
      <c r="A400" s="29">
        <v>790</v>
      </c>
      <c r="B400" s="29">
        <v>1</v>
      </c>
      <c r="C400" s="22" t="s">
        <v>578</v>
      </c>
      <c r="D400" s="22" t="s">
        <v>590</v>
      </c>
      <c r="G400" s="30"/>
      <c r="J400" s="30"/>
      <c r="M400" s="31"/>
      <c r="Q400" s="22" t="s">
        <v>590</v>
      </c>
      <c r="T400" s="30"/>
    </row>
    <row r="401" spans="1:20" x14ac:dyDescent="0.2">
      <c r="A401" s="29">
        <v>791</v>
      </c>
      <c r="B401" s="29">
        <v>1</v>
      </c>
      <c r="C401" s="22" t="s">
        <v>702</v>
      </c>
      <c r="D401" s="22" t="s">
        <v>590</v>
      </c>
      <c r="G401" s="30"/>
      <c r="J401" s="30"/>
      <c r="M401" s="31"/>
      <c r="Q401" s="22" t="s">
        <v>590</v>
      </c>
      <c r="T401" s="30"/>
    </row>
    <row r="402" spans="1:20" x14ac:dyDescent="0.2">
      <c r="A402" s="29">
        <v>792</v>
      </c>
      <c r="B402" s="29">
        <v>1</v>
      </c>
      <c r="C402" s="22" t="s">
        <v>703</v>
      </c>
      <c r="D402" s="22" t="s">
        <v>590</v>
      </c>
      <c r="G402" s="30"/>
      <c r="J402" s="30"/>
      <c r="M402" s="31"/>
      <c r="Q402" s="22" t="s">
        <v>590</v>
      </c>
      <c r="T402" s="30"/>
    </row>
    <row r="403" spans="1:20" x14ac:dyDescent="0.2">
      <c r="A403" s="29">
        <v>793</v>
      </c>
      <c r="B403" s="29">
        <v>1</v>
      </c>
      <c r="C403" s="22" t="s">
        <v>704</v>
      </c>
      <c r="D403" s="22" t="s">
        <v>590</v>
      </c>
      <c r="G403" s="30"/>
      <c r="J403" s="30"/>
      <c r="M403" s="31"/>
      <c r="Q403" s="22" t="s">
        <v>590</v>
      </c>
      <c r="T403" s="30"/>
    </row>
    <row r="404" spans="1:20" x14ac:dyDescent="0.2">
      <c r="A404" s="29">
        <v>801</v>
      </c>
      <c r="B404" s="29">
        <v>1</v>
      </c>
      <c r="C404" s="22" t="s">
        <v>306</v>
      </c>
      <c r="D404" s="22" t="s">
        <v>590</v>
      </c>
      <c r="G404" s="30"/>
      <c r="J404" s="30"/>
      <c r="M404" s="31"/>
      <c r="Q404" s="22" t="s">
        <v>590</v>
      </c>
      <c r="T404" s="30"/>
    </row>
    <row r="405" spans="1:20" x14ac:dyDescent="0.2">
      <c r="A405" s="29">
        <v>803</v>
      </c>
      <c r="B405" s="29">
        <v>1</v>
      </c>
      <c r="C405" s="22" t="s">
        <v>307</v>
      </c>
      <c r="D405" s="22" t="s">
        <v>590</v>
      </c>
      <c r="E405" s="29">
        <v>85</v>
      </c>
      <c r="F405" s="29">
        <v>5</v>
      </c>
      <c r="G405" s="30">
        <v>6.5</v>
      </c>
      <c r="J405" s="30"/>
      <c r="M405" s="31"/>
      <c r="Q405" s="22" t="s">
        <v>590</v>
      </c>
      <c r="T405" s="30"/>
    </row>
    <row r="406" spans="1:20" x14ac:dyDescent="0.2">
      <c r="A406" s="29">
        <v>806</v>
      </c>
      <c r="B406" s="29">
        <v>1</v>
      </c>
      <c r="C406" s="22" t="s">
        <v>705</v>
      </c>
      <c r="D406" s="22" t="s">
        <v>590</v>
      </c>
      <c r="G406" s="30"/>
      <c r="J406" s="30"/>
      <c r="M406" s="31"/>
      <c r="Q406" s="22" t="s">
        <v>590</v>
      </c>
      <c r="T406" s="30"/>
    </row>
    <row r="407" spans="1:20" x14ac:dyDescent="0.2">
      <c r="A407" s="29">
        <v>809</v>
      </c>
      <c r="B407" s="29">
        <v>1</v>
      </c>
      <c r="C407" s="22" t="s">
        <v>706</v>
      </c>
      <c r="D407" s="22" t="s">
        <v>590</v>
      </c>
      <c r="E407" s="29">
        <v>85</v>
      </c>
      <c r="F407" s="29">
        <v>1</v>
      </c>
      <c r="G407" s="30">
        <v>16</v>
      </c>
      <c r="H407" s="29">
        <v>86</v>
      </c>
      <c r="I407" s="29">
        <v>99</v>
      </c>
      <c r="J407" s="30">
        <v>7</v>
      </c>
      <c r="M407" s="31"/>
      <c r="Q407" s="22" t="s">
        <v>590</v>
      </c>
      <c r="T407" s="30"/>
    </row>
    <row r="408" spans="1:20" x14ac:dyDescent="0.2">
      <c r="A408" s="29">
        <v>810</v>
      </c>
      <c r="B408" s="29">
        <v>1</v>
      </c>
      <c r="C408" s="22" t="s">
        <v>309</v>
      </c>
      <c r="D408" s="22" t="s">
        <v>590</v>
      </c>
      <c r="G408" s="30"/>
      <c r="J408" s="30"/>
      <c r="M408" s="31"/>
      <c r="Q408" s="22" t="s">
        <v>590</v>
      </c>
      <c r="T408" s="30"/>
    </row>
    <row r="409" spans="1:20" x14ac:dyDescent="0.2">
      <c r="A409" s="29">
        <v>811</v>
      </c>
      <c r="B409" s="29">
        <v>1</v>
      </c>
      <c r="C409" s="22" t="s">
        <v>310</v>
      </c>
      <c r="D409" s="22" t="s">
        <v>590</v>
      </c>
      <c r="E409" s="29">
        <v>88</v>
      </c>
      <c r="F409" s="29">
        <v>4</v>
      </c>
      <c r="G409" s="30">
        <v>4</v>
      </c>
      <c r="J409" s="30"/>
      <c r="M409" s="31"/>
      <c r="Q409" s="22" t="s">
        <v>590</v>
      </c>
      <c r="T409" s="30"/>
    </row>
    <row r="410" spans="1:20" x14ac:dyDescent="0.2">
      <c r="A410" s="29">
        <v>813</v>
      </c>
      <c r="B410" s="29">
        <v>1</v>
      </c>
      <c r="C410" s="22" t="s">
        <v>311</v>
      </c>
      <c r="D410" s="22" t="s">
        <v>590</v>
      </c>
      <c r="G410" s="30"/>
      <c r="J410" s="30"/>
      <c r="M410" s="31"/>
      <c r="Q410" s="22" t="s">
        <v>590</v>
      </c>
      <c r="T410" s="30"/>
    </row>
    <row r="411" spans="1:20" x14ac:dyDescent="0.2">
      <c r="A411" s="29">
        <v>815</v>
      </c>
      <c r="B411" s="29">
        <v>2</v>
      </c>
      <c r="C411" s="22" t="s">
        <v>312</v>
      </c>
      <c r="D411" s="22" t="s">
        <v>590</v>
      </c>
      <c r="G411" s="30"/>
      <c r="J411" s="30"/>
      <c r="M411" s="31"/>
      <c r="Q411" s="22" t="s">
        <v>590</v>
      </c>
      <c r="T411" s="30"/>
    </row>
    <row r="412" spans="1:20" x14ac:dyDescent="0.2">
      <c r="A412" s="29">
        <v>818</v>
      </c>
      <c r="B412" s="29">
        <v>1</v>
      </c>
      <c r="C412" s="22" t="s">
        <v>313</v>
      </c>
      <c r="D412" s="22" t="s">
        <v>590</v>
      </c>
      <c r="G412" s="30"/>
      <c r="J412" s="30"/>
      <c r="M412" s="31"/>
      <c r="Q412" s="22" t="s">
        <v>590</v>
      </c>
      <c r="T412" s="30"/>
    </row>
    <row r="413" spans="1:20" x14ac:dyDescent="0.2">
      <c r="A413" s="29">
        <v>819</v>
      </c>
      <c r="B413" s="29">
        <v>1</v>
      </c>
      <c r="C413" s="22" t="s">
        <v>707</v>
      </c>
      <c r="D413" s="22" t="s">
        <v>590</v>
      </c>
      <c r="G413" s="30"/>
      <c r="J413" s="30"/>
      <c r="M413" s="31"/>
      <c r="Q413" s="22" t="s">
        <v>590</v>
      </c>
      <c r="T413" s="30"/>
    </row>
    <row r="414" spans="1:20" x14ac:dyDescent="0.2">
      <c r="A414" s="29">
        <v>820</v>
      </c>
      <c r="B414" s="29">
        <v>1</v>
      </c>
      <c r="C414" s="22" t="s">
        <v>314</v>
      </c>
      <c r="D414" s="22" t="s">
        <v>590</v>
      </c>
      <c r="G414" s="30"/>
      <c r="J414" s="30"/>
      <c r="M414" s="31"/>
      <c r="Q414" s="22" t="s">
        <v>590</v>
      </c>
      <c r="T414" s="30"/>
    </row>
    <row r="415" spans="1:20" x14ac:dyDescent="0.2">
      <c r="A415" s="29">
        <v>821</v>
      </c>
      <c r="B415" s="29">
        <v>1</v>
      </c>
      <c r="C415" s="22" t="s">
        <v>315</v>
      </c>
      <c r="D415" s="22" t="s">
        <v>590</v>
      </c>
      <c r="G415" s="30"/>
      <c r="J415" s="30"/>
      <c r="M415" s="31"/>
      <c r="Q415" s="22" t="s">
        <v>590</v>
      </c>
      <c r="T415" s="30"/>
    </row>
    <row r="416" spans="1:20" x14ac:dyDescent="0.2">
      <c r="A416" s="29">
        <v>827</v>
      </c>
      <c r="B416" s="29">
        <v>1</v>
      </c>
      <c r="C416" s="22" t="s">
        <v>708</v>
      </c>
      <c r="D416" s="22" t="s">
        <v>590</v>
      </c>
      <c r="G416" s="30"/>
      <c r="J416" s="30"/>
      <c r="M416" s="31"/>
      <c r="Q416" s="22" t="s">
        <v>590</v>
      </c>
      <c r="T416" s="30"/>
    </row>
    <row r="417" spans="1:20" x14ac:dyDescent="0.2">
      <c r="A417" s="29">
        <v>829</v>
      </c>
      <c r="B417" s="29">
        <v>1</v>
      </c>
      <c r="C417" s="22" t="s">
        <v>316</v>
      </c>
      <c r="D417" s="22" t="s">
        <v>590</v>
      </c>
      <c r="G417" s="30"/>
      <c r="J417" s="30"/>
      <c r="M417" s="31"/>
      <c r="Q417" s="22" t="s">
        <v>590</v>
      </c>
      <c r="T417" s="30"/>
    </row>
    <row r="418" spans="1:20" x14ac:dyDescent="0.2">
      <c r="A418" s="29">
        <v>830</v>
      </c>
      <c r="B418" s="29">
        <v>1</v>
      </c>
      <c r="C418" s="22" t="s">
        <v>709</v>
      </c>
      <c r="D418" s="22" t="s">
        <v>590</v>
      </c>
      <c r="G418" s="30"/>
      <c r="J418" s="30"/>
      <c r="M418" s="31"/>
      <c r="Q418" s="22" t="s">
        <v>590</v>
      </c>
      <c r="T418" s="30"/>
    </row>
    <row r="419" spans="1:20" x14ac:dyDescent="0.2">
      <c r="A419" s="29">
        <v>831</v>
      </c>
      <c r="B419" s="29">
        <v>1</v>
      </c>
      <c r="C419" s="22" t="s">
        <v>317</v>
      </c>
      <c r="D419" s="22" t="s">
        <v>590</v>
      </c>
      <c r="G419" s="30"/>
      <c r="J419" s="30"/>
      <c r="M419" s="31"/>
      <c r="Q419" s="22" t="s">
        <v>590</v>
      </c>
      <c r="T419" s="30"/>
    </row>
    <row r="420" spans="1:20" x14ac:dyDescent="0.2">
      <c r="A420" s="29">
        <v>832</v>
      </c>
      <c r="B420" s="29">
        <v>1</v>
      </c>
      <c r="C420" s="22" t="s">
        <v>318</v>
      </c>
      <c r="D420" s="22" t="s">
        <v>590</v>
      </c>
      <c r="G420" s="30"/>
      <c r="J420" s="30"/>
      <c r="M420" s="31"/>
      <c r="Q420" s="22" t="s">
        <v>590</v>
      </c>
      <c r="R420" s="29">
        <v>84</v>
      </c>
      <c r="S420" s="29">
        <v>99</v>
      </c>
      <c r="T420" s="30">
        <v>6</v>
      </c>
    </row>
    <row r="421" spans="1:20" x14ac:dyDescent="0.2">
      <c r="A421" s="29">
        <v>833</v>
      </c>
      <c r="B421" s="29">
        <v>1</v>
      </c>
      <c r="C421" s="22" t="s">
        <v>319</v>
      </c>
      <c r="D421" s="22" t="s">
        <v>590</v>
      </c>
      <c r="E421" s="29">
        <v>88</v>
      </c>
      <c r="F421" s="29">
        <v>99</v>
      </c>
      <c r="G421" s="30">
        <v>9.0399999999999991</v>
      </c>
      <c r="J421" s="30"/>
      <c r="M421" s="31"/>
      <c r="Q421" s="22" t="s">
        <v>590</v>
      </c>
      <c r="T421" s="31"/>
    </row>
    <row r="422" spans="1:20" x14ac:dyDescent="0.2">
      <c r="A422" s="29">
        <v>834</v>
      </c>
      <c r="B422" s="29">
        <v>1</v>
      </c>
      <c r="C422" s="22" t="s">
        <v>320</v>
      </c>
      <c r="D422" s="22" t="s">
        <v>590</v>
      </c>
      <c r="E422" s="29">
        <v>86</v>
      </c>
      <c r="F422" s="29">
        <v>99</v>
      </c>
      <c r="G422" s="30">
        <v>6</v>
      </c>
      <c r="H422" s="29">
        <v>88</v>
      </c>
      <c r="I422" s="29">
        <v>99</v>
      </c>
      <c r="J422" s="30">
        <v>6</v>
      </c>
      <c r="M422" s="31"/>
      <c r="Q422" s="22" t="s">
        <v>590</v>
      </c>
      <c r="T422" s="31"/>
    </row>
    <row r="423" spans="1:20" x14ac:dyDescent="0.2">
      <c r="A423" s="29">
        <v>836</v>
      </c>
      <c r="B423" s="29">
        <v>1</v>
      </c>
      <c r="C423" s="22" t="s">
        <v>321</v>
      </c>
      <c r="D423" s="22" t="s">
        <v>590</v>
      </c>
      <c r="E423" s="29">
        <v>76</v>
      </c>
      <c r="F423" s="29">
        <v>99</v>
      </c>
      <c r="G423" s="30">
        <v>6.9</v>
      </c>
      <c r="J423" s="30"/>
      <c r="M423" s="31"/>
      <c r="Q423" s="22" t="s">
        <v>590</v>
      </c>
      <c r="T423" s="31"/>
    </row>
    <row r="424" spans="1:20" x14ac:dyDescent="0.2">
      <c r="A424" s="29">
        <v>837</v>
      </c>
      <c r="B424" s="29">
        <v>1</v>
      </c>
      <c r="C424" s="22" t="s">
        <v>322</v>
      </c>
      <c r="D424" s="22" t="s">
        <v>590</v>
      </c>
      <c r="E424" s="29">
        <v>82</v>
      </c>
      <c r="F424" s="29">
        <v>99</v>
      </c>
      <c r="G424" s="30">
        <v>3</v>
      </c>
      <c r="H424" s="29">
        <v>88</v>
      </c>
      <c r="I424" s="29">
        <v>99</v>
      </c>
      <c r="J424" s="30">
        <v>4</v>
      </c>
      <c r="M424" s="31"/>
      <c r="Q424" s="22" t="s">
        <v>590</v>
      </c>
      <c r="T424" s="31"/>
    </row>
    <row r="425" spans="1:20" x14ac:dyDescent="0.2">
      <c r="A425" s="29">
        <v>840</v>
      </c>
      <c r="B425" s="29">
        <v>1</v>
      </c>
      <c r="C425" s="22" t="s">
        <v>323</v>
      </c>
      <c r="D425" s="22" t="s">
        <v>590</v>
      </c>
      <c r="E425" s="29">
        <v>88</v>
      </c>
      <c r="F425" s="29">
        <v>99</v>
      </c>
      <c r="G425" s="30">
        <v>3</v>
      </c>
      <c r="J425" s="30"/>
      <c r="M425" s="31"/>
      <c r="Q425" s="22" t="s">
        <v>590</v>
      </c>
      <c r="T425" s="31"/>
    </row>
    <row r="426" spans="1:20" x14ac:dyDescent="0.2">
      <c r="A426" s="29">
        <v>846</v>
      </c>
      <c r="B426" s="29">
        <v>1</v>
      </c>
      <c r="C426" s="22" t="s">
        <v>710</v>
      </c>
      <c r="D426" s="22" t="s">
        <v>590</v>
      </c>
      <c r="E426" s="29">
        <v>76</v>
      </c>
      <c r="F426" s="29">
        <v>99</v>
      </c>
      <c r="G426" s="30">
        <v>4</v>
      </c>
      <c r="H426" s="29">
        <v>88</v>
      </c>
      <c r="I426" s="29">
        <v>3</v>
      </c>
      <c r="J426" s="30">
        <v>3</v>
      </c>
      <c r="M426" s="31"/>
      <c r="Q426" s="22" t="s">
        <v>590</v>
      </c>
      <c r="T426" s="31"/>
    </row>
    <row r="427" spans="1:20" x14ac:dyDescent="0.2">
      <c r="A427" s="29">
        <v>850</v>
      </c>
      <c r="B427" s="29">
        <v>1</v>
      </c>
      <c r="C427" s="22" t="s">
        <v>325</v>
      </c>
      <c r="D427" s="22" t="s">
        <v>590</v>
      </c>
      <c r="E427" s="29">
        <v>78</v>
      </c>
      <c r="F427" s="29">
        <v>99</v>
      </c>
      <c r="G427" s="30">
        <v>10</v>
      </c>
      <c r="J427" s="30"/>
      <c r="M427" s="31"/>
      <c r="Q427" s="22" t="s">
        <v>590</v>
      </c>
      <c r="T427" s="31"/>
    </row>
    <row r="428" spans="1:20" x14ac:dyDescent="0.2">
      <c r="A428" s="29">
        <v>852</v>
      </c>
      <c r="B428" s="29">
        <v>1</v>
      </c>
      <c r="C428" s="22" t="s">
        <v>555</v>
      </c>
      <c r="D428" s="22" t="s">
        <v>590</v>
      </c>
      <c r="E428" s="29">
        <v>81</v>
      </c>
      <c r="F428" s="29">
        <v>99</v>
      </c>
      <c r="G428" s="30">
        <v>5</v>
      </c>
      <c r="J428" s="30"/>
      <c r="M428" s="31"/>
      <c r="Q428" s="22" t="s">
        <v>590</v>
      </c>
      <c r="T428" s="31"/>
    </row>
    <row r="429" spans="1:20" x14ac:dyDescent="0.2">
      <c r="A429" s="29">
        <v>857</v>
      </c>
      <c r="B429" s="29">
        <v>1</v>
      </c>
      <c r="C429" s="22" t="s">
        <v>327</v>
      </c>
      <c r="D429" s="22" t="s">
        <v>590</v>
      </c>
      <c r="G429" s="30"/>
      <c r="J429" s="30"/>
      <c r="M429" s="31"/>
      <c r="Q429" s="22" t="s">
        <v>590</v>
      </c>
      <c r="T429" s="31"/>
    </row>
    <row r="430" spans="1:20" x14ac:dyDescent="0.2">
      <c r="A430" s="29">
        <v>858</v>
      </c>
      <c r="B430" s="29">
        <v>1</v>
      </c>
      <c r="C430" s="22" t="s">
        <v>328</v>
      </c>
      <c r="D430" s="22" t="s">
        <v>590</v>
      </c>
      <c r="G430" s="30"/>
      <c r="J430" s="30"/>
      <c r="M430" s="31"/>
      <c r="Q430" s="22" t="s">
        <v>590</v>
      </c>
      <c r="T430" s="31"/>
    </row>
    <row r="431" spans="1:20" x14ac:dyDescent="0.2">
      <c r="A431" s="29">
        <v>861</v>
      </c>
      <c r="B431" s="29">
        <v>1</v>
      </c>
      <c r="C431" s="22" t="s">
        <v>329</v>
      </c>
      <c r="D431" s="22" t="s">
        <v>590</v>
      </c>
      <c r="E431" s="29">
        <v>88</v>
      </c>
      <c r="F431" s="29">
        <v>99</v>
      </c>
      <c r="G431" s="30">
        <v>6</v>
      </c>
      <c r="J431" s="30"/>
      <c r="M431" s="31"/>
      <c r="Q431" s="22" t="s">
        <v>590</v>
      </c>
      <c r="T431" s="31"/>
    </row>
    <row r="432" spans="1:20" x14ac:dyDescent="0.2">
      <c r="A432" s="29">
        <v>876</v>
      </c>
      <c r="B432" s="29">
        <v>1</v>
      </c>
      <c r="C432" s="22" t="s">
        <v>330</v>
      </c>
      <c r="D432" s="22" t="s">
        <v>590</v>
      </c>
      <c r="G432" s="30"/>
      <c r="J432" s="30"/>
      <c r="M432" s="31"/>
      <c r="Q432" s="22" t="s">
        <v>590</v>
      </c>
      <c r="T432" s="31"/>
    </row>
    <row r="433" spans="1:20" x14ac:dyDescent="0.2">
      <c r="A433" s="29">
        <v>877</v>
      </c>
      <c r="B433" s="29">
        <v>1</v>
      </c>
      <c r="C433" s="22" t="s">
        <v>331</v>
      </c>
      <c r="D433" s="22" t="s">
        <v>590</v>
      </c>
      <c r="G433" s="30"/>
      <c r="J433" s="30"/>
      <c r="M433" s="31"/>
      <c r="Q433" s="22" t="s">
        <v>590</v>
      </c>
      <c r="T433" s="31"/>
    </row>
    <row r="434" spans="1:20" x14ac:dyDescent="0.2">
      <c r="A434" s="29">
        <v>879</v>
      </c>
      <c r="B434" s="29">
        <v>1</v>
      </c>
      <c r="C434" s="22" t="s">
        <v>332</v>
      </c>
      <c r="D434" s="22" t="s">
        <v>590</v>
      </c>
      <c r="E434" s="29">
        <v>87</v>
      </c>
      <c r="F434" s="29">
        <v>99</v>
      </c>
      <c r="G434" s="30">
        <v>4</v>
      </c>
      <c r="J434" s="30"/>
      <c r="M434" s="31"/>
      <c r="Q434" s="22" t="s">
        <v>590</v>
      </c>
      <c r="T434" s="31"/>
    </row>
    <row r="435" spans="1:20" x14ac:dyDescent="0.2">
      <c r="A435" s="29">
        <v>880</v>
      </c>
      <c r="B435" s="29">
        <v>1</v>
      </c>
      <c r="C435" s="22" t="s">
        <v>711</v>
      </c>
      <c r="D435" s="22" t="s">
        <v>590</v>
      </c>
      <c r="E435" s="29">
        <v>85</v>
      </c>
      <c r="F435" s="29">
        <v>4</v>
      </c>
      <c r="G435" s="30">
        <v>8</v>
      </c>
      <c r="H435" s="29">
        <v>88</v>
      </c>
      <c r="I435" s="29">
        <v>4</v>
      </c>
      <c r="J435" s="30">
        <v>8</v>
      </c>
      <c r="M435" s="31"/>
      <c r="Q435" s="22" t="s">
        <v>590</v>
      </c>
      <c r="T435" s="31"/>
    </row>
    <row r="436" spans="1:20" x14ac:dyDescent="0.2">
      <c r="A436" s="29">
        <v>881</v>
      </c>
      <c r="B436" s="29">
        <v>1</v>
      </c>
      <c r="C436" s="22" t="s">
        <v>333</v>
      </c>
      <c r="D436" s="22" t="s">
        <v>590</v>
      </c>
      <c r="E436" s="29">
        <v>85</v>
      </c>
      <c r="F436" s="29">
        <v>10</v>
      </c>
      <c r="G436" s="30">
        <v>4</v>
      </c>
      <c r="J436" s="30"/>
      <c r="M436" s="31"/>
      <c r="Q436" s="22" t="s">
        <v>590</v>
      </c>
      <c r="T436" s="31"/>
    </row>
    <row r="437" spans="1:20" x14ac:dyDescent="0.2">
      <c r="A437" s="29">
        <v>882</v>
      </c>
      <c r="B437" s="29">
        <v>1</v>
      </c>
      <c r="C437" s="22" t="s">
        <v>334</v>
      </c>
      <c r="D437" s="22" t="s">
        <v>590</v>
      </c>
      <c r="E437" s="29">
        <v>85</v>
      </c>
      <c r="F437" s="29">
        <v>99</v>
      </c>
      <c r="G437" s="30">
        <v>5</v>
      </c>
      <c r="J437" s="30"/>
      <c r="M437" s="31"/>
      <c r="Q437" s="22" t="s">
        <v>590</v>
      </c>
      <c r="T437" s="31"/>
    </row>
    <row r="438" spans="1:20" x14ac:dyDescent="0.2">
      <c r="A438" s="29">
        <v>883</v>
      </c>
      <c r="B438" s="29">
        <v>1</v>
      </c>
      <c r="C438" s="22" t="s">
        <v>335</v>
      </c>
      <c r="D438" s="22" t="s">
        <v>590</v>
      </c>
      <c r="E438" s="29">
        <v>86</v>
      </c>
      <c r="F438" s="29">
        <v>3</v>
      </c>
      <c r="G438" s="30">
        <v>5</v>
      </c>
      <c r="J438" s="30"/>
      <c r="M438" s="31"/>
      <c r="Q438" s="22" t="s">
        <v>590</v>
      </c>
      <c r="T438" s="31"/>
    </row>
    <row r="439" spans="1:20" x14ac:dyDescent="0.2">
      <c r="A439" s="29">
        <v>885</v>
      </c>
      <c r="B439" s="29">
        <v>1</v>
      </c>
      <c r="C439" s="22" t="s">
        <v>336</v>
      </c>
      <c r="D439" s="22" t="s">
        <v>590</v>
      </c>
      <c r="G439" s="30"/>
      <c r="J439" s="30"/>
      <c r="M439" s="31"/>
      <c r="Q439" s="22" t="s">
        <v>590</v>
      </c>
      <c r="T439" s="31"/>
    </row>
    <row r="440" spans="1:20" x14ac:dyDescent="0.2">
      <c r="A440" s="29">
        <v>891</v>
      </c>
      <c r="B440" s="29">
        <v>1</v>
      </c>
      <c r="C440" s="22" t="s">
        <v>337</v>
      </c>
      <c r="D440" s="22" t="s">
        <v>590</v>
      </c>
      <c r="E440" s="29">
        <v>88</v>
      </c>
      <c r="F440" s="29">
        <v>5</v>
      </c>
      <c r="G440" s="30">
        <v>4.3</v>
      </c>
      <c r="J440" s="30"/>
      <c r="M440" s="31"/>
      <c r="Q440" s="22" t="s">
        <v>590</v>
      </c>
      <c r="T440" s="31"/>
    </row>
    <row r="441" spans="1:20" x14ac:dyDescent="0.2">
      <c r="A441" s="29">
        <v>892</v>
      </c>
      <c r="B441" s="29">
        <v>1</v>
      </c>
      <c r="C441" s="22" t="s">
        <v>712</v>
      </c>
      <c r="D441" s="22" t="s">
        <v>590</v>
      </c>
      <c r="E441" s="29">
        <v>77</v>
      </c>
      <c r="F441" s="29">
        <v>99</v>
      </c>
      <c r="G441" s="30">
        <v>6</v>
      </c>
      <c r="H441" s="29">
        <v>88</v>
      </c>
      <c r="I441" s="29">
        <v>99</v>
      </c>
      <c r="J441" s="30">
        <v>6</v>
      </c>
      <c r="M441" s="31"/>
      <c r="Q441" s="22" t="s">
        <v>590</v>
      </c>
      <c r="T441" s="31"/>
    </row>
    <row r="442" spans="1:20" x14ac:dyDescent="0.2">
      <c r="A442" s="29">
        <v>893</v>
      </c>
      <c r="B442" s="29">
        <v>1</v>
      </c>
      <c r="C442" s="22" t="s">
        <v>713</v>
      </c>
      <c r="D442" s="22" t="s">
        <v>590</v>
      </c>
      <c r="E442" s="29">
        <v>81</v>
      </c>
      <c r="F442" s="29">
        <v>99</v>
      </c>
      <c r="G442" s="30">
        <v>10</v>
      </c>
      <c r="J442" s="30"/>
      <c r="M442" s="31"/>
      <c r="Q442" s="22" t="s">
        <v>590</v>
      </c>
      <c r="T442" s="31"/>
    </row>
    <row r="443" spans="1:20" x14ac:dyDescent="0.2">
      <c r="A443" s="29">
        <v>894</v>
      </c>
      <c r="B443" s="29">
        <v>1</v>
      </c>
      <c r="C443" s="22" t="s">
        <v>714</v>
      </c>
      <c r="D443" s="22" t="s">
        <v>590</v>
      </c>
      <c r="G443" s="30"/>
      <c r="J443" s="30"/>
      <c r="M443" s="31"/>
      <c r="Q443" s="22" t="s">
        <v>590</v>
      </c>
      <c r="T443" s="31"/>
    </row>
    <row r="444" spans="1:20" x14ac:dyDescent="0.2">
      <c r="A444" s="29">
        <v>896</v>
      </c>
      <c r="B444" s="29">
        <v>1</v>
      </c>
      <c r="C444" s="22" t="s">
        <v>715</v>
      </c>
      <c r="D444" s="22" t="s">
        <v>590</v>
      </c>
      <c r="E444" s="29">
        <v>81</v>
      </c>
      <c r="F444" s="29">
        <v>99</v>
      </c>
      <c r="G444" s="30">
        <v>9</v>
      </c>
      <c r="J444" s="30"/>
      <c r="M444" s="31"/>
      <c r="Q444" s="22" t="s">
        <v>590</v>
      </c>
      <c r="T444" s="31"/>
    </row>
    <row r="445" spans="1:20" x14ac:dyDescent="0.2">
      <c r="A445" s="29">
        <v>911</v>
      </c>
      <c r="B445" s="29">
        <v>1</v>
      </c>
      <c r="C445" s="22" t="s">
        <v>716</v>
      </c>
      <c r="D445" s="22" t="s">
        <v>590</v>
      </c>
      <c r="G445" s="30"/>
      <c r="J445" s="30"/>
      <c r="M445" s="31"/>
      <c r="Q445" s="22" t="s">
        <v>590</v>
      </c>
      <c r="T445" s="31"/>
    </row>
    <row r="446" spans="1:20" x14ac:dyDescent="0.2">
      <c r="A446" s="29">
        <v>912</v>
      </c>
      <c r="B446" s="29">
        <v>1</v>
      </c>
      <c r="C446" s="22" t="s">
        <v>339</v>
      </c>
      <c r="D446" s="22" t="s">
        <v>590</v>
      </c>
      <c r="G446" s="30"/>
      <c r="J446" s="30"/>
      <c r="M446" s="31"/>
      <c r="Q446" s="22" t="s">
        <v>590</v>
      </c>
      <c r="T446" s="31"/>
    </row>
    <row r="447" spans="1:20" x14ac:dyDescent="0.2">
      <c r="A447" s="29">
        <v>913</v>
      </c>
      <c r="B447" s="29">
        <v>1</v>
      </c>
      <c r="C447" s="22" t="s">
        <v>717</v>
      </c>
      <c r="D447" s="22" t="s">
        <v>590</v>
      </c>
      <c r="E447" s="29">
        <v>80</v>
      </c>
      <c r="F447" s="29">
        <v>99</v>
      </c>
      <c r="G447" s="30">
        <v>3.4</v>
      </c>
      <c r="J447" s="30"/>
      <c r="M447" s="31"/>
      <c r="Q447" s="22" t="s">
        <v>590</v>
      </c>
      <c r="T447" s="31"/>
    </row>
    <row r="448" spans="1:20" x14ac:dyDescent="0.2">
      <c r="A448" s="29">
        <v>914</v>
      </c>
      <c r="B448" s="29">
        <v>1</v>
      </c>
      <c r="C448" s="22" t="s">
        <v>718</v>
      </c>
      <c r="D448" s="22" t="s">
        <v>590</v>
      </c>
      <c r="E448" s="29">
        <v>81</v>
      </c>
      <c r="F448" s="29">
        <v>99</v>
      </c>
      <c r="G448" s="30">
        <v>3.2</v>
      </c>
      <c r="J448" s="30"/>
      <c r="M448" s="31"/>
      <c r="Q448" s="22" t="s">
        <v>590</v>
      </c>
      <c r="T448" s="31"/>
    </row>
    <row r="449" spans="1:20" x14ac:dyDescent="0.2">
      <c r="A449" s="29">
        <v>918</v>
      </c>
      <c r="B449" s="29">
        <v>1</v>
      </c>
      <c r="C449" s="22" t="s">
        <v>719</v>
      </c>
      <c r="D449" s="22" t="s">
        <v>590</v>
      </c>
      <c r="E449" s="29">
        <v>82</v>
      </c>
      <c r="F449" s="29">
        <v>99</v>
      </c>
      <c r="G449" s="30">
        <v>5</v>
      </c>
      <c r="J449" s="30"/>
      <c r="M449" s="31"/>
      <c r="Q449" s="22" t="s">
        <v>590</v>
      </c>
      <c r="T449" s="31"/>
    </row>
  </sheetData>
  <autoFilter ref="A14:A449"/>
  <phoneticPr fontId="0" type="noConversion"/>
  <pageMargins left="0.75" right="0.75" top="1" bottom="1" header="0.5" footer="0.5"/>
  <pageSetup scale="65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134"/>
  <sheetViews>
    <sheetView zoomScale="75" workbookViewId="0"/>
  </sheetViews>
  <sheetFormatPr defaultRowHeight="12.75" x14ac:dyDescent="0.2"/>
  <cols>
    <col min="1" max="1" width="3.7109375" customWidth="1"/>
    <col min="2" max="2" width="5.5703125" customWidth="1"/>
    <col min="3" max="3" width="1.85546875" customWidth="1"/>
    <col min="4" max="4" width="16.7109375" customWidth="1"/>
    <col min="5" max="5" width="10.7109375" bestFit="1" customWidth="1"/>
    <col min="6" max="6" width="12.28515625" bestFit="1" customWidth="1"/>
    <col min="7" max="7" width="11.140625" bestFit="1" customWidth="1"/>
    <col min="8" max="9" width="9.28515625" bestFit="1" customWidth="1"/>
    <col min="10" max="10" width="4.7109375" customWidth="1"/>
    <col min="11" max="11" width="31.7109375" customWidth="1"/>
  </cols>
  <sheetData>
    <row r="1" spans="1:11" ht="18" x14ac:dyDescent="0.25">
      <c r="A1" s="32" t="s">
        <v>795</v>
      </c>
    </row>
    <row r="3" spans="1:11" x14ac:dyDescent="0.2">
      <c r="A3" t="s">
        <v>792</v>
      </c>
    </row>
    <row r="4" spans="1:11" x14ac:dyDescent="0.2">
      <c r="A4" t="s">
        <v>805</v>
      </c>
    </row>
    <row r="5" spans="1:11" x14ac:dyDescent="0.2">
      <c r="A5" t="s">
        <v>793</v>
      </c>
    </row>
    <row r="7" spans="1:11" x14ac:dyDescent="0.2">
      <c r="A7" s="22"/>
      <c r="E7" s="23" t="s">
        <v>495</v>
      </c>
      <c r="F7" s="23" t="s">
        <v>496</v>
      </c>
      <c r="G7" s="23" t="s">
        <v>497</v>
      </c>
      <c r="H7" s="23" t="s">
        <v>498</v>
      </c>
      <c r="I7" s="23" t="s">
        <v>499</v>
      </c>
      <c r="J7" s="1"/>
      <c r="K7" s="23" t="s">
        <v>500</v>
      </c>
    </row>
    <row r="8" spans="1:11" x14ac:dyDescent="0.2">
      <c r="A8" s="22"/>
      <c r="E8" s="23" t="s">
        <v>501</v>
      </c>
      <c r="H8" s="23" t="s">
        <v>36</v>
      </c>
      <c r="J8" s="1"/>
      <c r="K8" s="24">
        <v>33918.392870370371</v>
      </c>
    </row>
    <row r="9" spans="1:11" x14ac:dyDescent="0.2">
      <c r="A9" s="22" t="s">
        <v>502</v>
      </c>
      <c r="E9" s="23" t="s">
        <v>503</v>
      </c>
      <c r="F9" s="23" t="s">
        <v>504</v>
      </c>
      <c r="G9" s="23" t="s">
        <v>426</v>
      </c>
      <c r="H9" s="23" t="s">
        <v>505</v>
      </c>
      <c r="J9" s="1"/>
    </row>
    <row r="10" spans="1:11" x14ac:dyDescent="0.2">
      <c r="E10" s="23" t="s">
        <v>506</v>
      </c>
      <c r="F10" s="23" t="s">
        <v>507</v>
      </c>
      <c r="G10" s="23" t="s">
        <v>508</v>
      </c>
      <c r="H10" s="23" t="s">
        <v>58</v>
      </c>
      <c r="I10" s="23" t="s">
        <v>509</v>
      </c>
      <c r="J10" s="1"/>
      <c r="K10" s="22" t="s">
        <v>510</v>
      </c>
    </row>
    <row r="11" spans="1:11" x14ac:dyDescent="0.2">
      <c r="J11" s="1"/>
    </row>
    <row r="12" spans="1:11" x14ac:dyDescent="0.2">
      <c r="A12" s="25">
        <v>1</v>
      </c>
      <c r="B12" s="25">
        <v>1</v>
      </c>
      <c r="C12" s="25">
        <v>1</v>
      </c>
      <c r="D12" s="22" t="s">
        <v>63</v>
      </c>
      <c r="E12" s="11">
        <v>5379391</v>
      </c>
      <c r="F12" s="26">
        <v>200000</v>
      </c>
      <c r="G12" s="10">
        <v>3.7178929999999999E-2</v>
      </c>
      <c r="H12" s="25">
        <v>89</v>
      </c>
      <c r="I12" s="25">
        <v>5</v>
      </c>
      <c r="J12" s="1"/>
    </row>
    <row r="13" spans="1:11" x14ac:dyDescent="0.2">
      <c r="A13" s="25">
        <f t="shared" ref="A13:A76" si="0">A12+1</f>
        <v>2</v>
      </c>
      <c r="B13" s="25">
        <v>70</v>
      </c>
      <c r="C13" s="25">
        <v>1</v>
      </c>
      <c r="D13" s="22" t="s">
        <v>511</v>
      </c>
      <c r="E13" s="11">
        <v>1529490</v>
      </c>
      <c r="F13" s="26">
        <v>137488</v>
      </c>
      <c r="G13" s="10">
        <v>8.9891399999999996E-2</v>
      </c>
      <c r="H13" s="25">
        <v>89</v>
      </c>
      <c r="I13" s="25">
        <v>3</v>
      </c>
      <c r="J13" s="1"/>
    </row>
    <row r="14" spans="1:11" x14ac:dyDescent="0.2">
      <c r="A14" s="25">
        <f t="shared" si="0"/>
        <v>3</v>
      </c>
      <c r="B14" s="25">
        <v>72</v>
      </c>
      <c r="C14" s="25">
        <v>1</v>
      </c>
      <c r="D14" s="22" t="s">
        <v>512</v>
      </c>
      <c r="E14" s="11">
        <v>1265460</v>
      </c>
      <c r="F14" s="26">
        <v>340000</v>
      </c>
      <c r="G14" s="10">
        <v>0.268677</v>
      </c>
      <c r="H14" s="25">
        <v>89</v>
      </c>
      <c r="I14" s="25">
        <v>5</v>
      </c>
      <c r="J14" s="1"/>
    </row>
    <row r="15" spans="1:11" x14ac:dyDescent="0.2">
      <c r="A15" s="25">
        <f t="shared" si="0"/>
        <v>4</v>
      </c>
      <c r="B15" s="25">
        <v>99</v>
      </c>
      <c r="C15" s="25">
        <v>1</v>
      </c>
      <c r="D15" s="22" t="s">
        <v>95</v>
      </c>
      <c r="E15" s="11">
        <v>1271326</v>
      </c>
      <c r="F15" s="26">
        <v>150000</v>
      </c>
      <c r="G15" s="10">
        <v>0.11798705</v>
      </c>
      <c r="H15" s="25">
        <v>89</v>
      </c>
      <c r="I15" s="25">
        <v>99</v>
      </c>
      <c r="J15" s="1"/>
    </row>
    <row r="16" spans="1:11" x14ac:dyDescent="0.2">
      <c r="A16" s="25">
        <f t="shared" si="0"/>
        <v>5</v>
      </c>
      <c r="B16" s="25">
        <v>110</v>
      </c>
      <c r="C16" s="25">
        <v>1</v>
      </c>
      <c r="D16" s="22" t="s">
        <v>98</v>
      </c>
      <c r="E16" s="11">
        <v>5414732</v>
      </c>
      <c r="F16" s="26">
        <v>600000</v>
      </c>
      <c r="G16" s="10">
        <v>0.11080880999999999</v>
      </c>
      <c r="H16" s="25">
        <v>89</v>
      </c>
      <c r="I16" s="25">
        <v>3</v>
      </c>
      <c r="J16" s="1"/>
    </row>
    <row r="17" spans="1:11" x14ac:dyDescent="0.2">
      <c r="A17" s="25">
        <f t="shared" si="0"/>
        <v>6</v>
      </c>
      <c r="B17" s="25">
        <v>112</v>
      </c>
      <c r="C17" s="25">
        <v>1</v>
      </c>
      <c r="D17" s="22" t="s">
        <v>100</v>
      </c>
      <c r="E17" s="11">
        <v>12225770</v>
      </c>
      <c r="F17" s="26">
        <v>725623</v>
      </c>
      <c r="G17" s="10">
        <v>5.9351929999999997E-2</v>
      </c>
      <c r="H17" s="25">
        <v>89</v>
      </c>
      <c r="I17" s="25">
        <v>99</v>
      </c>
      <c r="J17" s="1"/>
    </row>
    <row r="18" spans="1:11" x14ac:dyDescent="0.2">
      <c r="A18" s="25">
        <f t="shared" si="0"/>
        <v>7</v>
      </c>
      <c r="B18" s="25">
        <v>140</v>
      </c>
      <c r="C18" s="25">
        <v>1</v>
      </c>
      <c r="D18" s="22" t="s">
        <v>513</v>
      </c>
      <c r="E18" s="11">
        <v>865840</v>
      </c>
      <c r="F18" s="26">
        <v>130000</v>
      </c>
      <c r="G18" s="10">
        <v>0.15014321</v>
      </c>
      <c r="H18" s="25">
        <v>89</v>
      </c>
      <c r="I18" s="25">
        <v>99</v>
      </c>
      <c r="J18" s="23" t="s">
        <v>514</v>
      </c>
      <c r="K18" s="22" t="s">
        <v>515</v>
      </c>
    </row>
    <row r="19" spans="1:11" x14ac:dyDescent="0.2">
      <c r="A19" s="25">
        <f t="shared" si="0"/>
        <v>8</v>
      </c>
      <c r="B19" s="25">
        <v>173</v>
      </c>
      <c r="C19" s="25">
        <v>1</v>
      </c>
      <c r="D19" s="22" t="s">
        <v>113</v>
      </c>
      <c r="E19" s="11">
        <v>1914607</v>
      </c>
      <c r="F19" s="26">
        <v>288000</v>
      </c>
      <c r="G19" s="10">
        <v>0.15042251000000001</v>
      </c>
      <c r="H19" s="25">
        <v>89</v>
      </c>
      <c r="I19" s="25">
        <v>5</v>
      </c>
      <c r="J19" s="1"/>
      <c r="K19" s="22" t="s">
        <v>516</v>
      </c>
    </row>
    <row r="20" spans="1:11" x14ac:dyDescent="0.2">
      <c r="A20" s="25">
        <f t="shared" si="0"/>
        <v>9</v>
      </c>
      <c r="B20" s="25">
        <v>175</v>
      </c>
      <c r="C20" s="25">
        <v>1</v>
      </c>
      <c r="D20" s="22" t="s">
        <v>517</v>
      </c>
      <c r="E20" s="11">
        <v>1454599</v>
      </c>
      <c r="F20" s="26">
        <v>100000</v>
      </c>
      <c r="G20" s="10">
        <v>6.8747470000000005E-2</v>
      </c>
      <c r="H20" s="25">
        <v>89</v>
      </c>
      <c r="I20" s="25">
        <v>99</v>
      </c>
      <c r="J20" s="1"/>
      <c r="K20" s="22" t="s">
        <v>518</v>
      </c>
    </row>
    <row r="21" spans="1:11" x14ac:dyDescent="0.2">
      <c r="A21" s="25">
        <f t="shared" si="0"/>
        <v>10</v>
      </c>
      <c r="B21" s="25">
        <v>177</v>
      </c>
      <c r="C21" s="25">
        <v>1</v>
      </c>
      <c r="D21" s="22" t="s">
        <v>114</v>
      </c>
      <c r="E21" s="11">
        <v>3606672</v>
      </c>
      <c r="F21" s="26">
        <v>500000</v>
      </c>
      <c r="G21" s="10">
        <v>0.13863196</v>
      </c>
      <c r="H21" s="25">
        <v>89</v>
      </c>
      <c r="I21" s="25">
        <v>5</v>
      </c>
      <c r="J21" s="1"/>
    </row>
    <row r="22" spans="1:11" x14ac:dyDescent="0.2">
      <c r="A22" s="25">
        <f t="shared" si="0"/>
        <v>11</v>
      </c>
      <c r="B22" s="25">
        <v>197</v>
      </c>
      <c r="C22" s="25">
        <v>1</v>
      </c>
      <c r="D22" s="22" t="s">
        <v>123</v>
      </c>
      <c r="E22" s="11">
        <v>40273970</v>
      </c>
      <c r="F22" s="26">
        <v>3677183</v>
      </c>
      <c r="G22" s="10">
        <v>9.1304209999999997E-2</v>
      </c>
      <c r="H22" s="25">
        <v>89</v>
      </c>
      <c r="I22" s="25">
        <v>6</v>
      </c>
      <c r="J22" s="1"/>
    </row>
    <row r="23" spans="1:11" x14ac:dyDescent="0.2">
      <c r="A23" s="25">
        <f t="shared" si="0"/>
        <v>12</v>
      </c>
      <c r="B23" s="25">
        <v>199</v>
      </c>
      <c r="C23" s="25">
        <v>1</v>
      </c>
      <c r="D23" s="22" t="s">
        <v>124</v>
      </c>
      <c r="E23" s="11">
        <v>13571896</v>
      </c>
      <c r="F23" s="26">
        <v>1700000</v>
      </c>
      <c r="G23" s="10">
        <v>0.12525884000000001</v>
      </c>
      <c r="H23" s="25">
        <v>89</v>
      </c>
      <c r="I23" s="25">
        <v>6</v>
      </c>
      <c r="J23" s="1"/>
    </row>
    <row r="24" spans="1:11" x14ac:dyDescent="0.2">
      <c r="A24" s="25">
        <f t="shared" si="0"/>
        <v>13</v>
      </c>
      <c r="B24" s="25">
        <v>201</v>
      </c>
      <c r="C24" s="25">
        <v>1</v>
      </c>
      <c r="D24" s="22" t="s">
        <v>519</v>
      </c>
      <c r="E24" s="11">
        <v>567427</v>
      </c>
      <c r="F24" s="26">
        <v>75000</v>
      </c>
      <c r="G24" s="10">
        <v>0.13217559000000001</v>
      </c>
      <c r="H24" s="25">
        <v>89</v>
      </c>
      <c r="I24" s="25">
        <v>4</v>
      </c>
      <c r="J24" s="1"/>
    </row>
    <row r="25" spans="1:11" x14ac:dyDescent="0.2">
      <c r="A25" s="25">
        <f t="shared" si="0"/>
        <v>14</v>
      </c>
      <c r="B25" s="25">
        <v>202</v>
      </c>
      <c r="C25" s="25">
        <v>1</v>
      </c>
      <c r="D25" s="22" t="s">
        <v>520</v>
      </c>
      <c r="E25" s="11">
        <v>1068544</v>
      </c>
      <c r="F25" s="26">
        <v>60000</v>
      </c>
      <c r="G25" s="10">
        <v>5.615117E-2</v>
      </c>
      <c r="H25" s="25">
        <v>89</v>
      </c>
      <c r="I25" s="25">
        <v>99</v>
      </c>
      <c r="J25" s="1"/>
    </row>
    <row r="26" spans="1:11" x14ac:dyDescent="0.2">
      <c r="A26" s="25">
        <f t="shared" si="0"/>
        <v>15</v>
      </c>
      <c r="B26" s="25">
        <v>219</v>
      </c>
      <c r="C26" s="25">
        <v>1</v>
      </c>
      <c r="D26" s="22" t="s">
        <v>521</v>
      </c>
      <c r="E26" s="11">
        <v>650217</v>
      </c>
      <c r="F26" s="26">
        <v>45000</v>
      </c>
      <c r="G26" s="10">
        <v>6.9207660000000004E-2</v>
      </c>
      <c r="H26" s="25">
        <v>89</v>
      </c>
      <c r="I26" s="25">
        <v>2</v>
      </c>
      <c r="J26" s="1"/>
    </row>
    <row r="27" spans="1:11" x14ac:dyDescent="0.2">
      <c r="A27" s="25">
        <f t="shared" si="0"/>
        <v>16</v>
      </c>
      <c r="B27" s="25">
        <v>222</v>
      </c>
      <c r="C27" s="25">
        <v>1</v>
      </c>
      <c r="D27" s="22" t="s">
        <v>522</v>
      </c>
      <c r="E27" s="11">
        <v>712913</v>
      </c>
      <c r="F27" s="26">
        <v>40800</v>
      </c>
      <c r="G27" s="10">
        <v>5.722998E-2</v>
      </c>
      <c r="H27" s="25">
        <v>89</v>
      </c>
      <c r="I27" s="25">
        <v>99</v>
      </c>
      <c r="J27" s="1"/>
    </row>
    <row r="28" spans="1:11" x14ac:dyDescent="0.2">
      <c r="A28" s="25">
        <f t="shared" si="0"/>
        <v>17</v>
      </c>
      <c r="B28" s="25">
        <v>228</v>
      </c>
      <c r="C28" s="25">
        <v>1</v>
      </c>
      <c r="D28" s="22" t="s">
        <v>523</v>
      </c>
      <c r="E28" s="11">
        <v>819894</v>
      </c>
      <c r="F28" s="26">
        <v>200000</v>
      </c>
      <c r="G28" s="10">
        <v>0.24393397</v>
      </c>
      <c r="H28" s="25">
        <v>89</v>
      </c>
      <c r="I28" s="25">
        <v>5</v>
      </c>
      <c r="J28" s="1"/>
    </row>
    <row r="29" spans="1:11" x14ac:dyDescent="0.2">
      <c r="A29" s="25">
        <f t="shared" si="0"/>
        <v>18</v>
      </c>
      <c r="B29" s="25">
        <v>237</v>
      </c>
      <c r="C29" s="25">
        <v>1</v>
      </c>
      <c r="D29" s="22" t="s">
        <v>524</v>
      </c>
      <c r="E29" s="11">
        <v>1157545</v>
      </c>
      <c r="F29" s="26">
        <v>182749</v>
      </c>
      <c r="G29" s="10">
        <v>0.15787636999999999</v>
      </c>
      <c r="H29" s="25">
        <v>89</v>
      </c>
      <c r="I29" s="25">
        <v>5</v>
      </c>
      <c r="J29" s="1"/>
    </row>
    <row r="30" spans="1:11" x14ac:dyDescent="0.2">
      <c r="A30" s="25">
        <f t="shared" si="0"/>
        <v>19</v>
      </c>
      <c r="B30" s="25">
        <v>242</v>
      </c>
      <c r="C30" s="25">
        <v>1</v>
      </c>
      <c r="D30" s="22" t="s">
        <v>137</v>
      </c>
      <c r="E30" s="11">
        <v>856568</v>
      </c>
      <c r="F30" s="26">
        <v>100000</v>
      </c>
      <c r="G30" s="10">
        <v>0.11674495999999999</v>
      </c>
      <c r="H30" s="25">
        <v>89</v>
      </c>
      <c r="I30" s="25">
        <v>99</v>
      </c>
      <c r="J30" s="1"/>
    </row>
    <row r="31" spans="1:11" x14ac:dyDescent="0.2">
      <c r="A31" s="25">
        <f t="shared" si="0"/>
        <v>20</v>
      </c>
      <c r="B31" s="25">
        <v>243</v>
      </c>
      <c r="C31" s="25">
        <v>1</v>
      </c>
      <c r="D31" s="22" t="s">
        <v>525</v>
      </c>
      <c r="E31" s="11">
        <v>510372</v>
      </c>
      <c r="F31" s="26">
        <v>60000</v>
      </c>
      <c r="G31" s="10">
        <v>0.11756131</v>
      </c>
      <c r="H31" s="25">
        <v>89</v>
      </c>
      <c r="I31" s="25">
        <v>99</v>
      </c>
      <c r="J31" s="1"/>
    </row>
    <row r="32" spans="1:11" x14ac:dyDescent="0.2">
      <c r="A32" s="25">
        <f t="shared" si="0"/>
        <v>21</v>
      </c>
      <c r="B32" s="25">
        <v>245</v>
      </c>
      <c r="C32" s="25">
        <v>1</v>
      </c>
      <c r="D32" s="22" t="s">
        <v>526</v>
      </c>
      <c r="E32" s="11">
        <v>858007</v>
      </c>
      <c r="F32" s="26">
        <v>220000</v>
      </c>
      <c r="G32" s="10">
        <v>0.25640816</v>
      </c>
      <c r="H32" s="25">
        <v>89</v>
      </c>
      <c r="I32" s="25">
        <v>5</v>
      </c>
      <c r="J32" s="1"/>
    </row>
    <row r="33" spans="1:10" x14ac:dyDescent="0.2">
      <c r="A33" s="25">
        <f t="shared" si="0"/>
        <v>22</v>
      </c>
      <c r="B33" s="25">
        <v>272</v>
      </c>
      <c r="C33" s="25">
        <v>1</v>
      </c>
      <c r="D33" s="22" t="s">
        <v>146</v>
      </c>
      <c r="E33" s="11">
        <v>44199394</v>
      </c>
      <c r="F33" s="26">
        <v>1205894</v>
      </c>
      <c r="G33" s="10">
        <v>2.7283040000000001E-2</v>
      </c>
      <c r="H33" s="25">
        <v>89</v>
      </c>
      <c r="I33" s="25">
        <v>99</v>
      </c>
      <c r="J33" s="1"/>
    </row>
    <row r="34" spans="1:10" x14ac:dyDescent="0.2">
      <c r="A34" s="25">
        <f t="shared" si="0"/>
        <v>23</v>
      </c>
      <c r="B34" s="25">
        <v>277</v>
      </c>
      <c r="C34" s="25">
        <v>1</v>
      </c>
      <c r="D34" s="22" t="s">
        <v>149</v>
      </c>
      <c r="E34" s="11">
        <v>15872968</v>
      </c>
      <c r="F34" s="26">
        <v>821691.77</v>
      </c>
      <c r="G34" s="10">
        <v>5.1766739999999999E-2</v>
      </c>
      <c r="H34" s="25">
        <v>89</v>
      </c>
      <c r="I34" s="25">
        <v>5</v>
      </c>
      <c r="J34" s="1"/>
    </row>
    <row r="35" spans="1:10" x14ac:dyDescent="0.2">
      <c r="A35" s="25">
        <f t="shared" si="0"/>
        <v>24</v>
      </c>
      <c r="B35" s="25">
        <v>280</v>
      </c>
      <c r="C35" s="25">
        <v>1</v>
      </c>
      <c r="D35" s="22" t="s">
        <v>152</v>
      </c>
      <c r="E35" s="11">
        <v>30628936</v>
      </c>
      <c r="F35" s="26">
        <v>1909419</v>
      </c>
      <c r="G35" s="10">
        <v>6.2340359999999997E-2</v>
      </c>
      <c r="H35" s="25">
        <v>89</v>
      </c>
      <c r="I35" s="25">
        <v>99</v>
      </c>
      <c r="J35" s="1"/>
    </row>
    <row r="36" spans="1:10" x14ac:dyDescent="0.2">
      <c r="A36" s="25">
        <f t="shared" si="0"/>
        <v>25</v>
      </c>
      <c r="B36" s="25">
        <v>281</v>
      </c>
      <c r="C36" s="25">
        <v>1</v>
      </c>
      <c r="D36" s="22" t="s">
        <v>153</v>
      </c>
      <c r="E36" s="11">
        <v>73117511</v>
      </c>
      <c r="F36" s="26">
        <v>5390000</v>
      </c>
      <c r="G36" s="10">
        <v>7.3716950000000003E-2</v>
      </c>
      <c r="H36" s="25">
        <v>89</v>
      </c>
      <c r="I36" s="25">
        <v>99</v>
      </c>
      <c r="J36" s="1"/>
    </row>
    <row r="37" spans="1:10" x14ac:dyDescent="0.2">
      <c r="A37" s="25">
        <f t="shared" si="0"/>
        <v>26</v>
      </c>
      <c r="B37" s="25">
        <v>299</v>
      </c>
      <c r="C37" s="25">
        <v>1</v>
      </c>
      <c r="D37" s="22" t="s">
        <v>160</v>
      </c>
      <c r="E37" s="11">
        <v>1604271</v>
      </c>
      <c r="F37" s="26">
        <v>175000</v>
      </c>
      <c r="G37" s="10">
        <v>0.10908381</v>
      </c>
      <c r="H37" s="25">
        <v>89</v>
      </c>
      <c r="I37" s="25">
        <v>5</v>
      </c>
      <c r="J37" s="1"/>
    </row>
    <row r="38" spans="1:10" x14ac:dyDescent="0.2">
      <c r="A38" s="25">
        <f t="shared" si="0"/>
        <v>27</v>
      </c>
      <c r="B38" s="25">
        <v>308</v>
      </c>
      <c r="C38" s="25">
        <v>1</v>
      </c>
      <c r="D38" s="22" t="s">
        <v>163</v>
      </c>
      <c r="E38" s="11">
        <v>1570213</v>
      </c>
      <c r="F38" s="26">
        <v>102467</v>
      </c>
      <c r="G38" s="10">
        <v>6.5256750000000002E-2</v>
      </c>
      <c r="H38" s="25">
        <v>89</v>
      </c>
      <c r="I38" s="25">
        <v>99</v>
      </c>
      <c r="J38" s="1"/>
    </row>
    <row r="39" spans="1:10" x14ac:dyDescent="0.2">
      <c r="A39" s="25">
        <f t="shared" si="0"/>
        <v>28</v>
      </c>
      <c r="B39" s="25">
        <v>316</v>
      </c>
      <c r="C39" s="25">
        <v>1</v>
      </c>
      <c r="D39" s="22" t="s">
        <v>527</v>
      </c>
      <c r="E39" s="11">
        <v>2115398</v>
      </c>
      <c r="F39" s="26">
        <v>200336</v>
      </c>
      <c r="G39" s="10">
        <v>9.4703689999999993E-2</v>
      </c>
      <c r="H39" s="25">
        <v>89</v>
      </c>
      <c r="I39" s="25">
        <v>3</v>
      </c>
      <c r="J39" s="1"/>
    </row>
    <row r="40" spans="1:10" x14ac:dyDescent="0.2">
      <c r="A40" s="25">
        <f t="shared" si="0"/>
        <v>29</v>
      </c>
      <c r="B40" s="25">
        <v>319</v>
      </c>
      <c r="C40" s="25">
        <v>1</v>
      </c>
      <c r="D40" s="22" t="s">
        <v>169</v>
      </c>
      <c r="E40" s="11">
        <v>1162865</v>
      </c>
      <c r="F40" s="26">
        <v>163373</v>
      </c>
      <c r="G40" s="10">
        <v>0.14049171999999999</v>
      </c>
      <c r="H40" s="25">
        <v>89</v>
      </c>
      <c r="I40" s="25">
        <v>5</v>
      </c>
      <c r="J40" s="1"/>
    </row>
    <row r="41" spans="1:10" x14ac:dyDescent="0.2">
      <c r="A41" s="25">
        <f t="shared" si="0"/>
        <v>30</v>
      </c>
      <c r="B41" s="25">
        <v>324</v>
      </c>
      <c r="C41" s="25">
        <v>1</v>
      </c>
      <c r="D41" s="22" t="s">
        <v>528</v>
      </c>
      <c r="E41" s="11">
        <v>3139611</v>
      </c>
      <c r="F41" s="26">
        <v>150000</v>
      </c>
      <c r="G41" s="10">
        <v>4.7776619999999999E-2</v>
      </c>
      <c r="H41" s="25">
        <v>89</v>
      </c>
      <c r="I41" s="25">
        <v>2</v>
      </c>
      <c r="J41" s="1"/>
    </row>
    <row r="42" spans="1:10" x14ac:dyDescent="0.2">
      <c r="A42" s="25">
        <f t="shared" si="0"/>
        <v>31</v>
      </c>
      <c r="B42" s="25">
        <v>328</v>
      </c>
      <c r="C42" s="25">
        <v>1</v>
      </c>
      <c r="D42" s="22" t="s">
        <v>529</v>
      </c>
      <c r="E42" s="11">
        <v>497262</v>
      </c>
      <c r="F42" s="26">
        <v>90672</v>
      </c>
      <c r="G42" s="10">
        <v>0.18234251000000001</v>
      </c>
      <c r="H42" s="25">
        <v>89</v>
      </c>
      <c r="I42" s="25">
        <v>99</v>
      </c>
      <c r="J42" s="1"/>
    </row>
    <row r="43" spans="1:10" x14ac:dyDescent="0.2">
      <c r="A43" s="25">
        <f t="shared" si="0"/>
        <v>32</v>
      </c>
      <c r="B43" s="25">
        <v>330</v>
      </c>
      <c r="C43" s="25">
        <v>1</v>
      </c>
      <c r="D43" s="22" t="s">
        <v>171</v>
      </c>
      <c r="E43" s="11">
        <v>1252709</v>
      </c>
      <c r="F43" s="26">
        <v>150000</v>
      </c>
      <c r="G43" s="10">
        <v>0.1197405</v>
      </c>
      <c r="H43" s="25">
        <v>89</v>
      </c>
      <c r="I43" s="25">
        <v>99</v>
      </c>
      <c r="J43" s="1"/>
    </row>
    <row r="44" spans="1:10" x14ac:dyDescent="0.2">
      <c r="A44" s="25">
        <f t="shared" si="0"/>
        <v>33</v>
      </c>
      <c r="B44" s="25">
        <v>351</v>
      </c>
      <c r="C44" s="25">
        <v>1</v>
      </c>
      <c r="D44" s="22" t="s">
        <v>530</v>
      </c>
      <c r="E44" s="11">
        <v>1332149</v>
      </c>
      <c r="F44" s="26">
        <v>211000</v>
      </c>
      <c r="G44" s="10">
        <v>0.15839069</v>
      </c>
      <c r="H44" s="25">
        <v>89</v>
      </c>
      <c r="I44" s="25">
        <v>99</v>
      </c>
      <c r="J44" s="1"/>
    </row>
    <row r="45" spans="1:10" x14ac:dyDescent="0.2">
      <c r="A45" s="25">
        <f t="shared" si="0"/>
        <v>34</v>
      </c>
      <c r="B45" s="25">
        <v>352</v>
      </c>
      <c r="C45" s="25">
        <v>1</v>
      </c>
      <c r="D45" s="22" t="s">
        <v>531</v>
      </c>
      <c r="E45" s="11">
        <v>1297927</v>
      </c>
      <c r="F45" s="26">
        <v>200000</v>
      </c>
      <c r="G45" s="10">
        <v>0.15409186999999999</v>
      </c>
      <c r="H45" s="25">
        <v>89</v>
      </c>
      <c r="I45" s="25">
        <v>99</v>
      </c>
      <c r="J45" s="1"/>
    </row>
    <row r="46" spans="1:10" x14ac:dyDescent="0.2">
      <c r="A46" s="25">
        <f t="shared" si="0"/>
        <v>35</v>
      </c>
      <c r="B46" s="25">
        <v>354</v>
      </c>
      <c r="C46" s="25">
        <v>1</v>
      </c>
      <c r="D46" s="22" t="s">
        <v>532</v>
      </c>
      <c r="E46" s="11">
        <v>1652582</v>
      </c>
      <c r="F46" s="26">
        <v>397551</v>
      </c>
      <c r="G46" s="10">
        <v>0.24056354999999999</v>
      </c>
      <c r="H46" s="25">
        <v>89</v>
      </c>
      <c r="I46" s="25">
        <v>2</v>
      </c>
      <c r="J46" s="1"/>
    </row>
    <row r="47" spans="1:10" x14ac:dyDescent="0.2">
      <c r="A47" s="25">
        <f t="shared" si="0"/>
        <v>36</v>
      </c>
      <c r="B47" s="25">
        <v>356</v>
      </c>
      <c r="C47" s="25">
        <v>1</v>
      </c>
      <c r="D47" s="22" t="s">
        <v>176</v>
      </c>
      <c r="E47" s="11">
        <v>669812</v>
      </c>
      <c r="F47" s="26">
        <v>200000</v>
      </c>
      <c r="G47" s="10">
        <v>0.29859124999999997</v>
      </c>
      <c r="H47" s="25">
        <v>89</v>
      </c>
      <c r="I47" s="25">
        <v>99</v>
      </c>
      <c r="J47" s="1"/>
    </row>
    <row r="48" spans="1:10" x14ac:dyDescent="0.2">
      <c r="A48" s="25">
        <f t="shared" si="0"/>
        <v>37</v>
      </c>
      <c r="B48" s="25">
        <v>394</v>
      </c>
      <c r="C48" s="25">
        <v>1</v>
      </c>
      <c r="D48" s="22" t="s">
        <v>186</v>
      </c>
      <c r="E48" s="11">
        <v>1919113</v>
      </c>
      <c r="F48" s="26">
        <v>125000</v>
      </c>
      <c r="G48" s="10">
        <v>6.5134259999999999E-2</v>
      </c>
      <c r="H48" s="25">
        <v>89</v>
      </c>
      <c r="I48" s="25">
        <v>99</v>
      </c>
      <c r="J48" s="1"/>
    </row>
    <row r="49" spans="1:11" x14ac:dyDescent="0.2">
      <c r="A49" s="25">
        <f t="shared" si="0"/>
        <v>38</v>
      </c>
      <c r="B49" s="25">
        <v>408</v>
      </c>
      <c r="C49" s="25">
        <v>1</v>
      </c>
      <c r="D49" s="22" t="s">
        <v>533</v>
      </c>
      <c r="E49" s="11">
        <v>268380</v>
      </c>
      <c r="F49" s="26">
        <v>85178</v>
      </c>
      <c r="G49" s="10">
        <v>0.31737833999999998</v>
      </c>
      <c r="H49" s="25">
        <v>89</v>
      </c>
      <c r="I49" s="25">
        <v>99</v>
      </c>
      <c r="J49" s="1"/>
    </row>
    <row r="50" spans="1:11" x14ac:dyDescent="0.2">
      <c r="A50" s="25">
        <f t="shared" si="0"/>
        <v>39</v>
      </c>
      <c r="B50" s="25">
        <v>411</v>
      </c>
      <c r="C50" s="25">
        <v>1</v>
      </c>
      <c r="D50" s="22" t="s">
        <v>191</v>
      </c>
      <c r="E50" s="11">
        <v>977511</v>
      </c>
      <c r="F50" s="26">
        <v>106135</v>
      </c>
      <c r="G50" s="10">
        <v>0.10857678</v>
      </c>
      <c r="H50" s="25">
        <v>89</v>
      </c>
      <c r="I50" s="25">
        <v>5</v>
      </c>
      <c r="J50" s="1"/>
    </row>
    <row r="51" spans="1:11" x14ac:dyDescent="0.2">
      <c r="A51" s="25">
        <f t="shared" si="0"/>
        <v>40</v>
      </c>
      <c r="B51" s="25">
        <v>414</v>
      </c>
      <c r="C51" s="25">
        <v>1</v>
      </c>
      <c r="D51" s="22" t="s">
        <v>193</v>
      </c>
      <c r="E51" s="11">
        <v>1203614</v>
      </c>
      <c r="F51" s="26">
        <v>67000</v>
      </c>
      <c r="G51" s="10">
        <v>5.5665689999999997E-2</v>
      </c>
      <c r="H51" s="25">
        <v>89</v>
      </c>
      <c r="I51" s="25">
        <v>99</v>
      </c>
      <c r="J51" s="1"/>
    </row>
    <row r="52" spans="1:11" x14ac:dyDescent="0.2">
      <c r="A52" s="25">
        <f t="shared" si="0"/>
        <v>41</v>
      </c>
      <c r="B52" s="25">
        <v>444</v>
      </c>
      <c r="C52" s="25">
        <v>1</v>
      </c>
      <c r="D52" s="22" t="s">
        <v>534</v>
      </c>
      <c r="E52" s="11">
        <v>296792</v>
      </c>
      <c r="F52" s="26">
        <v>150000</v>
      </c>
      <c r="G52" s="10">
        <v>0.50540446000000006</v>
      </c>
      <c r="H52" s="25">
        <v>89</v>
      </c>
      <c r="I52" s="25">
        <v>3</v>
      </c>
      <c r="J52" s="1"/>
    </row>
    <row r="53" spans="1:11" x14ac:dyDescent="0.2">
      <c r="A53" s="25">
        <f t="shared" si="0"/>
        <v>42</v>
      </c>
      <c r="B53" s="25">
        <v>446</v>
      </c>
      <c r="C53" s="25">
        <v>1</v>
      </c>
      <c r="D53" s="22" t="s">
        <v>535</v>
      </c>
      <c r="E53" s="11">
        <v>2160269</v>
      </c>
      <c r="F53" s="26">
        <v>343000</v>
      </c>
      <c r="G53" s="10">
        <v>0.15877652</v>
      </c>
      <c r="H53" s="25">
        <v>89</v>
      </c>
      <c r="I53" s="25">
        <v>99</v>
      </c>
      <c r="J53" s="1"/>
    </row>
    <row r="54" spans="1:11" x14ac:dyDescent="0.2">
      <c r="A54" s="25">
        <f t="shared" si="0"/>
        <v>43</v>
      </c>
      <c r="B54" s="25">
        <v>457</v>
      </c>
      <c r="C54" s="25">
        <v>1</v>
      </c>
      <c r="D54" s="22" t="s">
        <v>536</v>
      </c>
      <c r="E54" s="11">
        <v>1656672</v>
      </c>
      <c r="F54" s="26">
        <v>139728</v>
      </c>
      <c r="G54" s="10">
        <v>8.4342589999999995E-2</v>
      </c>
      <c r="H54" s="25">
        <v>89</v>
      </c>
      <c r="I54" s="25">
        <v>99</v>
      </c>
      <c r="J54" s="1"/>
    </row>
    <row r="55" spans="1:11" x14ac:dyDescent="0.2">
      <c r="A55" s="25">
        <f t="shared" si="0"/>
        <v>44</v>
      </c>
      <c r="B55" s="25">
        <v>464</v>
      </c>
      <c r="C55" s="25">
        <v>1</v>
      </c>
      <c r="D55" s="22" t="s">
        <v>537</v>
      </c>
      <c r="E55" s="11">
        <v>680058</v>
      </c>
      <c r="F55" s="26">
        <v>175000</v>
      </c>
      <c r="G55" s="10">
        <v>0.25733098999999998</v>
      </c>
      <c r="H55" s="25">
        <v>89</v>
      </c>
      <c r="I55" s="25">
        <v>7</v>
      </c>
      <c r="J55" s="1"/>
    </row>
    <row r="56" spans="1:11" x14ac:dyDescent="0.2">
      <c r="A56" s="25">
        <f t="shared" si="0"/>
        <v>45</v>
      </c>
      <c r="B56" s="25">
        <v>466</v>
      </c>
      <c r="C56" s="25">
        <v>1</v>
      </c>
      <c r="D56" s="22" t="s">
        <v>206</v>
      </c>
      <c r="E56" s="11">
        <v>3126744</v>
      </c>
      <c r="F56" s="26">
        <v>0</v>
      </c>
      <c r="G56" s="10">
        <v>0</v>
      </c>
      <c r="H56" s="25">
        <v>90</v>
      </c>
      <c r="I56" s="25">
        <v>5</v>
      </c>
      <c r="J56" s="23" t="s">
        <v>538</v>
      </c>
      <c r="K56" s="22" t="s">
        <v>539</v>
      </c>
    </row>
    <row r="57" spans="1:11" x14ac:dyDescent="0.2">
      <c r="A57" s="25">
        <f t="shared" si="0"/>
        <v>46</v>
      </c>
      <c r="B57" s="25">
        <v>492</v>
      </c>
      <c r="C57" s="25">
        <v>1</v>
      </c>
      <c r="D57" s="22" t="s">
        <v>215</v>
      </c>
      <c r="E57" s="11">
        <v>9994370</v>
      </c>
      <c r="F57" s="26">
        <v>915000</v>
      </c>
      <c r="G57" s="10">
        <v>9.1551540000000001E-2</v>
      </c>
      <c r="H57" s="25">
        <v>89</v>
      </c>
      <c r="I57" s="25">
        <v>5</v>
      </c>
      <c r="J57" s="1"/>
      <c r="K57" s="22" t="s">
        <v>540</v>
      </c>
    </row>
    <row r="58" spans="1:11" x14ac:dyDescent="0.2">
      <c r="A58" s="25">
        <f t="shared" si="0"/>
        <v>47</v>
      </c>
      <c r="B58" s="25">
        <v>516</v>
      </c>
      <c r="C58" s="25">
        <v>1</v>
      </c>
      <c r="D58" s="22" t="s">
        <v>226</v>
      </c>
      <c r="E58" s="11">
        <v>524534</v>
      </c>
      <c r="F58" s="26">
        <v>70000</v>
      </c>
      <c r="G58" s="10">
        <v>0.13345178999999999</v>
      </c>
      <c r="H58" s="25">
        <v>89</v>
      </c>
      <c r="I58" s="25">
        <v>99</v>
      </c>
      <c r="J58" s="1"/>
    </row>
    <row r="59" spans="1:11" x14ac:dyDescent="0.2">
      <c r="A59" s="25">
        <f t="shared" si="0"/>
        <v>48</v>
      </c>
      <c r="B59" s="25">
        <v>523</v>
      </c>
      <c r="C59" s="25">
        <v>1</v>
      </c>
      <c r="D59" s="22" t="s">
        <v>541</v>
      </c>
      <c r="E59" s="11">
        <v>471902</v>
      </c>
      <c r="F59" s="26">
        <v>75000</v>
      </c>
      <c r="G59" s="10">
        <v>0.1589313</v>
      </c>
      <c r="H59" s="25">
        <v>89</v>
      </c>
      <c r="I59" s="25">
        <v>99</v>
      </c>
      <c r="J59" s="1"/>
    </row>
    <row r="60" spans="1:11" x14ac:dyDescent="0.2">
      <c r="A60" s="25">
        <f t="shared" si="0"/>
        <v>49</v>
      </c>
      <c r="B60" s="25">
        <v>526</v>
      </c>
      <c r="C60" s="25">
        <v>1</v>
      </c>
      <c r="D60" s="22" t="s">
        <v>542</v>
      </c>
      <c r="E60" s="11">
        <v>643790</v>
      </c>
      <c r="F60" s="26">
        <v>110000</v>
      </c>
      <c r="G60" s="10">
        <v>0.17086317000000001</v>
      </c>
      <c r="H60" s="25">
        <v>89</v>
      </c>
      <c r="I60" s="25">
        <v>99</v>
      </c>
      <c r="J60" s="1"/>
    </row>
    <row r="61" spans="1:11" x14ac:dyDescent="0.2">
      <c r="A61" s="25">
        <f t="shared" si="0"/>
        <v>50</v>
      </c>
      <c r="B61" s="25">
        <v>535</v>
      </c>
      <c r="C61" s="25">
        <v>1</v>
      </c>
      <c r="D61" s="22" t="s">
        <v>231</v>
      </c>
      <c r="E61" s="11">
        <v>48217042</v>
      </c>
      <c r="F61" s="26">
        <v>4800913</v>
      </c>
      <c r="G61" s="10">
        <v>9.9568799999999999E-2</v>
      </c>
      <c r="H61" s="25">
        <v>89</v>
      </c>
      <c r="I61" s="25">
        <v>99</v>
      </c>
      <c r="J61" s="1"/>
    </row>
    <row r="62" spans="1:11" x14ac:dyDescent="0.2">
      <c r="A62" s="25">
        <f t="shared" si="0"/>
        <v>51</v>
      </c>
      <c r="B62" s="25">
        <v>550</v>
      </c>
      <c r="C62" s="25">
        <v>1</v>
      </c>
      <c r="D62" s="22" t="s">
        <v>238</v>
      </c>
      <c r="E62" s="11">
        <v>626558</v>
      </c>
      <c r="F62" s="26">
        <v>85000</v>
      </c>
      <c r="G62" s="10">
        <v>0.13566181999999999</v>
      </c>
      <c r="H62" s="25">
        <v>89</v>
      </c>
      <c r="I62" s="25">
        <v>5</v>
      </c>
      <c r="J62" s="1"/>
    </row>
    <row r="63" spans="1:11" x14ac:dyDescent="0.2">
      <c r="A63" s="25">
        <f t="shared" si="0"/>
        <v>52</v>
      </c>
      <c r="B63" s="25">
        <v>564</v>
      </c>
      <c r="C63" s="25">
        <v>1</v>
      </c>
      <c r="D63" s="22" t="s">
        <v>241</v>
      </c>
      <c r="E63" s="11">
        <v>4474932</v>
      </c>
      <c r="F63" s="26">
        <v>400000</v>
      </c>
      <c r="G63" s="10">
        <v>8.938683E-2</v>
      </c>
      <c r="H63" s="25">
        <v>89</v>
      </c>
      <c r="I63" s="25">
        <v>99</v>
      </c>
      <c r="J63" s="1"/>
    </row>
    <row r="64" spans="1:11" x14ac:dyDescent="0.2">
      <c r="A64" s="25">
        <f t="shared" si="0"/>
        <v>53</v>
      </c>
      <c r="B64" s="25">
        <v>621</v>
      </c>
      <c r="C64" s="25">
        <v>1</v>
      </c>
      <c r="D64" s="22" t="s">
        <v>253</v>
      </c>
      <c r="E64" s="11">
        <v>62146730</v>
      </c>
      <c r="F64" s="26">
        <v>4900000</v>
      </c>
      <c r="G64" s="10">
        <v>7.8845659999999998E-2</v>
      </c>
      <c r="H64" s="25">
        <v>89</v>
      </c>
      <c r="I64" s="25">
        <v>99</v>
      </c>
      <c r="J64" s="1"/>
    </row>
    <row r="65" spans="1:11" x14ac:dyDescent="0.2">
      <c r="A65" s="25">
        <f t="shared" si="0"/>
        <v>54</v>
      </c>
      <c r="B65" s="25">
        <v>623</v>
      </c>
      <c r="C65" s="25">
        <v>1</v>
      </c>
      <c r="D65" s="22" t="s">
        <v>255</v>
      </c>
      <c r="E65" s="11">
        <v>45893474</v>
      </c>
      <c r="F65" s="26">
        <v>3997037</v>
      </c>
      <c r="G65" s="10">
        <v>8.7093799999999999E-2</v>
      </c>
      <c r="H65" s="25">
        <v>89</v>
      </c>
      <c r="I65" s="25">
        <v>99</v>
      </c>
      <c r="J65" s="1"/>
    </row>
    <row r="66" spans="1:11" x14ac:dyDescent="0.2">
      <c r="A66" s="25">
        <f t="shared" si="0"/>
        <v>55</v>
      </c>
      <c r="B66" s="25">
        <v>624</v>
      </c>
      <c r="C66" s="25">
        <v>1</v>
      </c>
      <c r="D66" s="22" t="s">
        <v>256</v>
      </c>
      <c r="E66" s="11">
        <v>29498102</v>
      </c>
      <c r="F66" s="26">
        <v>3014973</v>
      </c>
      <c r="G66" s="10">
        <v>0.10220905</v>
      </c>
      <c r="H66" s="25">
        <v>89</v>
      </c>
      <c r="I66" s="25">
        <v>5</v>
      </c>
      <c r="J66" s="1"/>
    </row>
    <row r="67" spans="1:11" x14ac:dyDescent="0.2">
      <c r="A67" s="25">
        <f t="shared" si="0"/>
        <v>56</v>
      </c>
      <c r="B67" s="25">
        <v>631</v>
      </c>
      <c r="C67" s="25">
        <v>1</v>
      </c>
      <c r="D67" s="22" t="s">
        <v>543</v>
      </c>
      <c r="E67" s="11">
        <v>505450</v>
      </c>
      <c r="F67" s="26">
        <v>200000</v>
      </c>
      <c r="G67" s="10">
        <v>0.39568701000000001</v>
      </c>
      <c r="H67" s="25">
        <v>89</v>
      </c>
      <c r="I67" s="25">
        <v>99</v>
      </c>
      <c r="J67" s="1"/>
    </row>
    <row r="68" spans="1:11" x14ac:dyDescent="0.2">
      <c r="A68" s="25">
        <f t="shared" si="0"/>
        <v>57</v>
      </c>
      <c r="B68" s="25">
        <v>633</v>
      </c>
      <c r="C68" s="25">
        <v>1</v>
      </c>
      <c r="D68" s="22" t="s">
        <v>544</v>
      </c>
      <c r="E68" s="11">
        <v>968849</v>
      </c>
      <c r="F68" s="26">
        <v>100000</v>
      </c>
      <c r="G68" s="10">
        <v>0.10321526</v>
      </c>
      <c r="H68" s="25">
        <v>89</v>
      </c>
      <c r="I68" s="25">
        <v>5</v>
      </c>
      <c r="J68" s="1"/>
    </row>
    <row r="69" spans="1:11" x14ac:dyDescent="0.2">
      <c r="A69" s="25">
        <f t="shared" si="0"/>
        <v>58</v>
      </c>
      <c r="B69" s="25">
        <v>636</v>
      </c>
      <c r="C69" s="25">
        <v>1</v>
      </c>
      <c r="D69" s="22" t="s">
        <v>545</v>
      </c>
      <c r="E69" s="11">
        <v>1274188</v>
      </c>
      <c r="F69" s="26">
        <v>108574</v>
      </c>
      <c r="G69" s="10">
        <v>8.5210350000000004E-2</v>
      </c>
      <c r="H69" s="25">
        <v>89</v>
      </c>
      <c r="I69" s="25">
        <v>99</v>
      </c>
      <c r="J69" s="1"/>
    </row>
    <row r="70" spans="1:11" x14ac:dyDescent="0.2">
      <c r="A70" s="25">
        <f t="shared" si="0"/>
        <v>59</v>
      </c>
      <c r="B70" s="25">
        <v>651</v>
      </c>
      <c r="C70" s="25">
        <v>1</v>
      </c>
      <c r="D70" s="22" t="s">
        <v>546</v>
      </c>
      <c r="E70" s="11">
        <v>1340573</v>
      </c>
      <c r="F70" s="26">
        <v>147749</v>
      </c>
      <c r="G70" s="10">
        <v>0.11021332</v>
      </c>
      <c r="H70" s="25">
        <v>89</v>
      </c>
      <c r="I70" s="25">
        <v>99</v>
      </c>
      <c r="J70" s="1"/>
    </row>
    <row r="71" spans="1:11" x14ac:dyDescent="0.2">
      <c r="A71" s="25">
        <f t="shared" si="0"/>
        <v>60</v>
      </c>
      <c r="B71" s="25">
        <v>670</v>
      </c>
      <c r="C71" s="25">
        <v>1</v>
      </c>
      <c r="D71" s="22" t="s">
        <v>364</v>
      </c>
      <c r="E71" s="11">
        <v>2253311</v>
      </c>
      <c r="F71" s="26">
        <v>176054</v>
      </c>
      <c r="G71" s="10">
        <v>7.8131249999999999E-2</v>
      </c>
      <c r="H71" s="25">
        <v>89</v>
      </c>
      <c r="I71" s="25">
        <v>99</v>
      </c>
      <c r="J71" s="1"/>
    </row>
    <row r="72" spans="1:11" x14ac:dyDescent="0.2">
      <c r="A72" s="25">
        <f t="shared" si="0"/>
        <v>61</v>
      </c>
      <c r="B72" s="25">
        <v>676</v>
      </c>
      <c r="C72" s="25">
        <v>1</v>
      </c>
      <c r="D72" s="22" t="s">
        <v>266</v>
      </c>
      <c r="E72" s="11">
        <v>450513</v>
      </c>
      <c r="F72" s="26">
        <v>400000</v>
      </c>
      <c r="G72" s="10">
        <v>0.88787671000000001</v>
      </c>
      <c r="H72" s="25">
        <v>89</v>
      </c>
      <c r="I72" s="25">
        <v>2</v>
      </c>
      <c r="J72" s="1"/>
    </row>
    <row r="73" spans="1:11" x14ac:dyDescent="0.2">
      <c r="A73" s="25">
        <f t="shared" si="0"/>
        <v>62</v>
      </c>
      <c r="B73" s="25">
        <v>698</v>
      </c>
      <c r="C73" s="25">
        <v>1</v>
      </c>
      <c r="D73" s="22" t="s">
        <v>271</v>
      </c>
      <c r="E73" s="11">
        <v>1480126</v>
      </c>
      <c r="F73" s="26">
        <v>105718.27</v>
      </c>
      <c r="G73" s="10">
        <v>7.1425180000000005E-2</v>
      </c>
      <c r="H73" s="25">
        <v>89</v>
      </c>
      <c r="I73" s="25">
        <v>99</v>
      </c>
      <c r="J73" s="1"/>
    </row>
    <row r="74" spans="1:11" x14ac:dyDescent="0.2">
      <c r="A74" s="25">
        <f t="shared" si="0"/>
        <v>63</v>
      </c>
      <c r="B74" s="25">
        <v>710</v>
      </c>
      <c r="C74" s="25">
        <v>1</v>
      </c>
      <c r="D74" s="22" t="s">
        <v>346</v>
      </c>
      <c r="E74" s="11">
        <v>6938292</v>
      </c>
      <c r="F74" s="26">
        <v>352160</v>
      </c>
      <c r="G74" s="10">
        <v>5.0756009999999997E-2</v>
      </c>
      <c r="H74" s="25">
        <v>89</v>
      </c>
      <c r="I74" s="25">
        <v>99</v>
      </c>
      <c r="J74" s="1"/>
    </row>
    <row r="75" spans="1:11" x14ac:dyDescent="0.2">
      <c r="A75" s="25">
        <f t="shared" si="0"/>
        <v>64</v>
      </c>
      <c r="B75" s="25">
        <v>712</v>
      </c>
      <c r="C75" s="25">
        <v>1</v>
      </c>
      <c r="D75" s="22" t="s">
        <v>278</v>
      </c>
      <c r="E75" s="11">
        <v>1834566</v>
      </c>
      <c r="F75" s="26">
        <v>400000</v>
      </c>
      <c r="G75" s="10">
        <v>0.21803522</v>
      </c>
      <c r="H75" s="25">
        <v>89</v>
      </c>
      <c r="I75" s="25">
        <v>3</v>
      </c>
      <c r="J75" s="1"/>
    </row>
    <row r="76" spans="1:11" x14ac:dyDescent="0.2">
      <c r="A76" s="25">
        <f t="shared" si="0"/>
        <v>65</v>
      </c>
      <c r="B76" s="25">
        <v>719</v>
      </c>
      <c r="C76" s="25">
        <v>1</v>
      </c>
      <c r="D76" s="22" t="s">
        <v>281</v>
      </c>
      <c r="E76" s="11">
        <v>9269350</v>
      </c>
      <c r="F76" s="26">
        <v>500000</v>
      </c>
      <c r="G76" s="10">
        <v>5.3941210000000003E-2</v>
      </c>
      <c r="H76" s="25">
        <v>89</v>
      </c>
      <c r="I76" s="25">
        <v>2</v>
      </c>
      <c r="J76" s="1"/>
    </row>
    <row r="77" spans="1:11" x14ac:dyDescent="0.2">
      <c r="A77" s="25">
        <f t="shared" ref="A77:A86" si="1">A76+1</f>
        <v>66</v>
      </c>
      <c r="B77" s="25">
        <v>720</v>
      </c>
      <c r="C77" s="25">
        <v>1</v>
      </c>
      <c r="D77" s="22" t="s">
        <v>282</v>
      </c>
      <c r="E77" s="11">
        <v>9610583</v>
      </c>
      <c r="F77" s="26">
        <v>1880000</v>
      </c>
      <c r="G77" s="10">
        <v>0.19561769000000001</v>
      </c>
      <c r="H77" s="25">
        <v>89</v>
      </c>
      <c r="I77" s="25">
        <v>3</v>
      </c>
      <c r="J77" s="23" t="s">
        <v>547</v>
      </c>
      <c r="K77" s="22" t="s">
        <v>548</v>
      </c>
    </row>
    <row r="78" spans="1:11" x14ac:dyDescent="0.2">
      <c r="A78" s="25">
        <f t="shared" si="1"/>
        <v>67</v>
      </c>
      <c r="B78" s="25">
        <v>726</v>
      </c>
      <c r="C78" s="25">
        <v>1</v>
      </c>
      <c r="D78" s="22" t="s">
        <v>284</v>
      </c>
      <c r="E78" s="11">
        <v>36111640</v>
      </c>
      <c r="F78" s="26">
        <v>2071044</v>
      </c>
      <c r="G78" s="10">
        <v>5.7351149999999997E-2</v>
      </c>
      <c r="H78" s="25">
        <v>89</v>
      </c>
      <c r="I78" s="25">
        <v>99</v>
      </c>
      <c r="J78" s="1"/>
      <c r="K78" s="22" t="s">
        <v>549</v>
      </c>
    </row>
    <row r="79" spans="1:11" x14ac:dyDescent="0.2">
      <c r="A79" s="25">
        <f t="shared" si="1"/>
        <v>68</v>
      </c>
      <c r="B79" s="25">
        <v>737</v>
      </c>
      <c r="C79" s="25">
        <v>1</v>
      </c>
      <c r="D79" s="22" t="s">
        <v>550</v>
      </c>
      <c r="E79" s="11">
        <v>862739</v>
      </c>
      <c r="F79" s="26">
        <v>107260.88</v>
      </c>
      <c r="G79" s="10">
        <v>0.12432599</v>
      </c>
      <c r="H79" s="25">
        <v>89</v>
      </c>
      <c r="I79" s="25">
        <v>5</v>
      </c>
      <c r="J79" s="1"/>
      <c r="K79" s="22" t="s">
        <v>551</v>
      </c>
    </row>
    <row r="80" spans="1:11" x14ac:dyDescent="0.2">
      <c r="A80" s="25">
        <f t="shared" si="1"/>
        <v>69</v>
      </c>
      <c r="B80" s="25">
        <v>743</v>
      </c>
      <c r="C80" s="25">
        <v>1</v>
      </c>
      <c r="D80" s="22" t="s">
        <v>292</v>
      </c>
      <c r="E80" s="11">
        <v>2402265</v>
      </c>
      <c r="F80" s="26">
        <v>180000</v>
      </c>
      <c r="G80" s="10">
        <v>7.4929289999999996E-2</v>
      </c>
      <c r="H80" s="25">
        <v>89</v>
      </c>
      <c r="I80" s="25">
        <v>5</v>
      </c>
      <c r="J80" s="1"/>
    </row>
    <row r="81" spans="1:11" x14ac:dyDescent="0.2">
      <c r="A81" s="25">
        <f t="shared" si="1"/>
        <v>70</v>
      </c>
      <c r="B81" s="25">
        <v>748</v>
      </c>
      <c r="C81" s="25">
        <v>1</v>
      </c>
      <c r="D81" s="22" t="s">
        <v>294</v>
      </c>
      <c r="E81" s="11">
        <v>3624785</v>
      </c>
      <c r="F81" s="26">
        <v>0</v>
      </c>
      <c r="G81" s="10">
        <v>0</v>
      </c>
      <c r="H81" s="25">
        <v>90</v>
      </c>
      <c r="I81" s="25">
        <v>5</v>
      </c>
      <c r="J81" s="23" t="s">
        <v>552</v>
      </c>
      <c r="K81" s="22" t="s">
        <v>553</v>
      </c>
    </row>
    <row r="82" spans="1:11" x14ac:dyDescent="0.2">
      <c r="A82" s="25">
        <f t="shared" si="1"/>
        <v>71</v>
      </c>
      <c r="B82" s="25">
        <v>801</v>
      </c>
      <c r="C82" s="25">
        <v>1</v>
      </c>
      <c r="D82" s="22" t="s">
        <v>306</v>
      </c>
      <c r="E82" s="11">
        <v>337248</v>
      </c>
      <c r="F82" s="26">
        <v>65000</v>
      </c>
      <c r="G82" s="10">
        <v>0.19273650000000001</v>
      </c>
      <c r="H82" s="25">
        <v>89</v>
      </c>
      <c r="I82" s="25">
        <v>99</v>
      </c>
      <c r="J82" s="1"/>
      <c r="K82" s="22" t="s">
        <v>554</v>
      </c>
    </row>
    <row r="83" spans="1:11" x14ac:dyDescent="0.2">
      <c r="A83" s="25">
        <f t="shared" si="1"/>
        <v>72</v>
      </c>
      <c r="B83" s="25">
        <v>803</v>
      </c>
      <c r="C83" s="25">
        <v>1</v>
      </c>
      <c r="D83" s="22" t="s">
        <v>307</v>
      </c>
      <c r="E83" s="11">
        <v>2022513</v>
      </c>
      <c r="F83" s="26">
        <v>280000</v>
      </c>
      <c r="G83" s="10">
        <f>ROUND(F83/E83,8)</f>
        <v>0.13844163000000001</v>
      </c>
      <c r="H83" s="25">
        <v>90</v>
      </c>
      <c r="I83" s="25">
        <v>99</v>
      </c>
      <c r="J83" s="1"/>
    </row>
    <row r="84" spans="1:11" x14ac:dyDescent="0.2">
      <c r="A84" s="25">
        <f t="shared" si="1"/>
        <v>73</v>
      </c>
      <c r="B84" s="25">
        <v>852</v>
      </c>
      <c r="C84" s="25">
        <v>1</v>
      </c>
      <c r="D84" s="22" t="s">
        <v>555</v>
      </c>
      <c r="E84" s="11">
        <v>1715977</v>
      </c>
      <c r="F84" s="26">
        <v>203832</v>
      </c>
      <c r="G84" s="10">
        <v>0.11878481</v>
      </c>
      <c r="H84" s="25">
        <v>89</v>
      </c>
      <c r="I84" s="25">
        <v>4</v>
      </c>
      <c r="J84" s="1"/>
    </row>
    <row r="85" spans="1:11" x14ac:dyDescent="0.2">
      <c r="A85" s="25">
        <f t="shared" si="1"/>
        <v>74</v>
      </c>
      <c r="B85" s="25">
        <v>876</v>
      </c>
      <c r="C85" s="25">
        <v>1</v>
      </c>
      <c r="D85" s="22" t="s">
        <v>330</v>
      </c>
      <c r="E85" s="11">
        <v>4570535</v>
      </c>
      <c r="F85" s="26">
        <v>242814</v>
      </c>
      <c r="G85" s="10">
        <v>5.3125949999999998E-2</v>
      </c>
      <c r="H85" s="25">
        <v>89</v>
      </c>
      <c r="I85" s="25">
        <v>99</v>
      </c>
      <c r="J85" s="1"/>
    </row>
    <row r="86" spans="1:11" x14ac:dyDescent="0.2">
      <c r="A86" s="25">
        <f t="shared" si="1"/>
        <v>75</v>
      </c>
      <c r="B86" s="25">
        <v>883</v>
      </c>
      <c r="C86" s="25">
        <v>1</v>
      </c>
      <c r="D86" s="22" t="s">
        <v>335</v>
      </c>
      <c r="E86" s="11">
        <v>2787329</v>
      </c>
      <c r="F86" s="26">
        <v>181571.25</v>
      </c>
      <c r="G86" s="10">
        <v>6.5141660000000004E-2</v>
      </c>
      <c r="H86" s="25">
        <v>89</v>
      </c>
      <c r="I86" s="25">
        <v>99</v>
      </c>
      <c r="J86" s="1"/>
    </row>
    <row r="87" spans="1:11" x14ac:dyDescent="0.2">
      <c r="J87" s="1"/>
    </row>
    <row r="88" spans="1:11" x14ac:dyDescent="0.2">
      <c r="J88" s="1"/>
    </row>
    <row r="89" spans="1:11" x14ac:dyDescent="0.2">
      <c r="B89" s="22" t="s">
        <v>556</v>
      </c>
      <c r="J89" s="1"/>
    </row>
    <row r="90" spans="1:11" x14ac:dyDescent="0.2">
      <c r="J90" s="1"/>
    </row>
    <row r="91" spans="1:11" x14ac:dyDescent="0.2">
      <c r="E91" s="23" t="s">
        <v>36</v>
      </c>
      <c r="J91" s="1"/>
    </row>
    <row r="92" spans="1:11" x14ac:dyDescent="0.2">
      <c r="E92" s="23" t="s">
        <v>58</v>
      </c>
      <c r="J92" s="1"/>
    </row>
    <row r="93" spans="1:11" x14ac:dyDescent="0.2">
      <c r="B93" s="22" t="s">
        <v>557</v>
      </c>
      <c r="D93" s="22" t="s">
        <v>558</v>
      </c>
      <c r="E93" s="23" t="s">
        <v>559</v>
      </c>
      <c r="F93" s="23" t="s">
        <v>509</v>
      </c>
      <c r="G93" s="23" t="s">
        <v>426</v>
      </c>
      <c r="J93" s="1"/>
    </row>
    <row r="94" spans="1:11" x14ac:dyDescent="0.2">
      <c r="J94" s="1"/>
    </row>
    <row r="95" spans="1:11" x14ac:dyDescent="0.2">
      <c r="A95" s="25">
        <v>1</v>
      </c>
      <c r="B95" s="25">
        <v>1</v>
      </c>
      <c r="C95" s="25">
        <v>3</v>
      </c>
      <c r="D95" s="22" t="s">
        <v>64</v>
      </c>
      <c r="E95" s="25">
        <v>91</v>
      </c>
      <c r="F95" s="23" t="s">
        <v>560</v>
      </c>
      <c r="G95" s="10">
        <v>6.9000000000000006E-2</v>
      </c>
      <c r="J95" s="1"/>
    </row>
    <row r="96" spans="1:11" x14ac:dyDescent="0.2">
      <c r="A96" s="25">
        <v>2</v>
      </c>
      <c r="B96" s="25">
        <v>13</v>
      </c>
      <c r="C96" s="25">
        <v>1</v>
      </c>
      <c r="D96" s="22" t="s">
        <v>70</v>
      </c>
      <c r="E96" s="25">
        <v>91</v>
      </c>
      <c r="F96" s="23" t="s">
        <v>561</v>
      </c>
      <c r="G96" s="10">
        <v>0.08</v>
      </c>
      <c r="J96" s="1"/>
    </row>
    <row r="97" spans="1:10" x14ac:dyDescent="0.2">
      <c r="A97" s="25">
        <v>3</v>
      </c>
      <c r="B97" s="25">
        <v>72</v>
      </c>
      <c r="C97" s="25">
        <v>1</v>
      </c>
      <c r="D97" s="22" t="s">
        <v>512</v>
      </c>
      <c r="E97" s="25">
        <v>91</v>
      </c>
      <c r="F97" s="25">
        <v>4</v>
      </c>
      <c r="G97" s="10">
        <v>-0.26867700345311862</v>
      </c>
      <c r="J97" s="1"/>
    </row>
    <row r="98" spans="1:10" x14ac:dyDescent="0.2">
      <c r="A98" s="25">
        <v>4</v>
      </c>
      <c r="B98" s="25">
        <v>81</v>
      </c>
      <c r="C98" s="25">
        <v>1</v>
      </c>
      <c r="D98" s="22" t="s">
        <v>86</v>
      </c>
      <c r="E98" s="25">
        <v>91</v>
      </c>
      <c r="F98" s="23" t="s">
        <v>562</v>
      </c>
      <c r="G98" s="10">
        <v>0.14482</v>
      </c>
      <c r="J98" s="1"/>
    </row>
    <row r="99" spans="1:10" x14ac:dyDescent="0.2">
      <c r="A99" s="25">
        <v>5</v>
      </c>
      <c r="B99" s="25">
        <v>108</v>
      </c>
      <c r="C99" s="25">
        <v>1</v>
      </c>
      <c r="D99" s="22" t="s">
        <v>97</v>
      </c>
      <c r="E99" s="25">
        <v>92</v>
      </c>
      <c r="F99" s="23" t="s">
        <v>563</v>
      </c>
      <c r="G99" s="10">
        <v>7.2999999999999995E-2</v>
      </c>
      <c r="J99" s="1"/>
    </row>
    <row r="100" spans="1:10" x14ac:dyDescent="0.2">
      <c r="A100" s="25">
        <v>6</v>
      </c>
      <c r="B100" s="25">
        <v>118</v>
      </c>
      <c r="C100" s="25">
        <v>1</v>
      </c>
      <c r="D100" s="22" t="s">
        <v>104</v>
      </c>
      <c r="E100" s="25">
        <v>91</v>
      </c>
      <c r="F100" s="25">
        <v>5</v>
      </c>
      <c r="G100" s="10">
        <v>4.6559999999999997E-2</v>
      </c>
      <c r="J100" s="1"/>
    </row>
    <row r="101" spans="1:10" x14ac:dyDescent="0.2">
      <c r="A101" s="25">
        <v>7</v>
      </c>
      <c r="B101" s="25">
        <v>146</v>
      </c>
      <c r="C101" s="25">
        <v>1</v>
      </c>
      <c r="D101" s="22" t="s">
        <v>108</v>
      </c>
      <c r="E101" s="25">
        <v>91</v>
      </c>
      <c r="F101" s="23" t="s">
        <v>564</v>
      </c>
      <c r="G101" s="10">
        <v>0.127308</v>
      </c>
      <c r="J101" s="1"/>
    </row>
    <row r="102" spans="1:10" x14ac:dyDescent="0.2">
      <c r="A102" s="25">
        <v>8</v>
      </c>
      <c r="B102" s="25">
        <v>192</v>
      </c>
      <c r="C102" s="25">
        <v>1</v>
      </c>
      <c r="D102" s="22" t="s">
        <v>119</v>
      </c>
      <c r="E102" s="25">
        <v>91</v>
      </c>
      <c r="F102" s="23" t="s">
        <v>563</v>
      </c>
      <c r="G102" s="10">
        <v>0.13159999999999999</v>
      </c>
      <c r="J102" s="1"/>
    </row>
    <row r="103" spans="1:10" x14ac:dyDescent="0.2">
      <c r="A103" s="25">
        <v>9</v>
      </c>
      <c r="B103" s="25">
        <v>209</v>
      </c>
      <c r="C103" s="25">
        <v>1</v>
      </c>
      <c r="D103" s="22" t="s">
        <v>565</v>
      </c>
      <c r="E103" s="25">
        <v>91</v>
      </c>
      <c r="F103" s="23" t="s">
        <v>566</v>
      </c>
      <c r="G103" s="10">
        <v>0.22</v>
      </c>
      <c r="J103" s="1"/>
    </row>
    <row r="104" spans="1:10" x14ac:dyDescent="0.2">
      <c r="A104" s="25">
        <v>10</v>
      </c>
      <c r="B104" s="25">
        <v>236</v>
      </c>
      <c r="C104" s="25">
        <v>1</v>
      </c>
      <c r="D104" s="22" t="s">
        <v>567</v>
      </c>
      <c r="E104" s="25">
        <v>91</v>
      </c>
      <c r="F104" s="23" t="s">
        <v>563</v>
      </c>
      <c r="G104" s="10">
        <v>0.22597</v>
      </c>
      <c r="J104" s="1"/>
    </row>
    <row r="105" spans="1:10" x14ac:dyDescent="0.2">
      <c r="A105" s="25">
        <v>11</v>
      </c>
      <c r="B105" s="25">
        <v>238</v>
      </c>
      <c r="C105" s="25">
        <v>1</v>
      </c>
      <c r="D105" s="22" t="s">
        <v>134</v>
      </c>
      <c r="E105" s="25">
        <v>91</v>
      </c>
      <c r="F105" s="23" t="s">
        <v>563</v>
      </c>
      <c r="G105" s="10">
        <v>0.1515</v>
      </c>
      <c r="J105" s="1"/>
    </row>
    <row r="106" spans="1:10" x14ac:dyDescent="0.2">
      <c r="A106" s="25">
        <v>12</v>
      </c>
      <c r="B106" s="25">
        <v>243</v>
      </c>
      <c r="C106" s="25">
        <v>1</v>
      </c>
      <c r="D106" s="22" t="s">
        <v>525</v>
      </c>
      <c r="E106" s="25">
        <v>91</v>
      </c>
      <c r="F106" s="25">
        <v>5</v>
      </c>
      <c r="G106" s="10">
        <v>0.08</v>
      </c>
      <c r="J106" s="1"/>
    </row>
    <row r="107" spans="1:10" x14ac:dyDescent="0.2">
      <c r="A107" s="25">
        <v>13</v>
      </c>
      <c r="B107" s="25">
        <v>263</v>
      </c>
      <c r="C107" s="25">
        <v>1</v>
      </c>
      <c r="D107" s="22" t="s">
        <v>568</v>
      </c>
      <c r="E107" s="25">
        <v>91</v>
      </c>
      <c r="F107" s="23" t="s">
        <v>569</v>
      </c>
      <c r="G107" s="10">
        <v>6.0999999999999999E-2</v>
      </c>
      <c r="J107" s="1"/>
    </row>
    <row r="108" spans="1:10" x14ac:dyDescent="0.2">
      <c r="A108" s="25">
        <v>14</v>
      </c>
      <c r="B108" s="25">
        <v>265</v>
      </c>
      <c r="C108" s="25">
        <v>1</v>
      </c>
      <c r="D108" s="22" t="s">
        <v>570</v>
      </c>
      <c r="E108" s="25">
        <v>91</v>
      </c>
      <c r="F108" s="23" t="s">
        <v>566</v>
      </c>
      <c r="G108" s="10">
        <v>0.18</v>
      </c>
      <c r="J108" s="1"/>
    </row>
    <row r="109" spans="1:10" x14ac:dyDescent="0.2">
      <c r="A109" s="25">
        <v>15</v>
      </c>
      <c r="B109" s="25">
        <v>270</v>
      </c>
      <c r="C109" s="25">
        <v>1</v>
      </c>
      <c r="D109" s="22" t="s">
        <v>144</v>
      </c>
      <c r="E109" s="25">
        <v>91</v>
      </c>
      <c r="F109" s="23" t="s">
        <v>563</v>
      </c>
      <c r="G109" s="10">
        <v>4.4999999999999998E-2</v>
      </c>
      <c r="J109" s="1"/>
    </row>
    <row r="110" spans="1:10" x14ac:dyDescent="0.2">
      <c r="A110" s="25">
        <v>16</v>
      </c>
      <c r="B110" s="25">
        <v>271</v>
      </c>
      <c r="C110" s="25">
        <v>1</v>
      </c>
      <c r="D110" s="22" t="s">
        <v>145</v>
      </c>
      <c r="E110" s="25">
        <v>91</v>
      </c>
      <c r="F110" s="23" t="s">
        <v>563</v>
      </c>
      <c r="G110" s="10">
        <v>5.475E-2</v>
      </c>
      <c r="J110" s="1"/>
    </row>
    <row r="111" spans="1:10" x14ac:dyDescent="0.2">
      <c r="A111" s="25">
        <v>17</v>
      </c>
      <c r="B111" s="25">
        <v>451</v>
      </c>
      <c r="C111" s="25">
        <v>1</v>
      </c>
      <c r="D111" s="22" t="s">
        <v>571</v>
      </c>
      <c r="E111" s="25">
        <v>91</v>
      </c>
      <c r="F111" s="25">
        <v>2</v>
      </c>
      <c r="G111" s="10">
        <v>0.2021</v>
      </c>
      <c r="J111" s="1"/>
    </row>
    <row r="112" spans="1:10" x14ac:dyDescent="0.2">
      <c r="A112" s="25">
        <v>18</v>
      </c>
      <c r="B112" s="25">
        <v>465</v>
      </c>
      <c r="C112" s="25">
        <v>1</v>
      </c>
      <c r="D112" s="22" t="s">
        <v>205</v>
      </c>
      <c r="E112" s="25">
        <v>91</v>
      </c>
      <c r="F112" s="23" t="s">
        <v>572</v>
      </c>
      <c r="G112" s="10">
        <v>5.8000000000000003E-2</v>
      </c>
      <c r="J112" s="1"/>
    </row>
    <row r="113" spans="1:10" x14ac:dyDescent="0.2">
      <c r="A113" s="25">
        <v>19</v>
      </c>
      <c r="B113" s="25">
        <v>495</v>
      </c>
      <c r="C113" s="25">
        <v>1</v>
      </c>
      <c r="D113" s="22" t="s">
        <v>216</v>
      </c>
      <c r="E113" s="25">
        <v>91</v>
      </c>
      <c r="F113" s="23" t="s">
        <v>562</v>
      </c>
      <c r="G113" s="10">
        <v>0.11360000000000001</v>
      </c>
      <c r="J113" s="1"/>
    </row>
    <row r="114" spans="1:10" x14ac:dyDescent="0.2">
      <c r="A114" s="25">
        <v>20</v>
      </c>
      <c r="B114" s="25">
        <v>514</v>
      </c>
      <c r="C114" s="25">
        <v>1</v>
      </c>
      <c r="D114" s="22" t="s">
        <v>225</v>
      </c>
      <c r="E114" s="25">
        <v>91</v>
      </c>
      <c r="F114" s="23" t="s">
        <v>563</v>
      </c>
      <c r="G114" s="10">
        <v>8.7999999999999995E-2</v>
      </c>
      <c r="J114" s="1"/>
    </row>
    <row r="115" spans="1:10" x14ac:dyDescent="0.2">
      <c r="A115" s="25">
        <v>21</v>
      </c>
      <c r="B115" s="25">
        <v>543</v>
      </c>
      <c r="C115" s="25">
        <v>1</v>
      </c>
      <c r="D115" s="22" t="s">
        <v>573</v>
      </c>
      <c r="E115" s="25">
        <v>91</v>
      </c>
      <c r="F115" s="23" t="s">
        <v>569</v>
      </c>
      <c r="G115" s="10">
        <v>0.11</v>
      </c>
      <c r="J115" s="1"/>
    </row>
    <row r="116" spans="1:10" x14ac:dyDescent="0.2">
      <c r="A116" s="25">
        <v>22</v>
      </c>
      <c r="B116" s="25">
        <v>553</v>
      </c>
      <c r="C116" s="25">
        <v>1</v>
      </c>
      <c r="D116" s="22" t="s">
        <v>239</v>
      </c>
      <c r="E116" s="25">
        <v>91</v>
      </c>
      <c r="F116" s="23" t="s">
        <v>563</v>
      </c>
      <c r="G116" s="10">
        <v>0.121</v>
      </c>
      <c r="J116" s="1"/>
    </row>
    <row r="117" spans="1:10" x14ac:dyDescent="0.2">
      <c r="A117" s="25">
        <v>23</v>
      </c>
      <c r="B117" s="25">
        <v>622</v>
      </c>
      <c r="C117" s="25">
        <v>1</v>
      </c>
      <c r="D117" s="22" t="s">
        <v>254</v>
      </c>
      <c r="E117" s="25">
        <v>91</v>
      </c>
      <c r="F117" s="25">
        <v>5</v>
      </c>
      <c r="G117" s="10">
        <v>9.5000000000000001E-2</v>
      </c>
      <c r="J117" s="1"/>
    </row>
    <row r="118" spans="1:10" x14ac:dyDescent="0.2">
      <c r="A118" s="25">
        <v>24</v>
      </c>
      <c r="B118" s="25">
        <v>628</v>
      </c>
      <c r="C118" s="25">
        <v>1</v>
      </c>
      <c r="D118" s="22" t="s">
        <v>259</v>
      </c>
      <c r="E118" s="25">
        <v>91</v>
      </c>
      <c r="F118" s="23" t="s">
        <v>566</v>
      </c>
      <c r="G118" s="10">
        <v>0.16</v>
      </c>
      <c r="J118" s="1"/>
    </row>
    <row r="119" spans="1:10" x14ac:dyDescent="0.2">
      <c r="A119" s="25">
        <v>25</v>
      </c>
      <c r="B119" s="25">
        <v>630</v>
      </c>
      <c r="C119" s="25">
        <v>1</v>
      </c>
      <c r="D119" s="22" t="s">
        <v>260</v>
      </c>
      <c r="E119" s="25">
        <v>91</v>
      </c>
      <c r="F119" s="23" t="s">
        <v>563</v>
      </c>
      <c r="G119" s="10">
        <v>7.9799999999999996E-2</v>
      </c>
      <c r="J119" s="1"/>
    </row>
    <row r="120" spans="1:10" x14ac:dyDescent="0.2">
      <c r="A120" s="25">
        <v>26</v>
      </c>
      <c r="B120" s="25">
        <v>638</v>
      </c>
      <c r="C120" s="25">
        <v>1</v>
      </c>
      <c r="D120" s="22" t="s">
        <v>574</v>
      </c>
      <c r="E120" s="25">
        <v>91</v>
      </c>
      <c r="F120" s="23" t="s">
        <v>564</v>
      </c>
      <c r="G120" s="10">
        <v>0.189</v>
      </c>
      <c r="J120" s="1"/>
    </row>
    <row r="121" spans="1:10" x14ac:dyDescent="0.2">
      <c r="A121" s="25">
        <v>27</v>
      </c>
      <c r="B121" s="25">
        <v>656</v>
      </c>
      <c r="C121" s="25">
        <v>1</v>
      </c>
      <c r="D121" s="22" t="s">
        <v>263</v>
      </c>
      <c r="E121" s="25">
        <v>91</v>
      </c>
      <c r="F121" s="25">
        <v>5</v>
      </c>
      <c r="G121" s="10">
        <v>0.1414</v>
      </c>
      <c r="J121" s="1"/>
    </row>
    <row r="122" spans="1:10" x14ac:dyDescent="0.2">
      <c r="A122" s="25">
        <v>28</v>
      </c>
      <c r="B122" s="25">
        <v>678</v>
      </c>
      <c r="C122" s="25">
        <v>1</v>
      </c>
      <c r="D122" s="22" t="s">
        <v>575</v>
      </c>
      <c r="E122" s="25">
        <v>91</v>
      </c>
      <c r="F122" s="23" t="s">
        <v>566</v>
      </c>
      <c r="G122" s="10">
        <v>0.33794000000000002</v>
      </c>
      <c r="J122" s="1"/>
    </row>
    <row r="123" spans="1:10" x14ac:dyDescent="0.2">
      <c r="A123" s="25">
        <v>29</v>
      </c>
      <c r="B123" s="25">
        <v>695</v>
      </c>
      <c r="C123" s="25">
        <v>1</v>
      </c>
      <c r="D123" s="22" t="s">
        <v>269</v>
      </c>
      <c r="E123" s="25">
        <v>91</v>
      </c>
      <c r="F123" s="23" t="s">
        <v>563</v>
      </c>
      <c r="G123" s="10">
        <v>0.09</v>
      </c>
      <c r="J123" s="1"/>
    </row>
    <row r="124" spans="1:10" x14ac:dyDescent="0.2">
      <c r="A124" s="25">
        <v>30</v>
      </c>
      <c r="B124" s="25">
        <v>717</v>
      </c>
      <c r="C124" s="25">
        <v>1</v>
      </c>
      <c r="D124" s="22" t="s">
        <v>280</v>
      </c>
      <c r="E124" s="25">
        <v>91</v>
      </c>
      <c r="F124" s="25">
        <v>5</v>
      </c>
      <c r="G124" s="10">
        <v>9.7549999999999998E-2</v>
      </c>
      <c r="J124" s="1"/>
    </row>
    <row r="125" spans="1:10" x14ac:dyDescent="0.2">
      <c r="A125" s="25">
        <v>31</v>
      </c>
      <c r="B125" s="25">
        <v>721</v>
      </c>
      <c r="C125" s="25">
        <v>1</v>
      </c>
      <c r="D125" s="22" t="s">
        <v>283</v>
      </c>
      <c r="E125" s="25">
        <v>91</v>
      </c>
      <c r="F125" s="23" t="s">
        <v>563</v>
      </c>
      <c r="G125" s="10">
        <v>6.6100000000000006E-2</v>
      </c>
      <c r="J125" s="1"/>
    </row>
    <row r="126" spans="1:10" x14ac:dyDescent="0.2">
      <c r="A126" s="25">
        <v>32</v>
      </c>
      <c r="B126" s="25">
        <v>732</v>
      </c>
      <c r="C126" s="25">
        <v>1</v>
      </c>
      <c r="D126" s="22" t="s">
        <v>576</v>
      </c>
      <c r="E126" s="25">
        <v>92</v>
      </c>
      <c r="F126" s="23" t="s">
        <v>563</v>
      </c>
      <c r="G126" s="10">
        <v>5.1999999999999998E-2</v>
      </c>
      <c r="J126" s="1"/>
    </row>
    <row r="127" spans="1:10" x14ac:dyDescent="0.2">
      <c r="A127" s="25">
        <v>33</v>
      </c>
      <c r="B127" s="25">
        <v>762</v>
      </c>
      <c r="C127" s="25">
        <v>1</v>
      </c>
      <c r="D127" s="22" t="s">
        <v>577</v>
      </c>
      <c r="E127" s="25">
        <v>91</v>
      </c>
      <c r="F127" s="23" t="s">
        <v>563</v>
      </c>
      <c r="G127" s="10">
        <v>0.12</v>
      </c>
      <c r="J127" s="1"/>
    </row>
    <row r="128" spans="1:10" x14ac:dyDescent="0.2">
      <c r="A128" s="25">
        <v>34</v>
      </c>
      <c r="B128" s="25">
        <v>771</v>
      </c>
      <c r="C128" s="25">
        <v>1</v>
      </c>
      <c r="D128" s="22" t="s">
        <v>301</v>
      </c>
      <c r="E128" s="25">
        <v>91</v>
      </c>
      <c r="F128" s="23" t="s">
        <v>561</v>
      </c>
      <c r="G128" s="10">
        <v>0.17620000000000002</v>
      </c>
      <c r="J128" s="1"/>
    </row>
    <row r="129" spans="1:10" x14ac:dyDescent="0.2">
      <c r="A129" s="25">
        <v>35</v>
      </c>
      <c r="B129" s="25">
        <v>786</v>
      </c>
      <c r="C129" s="25">
        <v>1</v>
      </c>
      <c r="D129" s="22" t="s">
        <v>304</v>
      </c>
      <c r="E129" s="25">
        <v>91</v>
      </c>
      <c r="F129" s="23" t="s">
        <v>569</v>
      </c>
      <c r="G129" s="10">
        <v>0.25</v>
      </c>
      <c r="J129" s="1"/>
    </row>
    <row r="130" spans="1:10" x14ac:dyDescent="0.2">
      <c r="A130" s="25">
        <v>36</v>
      </c>
      <c r="B130" s="25">
        <v>790</v>
      </c>
      <c r="C130" s="25">
        <v>1</v>
      </c>
      <c r="D130" s="22" t="s">
        <v>578</v>
      </c>
      <c r="E130" s="25">
        <v>91</v>
      </c>
      <c r="F130" s="23" t="s">
        <v>579</v>
      </c>
      <c r="G130" s="10">
        <v>0.09</v>
      </c>
      <c r="J130" s="1"/>
    </row>
    <row r="131" spans="1:10" x14ac:dyDescent="0.2">
      <c r="A131" s="25">
        <v>37</v>
      </c>
      <c r="B131" s="25">
        <v>813</v>
      </c>
      <c r="C131" s="25">
        <v>1</v>
      </c>
      <c r="D131" s="22" t="s">
        <v>311</v>
      </c>
      <c r="E131" s="25">
        <v>91</v>
      </c>
      <c r="F131" s="23" t="s">
        <v>566</v>
      </c>
      <c r="G131" s="10">
        <v>9.239E-2</v>
      </c>
      <c r="J131" s="1"/>
    </row>
    <row r="132" spans="1:10" x14ac:dyDescent="0.2">
      <c r="A132" s="25">
        <v>38</v>
      </c>
      <c r="B132" s="25">
        <v>829</v>
      </c>
      <c r="C132" s="25">
        <v>1</v>
      </c>
      <c r="D132" s="22" t="s">
        <v>316</v>
      </c>
      <c r="E132" s="25">
        <v>91</v>
      </c>
      <c r="F132" s="23" t="s">
        <v>563</v>
      </c>
      <c r="G132" s="10">
        <v>7.5700000000000003E-2</v>
      </c>
      <c r="J132" s="1"/>
    </row>
    <row r="133" spans="1:10" x14ac:dyDescent="0.2">
      <c r="A133" s="25">
        <v>39</v>
      </c>
      <c r="B133" s="25">
        <v>837</v>
      </c>
      <c r="C133" s="25">
        <v>1</v>
      </c>
      <c r="D133" s="22" t="s">
        <v>322</v>
      </c>
      <c r="E133" s="25">
        <v>91</v>
      </c>
      <c r="F133" s="23" t="s">
        <v>572</v>
      </c>
      <c r="G133" s="10">
        <v>5.1959999999999999E-2</v>
      </c>
      <c r="J133" s="1"/>
    </row>
    <row r="134" spans="1:10" x14ac:dyDescent="0.2">
      <c r="A134" s="25">
        <v>40</v>
      </c>
      <c r="B134" s="25">
        <v>914</v>
      </c>
      <c r="C134" s="25">
        <v>1</v>
      </c>
      <c r="D134" s="22" t="s">
        <v>340</v>
      </c>
      <c r="E134" s="25">
        <v>91</v>
      </c>
      <c r="F134" s="23" t="s">
        <v>563</v>
      </c>
      <c r="G134" s="10">
        <v>0.14471899999999999</v>
      </c>
      <c r="J134" s="1"/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M1554"/>
  <sheetViews>
    <sheetView zoomScale="75" workbookViewId="0">
      <pane ySplit="7" topLeftCell="A8" activePane="bottomLeft" state="frozen"/>
      <selection pane="bottomLeft" activeCell="A8" sqref="A8"/>
    </sheetView>
  </sheetViews>
  <sheetFormatPr defaultRowHeight="12.75" x14ac:dyDescent="0.2"/>
  <cols>
    <col min="1" max="1" width="6.7109375" customWidth="1"/>
    <col min="2" max="2" width="2.7109375" customWidth="1"/>
    <col min="3" max="3" width="16.7109375" customWidth="1"/>
    <col min="4" max="12" width="10.7109375" customWidth="1"/>
    <col min="13" max="13" width="35.7109375" customWidth="1"/>
  </cols>
  <sheetData>
    <row r="1" spans="1:13" x14ac:dyDescent="0.2">
      <c r="A1" s="76" t="s">
        <v>1045</v>
      </c>
      <c r="B1" s="76"/>
      <c r="C1" s="76"/>
      <c r="D1" s="76"/>
      <c r="E1" s="76"/>
      <c r="F1" s="76"/>
      <c r="G1" s="76"/>
      <c r="H1" s="76"/>
      <c r="I1" s="77"/>
      <c r="J1" s="77"/>
    </row>
    <row r="2" spans="1:13" x14ac:dyDescent="0.2">
      <c r="A2" s="76"/>
      <c r="B2" s="76"/>
      <c r="C2" s="76"/>
      <c r="D2" s="78"/>
      <c r="E2" s="78"/>
      <c r="F2" s="78"/>
      <c r="G2" s="78"/>
      <c r="H2" s="78"/>
      <c r="I2" s="79"/>
      <c r="J2" s="79"/>
    </row>
    <row r="3" spans="1:13" x14ac:dyDescent="0.2">
      <c r="A3" s="76" t="s">
        <v>1040</v>
      </c>
      <c r="B3" s="76"/>
      <c r="C3" s="76"/>
      <c r="D3" s="78"/>
      <c r="E3" s="78"/>
      <c r="F3" s="78"/>
      <c r="G3" s="78"/>
      <c r="H3" s="78"/>
      <c r="I3" s="79"/>
      <c r="J3" s="79"/>
      <c r="K3" s="2"/>
      <c r="L3" s="2"/>
      <c r="M3" s="4"/>
    </row>
    <row r="4" spans="1:13" x14ac:dyDescent="0.2">
      <c r="A4" s="76"/>
      <c r="B4" s="76"/>
      <c r="C4" s="76"/>
      <c r="D4" s="78"/>
      <c r="E4" s="78"/>
      <c r="F4" s="80"/>
      <c r="G4" s="78"/>
      <c r="H4" s="78" t="s">
        <v>723</v>
      </c>
      <c r="I4" s="79" t="s">
        <v>587</v>
      </c>
      <c r="J4" s="79" t="s">
        <v>587</v>
      </c>
      <c r="K4" s="1"/>
      <c r="L4" s="1"/>
    </row>
    <row r="5" spans="1:13" x14ac:dyDescent="0.2">
      <c r="A5" s="76"/>
      <c r="B5" s="76"/>
      <c r="C5" s="76"/>
      <c r="D5" s="78" t="s">
        <v>58</v>
      </c>
      <c r="E5" s="78" t="s">
        <v>720</v>
      </c>
      <c r="F5" s="78" t="s">
        <v>983</v>
      </c>
      <c r="G5" s="78"/>
      <c r="H5" s="78" t="s">
        <v>839</v>
      </c>
      <c r="I5" s="79" t="s">
        <v>724</v>
      </c>
      <c r="J5" s="79" t="s">
        <v>725</v>
      </c>
      <c r="K5" s="1"/>
      <c r="L5" s="1"/>
      <c r="M5" s="14"/>
    </row>
    <row r="6" spans="1:13" x14ac:dyDescent="0.2">
      <c r="A6" s="76"/>
      <c r="B6" s="76"/>
      <c r="C6" s="76"/>
      <c r="D6" s="78" t="s">
        <v>721</v>
      </c>
      <c r="E6" s="78" t="s">
        <v>722</v>
      </c>
      <c r="F6" s="78" t="s">
        <v>406</v>
      </c>
      <c r="G6" s="78" t="s">
        <v>1041</v>
      </c>
      <c r="H6" s="78" t="s">
        <v>1042</v>
      </c>
      <c r="I6" s="79" t="s">
        <v>835</v>
      </c>
      <c r="J6" s="79" t="s">
        <v>835</v>
      </c>
    </row>
    <row r="7" spans="1:13" x14ac:dyDescent="0.2">
      <c r="A7" s="76"/>
      <c r="B7" s="76"/>
      <c r="C7" s="76"/>
      <c r="D7" s="76"/>
      <c r="E7" s="76"/>
      <c r="F7" s="76"/>
      <c r="G7" s="76"/>
      <c r="H7" s="76"/>
      <c r="I7" s="77"/>
      <c r="J7" s="77"/>
      <c r="K7" s="1"/>
      <c r="L7" s="1"/>
      <c r="M7" s="1"/>
    </row>
    <row r="8" spans="1:13" x14ac:dyDescent="0.2">
      <c r="A8" s="76">
        <v>1</v>
      </c>
      <c r="B8" s="76">
        <v>1</v>
      </c>
      <c r="C8" s="76" t="s">
        <v>63</v>
      </c>
      <c r="D8" s="76">
        <v>1994</v>
      </c>
      <c r="E8" s="76">
        <v>1995</v>
      </c>
      <c r="F8" s="81">
        <v>146.86000000000001</v>
      </c>
      <c r="G8" s="76">
        <v>10</v>
      </c>
      <c r="H8" s="76">
        <v>0</v>
      </c>
      <c r="I8" s="79">
        <v>1997</v>
      </c>
      <c r="J8" s="79">
        <v>2193</v>
      </c>
      <c r="K8" s="1"/>
      <c r="L8" s="1"/>
      <c r="M8" s="1"/>
    </row>
    <row r="9" spans="1:13" x14ac:dyDescent="0.2">
      <c r="A9" s="76">
        <v>1</v>
      </c>
      <c r="B9" s="76">
        <v>1</v>
      </c>
      <c r="C9" s="76" t="s">
        <v>63</v>
      </c>
      <c r="D9" s="76">
        <v>1999</v>
      </c>
      <c r="E9" s="76">
        <v>2000</v>
      </c>
      <c r="F9" s="81">
        <v>380.56</v>
      </c>
      <c r="G9" s="76">
        <v>10</v>
      </c>
      <c r="H9" s="76">
        <v>1</v>
      </c>
      <c r="I9" s="79">
        <v>1385</v>
      </c>
      <c r="J9" s="79">
        <v>942</v>
      </c>
      <c r="K9" s="13"/>
      <c r="L9" s="13"/>
    </row>
    <row r="10" spans="1:13" x14ac:dyDescent="0.2">
      <c r="A10" s="76">
        <v>1</v>
      </c>
      <c r="B10" s="76">
        <v>1</v>
      </c>
      <c r="C10" s="76" t="s">
        <v>63</v>
      </c>
      <c r="D10" s="76">
        <v>2006</v>
      </c>
      <c r="E10" s="78">
        <v>2007</v>
      </c>
      <c r="F10" s="81">
        <v>445</v>
      </c>
      <c r="G10" s="78">
        <v>10</v>
      </c>
      <c r="H10" s="76">
        <v>0</v>
      </c>
      <c r="I10" s="77">
        <v>2461</v>
      </c>
      <c r="J10" s="77">
        <v>2498</v>
      </c>
      <c r="K10" s="13"/>
      <c r="L10" s="13"/>
    </row>
    <row r="11" spans="1:13" x14ac:dyDescent="0.2">
      <c r="A11" s="76">
        <v>1.2</v>
      </c>
      <c r="B11" s="76">
        <v>3</v>
      </c>
      <c r="C11" s="76" t="s">
        <v>64</v>
      </c>
      <c r="D11" s="76">
        <v>1996</v>
      </c>
      <c r="E11" s="76">
        <v>1997</v>
      </c>
      <c r="F11" s="81">
        <v>585</v>
      </c>
      <c r="G11" s="76">
        <v>5</v>
      </c>
      <c r="H11" s="76">
        <v>1</v>
      </c>
      <c r="I11" s="79">
        <v>105991</v>
      </c>
      <c r="J11" s="79">
        <v>44738</v>
      </c>
      <c r="K11" s="13"/>
      <c r="L11" s="13"/>
    </row>
    <row r="12" spans="1:13" x14ac:dyDescent="0.2">
      <c r="A12" s="76">
        <v>1.2</v>
      </c>
      <c r="B12" s="76">
        <v>3</v>
      </c>
      <c r="C12" s="76" t="s">
        <v>64</v>
      </c>
      <c r="D12" s="76">
        <v>2000</v>
      </c>
      <c r="E12" s="76">
        <v>2002</v>
      </c>
      <c r="F12" s="81">
        <v>735</v>
      </c>
      <c r="G12" s="76">
        <v>8</v>
      </c>
      <c r="H12" s="76">
        <v>1</v>
      </c>
      <c r="I12" s="79">
        <v>110513</v>
      </c>
      <c r="J12" s="79">
        <v>41918</v>
      </c>
      <c r="K12" s="13"/>
      <c r="L12" s="13"/>
    </row>
    <row r="13" spans="1:13" x14ac:dyDescent="0.2">
      <c r="A13">
        <v>1.2</v>
      </c>
      <c r="B13">
        <v>1</v>
      </c>
      <c r="C13" t="s">
        <v>64</v>
      </c>
      <c r="D13">
        <v>2008</v>
      </c>
      <c r="E13" s="5">
        <v>2009</v>
      </c>
      <c r="F13" s="6">
        <v>585.22</v>
      </c>
      <c r="G13" s="5">
        <v>8</v>
      </c>
      <c r="H13" s="33">
        <v>1</v>
      </c>
      <c r="I13" s="33">
        <v>131390</v>
      </c>
      <c r="J13" s="33">
        <v>53939</v>
      </c>
      <c r="K13" s="13"/>
      <c r="L13" s="13"/>
    </row>
    <row r="14" spans="1:13" x14ac:dyDescent="0.2">
      <c r="A14" s="76">
        <v>4</v>
      </c>
      <c r="B14" s="76">
        <v>1</v>
      </c>
      <c r="C14" s="76" t="s">
        <v>66</v>
      </c>
      <c r="D14" s="76">
        <v>1997</v>
      </c>
      <c r="E14" s="76">
        <v>1998</v>
      </c>
      <c r="F14" s="81">
        <v>315</v>
      </c>
      <c r="G14" s="76">
        <v>7</v>
      </c>
      <c r="H14" s="76">
        <v>1</v>
      </c>
      <c r="I14" s="79">
        <v>825</v>
      </c>
      <c r="J14" s="79">
        <v>320</v>
      </c>
      <c r="K14" s="13"/>
      <c r="L14" s="13"/>
    </row>
    <row r="15" spans="1:13" x14ac:dyDescent="0.2">
      <c r="A15" s="76">
        <v>4</v>
      </c>
      <c r="B15" s="76">
        <v>1</v>
      </c>
      <c r="C15" s="76" t="s">
        <v>66</v>
      </c>
      <c r="D15" s="76">
        <v>2001</v>
      </c>
      <c r="E15" s="76">
        <v>2002</v>
      </c>
      <c r="F15" s="81">
        <v>1</v>
      </c>
      <c r="G15" s="76">
        <v>10</v>
      </c>
      <c r="H15" s="76">
        <v>1</v>
      </c>
      <c r="I15" s="79">
        <v>279</v>
      </c>
      <c r="J15" s="79">
        <v>73</v>
      </c>
      <c r="K15" s="13"/>
      <c r="L15" s="13"/>
    </row>
    <row r="16" spans="1:13" x14ac:dyDescent="0.2">
      <c r="A16" s="76">
        <v>6</v>
      </c>
      <c r="B16" s="76">
        <v>3</v>
      </c>
      <c r="C16" s="76" t="s">
        <v>67</v>
      </c>
      <c r="D16" s="76">
        <v>2002</v>
      </c>
      <c r="E16" s="76">
        <v>2003</v>
      </c>
      <c r="F16" s="81">
        <v>205.37</v>
      </c>
      <c r="G16" s="76">
        <v>10</v>
      </c>
      <c r="H16" s="76">
        <v>0</v>
      </c>
      <c r="I16" s="79">
        <v>3675</v>
      </c>
      <c r="J16" s="79">
        <v>4612</v>
      </c>
      <c r="K16" s="13"/>
      <c r="L16" s="13"/>
    </row>
    <row r="17" spans="1:12" x14ac:dyDescent="0.2">
      <c r="A17" s="76">
        <v>6</v>
      </c>
      <c r="B17" s="76">
        <v>3</v>
      </c>
      <c r="C17" s="76" t="s">
        <v>67</v>
      </c>
      <c r="D17" s="76">
        <v>2002</v>
      </c>
      <c r="E17" s="76">
        <v>2003</v>
      </c>
      <c r="F17" s="81">
        <v>632.01</v>
      </c>
      <c r="G17" s="76">
        <v>10</v>
      </c>
      <c r="H17" s="76">
        <v>0</v>
      </c>
      <c r="I17" s="79">
        <v>4018</v>
      </c>
      <c r="J17" s="79">
        <v>4296</v>
      </c>
      <c r="K17" s="13"/>
      <c r="L17" s="13"/>
    </row>
    <row r="18" spans="1:12" x14ac:dyDescent="0.2">
      <c r="A18" s="76">
        <v>6</v>
      </c>
      <c r="B18" s="76">
        <v>3</v>
      </c>
      <c r="C18" s="76" t="s">
        <v>67</v>
      </c>
      <c r="D18" s="76">
        <v>2003</v>
      </c>
      <c r="E18" s="76">
        <v>2004</v>
      </c>
      <c r="F18" s="81">
        <v>869.57</v>
      </c>
      <c r="G18" s="76">
        <v>10</v>
      </c>
      <c r="H18" s="76">
        <v>1</v>
      </c>
      <c r="I18" s="79">
        <v>3260</v>
      </c>
      <c r="J18" s="79">
        <v>2322</v>
      </c>
      <c r="K18" s="13"/>
      <c r="L18" s="13"/>
    </row>
    <row r="19" spans="1:12" x14ac:dyDescent="0.2">
      <c r="A19" s="76">
        <v>11</v>
      </c>
      <c r="B19" s="76">
        <v>1</v>
      </c>
      <c r="C19" s="76" t="s">
        <v>68</v>
      </c>
      <c r="D19" s="76">
        <v>1993</v>
      </c>
      <c r="E19" s="76">
        <v>1994</v>
      </c>
      <c r="F19" s="81">
        <v>97.64</v>
      </c>
      <c r="G19" s="76">
        <v>5</v>
      </c>
      <c r="H19" s="76">
        <v>0</v>
      </c>
      <c r="I19" s="79" t="s">
        <v>840</v>
      </c>
      <c r="J19" s="79" t="s">
        <v>840</v>
      </c>
      <c r="K19" s="13"/>
      <c r="L19" s="13"/>
    </row>
    <row r="20" spans="1:12" x14ac:dyDescent="0.2">
      <c r="A20" s="76">
        <v>11</v>
      </c>
      <c r="B20" s="76">
        <v>1</v>
      </c>
      <c r="C20" s="76" t="s">
        <v>68</v>
      </c>
      <c r="D20" s="76">
        <v>1994</v>
      </c>
      <c r="E20" s="76">
        <v>1995</v>
      </c>
      <c r="F20" s="81">
        <v>100.45</v>
      </c>
      <c r="G20" s="76">
        <v>10</v>
      </c>
      <c r="H20" s="76">
        <v>0</v>
      </c>
      <c r="I20" s="79">
        <v>28663</v>
      </c>
      <c r="J20" s="79">
        <v>32818</v>
      </c>
      <c r="K20" s="13"/>
      <c r="L20" s="13"/>
    </row>
    <row r="21" spans="1:12" x14ac:dyDescent="0.2">
      <c r="A21" s="76">
        <v>11</v>
      </c>
      <c r="B21" s="76">
        <v>1</v>
      </c>
      <c r="C21" s="76" t="s">
        <v>68</v>
      </c>
      <c r="D21" s="76">
        <v>1995</v>
      </c>
      <c r="E21" s="76">
        <v>1996</v>
      </c>
      <c r="F21" s="81">
        <v>95.98</v>
      </c>
      <c r="G21" s="76">
        <v>10</v>
      </c>
      <c r="H21" s="76">
        <v>1</v>
      </c>
      <c r="I21" s="79">
        <v>17082</v>
      </c>
      <c r="J21" s="79">
        <v>9658</v>
      </c>
      <c r="K21" s="13"/>
      <c r="L21" s="13"/>
    </row>
    <row r="22" spans="1:12" x14ac:dyDescent="0.2">
      <c r="A22" s="76">
        <v>11</v>
      </c>
      <c r="B22" s="76">
        <v>1</v>
      </c>
      <c r="C22" s="76" t="s">
        <v>68</v>
      </c>
      <c r="D22" s="76">
        <v>1999</v>
      </c>
      <c r="E22" s="76">
        <v>2000</v>
      </c>
      <c r="F22" s="81">
        <v>131</v>
      </c>
      <c r="G22" s="76">
        <v>10</v>
      </c>
      <c r="H22" s="76">
        <v>1</v>
      </c>
      <c r="I22" s="79">
        <v>13196</v>
      </c>
      <c r="J22" s="79">
        <v>10912</v>
      </c>
      <c r="K22" s="13"/>
      <c r="L22" s="13"/>
    </row>
    <row r="23" spans="1:12" x14ac:dyDescent="0.2">
      <c r="A23" s="76">
        <v>11</v>
      </c>
      <c r="B23" s="76">
        <v>1</v>
      </c>
      <c r="C23" s="76" t="s">
        <v>68</v>
      </c>
      <c r="D23" s="76">
        <v>2001</v>
      </c>
      <c r="E23" s="76">
        <v>2002</v>
      </c>
      <c r="F23" s="81">
        <v>590</v>
      </c>
      <c r="G23" s="76">
        <v>8</v>
      </c>
      <c r="H23" s="76">
        <v>0</v>
      </c>
      <c r="I23" s="79">
        <v>17855</v>
      </c>
      <c r="J23" s="79">
        <v>19327</v>
      </c>
      <c r="K23" s="13"/>
      <c r="L23" s="13"/>
    </row>
    <row r="24" spans="1:12" x14ac:dyDescent="0.2">
      <c r="A24" s="76">
        <v>11</v>
      </c>
      <c r="B24" s="76">
        <v>1</v>
      </c>
      <c r="C24" s="76" t="s">
        <v>68</v>
      </c>
      <c r="D24" s="76">
        <v>2002</v>
      </c>
      <c r="E24" s="76">
        <v>2003</v>
      </c>
      <c r="F24" s="81">
        <v>40</v>
      </c>
      <c r="G24" s="76">
        <v>5</v>
      </c>
      <c r="H24" s="76">
        <v>0</v>
      </c>
      <c r="I24" s="79">
        <v>40955</v>
      </c>
      <c r="J24" s="79">
        <v>48649</v>
      </c>
      <c r="K24" s="13"/>
      <c r="L24" s="13"/>
    </row>
    <row r="25" spans="1:12" x14ac:dyDescent="0.2">
      <c r="A25" s="76">
        <v>11</v>
      </c>
      <c r="B25" s="76">
        <v>1</v>
      </c>
      <c r="C25" s="76" t="s">
        <v>68</v>
      </c>
      <c r="D25" s="76">
        <v>2002</v>
      </c>
      <c r="E25" s="76">
        <v>2003</v>
      </c>
      <c r="F25" s="81">
        <v>70</v>
      </c>
      <c r="G25" s="76">
        <v>5</v>
      </c>
      <c r="H25" s="76">
        <v>0</v>
      </c>
      <c r="I25" s="79">
        <v>45157</v>
      </c>
      <c r="J25" s="79">
        <v>48092</v>
      </c>
      <c r="K25" s="13"/>
      <c r="L25" s="13"/>
    </row>
    <row r="26" spans="1:12" x14ac:dyDescent="0.2">
      <c r="A26" s="76">
        <v>11</v>
      </c>
      <c r="B26" s="76">
        <v>1</v>
      </c>
      <c r="C26" s="76" t="s">
        <v>68</v>
      </c>
      <c r="D26" s="76">
        <v>2002</v>
      </c>
      <c r="E26" s="76">
        <v>2003</v>
      </c>
      <c r="F26" s="81">
        <v>88</v>
      </c>
      <c r="G26" s="76">
        <v>5</v>
      </c>
      <c r="H26" s="76">
        <v>1</v>
      </c>
      <c r="I26" s="79">
        <v>49958</v>
      </c>
      <c r="J26" s="79">
        <v>43343</v>
      </c>
      <c r="K26" s="13"/>
      <c r="L26" s="13"/>
    </row>
    <row r="27" spans="1:12" x14ac:dyDescent="0.2">
      <c r="A27" s="76">
        <v>11</v>
      </c>
      <c r="B27" s="76">
        <v>1</v>
      </c>
      <c r="C27" s="76" t="s">
        <v>68</v>
      </c>
      <c r="D27" s="76">
        <v>2002</v>
      </c>
      <c r="E27" s="76">
        <v>2003</v>
      </c>
      <c r="F27" s="81">
        <v>465</v>
      </c>
      <c r="G27" s="76">
        <v>5</v>
      </c>
      <c r="H27" s="76">
        <v>1</v>
      </c>
      <c r="I27" s="79">
        <v>51260</v>
      </c>
      <c r="J27" s="79">
        <v>42744</v>
      </c>
      <c r="K27" s="13"/>
      <c r="L27" s="13"/>
    </row>
    <row r="28" spans="1:12" x14ac:dyDescent="0.2">
      <c r="A28" s="76">
        <v>11</v>
      </c>
      <c r="B28" s="76">
        <v>1</v>
      </c>
      <c r="C28" s="76" t="s">
        <v>68</v>
      </c>
      <c r="D28" s="82">
        <v>2007</v>
      </c>
      <c r="E28" s="83">
        <v>2008</v>
      </c>
      <c r="F28" s="78">
        <v>128.86000000000001</v>
      </c>
      <c r="G28" s="76">
        <v>5</v>
      </c>
      <c r="H28" s="77">
        <v>0</v>
      </c>
      <c r="I28" s="77">
        <v>23831</v>
      </c>
      <c r="J28" s="79">
        <v>24193</v>
      </c>
      <c r="K28" s="13"/>
      <c r="L28" s="13"/>
    </row>
    <row r="29" spans="1:12" x14ac:dyDescent="0.2">
      <c r="A29" s="76">
        <v>11</v>
      </c>
      <c r="B29" s="76">
        <v>1</v>
      </c>
      <c r="C29" s="76" t="s">
        <v>68</v>
      </c>
      <c r="D29" s="82">
        <v>2007</v>
      </c>
      <c r="E29" s="83">
        <v>2008</v>
      </c>
      <c r="F29" s="78">
        <v>338.3</v>
      </c>
      <c r="G29" s="76">
        <v>5</v>
      </c>
      <c r="H29" s="77">
        <v>1</v>
      </c>
      <c r="I29" s="77">
        <v>27179</v>
      </c>
      <c r="J29" s="79">
        <v>20987</v>
      </c>
      <c r="K29" s="13"/>
      <c r="L29" s="13"/>
    </row>
    <row r="30" spans="1:12" x14ac:dyDescent="0.2">
      <c r="A30" s="76">
        <v>11</v>
      </c>
      <c r="B30" s="76">
        <v>1</v>
      </c>
      <c r="C30" s="76" t="s">
        <v>68</v>
      </c>
      <c r="D30" s="82">
        <v>2007</v>
      </c>
      <c r="E30" s="83">
        <v>2008</v>
      </c>
      <c r="F30" s="78">
        <v>645.80999999999995</v>
      </c>
      <c r="G30" s="76">
        <v>5</v>
      </c>
      <c r="H30" s="77">
        <v>1</v>
      </c>
      <c r="I30" s="77">
        <v>29772</v>
      </c>
      <c r="J30" s="79">
        <v>18417</v>
      </c>
      <c r="K30" s="13"/>
      <c r="L30" s="13"/>
    </row>
    <row r="31" spans="1:12" x14ac:dyDescent="0.2">
      <c r="A31" s="76">
        <v>12</v>
      </c>
      <c r="B31" s="76">
        <v>1</v>
      </c>
      <c r="C31" s="76" t="s">
        <v>69</v>
      </c>
      <c r="D31" s="76">
        <v>1998</v>
      </c>
      <c r="E31" s="76">
        <v>1999</v>
      </c>
      <c r="F31" s="81">
        <v>141</v>
      </c>
      <c r="G31" s="76">
        <v>9</v>
      </c>
      <c r="H31" s="76">
        <v>1</v>
      </c>
      <c r="I31" s="79">
        <v>6106</v>
      </c>
      <c r="J31" s="79">
        <v>5565</v>
      </c>
      <c r="K31" s="13"/>
      <c r="L31" s="13"/>
    </row>
    <row r="32" spans="1:12" x14ac:dyDescent="0.2">
      <c r="A32" s="76">
        <v>12</v>
      </c>
      <c r="B32" s="76">
        <v>1</v>
      </c>
      <c r="C32" s="76" t="s">
        <v>69</v>
      </c>
      <c r="D32" s="76">
        <v>2000</v>
      </c>
      <c r="E32" s="76">
        <v>2001</v>
      </c>
      <c r="F32" s="81">
        <v>80</v>
      </c>
      <c r="G32" s="76">
        <v>10</v>
      </c>
      <c r="H32" s="76">
        <v>1</v>
      </c>
      <c r="I32" s="79">
        <v>6686</v>
      </c>
      <c r="J32" s="79">
        <v>6346</v>
      </c>
      <c r="K32" s="13"/>
      <c r="L32" s="13"/>
    </row>
    <row r="33" spans="1:12" x14ac:dyDescent="0.2">
      <c r="A33" s="76">
        <v>12</v>
      </c>
      <c r="B33" s="76">
        <v>1</v>
      </c>
      <c r="C33" s="76" t="s">
        <v>69</v>
      </c>
      <c r="D33" s="76">
        <v>2002</v>
      </c>
      <c r="E33" s="76">
        <v>2003</v>
      </c>
      <c r="F33" s="81">
        <v>426.03</v>
      </c>
      <c r="G33" s="76">
        <v>10</v>
      </c>
      <c r="H33" s="76">
        <v>0</v>
      </c>
      <c r="I33" s="79">
        <v>5177</v>
      </c>
      <c r="J33" s="79">
        <v>8031</v>
      </c>
      <c r="K33" s="13"/>
      <c r="L33" s="13"/>
    </row>
    <row r="34" spans="1:12" x14ac:dyDescent="0.2">
      <c r="A34" s="76">
        <v>12</v>
      </c>
      <c r="B34" s="76">
        <v>1</v>
      </c>
      <c r="C34" s="76" t="s">
        <v>69</v>
      </c>
      <c r="D34" s="76">
        <v>2003</v>
      </c>
      <c r="E34" s="76">
        <v>2005</v>
      </c>
      <c r="F34" s="81">
        <v>68</v>
      </c>
      <c r="G34" s="76">
        <v>4</v>
      </c>
      <c r="H34" s="76">
        <v>0</v>
      </c>
      <c r="I34" s="79">
        <v>2080</v>
      </c>
      <c r="J34" s="79">
        <v>4938</v>
      </c>
      <c r="K34" s="13"/>
      <c r="L34" s="13"/>
    </row>
    <row r="35" spans="1:12" x14ac:dyDescent="0.2">
      <c r="A35" s="76">
        <v>12</v>
      </c>
      <c r="B35" s="76">
        <v>1</v>
      </c>
      <c r="C35" s="76" t="s">
        <v>69</v>
      </c>
      <c r="D35" s="76">
        <v>2003</v>
      </c>
      <c r="E35" s="76">
        <v>2005</v>
      </c>
      <c r="F35" s="81">
        <v>100</v>
      </c>
      <c r="G35" s="76">
        <v>4</v>
      </c>
      <c r="H35" s="76">
        <v>0</v>
      </c>
      <c r="I35" s="79">
        <v>3116</v>
      </c>
      <c r="J35" s="79">
        <v>3959</v>
      </c>
      <c r="K35" s="13"/>
      <c r="L35" s="13"/>
    </row>
    <row r="36" spans="1:12" x14ac:dyDescent="0.2">
      <c r="A36" s="76">
        <v>12</v>
      </c>
      <c r="B36" s="76">
        <v>1</v>
      </c>
      <c r="C36" s="76" t="s">
        <v>69</v>
      </c>
      <c r="D36" s="76">
        <v>2003</v>
      </c>
      <c r="E36" s="76">
        <v>2005</v>
      </c>
      <c r="F36" s="81">
        <v>130</v>
      </c>
      <c r="G36" s="76">
        <v>4</v>
      </c>
      <c r="H36" s="76">
        <v>0</v>
      </c>
      <c r="I36" s="79">
        <v>2350</v>
      </c>
      <c r="J36" s="79">
        <v>4685</v>
      </c>
      <c r="K36" s="13"/>
      <c r="L36" s="13"/>
    </row>
    <row r="37" spans="1:12" x14ac:dyDescent="0.2">
      <c r="A37" s="76">
        <v>12</v>
      </c>
      <c r="B37" s="76">
        <v>1</v>
      </c>
      <c r="C37" s="76" t="s">
        <v>69</v>
      </c>
      <c r="D37" s="76">
        <v>2003</v>
      </c>
      <c r="E37" s="76">
        <v>2004</v>
      </c>
      <c r="F37" s="81">
        <v>361</v>
      </c>
      <c r="G37" s="76">
        <v>5</v>
      </c>
      <c r="H37" s="76">
        <v>0</v>
      </c>
      <c r="I37" s="79">
        <v>3497</v>
      </c>
      <c r="J37" s="79">
        <v>3631</v>
      </c>
      <c r="K37" s="13"/>
      <c r="L37" s="13"/>
    </row>
    <row r="38" spans="1:12" x14ac:dyDescent="0.2">
      <c r="A38" s="76">
        <v>12</v>
      </c>
      <c r="B38" s="76">
        <v>1</v>
      </c>
      <c r="C38" s="76" t="s">
        <v>69</v>
      </c>
      <c r="D38" s="76">
        <v>2004</v>
      </c>
      <c r="E38" s="76">
        <v>2005</v>
      </c>
      <c r="F38" s="81">
        <v>511</v>
      </c>
      <c r="G38" s="76">
        <v>5</v>
      </c>
      <c r="H38" s="76">
        <v>0</v>
      </c>
      <c r="I38" s="79">
        <v>8055</v>
      </c>
      <c r="J38" s="79">
        <v>8226</v>
      </c>
      <c r="K38" s="13"/>
      <c r="L38" s="13"/>
    </row>
    <row r="39" spans="1:12" x14ac:dyDescent="0.2">
      <c r="A39" s="78">
        <v>12</v>
      </c>
      <c r="B39" s="78">
        <v>1</v>
      </c>
      <c r="C39" s="84" t="s">
        <v>984</v>
      </c>
      <c r="D39" s="76">
        <v>2005</v>
      </c>
      <c r="E39" s="78">
        <v>2006</v>
      </c>
      <c r="F39" s="80">
        <v>650</v>
      </c>
      <c r="G39" s="78">
        <v>5</v>
      </c>
      <c r="H39" s="78">
        <v>1</v>
      </c>
      <c r="I39" s="77">
        <v>4965</v>
      </c>
      <c r="J39" s="77">
        <v>3664</v>
      </c>
      <c r="K39" s="13"/>
      <c r="L39" s="13"/>
    </row>
    <row r="40" spans="1:12" x14ac:dyDescent="0.2">
      <c r="A40" s="76">
        <v>13</v>
      </c>
      <c r="B40" s="76">
        <v>1</v>
      </c>
      <c r="C40" s="76" t="s">
        <v>726</v>
      </c>
      <c r="D40" s="76">
        <v>1996</v>
      </c>
      <c r="E40" s="76">
        <v>1998</v>
      </c>
      <c r="F40" s="81">
        <v>257.2</v>
      </c>
      <c r="G40" s="76">
        <v>10</v>
      </c>
      <c r="H40" s="76">
        <v>1</v>
      </c>
      <c r="I40" s="79">
        <v>1270</v>
      </c>
      <c r="J40" s="79">
        <v>1084</v>
      </c>
      <c r="K40" s="13"/>
      <c r="L40" s="13"/>
    </row>
    <row r="41" spans="1:12" x14ac:dyDescent="0.2">
      <c r="A41" s="76">
        <v>13</v>
      </c>
      <c r="B41" s="76">
        <v>1</v>
      </c>
      <c r="C41" s="76" t="s">
        <v>70</v>
      </c>
      <c r="D41" s="76">
        <v>2004</v>
      </c>
      <c r="E41" s="76">
        <v>2005</v>
      </c>
      <c r="F41" s="81">
        <v>852</v>
      </c>
      <c r="G41" s="76">
        <v>10</v>
      </c>
      <c r="H41" s="76">
        <v>0</v>
      </c>
      <c r="I41" s="79">
        <v>5533</v>
      </c>
      <c r="J41" s="79">
        <v>5875</v>
      </c>
      <c r="K41" s="13"/>
      <c r="L41" s="13"/>
    </row>
    <row r="42" spans="1:12" x14ac:dyDescent="0.2">
      <c r="A42" s="76">
        <v>13</v>
      </c>
      <c r="B42" s="76">
        <v>1</v>
      </c>
      <c r="C42" s="76" t="s">
        <v>985</v>
      </c>
      <c r="D42" s="76">
        <v>2005</v>
      </c>
      <c r="E42" s="76">
        <v>2006</v>
      </c>
      <c r="F42" s="81">
        <v>879</v>
      </c>
      <c r="G42" s="76">
        <v>10</v>
      </c>
      <c r="H42" s="78">
        <v>1</v>
      </c>
      <c r="I42" s="77">
        <v>2485</v>
      </c>
      <c r="J42" s="77">
        <v>1803</v>
      </c>
      <c r="K42" s="13"/>
      <c r="L42" s="13"/>
    </row>
    <row r="43" spans="1:12" x14ac:dyDescent="0.2">
      <c r="A43" s="76">
        <v>14</v>
      </c>
      <c r="B43" s="76">
        <v>1</v>
      </c>
      <c r="C43" s="76" t="s">
        <v>71</v>
      </c>
      <c r="D43" s="76">
        <v>1992</v>
      </c>
      <c r="E43" s="76">
        <v>1993</v>
      </c>
      <c r="F43" s="81">
        <v>203.51</v>
      </c>
      <c r="G43" s="76">
        <v>5</v>
      </c>
      <c r="H43" s="76">
        <v>1</v>
      </c>
      <c r="I43" s="79" t="s">
        <v>840</v>
      </c>
      <c r="J43" s="79" t="s">
        <v>840</v>
      </c>
      <c r="K43" s="13"/>
      <c r="L43" s="13"/>
    </row>
    <row r="44" spans="1:12" x14ac:dyDescent="0.2">
      <c r="A44" s="76">
        <v>14</v>
      </c>
      <c r="B44" s="76">
        <v>1</v>
      </c>
      <c r="C44" s="76" t="s">
        <v>71</v>
      </c>
      <c r="D44" s="76">
        <v>1997</v>
      </c>
      <c r="E44" s="76">
        <v>1998</v>
      </c>
      <c r="F44" s="81">
        <v>68.52</v>
      </c>
      <c r="G44" s="76">
        <v>10</v>
      </c>
      <c r="H44" s="76">
        <v>1</v>
      </c>
      <c r="I44" s="79">
        <v>1432</v>
      </c>
      <c r="J44" s="79">
        <v>452</v>
      </c>
      <c r="K44" s="13"/>
      <c r="L44" s="13"/>
    </row>
    <row r="45" spans="1:12" x14ac:dyDescent="0.2">
      <c r="A45" s="76">
        <v>14</v>
      </c>
      <c r="B45" s="76">
        <v>1</v>
      </c>
      <c r="C45" s="76" t="s">
        <v>71</v>
      </c>
      <c r="D45" s="76">
        <v>2001</v>
      </c>
      <c r="E45" s="76">
        <v>2002</v>
      </c>
      <c r="F45" s="81">
        <v>395</v>
      </c>
      <c r="G45" s="76">
        <v>10</v>
      </c>
      <c r="H45" s="76">
        <v>0</v>
      </c>
      <c r="I45" s="79">
        <v>1186</v>
      </c>
      <c r="J45" s="79">
        <v>1235</v>
      </c>
      <c r="K45" s="13"/>
      <c r="L45" s="13"/>
    </row>
    <row r="46" spans="1:12" x14ac:dyDescent="0.2">
      <c r="A46" s="76">
        <v>14</v>
      </c>
      <c r="B46" s="76">
        <v>1</v>
      </c>
      <c r="C46" s="76" t="s">
        <v>71</v>
      </c>
      <c r="D46" s="76">
        <v>2002</v>
      </c>
      <c r="E46" s="76">
        <v>2003</v>
      </c>
      <c r="F46" s="81">
        <v>406.18</v>
      </c>
      <c r="G46" s="76">
        <v>9</v>
      </c>
      <c r="H46" s="76">
        <v>1</v>
      </c>
      <c r="I46" s="79">
        <v>4198</v>
      </c>
      <c r="J46" s="79">
        <v>2935</v>
      </c>
      <c r="K46" s="13"/>
      <c r="L46" s="13"/>
    </row>
    <row r="47" spans="1:12" x14ac:dyDescent="0.2">
      <c r="A47" s="76">
        <v>14</v>
      </c>
      <c r="B47" s="76">
        <v>1</v>
      </c>
      <c r="C47" s="76" t="s">
        <v>71</v>
      </c>
      <c r="D47" s="76">
        <v>2005</v>
      </c>
      <c r="E47" s="76">
        <v>2006</v>
      </c>
      <c r="F47" s="81">
        <v>150</v>
      </c>
      <c r="G47" s="76">
        <v>10</v>
      </c>
      <c r="H47" s="78">
        <v>1</v>
      </c>
      <c r="I47" s="77">
        <v>1531</v>
      </c>
      <c r="J47" s="77">
        <v>1405</v>
      </c>
      <c r="K47" s="13"/>
      <c r="L47" s="13"/>
    </row>
    <row r="48" spans="1:12" x14ac:dyDescent="0.2">
      <c r="A48" s="76">
        <v>14</v>
      </c>
      <c r="B48" s="76">
        <v>1</v>
      </c>
      <c r="C48" s="76" t="s">
        <v>71</v>
      </c>
      <c r="D48" s="76">
        <v>2005</v>
      </c>
      <c r="E48" s="76">
        <v>2006</v>
      </c>
      <c r="F48" s="81">
        <v>434.55</v>
      </c>
      <c r="G48" s="76">
        <v>10</v>
      </c>
      <c r="H48" s="78">
        <v>1</v>
      </c>
      <c r="I48" s="77">
        <v>1768</v>
      </c>
      <c r="J48" s="77">
        <v>1162</v>
      </c>
      <c r="K48" s="13"/>
      <c r="L48" s="13"/>
    </row>
    <row r="49" spans="1:12" x14ac:dyDescent="0.2">
      <c r="A49" s="76">
        <v>15</v>
      </c>
      <c r="B49" s="76">
        <v>1</v>
      </c>
      <c r="C49" s="76" t="s">
        <v>72</v>
      </c>
      <c r="D49" s="76">
        <v>1992</v>
      </c>
      <c r="E49" s="76">
        <v>1993</v>
      </c>
      <c r="F49" s="81">
        <v>302.73</v>
      </c>
      <c r="G49" s="76">
        <v>5</v>
      </c>
      <c r="H49" s="76">
        <v>0</v>
      </c>
      <c r="I49" s="79" t="s">
        <v>840</v>
      </c>
      <c r="J49" s="79" t="s">
        <v>840</v>
      </c>
      <c r="K49" s="13"/>
      <c r="L49" s="13"/>
    </row>
    <row r="50" spans="1:12" x14ac:dyDescent="0.2">
      <c r="A50" s="76">
        <v>15</v>
      </c>
      <c r="B50" s="76">
        <v>1</v>
      </c>
      <c r="C50" s="76" t="s">
        <v>72</v>
      </c>
      <c r="D50" s="76">
        <v>1993</v>
      </c>
      <c r="E50" s="76">
        <v>1994</v>
      </c>
      <c r="F50" s="81">
        <v>304</v>
      </c>
      <c r="G50" s="76">
        <v>5</v>
      </c>
      <c r="H50" s="76">
        <v>1</v>
      </c>
      <c r="I50" s="79" t="s">
        <v>840</v>
      </c>
      <c r="J50" s="79" t="s">
        <v>840</v>
      </c>
      <c r="K50" s="13"/>
      <c r="L50" s="13"/>
    </row>
    <row r="51" spans="1:12" x14ac:dyDescent="0.2">
      <c r="A51" s="76">
        <v>15</v>
      </c>
      <c r="B51" s="76">
        <v>1</v>
      </c>
      <c r="C51" s="76" t="s">
        <v>72</v>
      </c>
      <c r="D51" s="76">
        <v>1997</v>
      </c>
      <c r="E51" s="76">
        <v>1999</v>
      </c>
      <c r="F51" s="81">
        <v>204</v>
      </c>
      <c r="G51" s="76">
        <v>5</v>
      </c>
      <c r="H51" s="76">
        <v>1</v>
      </c>
      <c r="I51" s="79">
        <v>1265</v>
      </c>
      <c r="J51" s="79">
        <v>637</v>
      </c>
      <c r="K51" s="13"/>
      <c r="L51" s="13"/>
    </row>
    <row r="52" spans="1:12" x14ac:dyDescent="0.2">
      <c r="A52" s="76">
        <v>15</v>
      </c>
      <c r="B52" s="76">
        <v>1</v>
      </c>
      <c r="C52" s="76" t="s">
        <v>72</v>
      </c>
      <c r="D52" s="76">
        <v>1999</v>
      </c>
      <c r="E52" s="76">
        <v>2000</v>
      </c>
      <c r="F52" s="81">
        <v>211</v>
      </c>
      <c r="G52" s="76">
        <v>10</v>
      </c>
      <c r="H52" s="76">
        <v>1</v>
      </c>
      <c r="I52" s="79">
        <v>1953</v>
      </c>
      <c r="J52" s="79">
        <v>1859</v>
      </c>
      <c r="K52" s="13"/>
      <c r="L52" s="13"/>
    </row>
    <row r="53" spans="1:12" x14ac:dyDescent="0.2">
      <c r="A53" s="76">
        <v>15</v>
      </c>
      <c r="B53" s="76">
        <v>1</v>
      </c>
      <c r="C53" s="76" t="s">
        <v>72</v>
      </c>
      <c r="D53" s="76">
        <v>2001</v>
      </c>
      <c r="E53" s="76">
        <v>2002</v>
      </c>
      <c r="F53" s="81">
        <v>214</v>
      </c>
      <c r="G53" s="76">
        <v>10</v>
      </c>
      <c r="H53" s="76">
        <v>0</v>
      </c>
      <c r="I53" s="79">
        <v>1598</v>
      </c>
      <c r="J53" s="79">
        <v>2359</v>
      </c>
      <c r="K53" s="13"/>
      <c r="L53" s="13"/>
    </row>
    <row r="54" spans="1:12" x14ac:dyDescent="0.2">
      <c r="A54" s="76">
        <v>15</v>
      </c>
      <c r="B54" s="76">
        <v>1</v>
      </c>
      <c r="C54" s="76" t="s">
        <v>72</v>
      </c>
      <c r="D54" s="76">
        <v>2002</v>
      </c>
      <c r="E54" s="76">
        <v>2003</v>
      </c>
      <c r="F54" s="81">
        <v>500</v>
      </c>
      <c r="G54" s="76">
        <v>10</v>
      </c>
      <c r="H54" s="76">
        <v>0</v>
      </c>
      <c r="I54" s="79">
        <v>2837</v>
      </c>
      <c r="J54" s="79">
        <v>3404</v>
      </c>
      <c r="K54" s="13"/>
      <c r="L54" s="13"/>
    </row>
    <row r="55" spans="1:12" x14ac:dyDescent="0.2">
      <c r="A55" s="76">
        <v>15</v>
      </c>
      <c r="B55" s="76">
        <v>1</v>
      </c>
      <c r="C55" s="76" t="s">
        <v>72</v>
      </c>
      <c r="D55" s="76">
        <v>2003</v>
      </c>
      <c r="E55" s="76">
        <v>2004</v>
      </c>
      <c r="F55" s="81">
        <v>24.25</v>
      </c>
      <c r="G55" s="76">
        <v>5</v>
      </c>
      <c r="H55" s="76">
        <v>1</v>
      </c>
      <c r="I55" s="79">
        <v>2509</v>
      </c>
      <c r="J55" s="79">
        <v>2179</v>
      </c>
      <c r="K55" s="13"/>
      <c r="L55" s="13"/>
    </row>
    <row r="56" spans="1:12" x14ac:dyDescent="0.2">
      <c r="A56" s="76">
        <v>15</v>
      </c>
      <c r="B56" s="76">
        <v>1</v>
      </c>
      <c r="C56" s="76" t="s">
        <v>72</v>
      </c>
      <c r="D56" s="76">
        <v>2003</v>
      </c>
      <c r="E56" s="76">
        <v>2004</v>
      </c>
      <c r="F56" s="81">
        <v>109.5</v>
      </c>
      <c r="G56" s="76">
        <v>5</v>
      </c>
      <c r="H56" s="76">
        <v>1</v>
      </c>
      <c r="I56" s="79">
        <v>2598</v>
      </c>
      <c r="J56" s="79">
        <v>2117</v>
      </c>
      <c r="K56" s="13"/>
      <c r="L56" s="13"/>
    </row>
    <row r="57" spans="1:12" x14ac:dyDescent="0.2">
      <c r="A57" s="76">
        <v>15</v>
      </c>
      <c r="B57" s="76">
        <v>1</v>
      </c>
      <c r="C57" s="76" t="s">
        <v>72</v>
      </c>
      <c r="D57" s="76">
        <v>2003</v>
      </c>
      <c r="E57" s="76">
        <v>2004</v>
      </c>
      <c r="F57" s="81">
        <v>250</v>
      </c>
      <c r="G57" s="76">
        <v>5</v>
      </c>
      <c r="H57" s="76">
        <v>1</v>
      </c>
      <c r="I57" s="79">
        <v>2708</v>
      </c>
      <c r="J57" s="79">
        <v>2016</v>
      </c>
      <c r="K57" s="13"/>
      <c r="L57" s="13"/>
    </row>
    <row r="58" spans="1:12" x14ac:dyDescent="0.2">
      <c r="A58" s="76">
        <v>15</v>
      </c>
      <c r="B58" s="76">
        <v>1</v>
      </c>
      <c r="C58" s="76" t="s">
        <v>72</v>
      </c>
      <c r="D58" s="82">
        <v>2007</v>
      </c>
      <c r="E58" s="83">
        <v>2009</v>
      </c>
      <c r="F58" s="78">
        <v>24.25</v>
      </c>
      <c r="G58" s="76">
        <v>7</v>
      </c>
      <c r="H58" s="77">
        <v>0</v>
      </c>
      <c r="I58" s="77">
        <v>2497</v>
      </c>
      <c r="J58" s="79">
        <v>3298</v>
      </c>
      <c r="K58" s="13"/>
      <c r="L58" s="13"/>
    </row>
    <row r="59" spans="1:12" x14ac:dyDescent="0.2">
      <c r="A59" s="76">
        <v>15</v>
      </c>
      <c r="B59" s="76">
        <v>1</v>
      </c>
      <c r="C59" s="76" t="s">
        <v>72</v>
      </c>
      <c r="D59" s="82">
        <v>2007</v>
      </c>
      <c r="E59" s="83">
        <v>2009</v>
      </c>
      <c r="F59" s="78">
        <v>109.5</v>
      </c>
      <c r="G59" s="76">
        <v>7</v>
      </c>
      <c r="H59" s="77">
        <v>0</v>
      </c>
      <c r="I59" s="77">
        <v>2522</v>
      </c>
      <c r="J59" s="79">
        <v>3283</v>
      </c>
      <c r="K59" s="13"/>
      <c r="L59" s="13"/>
    </row>
    <row r="60" spans="1:12" x14ac:dyDescent="0.2">
      <c r="A60" s="76">
        <v>15</v>
      </c>
      <c r="B60" s="76">
        <v>1</v>
      </c>
      <c r="C60" s="76" t="s">
        <v>72</v>
      </c>
      <c r="D60" s="82">
        <v>2007</v>
      </c>
      <c r="E60" s="83">
        <v>2009</v>
      </c>
      <c r="F60" s="78">
        <v>451.25</v>
      </c>
      <c r="G60" s="76">
        <v>7</v>
      </c>
      <c r="H60" s="77">
        <v>0</v>
      </c>
      <c r="I60" s="77">
        <v>2406</v>
      </c>
      <c r="J60" s="79">
        <v>3410</v>
      </c>
      <c r="K60" s="13"/>
      <c r="L60" s="13"/>
    </row>
    <row r="61" spans="1:12" x14ac:dyDescent="0.2">
      <c r="A61">
        <v>15</v>
      </c>
      <c r="B61">
        <v>1</v>
      </c>
      <c r="C61" t="s">
        <v>72</v>
      </c>
      <c r="D61">
        <v>2008</v>
      </c>
      <c r="E61" s="5">
        <v>2009</v>
      </c>
      <c r="F61" s="6">
        <v>671.65</v>
      </c>
      <c r="G61" s="5">
        <v>7</v>
      </c>
      <c r="H61" s="33">
        <v>0</v>
      </c>
      <c r="I61" s="33">
        <v>7373</v>
      </c>
      <c r="J61" s="33">
        <v>9027</v>
      </c>
      <c r="K61" s="13"/>
      <c r="L61" s="13"/>
    </row>
    <row r="62" spans="1:12" x14ac:dyDescent="0.2">
      <c r="A62" s="76">
        <v>16</v>
      </c>
      <c r="B62" s="76">
        <v>1</v>
      </c>
      <c r="C62" s="76" t="s">
        <v>73</v>
      </c>
      <c r="D62" s="76">
        <v>1991</v>
      </c>
      <c r="E62" s="76">
        <v>1993</v>
      </c>
      <c r="F62" s="81">
        <v>324.31</v>
      </c>
      <c r="G62" s="76">
        <v>5</v>
      </c>
      <c r="H62" s="76">
        <v>0</v>
      </c>
      <c r="I62" s="79" t="s">
        <v>840</v>
      </c>
      <c r="J62" s="79" t="s">
        <v>840</v>
      </c>
      <c r="K62" s="13"/>
      <c r="L62" s="13"/>
    </row>
    <row r="63" spans="1:12" x14ac:dyDescent="0.2">
      <c r="A63" s="76">
        <v>16</v>
      </c>
      <c r="B63" s="76">
        <v>1</v>
      </c>
      <c r="C63" s="76" t="s">
        <v>73</v>
      </c>
      <c r="D63" s="76">
        <v>1998</v>
      </c>
      <c r="E63" s="76">
        <v>1999</v>
      </c>
      <c r="F63" s="81">
        <v>350</v>
      </c>
      <c r="G63" s="76">
        <v>10</v>
      </c>
      <c r="H63" s="76">
        <v>0</v>
      </c>
      <c r="I63" s="79">
        <v>4439</v>
      </c>
      <c r="J63" s="79">
        <v>5183</v>
      </c>
      <c r="K63" s="13"/>
      <c r="L63" s="13"/>
    </row>
    <row r="64" spans="1:12" x14ac:dyDescent="0.2">
      <c r="A64" s="76">
        <v>16</v>
      </c>
      <c r="B64" s="76">
        <v>1</v>
      </c>
      <c r="C64" s="76" t="s">
        <v>73</v>
      </c>
      <c r="D64" s="76">
        <v>1999</v>
      </c>
      <c r="E64" s="76">
        <v>2000</v>
      </c>
      <c r="F64" s="81">
        <v>100</v>
      </c>
      <c r="G64" s="76">
        <v>10</v>
      </c>
      <c r="H64" s="76">
        <v>1</v>
      </c>
      <c r="I64" s="79">
        <v>1875</v>
      </c>
      <c r="J64" s="79">
        <v>1394</v>
      </c>
      <c r="K64" s="13"/>
      <c r="L64" s="13"/>
    </row>
    <row r="65" spans="1:12" x14ac:dyDescent="0.2">
      <c r="A65" s="76">
        <v>16</v>
      </c>
      <c r="B65" s="76">
        <v>1</v>
      </c>
      <c r="C65" s="76" t="s">
        <v>73</v>
      </c>
      <c r="D65" s="76">
        <v>1999</v>
      </c>
      <c r="E65" s="76">
        <v>2000</v>
      </c>
      <c r="F65" s="81">
        <v>250</v>
      </c>
      <c r="G65" s="76">
        <v>10</v>
      </c>
      <c r="H65" s="76">
        <v>1</v>
      </c>
      <c r="I65" s="79">
        <v>1930</v>
      </c>
      <c r="J65" s="79">
        <v>1342</v>
      </c>
      <c r="K65" s="13"/>
      <c r="L65" s="13"/>
    </row>
    <row r="66" spans="1:12" x14ac:dyDescent="0.2">
      <c r="A66" s="76">
        <v>16</v>
      </c>
      <c r="B66" s="76">
        <v>1</v>
      </c>
      <c r="C66" s="76" t="s">
        <v>73</v>
      </c>
      <c r="D66" s="76">
        <v>2001</v>
      </c>
      <c r="E66" s="76">
        <v>2002</v>
      </c>
      <c r="F66" s="81">
        <v>415</v>
      </c>
      <c r="G66" s="76">
        <v>10</v>
      </c>
      <c r="H66" s="76">
        <v>0</v>
      </c>
      <c r="I66" s="79">
        <v>1917</v>
      </c>
      <c r="J66" s="79">
        <v>2057</v>
      </c>
      <c r="K66" s="13"/>
      <c r="L66" s="13"/>
    </row>
    <row r="67" spans="1:12" x14ac:dyDescent="0.2">
      <c r="A67" s="76">
        <v>16</v>
      </c>
      <c r="B67" s="76">
        <v>1</v>
      </c>
      <c r="C67" s="76" t="s">
        <v>73</v>
      </c>
      <c r="D67" s="76">
        <v>2002</v>
      </c>
      <c r="E67" s="76">
        <v>2003</v>
      </c>
      <c r="F67" s="81">
        <v>90</v>
      </c>
      <c r="G67" s="76">
        <v>10</v>
      </c>
      <c r="H67" s="76">
        <v>1</v>
      </c>
      <c r="I67" s="79">
        <v>2987</v>
      </c>
      <c r="J67" s="79">
        <v>2168</v>
      </c>
      <c r="K67" s="13"/>
      <c r="L67" s="13"/>
    </row>
    <row r="68" spans="1:12" x14ac:dyDescent="0.2">
      <c r="A68" s="76">
        <v>16</v>
      </c>
      <c r="B68" s="76">
        <v>1</v>
      </c>
      <c r="C68" s="76" t="s">
        <v>73</v>
      </c>
      <c r="D68" s="76">
        <v>2002</v>
      </c>
      <c r="E68" s="76">
        <v>2003</v>
      </c>
      <c r="F68" s="81">
        <v>420</v>
      </c>
      <c r="G68" s="76">
        <v>10</v>
      </c>
      <c r="H68" s="76">
        <v>1</v>
      </c>
      <c r="I68" s="79">
        <v>3149</v>
      </c>
      <c r="J68" s="79">
        <v>2063</v>
      </c>
      <c r="K68" s="13"/>
      <c r="L68" s="13"/>
    </row>
    <row r="69" spans="1:12" x14ac:dyDescent="0.2">
      <c r="A69" s="76">
        <v>21</v>
      </c>
      <c r="B69" s="76">
        <v>1</v>
      </c>
      <c r="C69" s="76" t="s">
        <v>592</v>
      </c>
      <c r="D69" s="76">
        <v>1998</v>
      </c>
      <c r="E69" s="76">
        <v>1999</v>
      </c>
      <c r="F69" s="81">
        <v>459</v>
      </c>
      <c r="G69" s="76">
        <v>5</v>
      </c>
      <c r="H69" s="76">
        <v>0</v>
      </c>
      <c r="I69" s="79">
        <v>467</v>
      </c>
      <c r="J69" s="79">
        <v>524</v>
      </c>
      <c r="K69" s="13"/>
      <c r="L69" s="13"/>
    </row>
    <row r="70" spans="1:12" x14ac:dyDescent="0.2">
      <c r="A70" s="76">
        <v>22</v>
      </c>
      <c r="B70" s="76">
        <v>1</v>
      </c>
      <c r="C70" s="76" t="s">
        <v>74</v>
      </c>
      <c r="D70" s="76">
        <v>1993</v>
      </c>
      <c r="E70" s="76">
        <v>1994</v>
      </c>
      <c r="F70" s="81">
        <v>429</v>
      </c>
      <c r="G70" s="76">
        <v>4</v>
      </c>
      <c r="H70" s="76">
        <v>1</v>
      </c>
      <c r="I70" s="79" t="s">
        <v>840</v>
      </c>
      <c r="J70" s="79" t="s">
        <v>840</v>
      </c>
      <c r="K70" s="13"/>
      <c r="L70" s="13"/>
    </row>
    <row r="71" spans="1:12" x14ac:dyDescent="0.2">
      <c r="A71" s="76">
        <v>22</v>
      </c>
      <c r="B71" s="76">
        <v>1</v>
      </c>
      <c r="C71" s="76" t="s">
        <v>74</v>
      </c>
      <c r="D71" s="76">
        <v>1997</v>
      </c>
      <c r="E71" s="76">
        <v>1998</v>
      </c>
      <c r="F71" s="81">
        <v>315</v>
      </c>
      <c r="G71" s="76">
        <v>10</v>
      </c>
      <c r="H71" s="76">
        <v>1</v>
      </c>
      <c r="I71" s="79">
        <v>1065</v>
      </c>
      <c r="J71" s="79">
        <v>293</v>
      </c>
      <c r="K71" s="13"/>
      <c r="L71" s="13"/>
    </row>
    <row r="72" spans="1:12" x14ac:dyDescent="0.2">
      <c r="A72" s="76">
        <v>22</v>
      </c>
      <c r="B72" s="76">
        <v>1</v>
      </c>
      <c r="C72" s="76" t="s">
        <v>74</v>
      </c>
      <c r="D72" s="76">
        <v>2001</v>
      </c>
      <c r="E72" s="76">
        <v>2002</v>
      </c>
      <c r="F72" s="81">
        <v>315</v>
      </c>
      <c r="G72" s="76">
        <v>10</v>
      </c>
      <c r="H72" s="76">
        <v>1</v>
      </c>
      <c r="I72" s="79">
        <v>1105</v>
      </c>
      <c r="J72" s="79">
        <v>976</v>
      </c>
      <c r="K72" s="13"/>
      <c r="L72" s="13"/>
    </row>
    <row r="73" spans="1:12" x14ac:dyDescent="0.2">
      <c r="A73" s="76">
        <v>22</v>
      </c>
      <c r="B73" s="76">
        <v>1</v>
      </c>
      <c r="C73" s="76" t="s">
        <v>74</v>
      </c>
      <c r="D73" s="76">
        <v>2004</v>
      </c>
      <c r="E73" s="76">
        <v>2005</v>
      </c>
      <c r="F73" s="81">
        <v>500</v>
      </c>
      <c r="G73" s="76">
        <v>7</v>
      </c>
      <c r="H73" s="76">
        <v>0</v>
      </c>
      <c r="I73" s="79">
        <v>3580</v>
      </c>
      <c r="J73" s="79">
        <v>4622</v>
      </c>
      <c r="K73" s="13"/>
      <c r="L73" s="13"/>
    </row>
    <row r="74" spans="1:12" x14ac:dyDescent="0.2">
      <c r="A74" s="76">
        <v>23</v>
      </c>
      <c r="B74" s="76">
        <v>1</v>
      </c>
      <c r="C74" s="76" t="s">
        <v>75</v>
      </c>
      <c r="D74" s="76">
        <v>2000</v>
      </c>
      <c r="E74" s="76">
        <v>2001</v>
      </c>
      <c r="F74" s="81">
        <v>415</v>
      </c>
      <c r="G74" s="76">
        <v>10</v>
      </c>
      <c r="H74" s="76">
        <v>0</v>
      </c>
      <c r="I74" s="79">
        <v>920</v>
      </c>
      <c r="J74" s="79">
        <v>1839</v>
      </c>
      <c r="K74" s="13"/>
      <c r="L74" s="13"/>
    </row>
    <row r="75" spans="1:12" x14ac:dyDescent="0.2">
      <c r="A75" s="76">
        <v>23</v>
      </c>
      <c r="B75" s="76">
        <v>1</v>
      </c>
      <c r="C75" s="76" t="s">
        <v>75</v>
      </c>
      <c r="D75" s="76">
        <v>2004</v>
      </c>
      <c r="E75" s="76">
        <v>2005</v>
      </c>
      <c r="F75" s="81">
        <v>500</v>
      </c>
      <c r="G75" s="76">
        <v>10</v>
      </c>
      <c r="H75" s="76">
        <v>0</v>
      </c>
      <c r="I75" s="79">
        <v>1206</v>
      </c>
      <c r="J75" s="79">
        <v>2241</v>
      </c>
      <c r="K75" s="13"/>
      <c r="L75" s="13"/>
    </row>
    <row r="76" spans="1:12" x14ac:dyDescent="0.2">
      <c r="A76" s="76">
        <v>23</v>
      </c>
      <c r="B76" s="76">
        <v>1</v>
      </c>
      <c r="C76" s="76" t="s">
        <v>75</v>
      </c>
      <c r="D76" s="76">
        <v>2005</v>
      </c>
      <c r="E76" s="76">
        <v>2006</v>
      </c>
      <c r="F76" s="81">
        <v>700</v>
      </c>
      <c r="G76" s="76">
        <v>10</v>
      </c>
      <c r="H76" s="78">
        <v>0</v>
      </c>
      <c r="I76" s="77">
        <v>716</v>
      </c>
      <c r="J76" s="77">
        <v>1018</v>
      </c>
      <c r="K76" s="13"/>
      <c r="L76" s="13"/>
    </row>
    <row r="77" spans="1:12" x14ac:dyDescent="0.2">
      <c r="A77" s="76">
        <v>23</v>
      </c>
      <c r="B77" s="76">
        <v>1</v>
      </c>
      <c r="C77" s="76" t="s">
        <v>75</v>
      </c>
      <c r="D77" s="76">
        <v>2006</v>
      </c>
      <c r="E77" s="78">
        <v>2007</v>
      </c>
      <c r="F77" s="81">
        <v>125</v>
      </c>
      <c r="G77" s="78">
        <v>5</v>
      </c>
      <c r="H77" s="76">
        <v>0</v>
      </c>
      <c r="I77" s="77">
        <v>1198</v>
      </c>
      <c r="J77" s="77">
        <v>1636</v>
      </c>
      <c r="K77" s="13"/>
      <c r="L77" s="13"/>
    </row>
    <row r="78" spans="1:12" x14ac:dyDescent="0.2">
      <c r="A78" s="76">
        <v>23</v>
      </c>
      <c r="B78" s="76">
        <v>1</v>
      </c>
      <c r="C78" s="76" t="s">
        <v>75</v>
      </c>
      <c r="D78" s="76">
        <v>2006</v>
      </c>
      <c r="E78" s="78">
        <v>2007</v>
      </c>
      <c r="F78" s="81">
        <v>274</v>
      </c>
      <c r="G78" s="78">
        <v>5</v>
      </c>
      <c r="H78" s="76">
        <v>0</v>
      </c>
      <c r="I78" s="77">
        <v>1362</v>
      </c>
      <c r="J78" s="77">
        <v>1495</v>
      </c>
      <c r="K78" s="13"/>
      <c r="L78" s="13"/>
    </row>
    <row r="79" spans="1:12" x14ac:dyDescent="0.2">
      <c r="A79" s="76">
        <v>23</v>
      </c>
      <c r="B79" s="76">
        <v>1</v>
      </c>
      <c r="C79" s="76" t="s">
        <v>75</v>
      </c>
      <c r="D79" s="82">
        <v>2007</v>
      </c>
      <c r="E79" s="83">
        <v>2008</v>
      </c>
      <c r="F79" s="78">
        <v>1000</v>
      </c>
      <c r="G79" s="76">
        <v>5</v>
      </c>
      <c r="H79" s="77">
        <v>1</v>
      </c>
      <c r="I79" s="77">
        <v>1600</v>
      </c>
      <c r="J79" s="79">
        <v>1006</v>
      </c>
      <c r="K79" s="13"/>
      <c r="L79" s="13"/>
    </row>
    <row r="80" spans="1:12" x14ac:dyDescent="0.2">
      <c r="A80" s="76">
        <v>24</v>
      </c>
      <c r="B80" s="76">
        <v>1</v>
      </c>
      <c r="C80" s="76" t="s">
        <v>593</v>
      </c>
      <c r="D80" s="76">
        <v>1993</v>
      </c>
      <c r="E80" s="76">
        <v>1994</v>
      </c>
      <c r="F80" s="81">
        <v>395.55</v>
      </c>
      <c r="G80" s="76">
        <v>5</v>
      </c>
      <c r="H80" s="76">
        <v>1</v>
      </c>
      <c r="I80" s="79" t="s">
        <v>840</v>
      </c>
      <c r="J80" s="79" t="s">
        <v>840</v>
      </c>
      <c r="K80" s="13"/>
      <c r="L80" s="13"/>
    </row>
    <row r="81" spans="1:12" x14ac:dyDescent="0.2">
      <c r="A81" s="76">
        <v>24</v>
      </c>
      <c r="B81" s="76">
        <v>1</v>
      </c>
      <c r="C81" s="76" t="s">
        <v>592</v>
      </c>
      <c r="D81" s="76">
        <v>1996</v>
      </c>
      <c r="E81" s="76">
        <v>1997</v>
      </c>
      <c r="F81" s="81">
        <v>499.43</v>
      </c>
      <c r="G81" s="76">
        <v>10</v>
      </c>
      <c r="H81" s="76">
        <v>0</v>
      </c>
      <c r="I81" s="79">
        <v>150</v>
      </c>
      <c r="J81" s="79">
        <v>419</v>
      </c>
      <c r="K81" s="13"/>
      <c r="L81" s="13"/>
    </row>
    <row r="82" spans="1:12" x14ac:dyDescent="0.2">
      <c r="A82" s="76">
        <v>31</v>
      </c>
      <c r="B82" s="76">
        <v>1</v>
      </c>
      <c r="C82" s="76" t="s">
        <v>77</v>
      </c>
      <c r="D82" s="76">
        <v>1997</v>
      </c>
      <c r="E82" s="76">
        <v>1998</v>
      </c>
      <c r="F82" s="81">
        <v>315</v>
      </c>
      <c r="G82" s="76">
        <v>10</v>
      </c>
      <c r="H82" s="76">
        <v>1</v>
      </c>
      <c r="I82" s="79">
        <v>3902</v>
      </c>
      <c r="J82" s="79">
        <v>2748</v>
      </c>
      <c r="K82" s="13"/>
      <c r="L82" s="13"/>
    </row>
    <row r="83" spans="1:12" x14ac:dyDescent="0.2">
      <c r="A83" s="76">
        <v>31</v>
      </c>
      <c r="B83" s="76">
        <v>1</v>
      </c>
      <c r="C83" s="76" t="s">
        <v>77</v>
      </c>
      <c r="D83" s="76">
        <v>2001</v>
      </c>
      <c r="E83" s="76">
        <v>2002</v>
      </c>
      <c r="F83" s="81">
        <v>400</v>
      </c>
      <c r="G83" s="76">
        <v>10</v>
      </c>
      <c r="H83" s="76">
        <v>0</v>
      </c>
      <c r="I83" s="79">
        <v>3490</v>
      </c>
      <c r="J83" s="79">
        <v>5913</v>
      </c>
      <c r="K83" s="13"/>
      <c r="L83" s="13"/>
    </row>
    <row r="84" spans="1:12" x14ac:dyDescent="0.2">
      <c r="A84" s="76">
        <v>31</v>
      </c>
      <c r="B84" s="76">
        <v>1</v>
      </c>
      <c r="C84" s="76" t="s">
        <v>77</v>
      </c>
      <c r="D84" s="76">
        <v>2003</v>
      </c>
      <c r="E84" s="76">
        <v>2004</v>
      </c>
      <c r="F84" s="81">
        <v>1</v>
      </c>
      <c r="G84" s="76">
        <v>5</v>
      </c>
      <c r="H84" s="76">
        <v>1</v>
      </c>
      <c r="I84" s="79">
        <v>4707</v>
      </c>
      <c r="J84" s="79">
        <v>1653</v>
      </c>
      <c r="K84" s="13"/>
      <c r="L84" s="13"/>
    </row>
    <row r="85" spans="1:12" x14ac:dyDescent="0.2">
      <c r="A85" s="76">
        <v>31</v>
      </c>
      <c r="B85" s="76">
        <v>1</v>
      </c>
      <c r="C85" s="76" t="s">
        <v>77</v>
      </c>
      <c r="D85" s="76">
        <v>2003</v>
      </c>
      <c r="E85" s="76">
        <v>2004</v>
      </c>
      <c r="F85" s="81">
        <v>200</v>
      </c>
      <c r="G85" s="76">
        <v>5</v>
      </c>
      <c r="H85" s="76">
        <v>1</v>
      </c>
      <c r="I85" s="79">
        <v>3634</v>
      </c>
      <c r="J85" s="79">
        <v>2664</v>
      </c>
      <c r="K85" s="13"/>
      <c r="L85" s="13"/>
    </row>
    <row r="86" spans="1:12" x14ac:dyDescent="0.2">
      <c r="A86" s="76">
        <v>31</v>
      </c>
      <c r="B86" s="76">
        <v>1</v>
      </c>
      <c r="C86" s="76" t="s">
        <v>77</v>
      </c>
      <c r="D86" s="76">
        <v>2003</v>
      </c>
      <c r="E86" s="76">
        <v>2004</v>
      </c>
      <c r="F86" s="81">
        <v>300</v>
      </c>
      <c r="G86" s="76">
        <v>5</v>
      </c>
      <c r="H86" s="76">
        <v>1</v>
      </c>
      <c r="I86" s="79">
        <v>4524</v>
      </c>
      <c r="J86" s="79">
        <v>1826</v>
      </c>
      <c r="K86" s="13"/>
      <c r="L86" s="13"/>
    </row>
    <row r="87" spans="1:12" x14ac:dyDescent="0.2">
      <c r="A87" s="76">
        <v>31</v>
      </c>
      <c r="B87" s="76">
        <v>1</v>
      </c>
      <c r="C87" s="76" t="s">
        <v>77</v>
      </c>
      <c r="D87" s="82">
        <v>2007</v>
      </c>
      <c r="E87" s="83">
        <v>2009</v>
      </c>
      <c r="F87" s="78">
        <v>199</v>
      </c>
      <c r="G87" s="76">
        <v>6</v>
      </c>
      <c r="H87" s="77">
        <v>0</v>
      </c>
      <c r="I87" s="77">
        <v>1384</v>
      </c>
      <c r="J87" s="79">
        <v>3079</v>
      </c>
      <c r="K87" s="13"/>
      <c r="L87" s="13"/>
    </row>
    <row r="88" spans="1:12" x14ac:dyDescent="0.2">
      <c r="A88" s="76">
        <v>31</v>
      </c>
      <c r="B88" s="76">
        <v>1</v>
      </c>
      <c r="C88" s="76" t="s">
        <v>77</v>
      </c>
      <c r="D88" s="82">
        <v>2007</v>
      </c>
      <c r="E88" s="83">
        <v>2009</v>
      </c>
      <c r="F88" s="78">
        <v>501</v>
      </c>
      <c r="G88" s="76">
        <v>6</v>
      </c>
      <c r="H88" s="77">
        <v>0</v>
      </c>
      <c r="I88" s="77">
        <v>2074</v>
      </c>
      <c r="J88" s="79">
        <v>2410</v>
      </c>
      <c r="K88" s="13"/>
      <c r="L88" s="13"/>
    </row>
    <row r="89" spans="1:12" x14ac:dyDescent="0.2">
      <c r="A89">
        <v>31</v>
      </c>
      <c r="B89">
        <v>1</v>
      </c>
      <c r="C89" t="s">
        <v>77</v>
      </c>
      <c r="D89">
        <v>2008</v>
      </c>
      <c r="E89" s="5">
        <v>2009</v>
      </c>
      <c r="F89" s="6">
        <v>501</v>
      </c>
      <c r="G89" s="5">
        <v>5</v>
      </c>
      <c r="H89" s="33">
        <v>1</v>
      </c>
      <c r="I89" s="33">
        <v>12821</v>
      </c>
      <c r="J89" s="33">
        <v>5111</v>
      </c>
      <c r="K89" s="13"/>
      <c r="L89" s="13"/>
    </row>
    <row r="90" spans="1:12" x14ac:dyDescent="0.2">
      <c r="A90" s="76">
        <v>32</v>
      </c>
      <c r="B90" s="76">
        <v>1</v>
      </c>
      <c r="C90" s="76" t="s">
        <v>78</v>
      </c>
      <c r="D90" s="76">
        <v>2001</v>
      </c>
      <c r="E90" s="76">
        <v>2002</v>
      </c>
      <c r="F90" s="81">
        <v>1</v>
      </c>
      <c r="G90" s="76">
        <v>10</v>
      </c>
      <c r="H90" s="76">
        <v>1</v>
      </c>
      <c r="I90" s="79">
        <v>626</v>
      </c>
      <c r="J90" s="79">
        <v>307</v>
      </c>
      <c r="K90" s="13"/>
      <c r="L90" s="13"/>
    </row>
    <row r="91" spans="1:12" x14ac:dyDescent="0.2">
      <c r="A91" s="76">
        <v>32</v>
      </c>
      <c r="B91" s="76">
        <v>1</v>
      </c>
      <c r="C91" s="76" t="s">
        <v>78</v>
      </c>
      <c r="D91" s="76">
        <v>2004</v>
      </c>
      <c r="E91" s="76">
        <v>2005</v>
      </c>
      <c r="F91" s="81">
        <v>350</v>
      </c>
      <c r="G91" s="76">
        <v>10</v>
      </c>
      <c r="H91" s="76">
        <v>0</v>
      </c>
      <c r="I91" s="79">
        <v>678</v>
      </c>
      <c r="J91" s="79">
        <v>1182</v>
      </c>
      <c r="K91" s="13"/>
      <c r="L91" s="13"/>
    </row>
    <row r="92" spans="1:12" x14ac:dyDescent="0.2">
      <c r="A92" s="76">
        <v>32</v>
      </c>
      <c r="B92" s="76">
        <v>1</v>
      </c>
      <c r="C92" s="76" t="s">
        <v>78</v>
      </c>
      <c r="D92" s="76">
        <v>2006</v>
      </c>
      <c r="E92" s="78">
        <v>2007</v>
      </c>
      <c r="F92" s="81">
        <v>350</v>
      </c>
      <c r="G92" s="78">
        <v>10</v>
      </c>
      <c r="H92" s="76">
        <v>0</v>
      </c>
      <c r="I92" s="77">
        <v>447</v>
      </c>
      <c r="J92" s="77">
        <v>725</v>
      </c>
      <c r="K92" s="13"/>
      <c r="L92" s="13"/>
    </row>
    <row r="93" spans="1:12" x14ac:dyDescent="0.2">
      <c r="A93" s="76">
        <v>36</v>
      </c>
      <c r="B93" s="76">
        <v>1</v>
      </c>
      <c r="C93" s="76" t="s">
        <v>79</v>
      </c>
      <c r="D93" s="76">
        <v>2001</v>
      </c>
      <c r="E93" s="76">
        <v>2002</v>
      </c>
      <c r="F93" s="81">
        <v>50</v>
      </c>
      <c r="G93" s="76">
        <v>4</v>
      </c>
      <c r="H93" s="76">
        <v>1</v>
      </c>
      <c r="I93" s="79">
        <v>132</v>
      </c>
      <c r="J93" s="79">
        <v>114</v>
      </c>
      <c r="K93" s="13"/>
      <c r="L93" s="13"/>
    </row>
    <row r="94" spans="1:12" x14ac:dyDescent="0.2">
      <c r="A94" s="76">
        <v>36</v>
      </c>
      <c r="B94" s="76">
        <v>1</v>
      </c>
      <c r="C94" s="76" t="s">
        <v>986</v>
      </c>
      <c r="D94" s="76">
        <v>2005</v>
      </c>
      <c r="E94" s="76">
        <v>2006</v>
      </c>
      <c r="F94" s="81">
        <v>50</v>
      </c>
      <c r="G94" s="76">
        <v>4</v>
      </c>
      <c r="H94" s="78">
        <v>1</v>
      </c>
      <c r="I94" s="77">
        <v>101</v>
      </c>
      <c r="J94" s="77">
        <v>72</v>
      </c>
      <c r="K94" s="13"/>
      <c r="L94" s="13"/>
    </row>
    <row r="95" spans="1:12" x14ac:dyDescent="0.2">
      <c r="A95" s="76">
        <v>38</v>
      </c>
      <c r="B95" s="76">
        <v>1</v>
      </c>
      <c r="C95" s="76" t="s">
        <v>80</v>
      </c>
      <c r="D95" s="76">
        <v>1993</v>
      </c>
      <c r="E95" s="76">
        <v>1994</v>
      </c>
      <c r="F95" s="81">
        <v>415</v>
      </c>
      <c r="G95" s="76">
        <v>4</v>
      </c>
      <c r="H95" s="76">
        <v>1</v>
      </c>
      <c r="I95" s="79" t="s">
        <v>840</v>
      </c>
      <c r="J95" s="79" t="s">
        <v>840</v>
      </c>
      <c r="K95" s="13"/>
      <c r="L95" s="13"/>
    </row>
    <row r="96" spans="1:12" x14ac:dyDescent="0.2">
      <c r="A96" s="76">
        <v>38</v>
      </c>
      <c r="B96" s="76">
        <v>1</v>
      </c>
      <c r="C96" s="76" t="s">
        <v>80</v>
      </c>
      <c r="D96" s="76">
        <v>1997</v>
      </c>
      <c r="E96" s="76">
        <v>1998</v>
      </c>
      <c r="F96" s="81">
        <v>315</v>
      </c>
      <c r="G96" s="76">
        <v>4</v>
      </c>
      <c r="H96" s="76">
        <v>1</v>
      </c>
      <c r="I96" s="79">
        <v>97</v>
      </c>
      <c r="J96" s="79">
        <v>10</v>
      </c>
      <c r="K96" s="13"/>
      <c r="L96" s="13"/>
    </row>
    <row r="97" spans="1:12" x14ac:dyDescent="0.2">
      <c r="A97" s="76">
        <v>38</v>
      </c>
      <c r="B97" s="76">
        <v>1</v>
      </c>
      <c r="C97" s="76" t="s">
        <v>80</v>
      </c>
      <c r="D97" s="76">
        <v>2001</v>
      </c>
      <c r="E97" s="76">
        <v>2002</v>
      </c>
      <c r="F97" s="81">
        <v>837.38</v>
      </c>
      <c r="G97" s="76">
        <v>10</v>
      </c>
      <c r="H97" s="76">
        <v>1</v>
      </c>
      <c r="I97" s="79">
        <v>105</v>
      </c>
      <c r="J97" s="79">
        <v>5</v>
      </c>
      <c r="K97" s="13"/>
      <c r="L97" s="13"/>
    </row>
    <row r="98" spans="1:12" x14ac:dyDescent="0.2">
      <c r="A98" s="76">
        <v>38</v>
      </c>
      <c r="B98" s="76">
        <v>1</v>
      </c>
      <c r="C98" s="76" t="s">
        <v>987</v>
      </c>
      <c r="D98" s="76">
        <v>2005</v>
      </c>
      <c r="E98" s="76">
        <v>2006</v>
      </c>
      <c r="F98" s="81">
        <v>447.1</v>
      </c>
      <c r="G98" s="76">
        <v>10</v>
      </c>
      <c r="H98" s="78">
        <v>1</v>
      </c>
      <c r="I98" s="77">
        <v>77</v>
      </c>
      <c r="J98" s="77">
        <v>10</v>
      </c>
      <c r="K98" s="13"/>
      <c r="L98" s="13"/>
    </row>
    <row r="99" spans="1:12" x14ac:dyDescent="0.2">
      <c r="A99" s="76">
        <v>47</v>
      </c>
      <c r="B99" s="76">
        <v>1</v>
      </c>
      <c r="C99" s="76" t="s">
        <v>81</v>
      </c>
      <c r="D99" s="76">
        <v>1991</v>
      </c>
      <c r="E99" s="76">
        <v>1993</v>
      </c>
      <c r="F99" s="81">
        <v>200</v>
      </c>
      <c r="G99" s="76">
        <v>5</v>
      </c>
      <c r="H99" s="76">
        <v>0</v>
      </c>
      <c r="I99" s="79" t="s">
        <v>840</v>
      </c>
      <c r="J99" s="79" t="s">
        <v>840</v>
      </c>
      <c r="K99" s="13"/>
      <c r="L99" s="13"/>
    </row>
    <row r="100" spans="1:12" x14ac:dyDescent="0.2">
      <c r="A100" s="76">
        <v>47</v>
      </c>
      <c r="B100" s="76">
        <v>1</v>
      </c>
      <c r="C100" s="76" t="s">
        <v>81</v>
      </c>
      <c r="D100" s="76">
        <v>1992</v>
      </c>
      <c r="E100" s="76">
        <v>1993</v>
      </c>
      <c r="F100" s="81">
        <v>125</v>
      </c>
      <c r="G100" s="76">
        <v>4</v>
      </c>
      <c r="H100" s="76">
        <v>0</v>
      </c>
      <c r="I100" s="79" t="s">
        <v>840</v>
      </c>
      <c r="J100" s="79" t="s">
        <v>840</v>
      </c>
      <c r="K100" s="13"/>
      <c r="L100" s="13"/>
    </row>
    <row r="101" spans="1:12" x14ac:dyDescent="0.2">
      <c r="A101" s="76">
        <v>47</v>
      </c>
      <c r="B101" s="76">
        <v>1</v>
      </c>
      <c r="C101" s="76" t="s">
        <v>81</v>
      </c>
      <c r="D101" s="76">
        <v>1996</v>
      </c>
      <c r="E101" s="76">
        <v>1997</v>
      </c>
      <c r="F101" s="81">
        <v>315</v>
      </c>
      <c r="G101" s="76">
        <v>10</v>
      </c>
      <c r="H101" s="76">
        <v>0</v>
      </c>
      <c r="I101" s="79">
        <v>3475</v>
      </c>
      <c r="J101" s="79">
        <v>3686</v>
      </c>
      <c r="K101" s="13"/>
      <c r="L101" s="13"/>
    </row>
    <row r="102" spans="1:12" x14ac:dyDescent="0.2">
      <c r="A102" s="76">
        <v>47</v>
      </c>
      <c r="B102" s="76">
        <v>1</v>
      </c>
      <c r="C102" s="76" t="s">
        <v>81</v>
      </c>
      <c r="D102" s="76">
        <v>1997</v>
      </c>
      <c r="E102" s="76">
        <v>1998</v>
      </c>
      <c r="F102" s="81">
        <v>315</v>
      </c>
      <c r="G102" s="76">
        <v>10</v>
      </c>
      <c r="H102" s="76">
        <v>1</v>
      </c>
      <c r="I102" s="79">
        <v>2252</v>
      </c>
      <c r="J102" s="79">
        <v>1688</v>
      </c>
      <c r="K102" s="13"/>
      <c r="L102" s="13"/>
    </row>
    <row r="103" spans="1:12" x14ac:dyDescent="0.2">
      <c r="A103" s="76">
        <v>47</v>
      </c>
      <c r="B103" s="76">
        <v>1</v>
      </c>
      <c r="C103" s="76" t="s">
        <v>81</v>
      </c>
      <c r="D103" s="82">
        <v>2007</v>
      </c>
      <c r="E103" s="83">
        <v>2008</v>
      </c>
      <c r="F103" s="78">
        <v>700</v>
      </c>
      <c r="G103" s="76">
        <v>10</v>
      </c>
      <c r="H103" s="77">
        <v>0</v>
      </c>
      <c r="I103" s="77">
        <v>2030</v>
      </c>
      <c r="J103" s="79">
        <v>3145</v>
      </c>
      <c r="K103" s="13"/>
      <c r="L103" s="13"/>
    </row>
    <row r="104" spans="1:12" x14ac:dyDescent="0.2">
      <c r="A104" s="76">
        <v>51</v>
      </c>
      <c r="B104" s="76">
        <v>1</v>
      </c>
      <c r="C104" s="76" t="s">
        <v>82</v>
      </c>
      <c r="D104" s="76">
        <v>1995</v>
      </c>
      <c r="E104" s="76">
        <v>1996</v>
      </c>
      <c r="F104" s="81">
        <v>300</v>
      </c>
      <c r="G104" s="76">
        <v>10</v>
      </c>
      <c r="H104" s="76">
        <v>1</v>
      </c>
      <c r="I104" s="79">
        <v>718</v>
      </c>
      <c r="J104" s="79">
        <v>540</v>
      </c>
      <c r="K104" s="13"/>
      <c r="L104" s="13"/>
    </row>
    <row r="105" spans="1:12" x14ac:dyDescent="0.2">
      <c r="A105" s="76">
        <v>51</v>
      </c>
      <c r="B105" s="76">
        <v>1</v>
      </c>
      <c r="C105" s="76" t="s">
        <v>727</v>
      </c>
      <c r="D105" s="76">
        <v>2001</v>
      </c>
      <c r="E105" s="76">
        <v>2002</v>
      </c>
      <c r="F105" s="81">
        <v>1</v>
      </c>
      <c r="G105" s="76">
        <v>10</v>
      </c>
      <c r="H105" s="76">
        <v>0</v>
      </c>
      <c r="I105" s="79">
        <v>481</v>
      </c>
      <c r="J105" s="79">
        <v>797</v>
      </c>
      <c r="K105" s="13"/>
      <c r="L105" s="13"/>
    </row>
    <row r="106" spans="1:12" x14ac:dyDescent="0.2">
      <c r="A106" s="76">
        <v>51</v>
      </c>
      <c r="B106" s="76">
        <v>1</v>
      </c>
      <c r="C106" s="76" t="s">
        <v>728</v>
      </c>
      <c r="D106" s="76">
        <v>2001</v>
      </c>
      <c r="E106" s="76">
        <v>2002</v>
      </c>
      <c r="F106" s="81">
        <v>125</v>
      </c>
      <c r="G106" s="76">
        <v>10</v>
      </c>
      <c r="H106" s="76">
        <v>0</v>
      </c>
      <c r="I106" s="79">
        <v>481</v>
      </c>
      <c r="J106" s="79">
        <v>797</v>
      </c>
      <c r="K106" s="13"/>
      <c r="L106" s="13"/>
    </row>
    <row r="107" spans="1:12" x14ac:dyDescent="0.2">
      <c r="A107" s="76">
        <v>51</v>
      </c>
      <c r="B107" s="76">
        <v>1</v>
      </c>
      <c r="C107" s="76" t="s">
        <v>82</v>
      </c>
      <c r="D107" s="76">
        <v>2003</v>
      </c>
      <c r="E107" s="76">
        <v>2004</v>
      </c>
      <c r="F107" s="81">
        <v>220</v>
      </c>
      <c r="G107" s="76">
        <v>10</v>
      </c>
      <c r="H107" s="76">
        <v>0</v>
      </c>
      <c r="I107" s="79">
        <v>669</v>
      </c>
      <c r="J107" s="79">
        <v>736</v>
      </c>
      <c r="K107" s="13"/>
      <c r="L107" s="13"/>
    </row>
    <row r="108" spans="1:12" x14ac:dyDescent="0.2">
      <c r="A108" s="76">
        <v>51</v>
      </c>
      <c r="B108" s="76">
        <v>1</v>
      </c>
      <c r="C108" s="76" t="s">
        <v>82</v>
      </c>
      <c r="D108" s="76">
        <v>2005</v>
      </c>
      <c r="E108" s="76">
        <v>2006</v>
      </c>
      <c r="F108" s="81">
        <v>235</v>
      </c>
      <c r="G108" s="76">
        <v>7</v>
      </c>
      <c r="H108" s="78">
        <v>1</v>
      </c>
      <c r="I108" s="77">
        <v>1032</v>
      </c>
      <c r="J108" s="77">
        <v>784</v>
      </c>
      <c r="K108" s="13"/>
      <c r="L108" s="13"/>
    </row>
    <row r="109" spans="1:12" x14ac:dyDescent="0.2">
      <c r="A109" s="76">
        <v>51</v>
      </c>
      <c r="B109" s="76">
        <v>1</v>
      </c>
      <c r="C109" s="76" t="s">
        <v>82</v>
      </c>
      <c r="D109" s="76">
        <v>2005</v>
      </c>
      <c r="E109" s="76">
        <v>2006</v>
      </c>
      <c r="F109" s="81">
        <v>450</v>
      </c>
      <c r="G109" s="76">
        <v>7</v>
      </c>
      <c r="H109" s="78">
        <v>0</v>
      </c>
      <c r="I109" s="77">
        <v>895</v>
      </c>
      <c r="J109" s="77">
        <v>897</v>
      </c>
      <c r="K109" s="13"/>
      <c r="L109" s="13"/>
    </row>
    <row r="110" spans="1:12" x14ac:dyDescent="0.2">
      <c r="A110" s="76">
        <v>62</v>
      </c>
      <c r="B110" s="76">
        <v>1</v>
      </c>
      <c r="C110" s="76" t="s">
        <v>83</v>
      </c>
      <c r="D110" s="76">
        <v>1991</v>
      </c>
      <c r="E110" s="76">
        <v>1992</v>
      </c>
      <c r="F110" s="81">
        <v>238.08</v>
      </c>
      <c r="G110" s="76">
        <v>5</v>
      </c>
      <c r="H110" s="76">
        <v>1</v>
      </c>
      <c r="I110" s="79" t="s">
        <v>840</v>
      </c>
      <c r="J110" s="79" t="s">
        <v>840</v>
      </c>
      <c r="K110" s="13"/>
      <c r="L110" s="13"/>
    </row>
    <row r="111" spans="1:12" x14ac:dyDescent="0.2">
      <c r="A111" s="76">
        <v>62</v>
      </c>
      <c r="B111" s="76">
        <v>1</v>
      </c>
      <c r="C111" s="76" t="s">
        <v>83</v>
      </c>
      <c r="D111" s="76">
        <v>1996</v>
      </c>
      <c r="E111" s="76">
        <v>1997</v>
      </c>
      <c r="F111" s="81">
        <v>150.19</v>
      </c>
      <c r="G111" s="76">
        <v>10</v>
      </c>
      <c r="H111" s="76">
        <v>1</v>
      </c>
      <c r="I111" s="79">
        <v>1188</v>
      </c>
      <c r="J111" s="79">
        <v>445</v>
      </c>
      <c r="K111" s="13"/>
      <c r="L111" s="13"/>
    </row>
    <row r="112" spans="1:12" x14ac:dyDescent="0.2">
      <c r="A112" s="76">
        <v>62</v>
      </c>
      <c r="B112" s="76">
        <v>1</v>
      </c>
      <c r="C112" s="76" t="s">
        <v>83</v>
      </c>
      <c r="D112" s="76">
        <v>1996</v>
      </c>
      <c r="E112" s="76">
        <v>1997</v>
      </c>
      <c r="F112" s="81">
        <v>169.94</v>
      </c>
      <c r="G112" s="76">
        <v>10</v>
      </c>
      <c r="H112" s="76">
        <v>1</v>
      </c>
      <c r="I112" s="79">
        <v>974</v>
      </c>
      <c r="J112" s="79">
        <v>652</v>
      </c>
      <c r="K112" s="13"/>
      <c r="L112" s="13"/>
    </row>
    <row r="113" spans="1:12" x14ac:dyDescent="0.2">
      <c r="A113" s="76">
        <v>62</v>
      </c>
      <c r="B113" s="76">
        <v>1</v>
      </c>
      <c r="C113" s="76" t="s">
        <v>83</v>
      </c>
      <c r="D113" s="76">
        <v>2001</v>
      </c>
      <c r="E113" s="76">
        <v>2002</v>
      </c>
      <c r="F113" s="81">
        <v>600</v>
      </c>
      <c r="G113" s="76">
        <v>5</v>
      </c>
      <c r="H113" s="76">
        <v>1</v>
      </c>
      <c r="I113" s="79">
        <v>585</v>
      </c>
      <c r="J113" s="79">
        <v>557</v>
      </c>
      <c r="K113" s="13"/>
      <c r="L113" s="13"/>
    </row>
    <row r="114" spans="1:12" x14ac:dyDescent="0.2">
      <c r="A114" s="76">
        <v>62</v>
      </c>
      <c r="B114" s="76">
        <v>1</v>
      </c>
      <c r="C114" s="76" t="s">
        <v>988</v>
      </c>
      <c r="D114" s="76">
        <v>2005</v>
      </c>
      <c r="E114" s="76">
        <v>2007</v>
      </c>
      <c r="F114" s="81">
        <v>900</v>
      </c>
      <c r="G114" s="76">
        <v>10</v>
      </c>
      <c r="H114" s="78">
        <v>1</v>
      </c>
      <c r="I114" s="77">
        <v>797</v>
      </c>
      <c r="J114" s="77">
        <v>314</v>
      </c>
      <c r="K114" s="13"/>
      <c r="L114" s="13"/>
    </row>
    <row r="115" spans="1:12" x14ac:dyDescent="0.2">
      <c r="A115" s="76">
        <v>72</v>
      </c>
      <c r="B115" s="76">
        <v>1</v>
      </c>
      <c r="C115" s="76" t="s">
        <v>512</v>
      </c>
      <c r="D115" s="76">
        <v>1991</v>
      </c>
      <c r="E115" s="76">
        <v>1993</v>
      </c>
      <c r="F115" s="81">
        <v>189.77</v>
      </c>
      <c r="G115" s="76">
        <v>3</v>
      </c>
      <c r="H115" s="76">
        <v>1</v>
      </c>
      <c r="I115" s="79" t="s">
        <v>840</v>
      </c>
      <c r="J115" s="79" t="s">
        <v>840</v>
      </c>
      <c r="K115" s="13"/>
      <c r="L115" s="13"/>
    </row>
    <row r="116" spans="1:12" x14ac:dyDescent="0.2">
      <c r="A116" s="76">
        <v>75</v>
      </c>
      <c r="B116" s="76">
        <v>1</v>
      </c>
      <c r="C116" s="76" t="s">
        <v>84</v>
      </c>
      <c r="D116" s="76">
        <v>1995</v>
      </c>
      <c r="E116" s="76">
        <v>1996</v>
      </c>
      <c r="F116" s="81">
        <v>274.8</v>
      </c>
      <c r="G116" s="76">
        <v>10</v>
      </c>
      <c r="H116" s="76">
        <v>1</v>
      </c>
      <c r="I116" s="79">
        <v>206</v>
      </c>
      <c r="J116" s="79">
        <v>179</v>
      </c>
      <c r="K116" s="13"/>
      <c r="L116" s="13"/>
    </row>
    <row r="117" spans="1:12" x14ac:dyDescent="0.2">
      <c r="A117" s="76">
        <v>75</v>
      </c>
      <c r="B117" s="76">
        <v>1</v>
      </c>
      <c r="C117" s="76" t="s">
        <v>84</v>
      </c>
      <c r="D117" s="82">
        <v>2007</v>
      </c>
      <c r="E117" s="83">
        <v>2008</v>
      </c>
      <c r="F117" s="78">
        <v>675</v>
      </c>
      <c r="G117" s="76">
        <v>10</v>
      </c>
      <c r="H117" s="77">
        <v>0</v>
      </c>
      <c r="I117" s="77">
        <v>350</v>
      </c>
      <c r="J117" s="79">
        <v>397</v>
      </c>
      <c r="K117" s="13"/>
      <c r="L117" s="13"/>
    </row>
    <row r="118" spans="1:12" x14ac:dyDescent="0.2">
      <c r="A118">
        <v>75</v>
      </c>
      <c r="B118">
        <v>1</v>
      </c>
      <c r="C118" t="s">
        <v>84</v>
      </c>
      <c r="D118">
        <v>2008</v>
      </c>
      <c r="E118" s="5">
        <v>2009</v>
      </c>
      <c r="F118" s="6">
        <v>550</v>
      </c>
      <c r="G118" s="5">
        <v>5</v>
      </c>
      <c r="H118" s="33">
        <v>1</v>
      </c>
      <c r="I118" s="33">
        <v>806</v>
      </c>
      <c r="J118" s="33">
        <v>716</v>
      </c>
      <c r="K118" s="13"/>
      <c r="L118" s="13"/>
    </row>
    <row r="119" spans="1:12" x14ac:dyDescent="0.2">
      <c r="A119" s="76">
        <v>77</v>
      </c>
      <c r="B119" s="76">
        <v>1</v>
      </c>
      <c r="C119" s="76" t="s">
        <v>85</v>
      </c>
      <c r="D119" s="76">
        <v>1992</v>
      </c>
      <c r="E119" s="76">
        <v>1993</v>
      </c>
      <c r="F119" s="81">
        <v>305</v>
      </c>
      <c r="G119" s="76">
        <v>5</v>
      </c>
      <c r="H119" s="76">
        <v>1</v>
      </c>
      <c r="I119" s="79" t="s">
        <v>840</v>
      </c>
      <c r="J119" s="79" t="s">
        <v>840</v>
      </c>
      <c r="K119" s="13"/>
      <c r="L119" s="13"/>
    </row>
    <row r="120" spans="1:12" x14ac:dyDescent="0.2">
      <c r="A120" s="76">
        <v>77</v>
      </c>
      <c r="B120" s="76">
        <v>1</v>
      </c>
      <c r="C120" s="76" t="s">
        <v>85</v>
      </c>
      <c r="D120" s="76">
        <v>1997</v>
      </c>
      <c r="E120" s="76">
        <v>1998</v>
      </c>
      <c r="F120" s="81">
        <v>305</v>
      </c>
      <c r="G120" s="76">
        <v>5</v>
      </c>
      <c r="H120" s="76">
        <v>1</v>
      </c>
      <c r="I120" s="79">
        <v>3421</v>
      </c>
      <c r="J120" s="79">
        <v>1885</v>
      </c>
      <c r="K120" s="13"/>
      <c r="L120" s="13"/>
    </row>
    <row r="121" spans="1:12" x14ac:dyDescent="0.2">
      <c r="A121" s="76">
        <v>77</v>
      </c>
      <c r="B121" s="76">
        <v>1</v>
      </c>
      <c r="C121" s="76" t="s">
        <v>85</v>
      </c>
      <c r="D121" s="76">
        <v>1999</v>
      </c>
      <c r="E121" s="76">
        <v>2000</v>
      </c>
      <c r="F121" s="81">
        <v>195</v>
      </c>
      <c r="G121" s="76">
        <v>10</v>
      </c>
      <c r="H121" s="76">
        <v>1</v>
      </c>
      <c r="I121" s="79">
        <v>2701</v>
      </c>
      <c r="J121" s="79">
        <v>1938</v>
      </c>
      <c r="K121" s="13"/>
      <c r="L121" s="13"/>
    </row>
    <row r="122" spans="1:12" x14ac:dyDescent="0.2">
      <c r="A122" s="76">
        <v>77</v>
      </c>
      <c r="B122" s="76">
        <v>1</v>
      </c>
      <c r="C122" s="76" t="s">
        <v>85</v>
      </c>
      <c r="D122" s="76">
        <v>2001</v>
      </c>
      <c r="E122" s="76">
        <v>2002</v>
      </c>
      <c r="F122" s="81">
        <v>285</v>
      </c>
      <c r="G122" s="76">
        <v>10</v>
      </c>
      <c r="H122" s="76">
        <v>0</v>
      </c>
      <c r="I122" s="79">
        <v>3407</v>
      </c>
      <c r="J122" s="79">
        <v>4110</v>
      </c>
      <c r="K122" s="13"/>
      <c r="L122" s="13"/>
    </row>
    <row r="123" spans="1:12" x14ac:dyDescent="0.2">
      <c r="A123" s="76">
        <v>77</v>
      </c>
      <c r="B123" s="76">
        <v>1</v>
      </c>
      <c r="C123" s="76" t="s">
        <v>85</v>
      </c>
      <c r="D123" s="76">
        <v>2002</v>
      </c>
      <c r="E123" s="76">
        <v>2003</v>
      </c>
      <c r="F123" s="81">
        <v>350</v>
      </c>
      <c r="G123" s="76">
        <v>7</v>
      </c>
      <c r="H123" s="76">
        <v>1</v>
      </c>
      <c r="I123" s="79">
        <v>12037</v>
      </c>
      <c r="J123" s="79">
        <v>9213</v>
      </c>
      <c r="K123" s="13"/>
      <c r="L123" s="13"/>
    </row>
    <row r="124" spans="1:12" x14ac:dyDescent="0.2">
      <c r="A124" s="76">
        <v>77</v>
      </c>
      <c r="B124" s="76">
        <v>1</v>
      </c>
      <c r="C124" s="76" t="s">
        <v>85</v>
      </c>
      <c r="D124" s="82">
        <v>2007</v>
      </c>
      <c r="E124" s="83">
        <v>2008</v>
      </c>
      <c r="F124" s="78">
        <v>195</v>
      </c>
      <c r="G124" s="76">
        <v>10</v>
      </c>
      <c r="H124" s="77">
        <v>1</v>
      </c>
      <c r="I124" s="77">
        <v>3331</v>
      </c>
      <c r="J124" s="79">
        <v>2352</v>
      </c>
      <c r="K124" s="13"/>
      <c r="L124" s="13"/>
    </row>
    <row r="125" spans="1:12" x14ac:dyDescent="0.2">
      <c r="A125" s="76">
        <v>79</v>
      </c>
      <c r="B125" s="76">
        <v>1</v>
      </c>
      <c r="C125" s="76" t="s">
        <v>598</v>
      </c>
      <c r="D125" s="76">
        <v>1991</v>
      </c>
      <c r="E125" s="76">
        <v>1992</v>
      </c>
      <c r="F125" s="81">
        <v>221.11</v>
      </c>
      <c r="G125" s="76">
        <v>5</v>
      </c>
      <c r="H125" s="76">
        <v>1</v>
      </c>
      <c r="I125" s="79" t="s">
        <v>840</v>
      </c>
      <c r="J125" s="79" t="s">
        <v>840</v>
      </c>
      <c r="K125" s="13"/>
      <c r="L125" s="13"/>
    </row>
    <row r="126" spans="1:12" x14ac:dyDescent="0.2">
      <c r="A126" s="76">
        <v>81</v>
      </c>
      <c r="B126" s="76">
        <v>1</v>
      </c>
      <c r="C126" s="76" t="s">
        <v>86</v>
      </c>
      <c r="D126" s="76">
        <v>1999</v>
      </c>
      <c r="E126" s="76">
        <v>2001</v>
      </c>
      <c r="F126" s="81">
        <v>303.79000000000002</v>
      </c>
      <c r="G126" s="76">
        <v>10</v>
      </c>
      <c r="H126" s="76">
        <v>1</v>
      </c>
      <c r="I126" s="79">
        <v>229</v>
      </c>
      <c r="J126" s="79">
        <v>91</v>
      </c>
      <c r="K126" s="13"/>
      <c r="L126" s="13"/>
    </row>
    <row r="127" spans="1:12" x14ac:dyDescent="0.2">
      <c r="A127" s="76">
        <v>81</v>
      </c>
      <c r="B127" s="76">
        <v>1</v>
      </c>
      <c r="C127" s="76" t="s">
        <v>86</v>
      </c>
      <c r="D127" s="76">
        <v>2000</v>
      </c>
      <c r="E127" s="76">
        <v>2001</v>
      </c>
      <c r="F127" s="81">
        <v>300</v>
      </c>
      <c r="G127" s="76">
        <v>10</v>
      </c>
      <c r="H127" s="76">
        <v>1</v>
      </c>
      <c r="I127" s="79">
        <v>337</v>
      </c>
      <c r="J127" s="79">
        <v>283</v>
      </c>
      <c r="K127" s="13"/>
      <c r="L127" s="13"/>
    </row>
    <row r="128" spans="1:12" x14ac:dyDescent="0.2">
      <c r="A128" s="76">
        <v>81</v>
      </c>
      <c r="B128" s="76">
        <v>1</v>
      </c>
      <c r="C128" s="76" t="s">
        <v>86</v>
      </c>
      <c r="D128" s="76">
        <v>2005</v>
      </c>
      <c r="E128" s="76">
        <v>2006</v>
      </c>
      <c r="F128" s="81">
        <v>500</v>
      </c>
      <c r="G128" s="76">
        <v>10</v>
      </c>
      <c r="H128" s="78">
        <v>1</v>
      </c>
      <c r="I128" s="77">
        <v>260</v>
      </c>
      <c r="J128" s="77">
        <v>83</v>
      </c>
      <c r="K128" s="13"/>
      <c r="L128" s="13"/>
    </row>
    <row r="129" spans="1:12" x14ac:dyDescent="0.2">
      <c r="A129" s="76">
        <v>81</v>
      </c>
      <c r="B129" s="76">
        <v>1</v>
      </c>
      <c r="C129" s="76" t="s">
        <v>86</v>
      </c>
      <c r="D129" s="82">
        <v>2007</v>
      </c>
      <c r="E129" s="83">
        <v>2008</v>
      </c>
      <c r="F129" s="78">
        <v>344.71</v>
      </c>
      <c r="G129" s="76">
        <v>10</v>
      </c>
      <c r="H129" s="77">
        <v>1</v>
      </c>
      <c r="I129" s="77">
        <v>258</v>
      </c>
      <c r="J129" s="79">
        <v>63</v>
      </c>
      <c r="K129" s="13"/>
      <c r="L129" s="13"/>
    </row>
    <row r="130" spans="1:12" x14ac:dyDescent="0.2">
      <c r="A130" s="76">
        <v>84</v>
      </c>
      <c r="B130" s="76">
        <v>1</v>
      </c>
      <c r="C130" s="76" t="s">
        <v>87</v>
      </c>
      <c r="D130" s="76">
        <v>1992</v>
      </c>
      <c r="E130" s="76">
        <v>1993</v>
      </c>
      <c r="F130" s="81">
        <v>267.85000000000002</v>
      </c>
      <c r="G130" s="76">
        <v>5</v>
      </c>
      <c r="H130" s="76">
        <v>0</v>
      </c>
      <c r="I130" s="79" t="s">
        <v>840</v>
      </c>
      <c r="J130" s="79" t="s">
        <v>840</v>
      </c>
      <c r="K130" s="13"/>
      <c r="L130" s="13"/>
    </row>
    <row r="131" spans="1:12" x14ac:dyDescent="0.2">
      <c r="A131" s="76">
        <v>84</v>
      </c>
      <c r="B131" s="76">
        <v>1</v>
      </c>
      <c r="C131" s="76" t="s">
        <v>87</v>
      </c>
      <c r="D131" s="76">
        <v>1999</v>
      </c>
      <c r="E131" s="76">
        <v>2000</v>
      </c>
      <c r="F131" s="81">
        <v>350</v>
      </c>
      <c r="G131" s="76">
        <v>5</v>
      </c>
      <c r="H131" s="76">
        <v>1</v>
      </c>
      <c r="I131" s="79">
        <v>718</v>
      </c>
      <c r="J131" s="79">
        <v>574</v>
      </c>
      <c r="K131" s="13"/>
      <c r="L131" s="13"/>
    </row>
    <row r="132" spans="1:12" x14ac:dyDescent="0.2">
      <c r="A132" s="76">
        <v>84</v>
      </c>
      <c r="B132" s="76">
        <v>1</v>
      </c>
      <c r="C132" s="76" t="s">
        <v>87</v>
      </c>
      <c r="D132" s="76">
        <v>2001</v>
      </c>
      <c r="E132" s="76">
        <v>2002</v>
      </c>
      <c r="F132" s="81">
        <v>350</v>
      </c>
      <c r="G132" s="76">
        <v>10</v>
      </c>
      <c r="H132" s="76">
        <v>0</v>
      </c>
      <c r="I132" s="79">
        <v>598</v>
      </c>
      <c r="J132" s="79">
        <v>884</v>
      </c>
      <c r="K132" s="13"/>
      <c r="L132" s="13"/>
    </row>
    <row r="133" spans="1:12" x14ac:dyDescent="0.2">
      <c r="A133" s="76">
        <v>85</v>
      </c>
      <c r="B133" s="76">
        <v>1</v>
      </c>
      <c r="C133" s="76" t="s">
        <v>88</v>
      </c>
      <c r="D133" s="76">
        <v>2003</v>
      </c>
      <c r="E133" s="76">
        <v>2004</v>
      </c>
      <c r="F133" s="81">
        <v>600</v>
      </c>
      <c r="G133" s="76">
        <v>10</v>
      </c>
      <c r="H133" s="76">
        <v>1</v>
      </c>
      <c r="I133" s="79">
        <v>639</v>
      </c>
      <c r="J133" s="79">
        <v>388</v>
      </c>
      <c r="K133" s="13"/>
      <c r="L133" s="13"/>
    </row>
    <row r="134" spans="1:12" x14ac:dyDescent="0.2">
      <c r="A134" s="76">
        <v>88</v>
      </c>
      <c r="B134" s="76">
        <v>1</v>
      </c>
      <c r="C134" s="76" t="s">
        <v>89</v>
      </c>
      <c r="D134" s="76">
        <v>1991</v>
      </c>
      <c r="E134" s="76">
        <v>1993</v>
      </c>
      <c r="F134" s="81">
        <v>194.24</v>
      </c>
      <c r="G134" s="76">
        <v>5</v>
      </c>
      <c r="H134" s="76">
        <v>0</v>
      </c>
      <c r="I134" s="79" t="s">
        <v>840</v>
      </c>
      <c r="J134" s="79" t="s">
        <v>840</v>
      </c>
      <c r="K134" s="13"/>
      <c r="L134" s="13"/>
    </row>
    <row r="135" spans="1:12" x14ac:dyDescent="0.2">
      <c r="A135" s="76">
        <v>88</v>
      </c>
      <c r="B135" s="76">
        <v>1</v>
      </c>
      <c r="C135" s="76" t="s">
        <v>89</v>
      </c>
      <c r="D135" s="76">
        <v>1992</v>
      </c>
      <c r="E135" s="76">
        <v>1993</v>
      </c>
      <c r="F135" s="81">
        <v>317.41000000000003</v>
      </c>
      <c r="G135" s="76">
        <v>5</v>
      </c>
      <c r="H135" s="76">
        <v>1</v>
      </c>
      <c r="I135" s="79" t="s">
        <v>840</v>
      </c>
      <c r="J135" s="79" t="s">
        <v>840</v>
      </c>
      <c r="K135" s="13"/>
      <c r="L135" s="13"/>
    </row>
    <row r="136" spans="1:12" x14ac:dyDescent="0.2">
      <c r="A136" s="76">
        <v>88</v>
      </c>
      <c r="B136" s="76">
        <v>1</v>
      </c>
      <c r="C136" s="76" t="s">
        <v>89</v>
      </c>
      <c r="D136" s="76">
        <v>1997</v>
      </c>
      <c r="E136" s="76">
        <v>1998</v>
      </c>
      <c r="F136" s="81">
        <v>146</v>
      </c>
      <c r="G136" s="76">
        <v>5</v>
      </c>
      <c r="H136" s="76">
        <v>1</v>
      </c>
      <c r="I136" s="79">
        <v>1685</v>
      </c>
      <c r="J136" s="79">
        <v>1469</v>
      </c>
      <c r="K136" s="13"/>
      <c r="L136" s="13"/>
    </row>
    <row r="137" spans="1:12" x14ac:dyDescent="0.2">
      <c r="A137" s="76">
        <v>88</v>
      </c>
      <c r="B137" s="76">
        <v>1</v>
      </c>
      <c r="C137" s="76" t="s">
        <v>89</v>
      </c>
      <c r="D137" s="76">
        <v>2000</v>
      </c>
      <c r="E137" s="76">
        <v>2001</v>
      </c>
      <c r="F137" s="81">
        <v>450</v>
      </c>
      <c r="G137" s="76">
        <v>5</v>
      </c>
      <c r="H137" s="76">
        <v>0</v>
      </c>
      <c r="I137" s="79">
        <v>2154</v>
      </c>
      <c r="J137" s="79">
        <v>3656</v>
      </c>
      <c r="K137" s="13"/>
      <c r="L137" s="13"/>
    </row>
    <row r="138" spans="1:12" x14ac:dyDescent="0.2">
      <c r="A138" s="76">
        <v>88</v>
      </c>
      <c r="B138" s="76">
        <v>1</v>
      </c>
      <c r="C138" s="76" t="s">
        <v>89</v>
      </c>
      <c r="D138" s="76">
        <v>2001</v>
      </c>
      <c r="E138" s="76">
        <v>2002</v>
      </c>
      <c r="F138" s="81">
        <v>450</v>
      </c>
      <c r="G138" s="76">
        <v>10</v>
      </c>
      <c r="H138" s="76">
        <v>1</v>
      </c>
      <c r="I138" s="79">
        <v>3144</v>
      </c>
      <c r="J138" s="79">
        <v>2987</v>
      </c>
      <c r="K138" s="13"/>
      <c r="L138" s="13"/>
    </row>
    <row r="139" spans="1:12" x14ac:dyDescent="0.2">
      <c r="A139" s="76">
        <v>88</v>
      </c>
      <c r="B139" s="76">
        <v>1</v>
      </c>
      <c r="C139" s="76" t="s">
        <v>89</v>
      </c>
      <c r="D139" s="76">
        <v>2006</v>
      </c>
      <c r="E139" s="78">
        <v>2007</v>
      </c>
      <c r="F139" s="81">
        <v>400</v>
      </c>
      <c r="G139" s="78">
        <v>10</v>
      </c>
      <c r="H139" s="76">
        <v>0</v>
      </c>
      <c r="I139" s="77">
        <v>3885</v>
      </c>
      <c r="J139" s="77">
        <v>5041</v>
      </c>
      <c r="K139" s="13"/>
      <c r="L139" s="13"/>
    </row>
    <row r="140" spans="1:12" x14ac:dyDescent="0.2">
      <c r="A140" s="76">
        <v>88</v>
      </c>
      <c r="B140" s="76">
        <v>1</v>
      </c>
      <c r="C140" s="76" t="s">
        <v>89</v>
      </c>
      <c r="D140" s="82">
        <v>2007</v>
      </c>
      <c r="E140" s="83">
        <v>2008</v>
      </c>
      <c r="F140" s="78">
        <v>300</v>
      </c>
      <c r="G140" s="76">
        <v>10</v>
      </c>
      <c r="H140" s="77">
        <v>1</v>
      </c>
      <c r="I140" s="77">
        <v>3058</v>
      </c>
      <c r="J140" s="79">
        <v>2115</v>
      </c>
      <c r="K140" s="13"/>
      <c r="L140" s="13"/>
    </row>
    <row r="141" spans="1:12" x14ac:dyDescent="0.2">
      <c r="A141" s="76">
        <v>91</v>
      </c>
      <c r="B141" s="76">
        <v>1</v>
      </c>
      <c r="C141" s="76" t="s">
        <v>90</v>
      </c>
      <c r="D141" s="76">
        <v>1991</v>
      </c>
      <c r="E141" s="76">
        <v>1993</v>
      </c>
      <c r="F141" s="81">
        <v>133.62</v>
      </c>
      <c r="G141" s="76">
        <v>5</v>
      </c>
      <c r="H141" s="76">
        <v>0</v>
      </c>
      <c r="I141" s="79" t="s">
        <v>840</v>
      </c>
      <c r="J141" s="79" t="s">
        <v>840</v>
      </c>
      <c r="K141" s="13"/>
      <c r="L141" s="13"/>
    </row>
    <row r="142" spans="1:12" x14ac:dyDescent="0.2">
      <c r="A142" s="76">
        <v>91</v>
      </c>
      <c r="B142" s="76">
        <v>1</v>
      </c>
      <c r="C142" s="76" t="s">
        <v>90</v>
      </c>
      <c r="D142" s="76">
        <v>1992</v>
      </c>
      <c r="E142" s="76">
        <v>1993</v>
      </c>
      <c r="F142" s="81">
        <v>133.62</v>
      </c>
      <c r="G142" s="76">
        <v>5</v>
      </c>
      <c r="H142" s="76">
        <v>1</v>
      </c>
      <c r="I142" s="79" t="s">
        <v>840</v>
      </c>
      <c r="J142" s="79" t="s">
        <v>840</v>
      </c>
      <c r="K142" s="13"/>
      <c r="L142" s="13"/>
    </row>
    <row r="143" spans="1:12" x14ac:dyDescent="0.2">
      <c r="A143" s="76">
        <v>91</v>
      </c>
      <c r="B143" s="76">
        <v>1</v>
      </c>
      <c r="C143" s="76" t="s">
        <v>90</v>
      </c>
      <c r="D143" s="76">
        <v>1993</v>
      </c>
      <c r="E143" s="76">
        <v>1994</v>
      </c>
      <c r="F143" s="81">
        <v>240.81</v>
      </c>
      <c r="G143" s="76">
        <v>5</v>
      </c>
      <c r="H143" s="76">
        <v>1</v>
      </c>
      <c r="I143" s="79" t="s">
        <v>840</v>
      </c>
      <c r="J143" s="79" t="s">
        <v>840</v>
      </c>
      <c r="K143" s="13"/>
      <c r="L143" s="13"/>
    </row>
    <row r="144" spans="1:12" x14ac:dyDescent="0.2">
      <c r="A144" s="76">
        <v>91</v>
      </c>
      <c r="B144" s="76">
        <v>1</v>
      </c>
      <c r="C144" s="76" t="s">
        <v>90</v>
      </c>
      <c r="D144" s="76">
        <v>1997</v>
      </c>
      <c r="E144" s="76">
        <v>1999</v>
      </c>
      <c r="F144" s="81">
        <v>315</v>
      </c>
      <c r="G144" s="76">
        <v>10</v>
      </c>
      <c r="H144" s="76">
        <v>1</v>
      </c>
      <c r="I144" s="79">
        <v>421</v>
      </c>
      <c r="J144" s="79">
        <v>170</v>
      </c>
      <c r="K144" s="13"/>
      <c r="L144" s="13"/>
    </row>
    <row r="145" spans="1:12" x14ac:dyDescent="0.2">
      <c r="A145" s="76">
        <v>91</v>
      </c>
      <c r="B145" s="76">
        <v>1</v>
      </c>
      <c r="C145" s="76" t="s">
        <v>90</v>
      </c>
      <c r="D145" s="76">
        <v>2001</v>
      </c>
      <c r="E145" s="76">
        <v>2002</v>
      </c>
      <c r="F145" s="81">
        <v>200</v>
      </c>
      <c r="G145" s="76">
        <v>10</v>
      </c>
      <c r="H145" s="76">
        <v>1</v>
      </c>
      <c r="I145" s="79">
        <v>287</v>
      </c>
      <c r="J145" s="79">
        <v>280</v>
      </c>
      <c r="K145" s="13"/>
      <c r="L145" s="13"/>
    </row>
    <row r="146" spans="1:12" x14ac:dyDescent="0.2">
      <c r="A146" s="76">
        <v>93</v>
      </c>
      <c r="B146" s="76">
        <v>1</v>
      </c>
      <c r="C146" s="76" t="s">
        <v>91</v>
      </c>
      <c r="D146" s="76">
        <v>1992</v>
      </c>
      <c r="E146" s="76">
        <v>1993</v>
      </c>
      <c r="F146" s="81">
        <v>175</v>
      </c>
      <c r="G146" s="76">
        <v>5</v>
      </c>
      <c r="H146" s="76">
        <v>0</v>
      </c>
      <c r="I146" s="79" t="s">
        <v>840</v>
      </c>
      <c r="J146" s="79" t="s">
        <v>840</v>
      </c>
      <c r="K146" s="13"/>
      <c r="L146" s="13"/>
    </row>
    <row r="147" spans="1:12" x14ac:dyDescent="0.2">
      <c r="A147" s="76">
        <v>93</v>
      </c>
      <c r="B147" s="76">
        <v>1</v>
      </c>
      <c r="C147" s="76" t="s">
        <v>91</v>
      </c>
      <c r="D147" s="76">
        <v>1993</v>
      </c>
      <c r="E147" s="76">
        <v>1994</v>
      </c>
      <c r="F147" s="81">
        <v>373.37</v>
      </c>
      <c r="G147" s="76">
        <v>4</v>
      </c>
      <c r="H147" s="76">
        <v>1</v>
      </c>
      <c r="I147" s="79" t="s">
        <v>840</v>
      </c>
      <c r="J147" s="79" t="s">
        <v>840</v>
      </c>
      <c r="K147" s="13"/>
      <c r="L147" s="13"/>
    </row>
    <row r="148" spans="1:12" x14ac:dyDescent="0.2">
      <c r="A148" s="76">
        <v>93</v>
      </c>
      <c r="B148" s="76">
        <v>1</v>
      </c>
      <c r="C148" s="76" t="s">
        <v>91</v>
      </c>
      <c r="D148" s="76">
        <v>1997</v>
      </c>
      <c r="E148" s="76">
        <v>1998</v>
      </c>
      <c r="F148" s="81">
        <v>309.08</v>
      </c>
      <c r="G148" s="76">
        <v>10</v>
      </c>
      <c r="H148" s="76">
        <v>1</v>
      </c>
      <c r="I148" s="79">
        <v>237</v>
      </c>
      <c r="J148" s="79">
        <v>117</v>
      </c>
      <c r="K148" s="13"/>
      <c r="L148" s="13"/>
    </row>
    <row r="149" spans="1:12" x14ac:dyDescent="0.2">
      <c r="A149" s="76">
        <v>93</v>
      </c>
      <c r="B149" s="76">
        <v>1</v>
      </c>
      <c r="C149" s="76" t="s">
        <v>91</v>
      </c>
      <c r="D149" s="76">
        <v>2001</v>
      </c>
      <c r="E149" s="76">
        <v>2002</v>
      </c>
      <c r="F149" s="81">
        <v>126</v>
      </c>
      <c r="G149" s="76">
        <v>10</v>
      </c>
      <c r="H149" s="76">
        <v>0</v>
      </c>
      <c r="I149" s="79">
        <v>312</v>
      </c>
      <c r="J149" s="79">
        <v>365</v>
      </c>
      <c r="K149" s="13"/>
      <c r="L149" s="13"/>
    </row>
    <row r="150" spans="1:12" x14ac:dyDescent="0.2">
      <c r="A150" s="76">
        <v>93</v>
      </c>
      <c r="B150" s="76">
        <v>1</v>
      </c>
      <c r="C150" s="76" t="s">
        <v>91</v>
      </c>
      <c r="D150" s="76">
        <v>2002</v>
      </c>
      <c r="E150" s="76">
        <v>2003</v>
      </c>
      <c r="F150" s="81">
        <v>300</v>
      </c>
      <c r="G150" s="76">
        <v>10</v>
      </c>
      <c r="H150" s="76">
        <v>0</v>
      </c>
      <c r="I150" s="79">
        <v>863</v>
      </c>
      <c r="J150" s="79">
        <v>848</v>
      </c>
      <c r="K150" s="13"/>
      <c r="L150" s="13"/>
    </row>
    <row r="151" spans="1:12" x14ac:dyDescent="0.2">
      <c r="A151" s="76">
        <v>93</v>
      </c>
      <c r="B151" s="76">
        <v>1</v>
      </c>
      <c r="C151" s="76" t="s">
        <v>91</v>
      </c>
      <c r="D151" s="76">
        <v>2003</v>
      </c>
      <c r="E151" s="76">
        <v>2004</v>
      </c>
      <c r="F151" s="81">
        <v>500</v>
      </c>
      <c r="G151" s="76">
        <v>7</v>
      </c>
      <c r="H151" s="76">
        <v>1</v>
      </c>
      <c r="I151" s="79">
        <v>827</v>
      </c>
      <c r="J151" s="79">
        <v>479</v>
      </c>
      <c r="K151" s="13"/>
      <c r="L151" s="13"/>
    </row>
    <row r="152" spans="1:12" x14ac:dyDescent="0.2">
      <c r="A152" s="76">
        <v>93</v>
      </c>
      <c r="B152" s="76">
        <v>1</v>
      </c>
      <c r="C152" s="76" t="s">
        <v>91</v>
      </c>
      <c r="D152" s="76">
        <v>2003</v>
      </c>
      <c r="E152" s="76">
        <v>2004</v>
      </c>
      <c r="F152" s="81">
        <v>500</v>
      </c>
      <c r="G152" s="76">
        <v>7</v>
      </c>
      <c r="H152" s="76">
        <v>0</v>
      </c>
      <c r="I152" s="79">
        <v>555</v>
      </c>
      <c r="J152" s="79">
        <v>656</v>
      </c>
      <c r="K152" s="13"/>
      <c r="L152" s="13"/>
    </row>
    <row r="153" spans="1:12" x14ac:dyDescent="0.2">
      <c r="A153" s="76">
        <v>94</v>
      </c>
      <c r="B153" s="76">
        <v>1</v>
      </c>
      <c r="C153" s="76" t="s">
        <v>92</v>
      </c>
      <c r="D153" s="76">
        <v>1994</v>
      </c>
      <c r="E153" s="76">
        <v>1995</v>
      </c>
      <c r="F153" s="81">
        <v>424.12</v>
      </c>
      <c r="G153" s="76">
        <v>10</v>
      </c>
      <c r="H153" s="76">
        <v>1</v>
      </c>
      <c r="I153" s="79">
        <v>3011</v>
      </c>
      <c r="J153" s="79">
        <v>1647</v>
      </c>
      <c r="K153" s="13"/>
      <c r="L153" s="13"/>
    </row>
    <row r="154" spans="1:12" x14ac:dyDescent="0.2">
      <c r="A154" s="76">
        <v>94</v>
      </c>
      <c r="B154" s="76">
        <v>1</v>
      </c>
      <c r="C154" s="76" t="s">
        <v>92</v>
      </c>
      <c r="D154" s="76">
        <v>2001</v>
      </c>
      <c r="E154" s="76">
        <v>2002</v>
      </c>
      <c r="F154" s="81">
        <v>97</v>
      </c>
      <c r="G154" s="76">
        <v>10</v>
      </c>
      <c r="H154" s="76">
        <v>1</v>
      </c>
      <c r="I154" s="79">
        <v>1578</v>
      </c>
      <c r="J154" s="79">
        <v>995</v>
      </c>
      <c r="K154" s="13"/>
      <c r="L154" s="13"/>
    </row>
    <row r="155" spans="1:12" x14ac:dyDescent="0.2">
      <c r="A155" s="76">
        <v>95</v>
      </c>
      <c r="B155" s="76">
        <v>1</v>
      </c>
      <c r="C155" s="76" t="s">
        <v>93</v>
      </c>
      <c r="D155" s="76">
        <v>1996</v>
      </c>
      <c r="E155" s="76">
        <v>1997</v>
      </c>
      <c r="F155" s="81">
        <v>315</v>
      </c>
      <c r="G155" s="76">
        <v>5</v>
      </c>
      <c r="H155" s="76">
        <v>0</v>
      </c>
      <c r="I155" s="79">
        <v>275</v>
      </c>
      <c r="J155" s="79">
        <v>430</v>
      </c>
      <c r="K155" s="13"/>
      <c r="L155" s="13"/>
    </row>
    <row r="156" spans="1:12" x14ac:dyDescent="0.2">
      <c r="A156" s="76">
        <v>97</v>
      </c>
      <c r="B156" s="76">
        <v>1</v>
      </c>
      <c r="C156" s="76" t="s">
        <v>94</v>
      </c>
      <c r="D156" s="76">
        <v>1995</v>
      </c>
      <c r="E156" s="76">
        <v>1996</v>
      </c>
      <c r="F156" s="81">
        <v>444.61</v>
      </c>
      <c r="G156" s="76">
        <v>10</v>
      </c>
      <c r="H156" s="76">
        <v>1</v>
      </c>
      <c r="I156" s="79">
        <v>372</v>
      </c>
      <c r="J156" s="79">
        <v>206</v>
      </c>
      <c r="K156" s="13"/>
      <c r="L156" s="13"/>
    </row>
    <row r="157" spans="1:12" x14ac:dyDescent="0.2">
      <c r="A157" s="76">
        <v>97</v>
      </c>
      <c r="B157" s="76">
        <v>1</v>
      </c>
      <c r="C157" s="76" t="s">
        <v>94</v>
      </c>
      <c r="D157" s="76">
        <v>2000</v>
      </c>
      <c r="E157" s="76">
        <v>2001</v>
      </c>
      <c r="F157" s="81">
        <v>465</v>
      </c>
      <c r="G157" s="76">
        <v>10</v>
      </c>
      <c r="H157" s="76">
        <v>0</v>
      </c>
      <c r="I157" s="79">
        <v>590</v>
      </c>
      <c r="J157" s="79">
        <v>628</v>
      </c>
      <c r="K157" s="13"/>
      <c r="L157" s="13"/>
    </row>
    <row r="158" spans="1:12" x14ac:dyDescent="0.2">
      <c r="A158" s="76">
        <v>97</v>
      </c>
      <c r="B158" s="76">
        <v>1</v>
      </c>
      <c r="C158" s="76" t="s">
        <v>94</v>
      </c>
      <c r="D158" s="76">
        <v>2001</v>
      </c>
      <c r="E158" s="76">
        <v>2002</v>
      </c>
      <c r="F158" s="81">
        <v>250</v>
      </c>
      <c r="G158" s="76">
        <v>10</v>
      </c>
      <c r="H158" s="76">
        <v>1</v>
      </c>
      <c r="I158" s="79">
        <v>629</v>
      </c>
      <c r="J158" s="79">
        <v>315</v>
      </c>
      <c r="K158" s="13"/>
      <c r="L158" s="13"/>
    </row>
    <row r="159" spans="1:12" x14ac:dyDescent="0.2">
      <c r="A159" s="76">
        <v>99</v>
      </c>
      <c r="B159" s="76">
        <v>1</v>
      </c>
      <c r="C159" s="76" t="s">
        <v>95</v>
      </c>
      <c r="D159" s="76">
        <v>1993</v>
      </c>
      <c r="E159" s="76">
        <v>1994</v>
      </c>
      <c r="F159" s="81">
        <v>177.12</v>
      </c>
      <c r="G159" s="76">
        <v>5</v>
      </c>
      <c r="H159" s="76">
        <v>1</v>
      </c>
      <c r="I159" s="79" t="s">
        <v>840</v>
      </c>
      <c r="J159" s="79" t="s">
        <v>840</v>
      </c>
      <c r="K159" s="13"/>
      <c r="L159" s="13"/>
    </row>
    <row r="160" spans="1:12" x14ac:dyDescent="0.2">
      <c r="A160" s="76">
        <v>99</v>
      </c>
      <c r="B160" s="76">
        <v>1</v>
      </c>
      <c r="C160" s="76" t="s">
        <v>95</v>
      </c>
      <c r="D160" s="76">
        <v>1998</v>
      </c>
      <c r="E160" s="76">
        <v>1999</v>
      </c>
      <c r="F160" s="81">
        <v>101.17</v>
      </c>
      <c r="G160" s="76">
        <v>10</v>
      </c>
      <c r="H160" s="76">
        <v>0</v>
      </c>
      <c r="I160" s="79">
        <v>861</v>
      </c>
      <c r="J160" s="79">
        <v>1072</v>
      </c>
      <c r="K160" s="13"/>
      <c r="L160" s="13"/>
    </row>
    <row r="161" spans="1:12" x14ac:dyDescent="0.2">
      <c r="A161" s="76">
        <v>99</v>
      </c>
      <c r="B161" s="76">
        <v>1</v>
      </c>
      <c r="C161" s="76" t="s">
        <v>95</v>
      </c>
      <c r="D161" s="76">
        <v>1999</v>
      </c>
      <c r="E161" s="76">
        <v>2000</v>
      </c>
      <c r="F161" s="81">
        <v>116.02</v>
      </c>
      <c r="G161" s="76">
        <v>5</v>
      </c>
      <c r="H161" s="76">
        <v>0</v>
      </c>
      <c r="I161" s="79">
        <v>482</v>
      </c>
      <c r="J161" s="79">
        <v>551</v>
      </c>
      <c r="K161" s="13"/>
      <c r="L161" s="13"/>
    </row>
    <row r="162" spans="1:12" x14ac:dyDescent="0.2">
      <c r="A162" s="76">
        <v>99</v>
      </c>
      <c r="B162" s="76">
        <v>1</v>
      </c>
      <c r="C162" s="76" t="s">
        <v>95</v>
      </c>
      <c r="D162" s="76">
        <v>2001</v>
      </c>
      <c r="E162" s="76">
        <v>2002</v>
      </c>
      <c r="F162" s="81">
        <v>1</v>
      </c>
      <c r="G162" s="76">
        <v>10</v>
      </c>
      <c r="H162" s="76">
        <v>1</v>
      </c>
      <c r="I162" s="79">
        <v>639</v>
      </c>
      <c r="J162" s="79">
        <v>317</v>
      </c>
      <c r="K162" s="13"/>
      <c r="L162" s="13"/>
    </row>
    <row r="163" spans="1:12" x14ac:dyDescent="0.2">
      <c r="A163" s="76">
        <v>99</v>
      </c>
      <c r="B163" s="76">
        <v>1</v>
      </c>
      <c r="C163" s="76" t="s">
        <v>95</v>
      </c>
      <c r="D163" s="76">
        <v>2002</v>
      </c>
      <c r="E163" s="76">
        <v>2003</v>
      </c>
      <c r="F163" s="81">
        <v>280</v>
      </c>
      <c r="G163" s="76">
        <v>5</v>
      </c>
      <c r="H163" s="76">
        <v>0</v>
      </c>
      <c r="I163" s="79">
        <v>951</v>
      </c>
      <c r="J163" s="79">
        <v>1094</v>
      </c>
      <c r="K163" s="13"/>
      <c r="L163" s="13"/>
    </row>
    <row r="164" spans="1:12" x14ac:dyDescent="0.2">
      <c r="A164" s="76">
        <v>99</v>
      </c>
      <c r="B164" s="76">
        <v>1</v>
      </c>
      <c r="C164" s="76" t="s">
        <v>95</v>
      </c>
      <c r="D164" s="76">
        <v>2003</v>
      </c>
      <c r="E164" s="76">
        <v>2004</v>
      </c>
      <c r="F164" s="81">
        <v>404</v>
      </c>
      <c r="G164" s="76">
        <v>3</v>
      </c>
      <c r="H164" s="76">
        <v>1</v>
      </c>
      <c r="I164" s="79">
        <v>825</v>
      </c>
      <c r="J164" s="79">
        <v>542</v>
      </c>
      <c r="K164" s="13"/>
      <c r="L164" s="13"/>
    </row>
    <row r="165" spans="1:12" x14ac:dyDescent="0.2">
      <c r="A165" s="76">
        <v>100</v>
      </c>
      <c r="B165" s="76">
        <v>1</v>
      </c>
      <c r="C165" s="76" t="s">
        <v>96</v>
      </c>
      <c r="D165" s="76">
        <v>1993</v>
      </c>
      <c r="E165" s="76">
        <v>1994</v>
      </c>
      <c r="F165" s="81">
        <v>155.46</v>
      </c>
      <c r="G165" s="76">
        <v>5</v>
      </c>
      <c r="H165" s="76">
        <v>1</v>
      </c>
      <c r="I165" s="79" t="s">
        <v>840</v>
      </c>
      <c r="J165" s="79" t="s">
        <v>840</v>
      </c>
      <c r="K165" s="13"/>
      <c r="L165" s="13"/>
    </row>
    <row r="166" spans="1:12" x14ac:dyDescent="0.2">
      <c r="A166" s="76">
        <v>100</v>
      </c>
      <c r="B166" s="76">
        <v>1</v>
      </c>
      <c r="C166" s="76" t="s">
        <v>96</v>
      </c>
      <c r="D166" s="76">
        <v>1998</v>
      </c>
      <c r="E166" s="76">
        <v>1999</v>
      </c>
      <c r="F166" s="81">
        <v>113.16</v>
      </c>
      <c r="G166" s="76">
        <v>10</v>
      </c>
      <c r="H166" s="76">
        <v>0</v>
      </c>
      <c r="I166" s="79">
        <v>299</v>
      </c>
      <c r="J166" s="79">
        <v>380</v>
      </c>
      <c r="K166" s="13"/>
      <c r="L166" s="13"/>
    </row>
    <row r="167" spans="1:12" x14ac:dyDescent="0.2">
      <c r="A167" s="76">
        <v>100</v>
      </c>
      <c r="B167" s="76">
        <v>1</v>
      </c>
      <c r="C167" s="76" t="s">
        <v>96</v>
      </c>
      <c r="D167" s="76">
        <v>2001</v>
      </c>
      <c r="E167" s="76">
        <v>2002</v>
      </c>
      <c r="F167" s="81">
        <v>200</v>
      </c>
      <c r="G167" s="76">
        <v>5</v>
      </c>
      <c r="H167" s="76">
        <v>0</v>
      </c>
      <c r="I167" s="79">
        <v>155</v>
      </c>
      <c r="J167" s="79">
        <v>231</v>
      </c>
      <c r="K167" s="13"/>
      <c r="L167" s="13"/>
    </row>
    <row r="168" spans="1:12" x14ac:dyDescent="0.2">
      <c r="A168" s="76">
        <v>100</v>
      </c>
      <c r="B168" s="76">
        <v>1</v>
      </c>
      <c r="C168" s="76" t="s">
        <v>96</v>
      </c>
      <c r="D168" s="76">
        <v>2002</v>
      </c>
      <c r="E168" s="76">
        <v>2003</v>
      </c>
      <c r="F168" s="81">
        <v>126</v>
      </c>
      <c r="G168" s="76">
        <v>6</v>
      </c>
      <c r="H168" s="76">
        <v>0</v>
      </c>
      <c r="I168" s="79">
        <v>319</v>
      </c>
      <c r="J168" s="79">
        <v>377</v>
      </c>
      <c r="K168" s="13"/>
      <c r="L168" s="13"/>
    </row>
    <row r="169" spans="1:12" x14ac:dyDescent="0.2">
      <c r="A169" s="76">
        <v>100</v>
      </c>
      <c r="B169" s="76">
        <v>1</v>
      </c>
      <c r="C169" s="76" t="s">
        <v>989</v>
      </c>
      <c r="D169" s="76">
        <v>2005</v>
      </c>
      <c r="E169" s="76">
        <v>2006</v>
      </c>
      <c r="F169" s="81">
        <v>250</v>
      </c>
      <c r="G169" s="76">
        <v>3</v>
      </c>
      <c r="H169" s="78">
        <v>0</v>
      </c>
      <c r="I169" s="77">
        <v>176</v>
      </c>
      <c r="J169" s="77">
        <v>195</v>
      </c>
      <c r="K169" s="13"/>
      <c r="L169" s="13"/>
    </row>
    <row r="170" spans="1:12" x14ac:dyDescent="0.2">
      <c r="A170" s="76">
        <v>100</v>
      </c>
      <c r="B170" s="76">
        <v>1</v>
      </c>
      <c r="C170" s="76" t="s">
        <v>96</v>
      </c>
      <c r="D170" s="76">
        <v>2006</v>
      </c>
      <c r="E170" s="78">
        <v>2007</v>
      </c>
      <c r="F170" s="81">
        <v>450</v>
      </c>
      <c r="G170" s="78">
        <v>3</v>
      </c>
      <c r="H170" s="76">
        <v>0</v>
      </c>
      <c r="I170" s="77">
        <v>363</v>
      </c>
      <c r="J170" s="77">
        <v>483</v>
      </c>
      <c r="K170" s="13"/>
      <c r="L170" s="13"/>
    </row>
    <row r="171" spans="1:12" x14ac:dyDescent="0.2">
      <c r="A171" s="76">
        <v>100</v>
      </c>
      <c r="B171" s="76">
        <v>1</v>
      </c>
      <c r="C171" s="76" t="s">
        <v>96</v>
      </c>
      <c r="D171" s="82">
        <v>2007</v>
      </c>
      <c r="E171" s="83">
        <v>2008</v>
      </c>
      <c r="F171" s="78">
        <v>144</v>
      </c>
      <c r="G171" s="76">
        <v>5</v>
      </c>
      <c r="H171" s="77">
        <v>1</v>
      </c>
      <c r="I171" s="77">
        <v>306</v>
      </c>
      <c r="J171" s="79">
        <v>270</v>
      </c>
      <c r="K171" s="13"/>
      <c r="L171" s="13"/>
    </row>
    <row r="172" spans="1:12" x14ac:dyDescent="0.2">
      <c r="A172" s="76">
        <v>100</v>
      </c>
      <c r="B172" s="76">
        <v>1</v>
      </c>
      <c r="C172" s="76" t="s">
        <v>96</v>
      </c>
      <c r="D172" s="82">
        <v>2007</v>
      </c>
      <c r="E172" s="83">
        <v>2008</v>
      </c>
      <c r="F172" s="78">
        <v>485</v>
      </c>
      <c r="G172" s="76">
        <v>5</v>
      </c>
      <c r="H172" s="77">
        <v>1</v>
      </c>
      <c r="I172" s="77">
        <v>320</v>
      </c>
      <c r="J172" s="79">
        <v>258</v>
      </c>
      <c r="K172" s="13"/>
      <c r="L172" s="13"/>
    </row>
    <row r="173" spans="1:12" x14ac:dyDescent="0.2">
      <c r="A173" s="76">
        <v>108</v>
      </c>
      <c r="B173" s="76">
        <v>1</v>
      </c>
      <c r="C173" s="76" t="s">
        <v>729</v>
      </c>
      <c r="D173" s="76">
        <v>1996</v>
      </c>
      <c r="E173" s="76">
        <v>1997</v>
      </c>
      <c r="F173" s="81">
        <v>315</v>
      </c>
      <c r="G173" s="76">
        <v>10</v>
      </c>
      <c r="H173" s="76">
        <v>1</v>
      </c>
      <c r="I173" s="79">
        <v>1739</v>
      </c>
      <c r="J173" s="79">
        <v>1481</v>
      </c>
      <c r="K173" s="13"/>
      <c r="L173" s="13"/>
    </row>
    <row r="174" spans="1:12" x14ac:dyDescent="0.2">
      <c r="A174" s="76">
        <v>108</v>
      </c>
      <c r="B174" s="76">
        <v>1</v>
      </c>
      <c r="C174" s="76" t="s">
        <v>97</v>
      </c>
      <c r="D174" s="76">
        <v>2002</v>
      </c>
      <c r="E174" s="76">
        <v>2003</v>
      </c>
      <c r="F174" s="81">
        <v>100</v>
      </c>
      <c r="G174" s="76">
        <v>6</v>
      </c>
      <c r="H174" s="76">
        <v>0</v>
      </c>
      <c r="I174" s="79">
        <v>959</v>
      </c>
      <c r="J174" s="79">
        <v>1995</v>
      </c>
      <c r="K174" s="13"/>
      <c r="L174" s="13"/>
    </row>
    <row r="175" spans="1:12" x14ac:dyDescent="0.2">
      <c r="A175" s="76">
        <v>108</v>
      </c>
      <c r="B175" s="76">
        <v>1</v>
      </c>
      <c r="C175" s="76" t="s">
        <v>97</v>
      </c>
      <c r="D175" s="76">
        <v>2002</v>
      </c>
      <c r="E175" s="76">
        <v>2003</v>
      </c>
      <c r="F175" s="81">
        <v>125</v>
      </c>
      <c r="G175" s="76">
        <v>6</v>
      </c>
      <c r="H175" s="76">
        <v>0</v>
      </c>
      <c r="I175" s="79">
        <v>1077</v>
      </c>
      <c r="J175" s="79">
        <v>1877</v>
      </c>
      <c r="K175" s="13"/>
      <c r="L175" s="13"/>
    </row>
    <row r="176" spans="1:12" x14ac:dyDescent="0.2">
      <c r="A176" s="76">
        <v>108</v>
      </c>
      <c r="B176" s="76">
        <v>1</v>
      </c>
      <c r="C176" s="76" t="s">
        <v>97</v>
      </c>
      <c r="D176" s="76">
        <v>2002</v>
      </c>
      <c r="E176" s="76">
        <v>2003</v>
      </c>
      <c r="F176" s="81">
        <v>530</v>
      </c>
      <c r="G176" s="76">
        <v>6</v>
      </c>
      <c r="H176" s="76">
        <v>0</v>
      </c>
      <c r="I176" s="79">
        <v>1270</v>
      </c>
      <c r="J176" s="79">
        <v>1721</v>
      </c>
      <c r="K176" s="13"/>
      <c r="L176" s="13"/>
    </row>
    <row r="177" spans="1:12" x14ac:dyDescent="0.2">
      <c r="A177" s="76">
        <v>108</v>
      </c>
      <c r="B177" s="76">
        <v>1</v>
      </c>
      <c r="C177" s="76" t="s">
        <v>97</v>
      </c>
      <c r="D177" s="76">
        <v>2003</v>
      </c>
      <c r="E177" s="76">
        <v>2004</v>
      </c>
      <c r="F177" s="81">
        <v>500</v>
      </c>
      <c r="G177" s="76">
        <v>5</v>
      </c>
      <c r="H177" s="76">
        <v>1</v>
      </c>
      <c r="I177" s="79">
        <v>991</v>
      </c>
      <c r="J177" s="79">
        <v>546</v>
      </c>
      <c r="K177" s="13"/>
      <c r="L177" s="13"/>
    </row>
    <row r="178" spans="1:12" x14ac:dyDescent="0.2">
      <c r="A178">
        <v>108</v>
      </c>
      <c r="B178">
        <v>1</v>
      </c>
      <c r="C178" t="s">
        <v>97</v>
      </c>
      <c r="D178">
        <v>2008</v>
      </c>
      <c r="E178" s="5">
        <v>2009</v>
      </c>
      <c r="F178" s="6">
        <v>500</v>
      </c>
      <c r="G178" s="5">
        <v>5</v>
      </c>
      <c r="H178" s="33">
        <v>1</v>
      </c>
      <c r="I178" s="33">
        <v>2266</v>
      </c>
      <c r="J178" s="33">
        <v>1879</v>
      </c>
      <c r="K178" s="13"/>
      <c r="L178" s="13"/>
    </row>
    <row r="179" spans="1:12" x14ac:dyDescent="0.2">
      <c r="A179" s="76">
        <v>110</v>
      </c>
      <c r="B179" s="76">
        <v>1</v>
      </c>
      <c r="C179" s="76" t="s">
        <v>98</v>
      </c>
      <c r="D179" s="76">
        <v>1991</v>
      </c>
      <c r="E179" s="76">
        <v>1993</v>
      </c>
      <c r="F179" s="81">
        <v>412.88</v>
      </c>
      <c r="G179" s="76">
        <v>4</v>
      </c>
      <c r="H179" s="76">
        <v>1</v>
      </c>
      <c r="I179" s="79" t="s">
        <v>840</v>
      </c>
      <c r="J179" s="79" t="s">
        <v>840</v>
      </c>
      <c r="K179" s="13"/>
      <c r="L179" s="13"/>
    </row>
    <row r="180" spans="1:12" x14ac:dyDescent="0.2">
      <c r="A180" s="76">
        <v>110</v>
      </c>
      <c r="B180" s="76">
        <v>1</v>
      </c>
      <c r="C180" s="76" t="s">
        <v>98</v>
      </c>
      <c r="D180" s="76">
        <v>1995</v>
      </c>
      <c r="E180" s="76">
        <v>1997</v>
      </c>
      <c r="F180" s="81">
        <v>370</v>
      </c>
      <c r="G180" s="76">
        <v>7</v>
      </c>
      <c r="H180" s="76">
        <v>1</v>
      </c>
      <c r="I180" s="79">
        <v>748</v>
      </c>
      <c r="J180" s="79">
        <v>706</v>
      </c>
      <c r="K180" s="13"/>
      <c r="L180" s="13"/>
    </row>
    <row r="181" spans="1:12" x14ac:dyDescent="0.2">
      <c r="A181" s="76">
        <v>110</v>
      </c>
      <c r="B181" s="76">
        <v>1</v>
      </c>
      <c r="C181" s="76" t="s">
        <v>98</v>
      </c>
      <c r="D181" s="76">
        <v>1998</v>
      </c>
      <c r="E181" s="76">
        <v>1999</v>
      </c>
      <c r="F181" s="81">
        <v>50</v>
      </c>
      <c r="G181" s="76">
        <v>10</v>
      </c>
      <c r="H181" s="76">
        <v>1</v>
      </c>
      <c r="I181" s="79">
        <v>1571</v>
      </c>
      <c r="J181" s="79">
        <v>1351</v>
      </c>
      <c r="K181" s="13"/>
      <c r="L181" s="13"/>
    </row>
    <row r="182" spans="1:12" x14ac:dyDescent="0.2">
      <c r="A182" s="76">
        <v>110</v>
      </c>
      <c r="B182" s="76">
        <v>1</v>
      </c>
      <c r="C182" s="76" t="s">
        <v>98</v>
      </c>
      <c r="D182" s="76">
        <v>2003</v>
      </c>
      <c r="E182" s="76">
        <v>2004</v>
      </c>
      <c r="F182" s="81">
        <v>350</v>
      </c>
      <c r="G182" s="76">
        <v>10</v>
      </c>
      <c r="H182" s="76">
        <v>0</v>
      </c>
      <c r="I182" s="79">
        <v>1314</v>
      </c>
      <c r="J182" s="79">
        <v>1546</v>
      </c>
      <c r="K182" s="13"/>
      <c r="L182" s="13"/>
    </row>
    <row r="183" spans="1:12" x14ac:dyDescent="0.2">
      <c r="A183" s="76">
        <v>110</v>
      </c>
      <c r="B183" s="76">
        <v>1</v>
      </c>
      <c r="C183" s="76" t="s">
        <v>98</v>
      </c>
      <c r="D183" s="76">
        <v>2004</v>
      </c>
      <c r="E183" s="76">
        <v>2005</v>
      </c>
      <c r="F183" s="81">
        <v>390</v>
      </c>
      <c r="G183" s="76">
        <v>10</v>
      </c>
      <c r="H183" s="76">
        <v>1</v>
      </c>
      <c r="I183" s="79">
        <v>4535</v>
      </c>
      <c r="J183" s="79">
        <v>3722</v>
      </c>
      <c r="K183" s="13"/>
      <c r="L183" s="13"/>
    </row>
    <row r="184" spans="1:12" x14ac:dyDescent="0.2">
      <c r="A184" s="76">
        <v>110</v>
      </c>
      <c r="B184" s="76">
        <v>1</v>
      </c>
      <c r="C184" s="76" t="s">
        <v>98</v>
      </c>
      <c r="D184" s="76">
        <v>2006</v>
      </c>
      <c r="E184" s="78">
        <v>2007</v>
      </c>
      <c r="F184" s="81">
        <v>0</v>
      </c>
      <c r="G184" s="78">
        <v>10</v>
      </c>
      <c r="H184" s="76">
        <v>0</v>
      </c>
      <c r="I184" s="77">
        <v>3224</v>
      </c>
      <c r="J184" s="77">
        <v>3805</v>
      </c>
      <c r="K184" s="13"/>
      <c r="L184" s="13"/>
    </row>
    <row r="185" spans="1:12" x14ac:dyDescent="0.2">
      <c r="A185" s="76">
        <v>110</v>
      </c>
      <c r="B185" s="76">
        <v>1</v>
      </c>
      <c r="C185" s="76" t="s">
        <v>98</v>
      </c>
      <c r="D185" s="82">
        <v>2007</v>
      </c>
      <c r="E185" s="83">
        <v>2008</v>
      </c>
      <c r="F185" s="78">
        <v>235</v>
      </c>
      <c r="G185" s="76">
        <v>10</v>
      </c>
      <c r="H185" s="77">
        <v>1</v>
      </c>
      <c r="I185" s="77">
        <v>1923</v>
      </c>
      <c r="J185" s="79">
        <v>1815</v>
      </c>
      <c r="K185" s="13"/>
      <c r="L185" s="13"/>
    </row>
    <row r="186" spans="1:12" x14ac:dyDescent="0.2">
      <c r="A186" s="76">
        <v>111</v>
      </c>
      <c r="B186" s="76">
        <v>1</v>
      </c>
      <c r="C186" s="76" t="s">
        <v>730</v>
      </c>
      <c r="D186" s="76">
        <v>1991</v>
      </c>
      <c r="E186" s="76">
        <v>1993</v>
      </c>
      <c r="F186" s="81">
        <v>240</v>
      </c>
      <c r="G186" s="76">
        <v>5</v>
      </c>
      <c r="H186" s="76">
        <v>1</v>
      </c>
      <c r="I186" s="79" t="s">
        <v>840</v>
      </c>
      <c r="J186" s="79" t="s">
        <v>840</v>
      </c>
      <c r="K186" s="13"/>
      <c r="L186" s="13"/>
    </row>
    <row r="187" spans="1:12" x14ac:dyDescent="0.2">
      <c r="A187" s="76">
        <v>111</v>
      </c>
      <c r="B187" s="76">
        <v>1</v>
      </c>
      <c r="C187" s="76" t="s">
        <v>99</v>
      </c>
      <c r="D187" s="76">
        <v>1997</v>
      </c>
      <c r="E187" s="76">
        <v>1998</v>
      </c>
      <c r="F187" s="81">
        <v>240</v>
      </c>
      <c r="G187" s="76">
        <v>5</v>
      </c>
      <c r="H187" s="76">
        <v>1</v>
      </c>
      <c r="I187" s="79">
        <v>269</v>
      </c>
      <c r="J187" s="79">
        <v>246</v>
      </c>
      <c r="K187" s="13"/>
      <c r="L187" s="13"/>
    </row>
    <row r="188" spans="1:12" x14ac:dyDescent="0.2">
      <c r="A188" s="76">
        <v>111</v>
      </c>
      <c r="B188" s="76">
        <v>1</v>
      </c>
      <c r="C188" s="76" t="s">
        <v>99</v>
      </c>
      <c r="D188" s="76">
        <v>2000</v>
      </c>
      <c r="E188" s="76">
        <v>2001</v>
      </c>
      <c r="F188" s="81">
        <v>415</v>
      </c>
      <c r="G188" s="76">
        <v>10</v>
      </c>
      <c r="H188" s="76">
        <v>0</v>
      </c>
      <c r="I188" s="79">
        <v>1631</v>
      </c>
      <c r="J188" s="79">
        <v>1739</v>
      </c>
      <c r="K188" s="13"/>
      <c r="L188" s="13"/>
    </row>
    <row r="189" spans="1:12" x14ac:dyDescent="0.2">
      <c r="A189" s="76">
        <v>111</v>
      </c>
      <c r="B189" s="76">
        <v>1</v>
      </c>
      <c r="C189" s="76" t="s">
        <v>99</v>
      </c>
      <c r="D189" s="76">
        <v>2001</v>
      </c>
      <c r="E189" s="76">
        <v>2002</v>
      </c>
      <c r="F189" s="81">
        <v>240</v>
      </c>
      <c r="G189" s="76">
        <v>10</v>
      </c>
      <c r="H189" s="76">
        <v>1</v>
      </c>
      <c r="I189" s="79">
        <v>1090</v>
      </c>
      <c r="J189" s="79">
        <v>566</v>
      </c>
      <c r="K189" s="13"/>
      <c r="L189" s="13"/>
    </row>
    <row r="190" spans="1:12" x14ac:dyDescent="0.2">
      <c r="A190" s="76">
        <v>112</v>
      </c>
      <c r="B190" s="76">
        <v>1</v>
      </c>
      <c r="C190" s="76" t="s">
        <v>100</v>
      </c>
      <c r="D190" s="76">
        <v>1995</v>
      </c>
      <c r="E190" s="76">
        <v>1996</v>
      </c>
      <c r="F190" s="81">
        <v>332.64</v>
      </c>
      <c r="G190" s="76">
        <v>10</v>
      </c>
      <c r="H190" s="76">
        <v>0</v>
      </c>
      <c r="I190" s="79">
        <v>2372</v>
      </c>
      <c r="J190" s="79">
        <v>3058</v>
      </c>
      <c r="K190" s="13"/>
      <c r="L190" s="13"/>
    </row>
    <row r="191" spans="1:12" x14ac:dyDescent="0.2">
      <c r="A191" s="76">
        <v>112</v>
      </c>
      <c r="B191" s="76">
        <v>1</v>
      </c>
      <c r="C191" s="76" t="s">
        <v>100</v>
      </c>
      <c r="D191" s="76">
        <v>1997</v>
      </c>
      <c r="E191" s="76">
        <v>1998</v>
      </c>
      <c r="F191" s="81">
        <v>56.47</v>
      </c>
      <c r="G191" s="76">
        <v>8</v>
      </c>
      <c r="H191" s="76">
        <v>1</v>
      </c>
      <c r="I191" s="79">
        <v>4459</v>
      </c>
      <c r="J191" s="79">
        <v>2862</v>
      </c>
      <c r="K191" s="13"/>
      <c r="L191" s="13"/>
    </row>
    <row r="192" spans="1:12" x14ac:dyDescent="0.2">
      <c r="A192" s="76">
        <v>112</v>
      </c>
      <c r="B192" s="76">
        <v>1</v>
      </c>
      <c r="C192" s="76" t="s">
        <v>100</v>
      </c>
      <c r="D192" s="76">
        <v>1997</v>
      </c>
      <c r="E192" s="76">
        <v>1998</v>
      </c>
      <c r="F192" s="81">
        <v>176.45</v>
      </c>
      <c r="G192" s="76">
        <v>8</v>
      </c>
      <c r="H192" s="76">
        <v>1</v>
      </c>
      <c r="I192" s="79">
        <v>4767</v>
      </c>
      <c r="J192" s="79">
        <v>2566</v>
      </c>
      <c r="K192" s="13"/>
      <c r="L192" s="13"/>
    </row>
    <row r="193" spans="1:12" x14ac:dyDescent="0.2">
      <c r="A193" s="76">
        <v>112</v>
      </c>
      <c r="B193" s="76">
        <v>1</v>
      </c>
      <c r="C193" s="76" t="s">
        <v>100</v>
      </c>
      <c r="D193" s="76">
        <v>1999</v>
      </c>
      <c r="E193" s="76">
        <v>2000</v>
      </c>
      <c r="F193" s="81">
        <v>112.43</v>
      </c>
      <c r="G193" s="76">
        <v>10</v>
      </c>
      <c r="H193" s="76">
        <v>1</v>
      </c>
      <c r="I193" s="79">
        <v>3988</v>
      </c>
      <c r="J193" s="79">
        <v>2358</v>
      </c>
      <c r="K193" s="13"/>
      <c r="L193" s="13"/>
    </row>
    <row r="194" spans="1:12" x14ac:dyDescent="0.2">
      <c r="A194" s="76">
        <v>112</v>
      </c>
      <c r="B194" s="76">
        <v>1</v>
      </c>
      <c r="C194" s="76" t="s">
        <v>100</v>
      </c>
      <c r="D194" s="76">
        <v>2003</v>
      </c>
      <c r="E194" s="76">
        <v>2004</v>
      </c>
      <c r="F194" s="81">
        <v>148.44999999999999</v>
      </c>
      <c r="G194" s="76">
        <v>10</v>
      </c>
      <c r="H194" s="76">
        <v>1</v>
      </c>
      <c r="I194" s="79">
        <v>4131</v>
      </c>
      <c r="J194" s="79">
        <v>2342</v>
      </c>
      <c r="K194" s="13"/>
      <c r="L194" s="13"/>
    </row>
    <row r="195" spans="1:12" x14ac:dyDescent="0.2">
      <c r="A195" s="76">
        <v>112</v>
      </c>
      <c r="B195" s="76">
        <v>1</v>
      </c>
      <c r="C195" s="76" t="s">
        <v>100</v>
      </c>
      <c r="D195" s="76">
        <v>2003</v>
      </c>
      <c r="E195" s="76">
        <v>2004</v>
      </c>
      <c r="F195" s="81">
        <v>619.79</v>
      </c>
      <c r="G195" s="76">
        <v>10</v>
      </c>
      <c r="H195" s="76">
        <v>1</v>
      </c>
      <c r="I195" s="79">
        <v>4107</v>
      </c>
      <c r="J195" s="79">
        <v>2380</v>
      </c>
      <c r="K195" s="13"/>
      <c r="L195" s="13"/>
    </row>
    <row r="196" spans="1:12" x14ac:dyDescent="0.2">
      <c r="A196" s="76">
        <v>112</v>
      </c>
      <c r="B196" s="76">
        <v>1</v>
      </c>
      <c r="C196" s="76" t="s">
        <v>100</v>
      </c>
      <c r="D196" s="76">
        <v>2006</v>
      </c>
      <c r="E196" s="78">
        <v>2007</v>
      </c>
      <c r="F196" s="81">
        <v>285</v>
      </c>
      <c r="G196" s="78">
        <v>10</v>
      </c>
      <c r="H196" s="76">
        <v>1</v>
      </c>
      <c r="I196" s="77">
        <v>9854</v>
      </c>
      <c r="J196" s="77">
        <v>9484</v>
      </c>
      <c r="K196" s="13"/>
      <c r="L196" s="13"/>
    </row>
    <row r="197" spans="1:12" x14ac:dyDescent="0.2">
      <c r="A197" s="51">
        <v>113</v>
      </c>
      <c r="B197" s="51">
        <v>1</v>
      </c>
      <c r="C197" s="51" t="s">
        <v>1043</v>
      </c>
      <c r="D197" s="85">
        <v>2007</v>
      </c>
      <c r="E197" s="67">
        <v>2008</v>
      </c>
      <c r="F197" s="65">
        <v>500</v>
      </c>
      <c r="G197" s="76">
        <v>10</v>
      </c>
      <c r="H197" s="76">
        <v>0</v>
      </c>
      <c r="I197" s="33">
        <v>992</v>
      </c>
      <c r="J197" s="33">
        <v>1010</v>
      </c>
      <c r="K197" s="13"/>
      <c r="L197" s="13"/>
    </row>
    <row r="198" spans="1:12" x14ac:dyDescent="0.2">
      <c r="A198" s="51">
        <v>113</v>
      </c>
      <c r="B198" s="51">
        <v>1</v>
      </c>
      <c r="C198" s="51" t="s">
        <v>1043</v>
      </c>
      <c r="D198" s="85">
        <v>2007</v>
      </c>
      <c r="E198" s="67">
        <v>2008</v>
      </c>
      <c r="F198" s="65">
        <v>100</v>
      </c>
      <c r="G198" s="76">
        <v>10</v>
      </c>
      <c r="H198" s="76">
        <v>0</v>
      </c>
      <c r="I198" s="33">
        <v>927</v>
      </c>
      <c r="J198" s="33">
        <v>1062</v>
      </c>
      <c r="K198" s="13"/>
      <c r="L198" s="13"/>
    </row>
    <row r="199" spans="1:12" x14ac:dyDescent="0.2">
      <c r="A199">
        <v>113</v>
      </c>
      <c r="B199">
        <v>1</v>
      </c>
      <c r="C199" t="s">
        <v>101</v>
      </c>
      <c r="D199">
        <v>2008</v>
      </c>
      <c r="E199" s="5">
        <v>2009</v>
      </c>
      <c r="F199" s="6">
        <v>550</v>
      </c>
      <c r="G199" s="5">
        <v>8</v>
      </c>
      <c r="H199" s="33">
        <v>0</v>
      </c>
      <c r="I199" s="33">
        <v>1302</v>
      </c>
      <c r="J199" s="33">
        <v>1462</v>
      </c>
      <c r="K199" s="13"/>
      <c r="L199" s="13"/>
    </row>
    <row r="200" spans="1:12" x14ac:dyDescent="0.2">
      <c r="A200" s="76">
        <v>116</v>
      </c>
      <c r="B200" s="76">
        <v>1</v>
      </c>
      <c r="C200" s="76" t="s">
        <v>103</v>
      </c>
      <c r="D200" s="76">
        <v>2002</v>
      </c>
      <c r="E200" s="76">
        <v>2003</v>
      </c>
      <c r="F200" s="81">
        <v>126</v>
      </c>
      <c r="G200" s="76">
        <v>5</v>
      </c>
      <c r="H200" s="76">
        <v>0</v>
      </c>
      <c r="I200" s="79">
        <v>689</v>
      </c>
      <c r="J200" s="79">
        <v>1088</v>
      </c>
      <c r="K200" s="13"/>
      <c r="L200" s="13"/>
    </row>
    <row r="201" spans="1:12" x14ac:dyDescent="0.2">
      <c r="A201" s="76">
        <v>116</v>
      </c>
      <c r="B201" s="76">
        <v>1</v>
      </c>
      <c r="C201" s="76" t="s">
        <v>103</v>
      </c>
      <c r="D201" s="76">
        <v>2003</v>
      </c>
      <c r="E201" s="76">
        <v>2004</v>
      </c>
      <c r="F201" s="81">
        <v>100</v>
      </c>
      <c r="G201" s="76">
        <v>10</v>
      </c>
      <c r="H201" s="76">
        <v>0</v>
      </c>
      <c r="I201" s="79">
        <v>358</v>
      </c>
      <c r="J201" s="79">
        <v>719</v>
      </c>
      <c r="K201" s="13"/>
      <c r="L201" s="13"/>
    </row>
    <row r="202" spans="1:12" x14ac:dyDescent="0.2">
      <c r="A202" s="76">
        <v>116</v>
      </c>
      <c r="B202" s="76">
        <v>1</v>
      </c>
      <c r="C202" s="76" t="s">
        <v>103</v>
      </c>
      <c r="D202" s="76">
        <v>2003</v>
      </c>
      <c r="E202" s="76">
        <v>2004</v>
      </c>
      <c r="F202" s="81">
        <v>175</v>
      </c>
      <c r="G202" s="76">
        <v>10</v>
      </c>
      <c r="H202" s="76">
        <v>0</v>
      </c>
      <c r="I202" s="79">
        <v>407</v>
      </c>
      <c r="J202" s="79">
        <v>671</v>
      </c>
      <c r="K202" s="13"/>
      <c r="L202" s="13"/>
    </row>
    <row r="203" spans="1:12" x14ac:dyDescent="0.2">
      <c r="A203" s="76">
        <v>118</v>
      </c>
      <c r="B203" s="76">
        <v>1</v>
      </c>
      <c r="C203" s="76" t="s">
        <v>104</v>
      </c>
      <c r="D203" s="76">
        <v>1995</v>
      </c>
      <c r="E203" s="76">
        <v>1996</v>
      </c>
      <c r="F203" s="81">
        <v>406</v>
      </c>
      <c r="G203" s="76">
        <v>5</v>
      </c>
      <c r="H203" s="76">
        <v>0</v>
      </c>
      <c r="I203" s="79">
        <v>260</v>
      </c>
      <c r="J203" s="79">
        <v>614</v>
      </c>
      <c r="K203" s="13"/>
      <c r="L203" s="13"/>
    </row>
    <row r="204" spans="1:12" x14ac:dyDescent="0.2">
      <c r="A204" s="76">
        <v>118</v>
      </c>
      <c r="B204" s="76">
        <v>1</v>
      </c>
      <c r="C204" s="76" t="s">
        <v>104</v>
      </c>
      <c r="D204" s="76">
        <v>1996</v>
      </c>
      <c r="E204" s="76">
        <v>1997</v>
      </c>
      <c r="F204" s="81">
        <v>315</v>
      </c>
      <c r="G204" s="76">
        <v>5</v>
      </c>
      <c r="H204" s="76">
        <v>1</v>
      </c>
      <c r="I204" s="79">
        <v>1129</v>
      </c>
      <c r="J204" s="79">
        <v>1028</v>
      </c>
      <c r="K204" s="13"/>
      <c r="L204" s="13"/>
    </row>
    <row r="205" spans="1:12" x14ac:dyDescent="0.2">
      <c r="A205" s="76">
        <v>118</v>
      </c>
      <c r="B205" s="76">
        <v>1</v>
      </c>
      <c r="C205" s="76" t="s">
        <v>104</v>
      </c>
      <c r="D205" s="76">
        <v>2001</v>
      </c>
      <c r="E205" s="76">
        <v>2002</v>
      </c>
      <c r="F205" s="81">
        <v>315</v>
      </c>
      <c r="G205" s="76">
        <v>5</v>
      </c>
      <c r="H205" s="76">
        <v>0</v>
      </c>
      <c r="I205" s="79">
        <v>671</v>
      </c>
      <c r="J205" s="79">
        <v>701</v>
      </c>
      <c r="K205" s="13"/>
      <c r="L205" s="13"/>
    </row>
    <row r="206" spans="1:12" x14ac:dyDescent="0.2">
      <c r="A206" s="76">
        <v>118</v>
      </c>
      <c r="B206" s="76">
        <v>1</v>
      </c>
      <c r="C206" s="76" t="s">
        <v>836</v>
      </c>
      <c r="D206" s="76">
        <v>2002</v>
      </c>
      <c r="E206" s="76">
        <v>2003</v>
      </c>
      <c r="F206" s="81">
        <v>375</v>
      </c>
      <c r="G206" s="76">
        <v>5</v>
      </c>
      <c r="H206" s="76">
        <v>1</v>
      </c>
      <c r="I206" s="79">
        <v>1042</v>
      </c>
      <c r="J206" s="79">
        <v>772</v>
      </c>
      <c r="K206" s="13"/>
      <c r="L206" s="13"/>
    </row>
    <row r="207" spans="1:12" x14ac:dyDescent="0.2">
      <c r="A207" s="76">
        <v>118</v>
      </c>
      <c r="B207" s="76">
        <v>1</v>
      </c>
      <c r="C207" s="76" t="s">
        <v>104</v>
      </c>
      <c r="D207" s="82">
        <v>2007</v>
      </c>
      <c r="E207" s="83">
        <v>2008</v>
      </c>
      <c r="F207" s="78">
        <v>550</v>
      </c>
      <c r="G207" s="76">
        <v>5</v>
      </c>
      <c r="H207" s="77">
        <v>1</v>
      </c>
      <c r="I207" s="77">
        <v>868</v>
      </c>
      <c r="J207" s="79">
        <v>417</v>
      </c>
      <c r="K207" s="13"/>
      <c r="L207" s="13"/>
    </row>
    <row r="208" spans="1:12" x14ac:dyDescent="0.2">
      <c r="A208" s="76">
        <v>126</v>
      </c>
      <c r="B208" s="76">
        <v>1</v>
      </c>
      <c r="C208" s="76" t="s">
        <v>602</v>
      </c>
      <c r="D208" s="76">
        <v>1991</v>
      </c>
      <c r="E208" s="76">
        <v>1994</v>
      </c>
      <c r="F208" s="81">
        <v>338</v>
      </c>
      <c r="G208" s="76">
        <v>5</v>
      </c>
      <c r="H208" s="76">
        <v>1</v>
      </c>
      <c r="I208" s="79" t="s">
        <v>840</v>
      </c>
      <c r="J208" s="79" t="s">
        <v>840</v>
      </c>
      <c r="K208" s="13"/>
      <c r="L208" s="13"/>
    </row>
    <row r="209" spans="1:12" x14ac:dyDescent="0.2">
      <c r="A209" s="76">
        <v>128</v>
      </c>
      <c r="B209" s="76">
        <v>1</v>
      </c>
      <c r="C209" s="76" t="s">
        <v>604</v>
      </c>
      <c r="D209" s="76">
        <v>1995</v>
      </c>
      <c r="E209" s="76">
        <v>1997</v>
      </c>
      <c r="F209" s="81">
        <v>422.03</v>
      </c>
      <c r="G209" s="76">
        <v>5</v>
      </c>
      <c r="H209" s="76">
        <v>1</v>
      </c>
      <c r="I209" s="79">
        <v>256</v>
      </c>
      <c r="J209" s="79">
        <v>54</v>
      </c>
      <c r="K209" s="13"/>
      <c r="L209" s="13"/>
    </row>
    <row r="210" spans="1:12" x14ac:dyDescent="0.2">
      <c r="A210" s="76">
        <v>129</v>
      </c>
      <c r="B210" s="76">
        <v>1</v>
      </c>
      <c r="C210" s="76" t="s">
        <v>105</v>
      </c>
      <c r="D210" s="76">
        <v>1991</v>
      </c>
      <c r="E210" s="76">
        <v>1993</v>
      </c>
      <c r="F210" s="81">
        <v>170</v>
      </c>
      <c r="G210" s="76">
        <v>5</v>
      </c>
      <c r="H210" s="76">
        <v>0</v>
      </c>
      <c r="I210" s="79" t="s">
        <v>840</v>
      </c>
      <c r="J210" s="79" t="s">
        <v>840</v>
      </c>
      <c r="K210" s="13"/>
      <c r="L210" s="13"/>
    </row>
    <row r="211" spans="1:12" x14ac:dyDescent="0.2">
      <c r="A211" s="76">
        <v>129</v>
      </c>
      <c r="B211" s="76">
        <v>1</v>
      </c>
      <c r="C211" s="76" t="s">
        <v>105</v>
      </c>
      <c r="D211" s="76">
        <v>1999</v>
      </c>
      <c r="E211" s="76">
        <v>2000</v>
      </c>
      <c r="F211" s="81">
        <v>415</v>
      </c>
      <c r="G211" s="76">
        <v>10</v>
      </c>
      <c r="H211" s="76">
        <v>1</v>
      </c>
      <c r="I211" s="79">
        <v>832</v>
      </c>
      <c r="J211" s="79">
        <v>775</v>
      </c>
      <c r="K211" s="13"/>
      <c r="L211" s="13"/>
    </row>
    <row r="212" spans="1:12" x14ac:dyDescent="0.2">
      <c r="A212" s="76">
        <v>129</v>
      </c>
      <c r="B212" s="76">
        <v>1</v>
      </c>
      <c r="C212" s="76" t="s">
        <v>105</v>
      </c>
      <c r="D212" s="76">
        <v>2001</v>
      </c>
      <c r="E212" s="76">
        <v>2002</v>
      </c>
      <c r="F212" s="81">
        <v>300</v>
      </c>
      <c r="G212" s="76">
        <v>10</v>
      </c>
      <c r="H212" s="76">
        <v>0</v>
      </c>
      <c r="I212" s="79">
        <v>818</v>
      </c>
      <c r="J212" s="79">
        <v>912</v>
      </c>
      <c r="K212" s="13"/>
      <c r="L212" s="13"/>
    </row>
    <row r="213" spans="1:12" x14ac:dyDescent="0.2">
      <c r="A213" s="76">
        <v>129</v>
      </c>
      <c r="B213" s="76">
        <v>1</v>
      </c>
      <c r="C213" s="76" t="s">
        <v>105</v>
      </c>
      <c r="D213" s="76">
        <v>2002</v>
      </c>
      <c r="E213" s="76">
        <v>2003</v>
      </c>
      <c r="F213" s="81">
        <v>500</v>
      </c>
      <c r="G213" s="76">
        <v>10</v>
      </c>
      <c r="H213" s="76">
        <v>1</v>
      </c>
      <c r="I213" s="79">
        <v>1695</v>
      </c>
      <c r="J213" s="79">
        <v>1448</v>
      </c>
      <c r="K213" s="13"/>
      <c r="L213" s="13"/>
    </row>
    <row r="214" spans="1:12" x14ac:dyDescent="0.2">
      <c r="A214" s="76">
        <v>129</v>
      </c>
      <c r="B214" s="76">
        <v>1</v>
      </c>
      <c r="C214" s="76" t="s">
        <v>105</v>
      </c>
      <c r="D214" s="76">
        <v>2006</v>
      </c>
      <c r="E214" s="78">
        <v>2007</v>
      </c>
      <c r="F214" s="81">
        <v>375</v>
      </c>
      <c r="G214" s="78">
        <v>10</v>
      </c>
      <c r="H214" s="76">
        <v>0</v>
      </c>
      <c r="I214" s="77">
        <v>1456</v>
      </c>
      <c r="J214" s="77">
        <v>1723</v>
      </c>
      <c r="K214" s="13"/>
      <c r="L214" s="13"/>
    </row>
    <row r="215" spans="1:12" x14ac:dyDescent="0.2">
      <c r="A215" s="76">
        <v>138</v>
      </c>
      <c r="B215" s="76">
        <v>1</v>
      </c>
      <c r="C215" s="76" t="s">
        <v>106</v>
      </c>
      <c r="D215" s="76">
        <v>1991</v>
      </c>
      <c r="E215" s="76">
        <v>1993</v>
      </c>
      <c r="F215" s="81">
        <v>305</v>
      </c>
      <c r="G215" s="76">
        <v>5</v>
      </c>
      <c r="H215" s="76">
        <v>0</v>
      </c>
      <c r="I215" s="79" t="s">
        <v>840</v>
      </c>
      <c r="J215" s="79" t="s">
        <v>840</v>
      </c>
      <c r="K215" s="13"/>
      <c r="L215" s="13"/>
    </row>
    <row r="216" spans="1:12" x14ac:dyDescent="0.2">
      <c r="A216" s="76">
        <v>138</v>
      </c>
      <c r="B216" s="76">
        <v>1</v>
      </c>
      <c r="C216" s="76" t="s">
        <v>106</v>
      </c>
      <c r="D216" s="76">
        <v>1993</v>
      </c>
      <c r="E216" s="76">
        <v>1994</v>
      </c>
      <c r="F216" s="81">
        <v>426</v>
      </c>
      <c r="G216" s="76">
        <v>5</v>
      </c>
      <c r="H216" s="76">
        <v>1</v>
      </c>
      <c r="I216" s="79" t="s">
        <v>840</v>
      </c>
      <c r="J216" s="79" t="s">
        <v>840</v>
      </c>
      <c r="K216" s="13"/>
      <c r="L216" s="13"/>
    </row>
    <row r="217" spans="1:12" x14ac:dyDescent="0.2">
      <c r="A217" s="76">
        <v>138</v>
      </c>
      <c r="B217" s="76">
        <v>1</v>
      </c>
      <c r="C217" s="76" t="s">
        <v>106</v>
      </c>
      <c r="D217" s="76">
        <v>1997</v>
      </c>
      <c r="E217" s="76">
        <v>1999</v>
      </c>
      <c r="F217" s="81">
        <v>315</v>
      </c>
      <c r="G217" s="76">
        <v>10</v>
      </c>
      <c r="H217" s="76">
        <v>0</v>
      </c>
      <c r="I217" s="79">
        <v>672</v>
      </c>
      <c r="J217" s="79">
        <v>885</v>
      </c>
      <c r="K217" s="13"/>
      <c r="L217" s="13"/>
    </row>
    <row r="218" spans="1:12" x14ac:dyDescent="0.2">
      <c r="A218" s="76">
        <v>138</v>
      </c>
      <c r="B218" s="76">
        <v>1</v>
      </c>
      <c r="C218" s="76" t="s">
        <v>106</v>
      </c>
      <c r="D218" s="76">
        <v>1998</v>
      </c>
      <c r="E218" s="76">
        <v>1999</v>
      </c>
      <c r="F218" s="81">
        <v>315</v>
      </c>
      <c r="G218" s="76">
        <v>5</v>
      </c>
      <c r="H218" s="76">
        <v>1</v>
      </c>
      <c r="I218" s="79">
        <v>3688</v>
      </c>
      <c r="J218" s="79">
        <v>2911</v>
      </c>
      <c r="K218" s="13"/>
      <c r="L218" s="13"/>
    </row>
    <row r="219" spans="1:12" x14ac:dyDescent="0.2">
      <c r="A219" s="76">
        <v>138</v>
      </c>
      <c r="B219" s="76">
        <v>1</v>
      </c>
      <c r="C219" s="76" t="s">
        <v>106</v>
      </c>
      <c r="D219" s="76">
        <v>2001</v>
      </c>
      <c r="E219" s="76">
        <v>2003</v>
      </c>
      <c r="F219" s="81">
        <v>126</v>
      </c>
      <c r="G219" s="76">
        <v>10</v>
      </c>
      <c r="H219" s="76">
        <v>0</v>
      </c>
      <c r="I219" s="79">
        <v>1984</v>
      </c>
      <c r="J219" s="79">
        <v>2292</v>
      </c>
      <c r="K219" s="13"/>
      <c r="L219" s="13"/>
    </row>
    <row r="220" spans="1:12" x14ac:dyDescent="0.2">
      <c r="A220" s="76">
        <v>138</v>
      </c>
      <c r="B220" s="76">
        <v>1</v>
      </c>
      <c r="C220" s="76" t="s">
        <v>106</v>
      </c>
      <c r="D220" s="76">
        <v>2001</v>
      </c>
      <c r="E220" s="76">
        <v>2002</v>
      </c>
      <c r="F220" s="81">
        <v>439</v>
      </c>
      <c r="G220" s="76">
        <v>5</v>
      </c>
      <c r="H220" s="76">
        <v>0</v>
      </c>
      <c r="I220" s="79">
        <v>1984</v>
      </c>
      <c r="J220" s="79">
        <v>2292</v>
      </c>
      <c r="K220" s="13"/>
      <c r="L220" s="13"/>
    </row>
    <row r="221" spans="1:12" x14ac:dyDescent="0.2">
      <c r="A221" s="76">
        <v>138</v>
      </c>
      <c r="B221" s="76">
        <v>1</v>
      </c>
      <c r="C221" s="76" t="s">
        <v>106</v>
      </c>
      <c r="D221" s="76">
        <v>2002</v>
      </c>
      <c r="E221" s="76">
        <v>2003</v>
      </c>
      <c r="F221" s="81">
        <v>500</v>
      </c>
      <c r="G221" s="76">
        <v>7</v>
      </c>
      <c r="H221" s="76">
        <v>0</v>
      </c>
      <c r="I221" s="79">
        <v>3472</v>
      </c>
      <c r="J221" s="79">
        <v>4301</v>
      </c>
      <c r="K221" s="13"/>
      <c r="L221" s="13"/>
    </row>
    <row r="222" spans="1:12" x14ac:dyDescent="0.2">
      <c r="A222" s="76">
        <v>138</v>
      </c>
      <c r="B222" s="76">
        <v>1</v>
      </c>
      <c r="C222" s="76" t="s">
        <v>106</v>
      </c>
      <c r="D222" s="76">
        <v>2003</v>
      </c>
      <c r="E222" s="76">
        <v>2004</v>
      </c>
      <c r="F222" s="81">
        <v>125</v>
      </c>
      <c r="G222" s="76">
        <v>5</v>
      </c>
      <c r="H222" s="76">
        <v>0</v>
      </c>
      <c r="I222" s="79">
        <v>1628</v>
      </c>
      <c r="J222" s="79">
        <v>2564</v>
      </c>
      <c r="K222" s="13"/>
      <c r="L222" s="13"/>
    </row>
    <row r="223" spans="1:12" x14ac:dyDescent="0.2">
      <c r="A223" s="76">
        <v>138</v>
      </c>
      <c r="B223" s="76">
        <v>1</v>
      </c>
      <c r="C223" s="76" t="s">
        <v>106</v>
      </c>
      <c r="D223" s="76">
        <v>2003</v>
      </c>
      <c r="E223" s="76">
        <v>2004</v>
      </c>
      <c r="F223" s="81">
        <v>550</v>
      </c>
      <c r="G223" s="76">
        <v>5</v>
      </c>
      <c r="H223" s="76">
        <v>0</v>
      </c>
      <c r="I223" s="79">
        <v>1778</v>
      </c>
      <c r="J223" s="79">
        <v>2423</v>
      </c>
      <c r="K223" s="13"/>
      <c r="L223" s="13"/>
    </row>
    <row r="224" spans="1:12" x14ac:dyDescent="0.2">
      <c r="A224" s="76">
        <v>138</v>
      </c>
      <c r="B224" s="76">
        <v>1</v>
      </c>
      <c r="C224" s="76" t="s">
        <v>106</v>
      </c>
      <c r="D224" s="76">
        <v>2004</v>
      </c>
      <c r="E224" s="76">
        <v>2005</v>
      </c>
      <c r="F224" s="81">
        <v>500</v>
      </c>
      <c r="G224" s="76">
        <v>5</v>
      </c>
      <c r="H224" s="76">
        <v>0</v>
      </c>
      <c r="I224" s="79">
        <v>3456</v>
      </c>
      <c r="J224" s="79">
        <v>6483</v>
      </c>
      <c r="K224" s="13"/>
      <c r="L224" s="13"/>
    </row>
    <row r="225" spans="1:12" x14ac:dyDescent="0.2">
      <c r="A225" s="76">
        <v>146</v>
      </c>
      <c r="B225" s="76">
        <v>1</v>
      </c>
      <c r="C225" s="76" t="s">
        <v>108</v>
      </c>
      <c r="D225" s="76">
        <v>1994</v>
      </c>
      <c r="E225" s="76">
        <v>1995</v>
      </c>
      <c r="F225" s="81">
        <v>393.49</v>
      </c>
      <c r="G225" s="76">
        <v>4</v>
      </c>
      <c r="H225" s="76">
        <v>1</v>
      </c>
      <c r="I225" s="79">
        <v>850</v>
      </c>
      <c r="J225" s="79">
        <v>595</v>
      </c>
      <c r="K225" s="13"/>
      <c r="L225" s="13"/>
    </row>
    <row r="226" spans="1:12" x14ac:dyDescent="0.2">
      <c r="A226" s="76">
        <v>146</v>
      </c>
      <c r="B226" s="76">
        <v>1</v>
      </c>
      <c r="C226" s="76" t="s">
        <v>108</v>
      </c>
      <c r="D226" s="76">
        <v>1998</v>
      </c>
      <c r="E226" s="76">
        <v>1999</v>
      </c>
      <c r="F226" s="81">
        <v>350</v>
      </c>
      <c r="G226" s="76">
        <v>5</v>
      </c>
      <c r="H226" s="76">
        <v>1</v>
      </c>
      <c r="I226" s="79">
        <v>804</v>
      </c>
      <c r="J226" s="79">
        <v>676</v>
      </c>
      <c r="K226" s="13"/>
      <c r="L226" s="13"/>
    </row>
    <row r="227" spans="1:12" x14ac:dyDescent="0.2">
      <c r="A227" s="76">
        <v>146</v>
      </c>
      <c r="B227" s="76">
        <v>1</v>
      </c>
      <c r="C227" s="76" t="s">
        <v>108</v>
      </c>
      <c r="D227" s="76">
        <v>2001</v>
      </c>
      <c r="E227" s="76">
        <v>2002</v>
      </c>
      <c r="F227" s="81">
        <v>250</v>
      </c>
      <c r="G227" s="76">
        <v>5</v>
      </c>
      <c r="H227" s="76">
        <v>1</v>
      </c>
      <c r="I227" s="79">
        <v>601</v>
      </c>
      <c r="J227" s="79">
        <v>396</v>
      </c>
      <c r="K227" s="13"/>
      <c r="L227" s="13"/>
    </row>
    <row r="228" spans="1:12" x14ac:dyDescent="0.2">
      <c r="A228" s="76">
        <v>146</v>
      </c>
      <c r="B228" s="76">
        <v>1</v>
      </c>
      <c r="C228" s="76" t="s">
        <v>990</v>
      </c>
      <c r="D228" s="76">
        <v>2005</v>
      </c>
      <c r="E228" s="76">
        <v>2006</v>
      </c>
      <c r="F228" s="81">
        <v>50</v>
      </c>
      <c r="G228" s="76">
        <v>10</v>
      </c>
      <c r="H228" s="78">
        <v>1</v>
      </c>
      <c r="I228" s="77">
        <v>562</v>
      </c>
      <c r="J228" s="77">
        <v>375</v>
      </c>
      <c r="K228" s="13"/>
      <c r="L228" s="13"/>
    </row>
    <row r="229" spans="1:12" x14ac:dyDescent="0.2">
      <c r="A229" s="76">
        <v>146</v>
      </c>
      <c r="B229" s="76">
        <v>1</v>
      </c>
      <c r="C229" s="76" t="s">
        <v>990</v>
      </c>
      <c r="D229" s="76">
        <v>2005</v>
      </c>
      <c r="E229" s="76">
        <v>2006</v>
      </c>
      <c r="F229" s="81">
        <v>100</v>
      </c>
      <c r="G229" s="76">
        <v>10</v>
      </c>
      <c r="H229" s="78">
        <v>1</v>
      </c>
      <c r="I229" s="77">
        <v>632</v>
      </c>
      <c r="J229" s="77">
        <v>252</v>
      </c>
      <c r="K229" s="13"/>
      <c r="L229" s="13"/>
    </row>
    <row r="230" spans="1:12" x14ac:dyDescent="0.2">
      <c r="A230" s="76">
        <v>146</v>
      </c>
      <c r="B230" s="76">
        <v>1</v>
      </c>
      <c r="C230" s="76" t="s">
        <v>990</v>
      </c>
      <c r="D230" s="76">
        <v>2005</v>
      </c>
      <c r="E230" s="76">
        <v>2006</v>
      </c>
      <c r="F230" s="81">
        <v>800</v>
      </c>
      <c r="G230" s="76">
        <v>10</v>
      </c>
      <c r="H230" s="78">
        <v>1</v>
      </c>
      <c r="I230" s="77">
        <v>757</v>
      </c>
      <c r="J230" s="77">
        <v>329</v>
      </c>
      <c r="K230" s="13"/>
      <c r="L230" s="13"/>
    </row>
    <row r="231" spans="1:12" x14ac:dyDescent="0.2">
      <c r="A231" s="76">
        <v>150</v>
      </c>
      <c r="B231" s="76">
        <v>1</v>
      </c>
      <c r="C231" s="76" t="s">
        <v>109</v>
      </c>
      <c r="D231" s="76">
        <v>1993</v>
      </c>
      <c r="E231" s="76">
        <v>1994</v>
      </c>
      <c r="F231" s="81">
        <v>536.66</v>
      </c>
      <c r="G231" s="76">
        <v>5</v>
      </c>
      <c r="H231" s="76">
        <v>1</v>
      </c>
      <c r="I231" s="79" t="s">
        <v>840</v>
      </c>
      <c r="J231" s="79" t="s">
        <v>840</v>
      </c>
      <c r="K231" s="13"/>
      <c r="L231" s="13"/>
    </row>
    <row r="232" spans="1:12" x14ac:dyDescent="0.2">
      <c r="A232" s="76">
        <v>150</v>
      </c>
      <c r="B232" s="76">
        <v>1</v>
      </c>
      <c r="C232" s="76" t="s">
        <v>109</v>
      </c>
      <c r="D232" s="76">
        <v>1998</v>
      </c>
      <c r="E232" s="76">
        <v>1999</v>
      </c>
      <c r="F232" s="81">
        <v>158.97999999999999</v>
      </c>
      <c r="G232" s="76">
        <v>5</v>
      </c>
      <c r="H232" s="76">
        <v>1</v>
      </c>
      <c r="I232" s="79">
        <v>802</v>
      </c>
      <c r="J232" s="79">
        <v>610</v>
      </c>
      <c r="K232" s="13"/>
      <c r="L232" s="13"/>
    </row>
    <row r="233" spans="1:12" x14ac:dyDescent="0.2">
      <c r="A233" s="76">
        <v>150</v>
      </c>
      <c r="B233" s="76">
        <v>1</v>
      </c>
      <c r="C233" s="76" t="s">
        <v>109</v>
      </c>
      <c r="D233" s="76">
        <v>2004</v>
      </c>
      <c r="E233" s="76">
        <v>2005</v>
      </c>
      <c r="F233" s="81">
        <v>500</v>
      </c>
      <c r="G233" s="76">
        <v>10</v>
      </c>
      <c r="H233" s="76">
        <v>1</v>
      </c>
      <c r="I233" s="79">
        <v>1154</v>
      </c>
      <c r="J233" s="79">
        <v>778</v>
      </c>
      <c r="K233" s="13"/>
      <c r="L233" s="13"/>
    </row>
    <row r="234" spans="1:12" x14ac:dyDescent="0.2">
      <c r="A234" s="76">
        <v>152</v>
      </c>
      <c r="B234" s="76">
        <v>1</v>
      </c>
      <c r="C234" s="76" t="s">
        <v>110</v>
      </c>
      <c r="D234" s="76">
        <v>1998</v>
      </c>
      <c r="E234" s="76">
        <v>1999</v>
      </c>
      <c r="F234" s="81">
        <v>290.76</v>
      </c>
      <c r="G234" s="76">
        <v>10</v>
      </c>
      <c r="H234" s="76">
        <v>1</v>
      </c>
      <c r="I234" s="79">
        <v>6336</v>
      </c>
      <c r="J234" s="79">
        <v>4703</v>
      </c>
      <c r="K234" s="13"/>
      <c r="L234" s="13"/>
    </row>
    <row r="235" spans="1:12" x14ac:dyDescent="0.2">
      <c r="A235" s="76">
        <v>162</v>
      </c>
      <c r="B235" s="76">
        <v>1</v>
      </c>
      <c r="C235" s="76" t="s">
        <v>111</v>
      </c>
      <c r="D235" s="76">
        <v>1998</v>
      </c>
      <c r="E235" s="76">
        <v>1999</v>
      </c>
      <c r="F235" s="81">
        <v>315</v>
      </c>
      <c r="G235" s="76">
        <v>10</v>
      </c>
      <c r="H235" s="76">
        <v>0</v>
      </c>
      <c r="I235" s="79">
        <v>669</v>
      </c>
      <c r="J235" s="79">
        <v>1346</v>
      </c>
      <c r="K235" s="13"/>
      <c r="L235" s="13"/>
    </row>
    <row r="236" spans="1:12" x14ac:dyDescent="0.2">
      <c r="A236" s="76">
        <v>166</v>
      </c>
      <c r="B236" s="76">
        <v>1</v>
      </c>
      <c r="C236" s="76" t="s">
        <v>112</v>
      </c>
      <c r="D236" s="76">
        <v>2001</v>
      </c>
      <c r="E236" s="76">
        <v>2002</v>
      </c>
      <c r="F236" s="81">
        <v>340</v>
      </c>
      <c r="G236" s="76">
        <v>10</v>
      </c>
      <c r="H236" s="76">
        <v>0</v>
      </c>
      <c r="I236" s="79">
        <v>952</v>
      </c>
      <c r="J236" s="79">
        <v>1253</v>
      </c>
      <c r="K236" s="13"/>
      <c r="L236" s="13"/>
    </row>
    <row r="237" spans="1:12" x14ac:dyDescent="0.2">
      <c r="A237" s="76">
        <v>166</v>
      </c>
      <c r="B237" s="76">
        <v>1</v>
      </c>
      <c r="C237" s="76" t="s">
        <v>112</v>
      </c>
      <c r="D237" s="76">
        <v>2002</v>
      </c>
      <c r="E237" s="76">
        <v>2003</v>
      </c>
      <c r="F237" s="81">
        <v>350</v>
      </c>
      <c r="G237" s="76">
        <v>4</v>
      </c>
      <c r="H237" s="76">
        <v>1</v>
      </c>
      <c r="I237" s="79">
        <v>1652</v>
      </c>
      <c r="J237" s="79">
        <v>1114</v>
      </c>
      <c r="K237" s="13"/>
      <c r="L237" s="13"/>
    </row>
    <row r="238" spans="1:12" x14ac:dyDescent="0.2">
      <c r="A238" s="76">
        <v>173</v>
      </c>
      <c r="B238" s="76">
        <v>1</v>
      </c>
      <c r="C238" s="76" t="s">
        <v>113</v>
      </c>
      <c r="D238" s="76">
        <v>1994</v>
      </c>
      <c r="E238" s="76">
        <v>1995</v>
      </c>
      <c r="F238" s="81">
        <v>520.20000000000005</v>
      </c>
      <c r="G238" s="76">
        <v>10</v>
      </c>
      <c r="H238" s="76">
        <v>0</v>
      </c>
      <c r="I238" s="79">
        <v>612</v>
      </c>
      <c r="J238" s="79">
        <v>662</v>
      </c>
      <c r="K238" s="13"/>
      <c r="L238" s="13"/>
    </row>
    <row r="239" spans="1:12" x14ac:dyDescent="0.2">
      <c r="A239" s="76">
        <v>173</v>
      </c>
      <c r="B239" s="76">
        <v>1</v>
      </c>
      <c r="C239" s="76" t="s">
        <v>113</v>
      </c>
      <c r="D239" s="76">
        <v>1995</v>
      </c>
      <c r="E239" s="76">
        <v>1996</v>
      </c>
      <c r="F239" s="81">
        <v>520.20000000000005</v>
      </c>
      <c r="G239" s="76">
        <v>10</v>
      </c>
      <c r="H239" s="76">
        <v>1</v>
      </c>
      <c r="I239" s="79">
        <v>900</v>
      </c>
      <c r="J239" s="79">
        <v>454</v>
      </c>
      <c r="K239" s="13"/>
      <c r="L239" s="13"/>
    </row>
    <row r="240" spans="1:12" x14ac:dyDescent="0.2">
      <c r="A240" s="76">
        <v>173</v>
      </c>
      <c r="B240" s="76">
        <v>1</v>
      </c>
      <c r="C240" s="76" t="s">
        <v>113</v>
      </c>
      <c r="D240" s="76">
        <v>2001</v>
      </c>
      <c r="E240" s="76">
        <v>2002</v>
      </c>
      <c r="F240" s="81">
        <v>610</v>
      </c>
      <c r="G240" s="76">
        <v>10</v>
      </c>
      <c r="H240" s="76">
        <v>1</v>
      </c>
      <c r="I240" s="79">
        <v>503</v>
      </c>
      <c r="J240" s="79">
        <v>163</v>
      </c>
      <c r="K240" s="13"/>
      <c r="L240" s="13"/>
    </row>
    <row r="241" spans="1:12" x14ac:dyDescent="0.2">
      <c r="A241" s="76">
        <v>173</v>
      </c>
      <c r="B241" s="76">
        <v>1</v>
      </c>
      <c r="C241" s="76" t="s">
        <v>113</v>
      </c>
      <c r="D241" s="76">
        <v>2006</v>
      </c>
      <c r="E241" s="78">
        <v>2007</v>
      </c>
      <c r="F241" s="81">
        <v>583.26</v>
      </c>
      <c r="G241" s="78">
        <v>10</v>
      </c>
      <c r="H241" s="76">
        <v>0</v>
      </c>
      <c r="I241" s="77">
        <v>505</v>
      </c>
      <c r="J241" s="77">
        <v>725</v>
      </c>
      <c r="K241" s="13"/>
      <c r="L241" s="13"/>
    </row>
    <row r="242" spans="1:12" x14ac:dyDescent="0.2">
      <c r="A242" s="76">
        <v>173</v>
      </c>
      <c r="B242" s="76">
        <v>1</v>
      </c>
      <c r="C242" s="76" t="s">
        <v>113</v>
      </c>
      <c r="D242" s="82">
        <v>2007</v>
      </c>
      <c r="E242" s="83">
        <v>2008</v>
      </c>
      <c r="F242" s="78">
        <v>859.26</v>
      </c>
      <c r="G242" s="76">
        <v>10</v>
      </c>
      <c r="H242" s="77">
        <v>1</v>
      </c>
      <c r="I242" s="77">
        <v>603</v>
      </c>
      <c r="J242" s="79">
        <v>233</v>
      </c>
      <c r="K242" s="13"/>
      <c r="L242" s="13"/>
    </row>
    <row r="243" spans="1:12" x14ac:dyDescent="0.2">
      <c r="A243" s="76">
        <v>177</v>
      </c>
      <c r="B243" s="76">
        <v>1</v>
      </c>
      <c r="C243" s="76" t="s">
        <v>114</v>
      </c>
      <c r="D243" s="76">
        <v>1994</v>
      </c>
      <c r="E243" s="76">
        <v>1995</v>
      </c>
      <c r="F243" s="81">
        <v>350.41</v>
      </c>
      <c r="G243" s="76">
        <v>10</v>
      </c>
      <c r="H243" s="76">
        <v>1</v>
      </c>
      <c r="I243" s="79">
        <v>1403</v>
      </c>
      <c r="J243" s="79">
        <v>1283</v>
      </c>
      <c r="K243" s="13"/>
      <c r="L243" s="13"/>
    </row>
    <row r="244" spans="1:12" x14ac:dyDescent="0.2">
      <c r="A244" s="76">
        <v>177</v>
      </c>
      <c r="B244" s="76">
        <v>1</v>
      </c>
      <c r="C244" s="76" t="s">
        <v>114</v>
      </c>
      <c r="D244" s="76">
        <v>2001</v>
      </c>
      <c r="E244" s="76">
        <v>2002</v>
      </c>
      <c r="F244" s="81">
        <v>415</v>
      </c>
      <c r="G244" s="76">
        <v>10</v>
      </c>
      <c r="H244" s="76">
        <v>1</v>
      </c>
      <c r="I244" s="79">
        <v>1079</v>
      </c>
      <c r="J244" s="79">
        <v>829</v>
      </c>
      <c r="K244" s="13"/>
      <c r="L244" s="13"/>
    </row>
    <row r="245" spans="1:12" x14ac:dyDescent="0.2">
      <c r="A245" s="76">
        <v>177</v>
      </c>
      <c r="B245" s="76">
        <v>1</v>
      </c>
      <c r="C245" s="76" t="s">
        <v>114</v>
      </c>
      <c r="D245" s="76">
        <v>2004</v>
      </c>
      <c r="E245" s="76">
        <v>2005</v>
      </c>
      <c r="F245" s="81">
        <v>440.25</v>
      </c>
      <c r="G245" s="76">
        <v>10</v>
      </c>
      <c r="H245" s="76">
        <v>0</v>
      </c>
      <c r="I245" s="79">
        <v>1449</v>
      </c>
      <c r="J245" s="79">
        <v>1846</v>
      </c>
      <c r="K245" s="13"/>
      <c r="L245" s="13"/>
    </row>
    <row r="246" spans="1:12" x14ac:dyDescent="0.2">
      <c r="A246" s="76">
        <v>177</v>
      </c>
      <c r="B246" s="76">
        <v>1</v>
      </c>
      <c r="C246" s="76" t="s">
        <v>114</v>
      </c>
      <c r="D246" s="82">
        <v>2007</v>
      </c>
      <c r="E246" s="83">
        <v>2008</v>
      </c>
      <c r="F246" s="78">
        <v>915.37</v>
      </c>
      <c r="G246" s="76">
        <v>7</v>
      </c>
      <c r="H246" s="77">
        <v>1</v>
      </c>
      <c r="I246" s="77">
        <v>1146</v>
      </c>
      <c r="J246" s="79">
        <v>979</v>
      </c>
      <c r="K246" s="13"/>
      <c r="L246" s="13"/>
    </row>
    <row r="247" spans="1:12" x14ac:dyDescent="0.2">
      <c r="A247" s="76">
        <v>181</v>
      </c>
      <c r="B247" s="76">
        <v>1</v>
      </c>
      <c r="C247" s="76" t="s">
        <v>115</v>
      </c>
      <c r="D247" s="76">
        <v>1997</v>
      </c>
      <c r="E247" s="76">
        <v>1998</v>
      </c>
      <c r="F247" s="81">
        <v>315</v>
      </c>
      <c r="G247" s="76">
        <v>10</v>
      </c>
      <c r="H247" s="76">
        <v>1</v>
      </c>
      <c r="I247" s="79">
        <v>2816</v>
      </c>
      <c r="J247" s="79">
        <v>2626</v>
      </c>
      <c r="K247" s="13"/>
      <c r="L247" s="13"/>
    </row>
    <row r="248" spans="1:12" x14ac:dyDescent="0.2">
      <c r="A248" s="76">
        <v>181</v>
      </c>
      <c r="B248" s="76">
        <v>1</v>
      </c>
      <c r="C248" s="76" t="s">
        <v>115</v>
      </c>
      <c r="D248" s="76">
        <v>2001</v>
      </c>
      <c r="E248" s="76">
        <v>2002</v>
      </c>
      <c r="F248" s="81">
        <v>195</v>
      </c>
      <c r="G248" s="76">
        <v>10</v>
      </c>
      <c r="H248" s="76">
        <v>1</v>
      </c>
      <c r="I248" s="79">
        <v>3859</v>
      </c>
      <c r="J248" s="79">
        <v>3123</v>
      </c>
      <c r="K248" s="13"/>
      <c r="L248" s="13"/>
    </row>
    <row r="249" spans="1:12" x14ac:dyDescent="0.2">
      <c r="A249" s="76">
        <v>181</v>
      </c>
      <c r="B249" s="76">
        <v>1</v>
      </c>
      <c r="C249" s="76" t="s">
        <v>115</v>
      </c>
      <c r="D249" s="82">
        <v>2007</v>
      </c>
      <c r="E249" s="83">
        <v>2008</v>
      </c>
      <c r="F249" s="78">
        <v>786.76</v>
      </c>
      <c r="G249" s="76">
        <v>10</v>
      </c>
      <c r="H249" s="77">
        <v>0</v>
      </c>
      <c r="I249" s="77">
        <v>5427</v>
      </c>
      <c r="J249" s="79">
        <v>8749</v>
      </c>
      <c r="K249" s="13"/>
      <c r="L249" s="13"/>
    </row>
    <row r="250" spans="1:12" x14ac:dyDescent="0.2">
      <c r="A250" s="76">
        <v>182</v>
      </c>
      <c r="B250" s="76">
        <v>1</v>
      </c>
      <c r="C250" s="76" t="s">
        <v>116</v>
      </c>
      <c r="D250" s="76">
        <v>1999</v>
      </c>
      <c r="E250" s="76">
        <v>2000</v>
      </c>
      <c r="F250" s="81">
        <v>276.76</v>
      </c>
      <c r="G250" s="76">
        <v>5</v>
      </c>
      <c r="H250" s="76">
        <v>0</v>
      </c>
      <c r="I250" s="79">
        <v>645</v>
      </c>
      <c r="J250" s="79">
        <v>1237</v>
      </c>
      <c r="K250" s="13"/>
      <c r="L250" s="13"/>
    </row>
    <row r="251" spans="1:12" x14ac:dyDescent="0.2">
      <c r="A251" s="76">
        <v>182</v>
      </c>
      <c r="B251" s="76">
        <v>1</v>
      </c>
      <c r="C251" s="76" t="s">
        <v>116</v>
      </c>
      <c r="D251" s="76">
        <v>2000</v>
      </c>
      <c r="E251" s="76">
        <v>2001</v>
      </c>
      <c r="F251" s="81">
        <v>318.26</v>
      </c>
      <c r="G251" s="76">
        <v>10</v>
      </c>
      <c r="H251" s="76">
        <v>0</v>
      </c>
      <c r="I251" s="79">
        <v>2403</v>
      </c>
      <c r="J251" s="79">
        <v>2687</v>
      </c>
      <c r="K251" s="13"/>
      <c r="L251" s="13"/>
    </row>
    <row r="252" spans="1:12" x14ac:dyDescent="0.2">
      <c r="A252" s="76">
        <v>182</v>
      </c>
      <c r="B252" s="76">
        <v>1</v>
      </c>
      <c r="C252" s="76" t="s">
        <v>116</v>
      </c>
      <c r="D252" s="76">
        <v>2001</v>
      </c>
      <c r="E252" s="76">
        <v>2002</v>
      </c>
      <c r="F252" s="81">
        <v>1</v>
      </c>
      <c r="G252" s="76">
        <v>10</v>
      </c>
      <c r="H252" s="76">
        <v>1</v>
      </c>
      <c r="I252" s="79">
        <v>1853</v>
      </c>
      <c r="J252" s="79">
        <v>582</v>
      </c>
      <c r="K252" s="13"/>
      <c r="L252" s="13"/>
    </row>
    <row r="253" spans="1:12" x14ac:dyDescent="0.2">
      <c r="A253" s="76">
        <v>182</v>
      </c>
      <c r="B253" s="76">
        <v>1</v>
      </c>
      <c r="C253" s="76" t="s">
        <v>844</v>
      </c>
      <c r="D253" s="76">
        <v>2003</v>
      </c>
      <c r="E253" s="76">
        <v>2004</v>
      </c>
      <c r="F253" s="81">
        <v>100</v>
      </c>
      <c r="G253" s="76">
        <v>10</v>
      </c>
      <c r="H253" s="76">
        <v>0</v>
      </c>
      <c r="I253" s="79">
        <v>1333</v>
      </c>
      <c r="J253" s="79">
        <v>1503</v>
      </c>
      <c r="K253" s="13"/>
      <c r="L253" s="13"/>
    </row>
    <row r="254" spans="1:12" x14ac:dyDescent="0.2">
      <c r="A254" s="76">
        <v>182</v>
      </c>
      <c r="B254" s="76">
        <v>1</v>
      </c>
      <c r="C254" s="76" t="s">
        <v>844</v>
      </c>
      <c r="D254" s="76">
        <v>2003</v>
      </c>
      <c r="E254" s="76">
        <v>2004</v>
      </c>
      <c r="F254" s="81">
        <v>100</v>
      </c>
      <c r="G254" s="76">
        <v>10</v>
      </c>
      <c r="H254" s="76">
        <v>0</v>
      </c>
      <c r="I254" s="79">
        <v>1329</v>
      </c>
      <c r="J254" s="79">
        <v>1506</v>
      </c>
      <c r="K254" s="13"/>
      <c r="L254" s="13"/>
    </row>
    <row r="255" spans="1:12" x14ac:dyDescent="0.2">
      <c r="A255" s="76">
        <v>182</v>
      </c>
      <c r="B255" s="76">
        <v>1</v>
      </c>
      <c r="C255" s="76" t="s">
        <v>844</v>
      </c>
      <c r="D255" s="76">
        <v>2003</v>
      </c>
      <c r="E255" s="76">
        <v>2004</v>
      </c>
      <c r="F255" s="81">
        <v>404</v>
      </c>
      <c r="G255" s="76">
        <v>10</v>
      </c>
      <c r="H255" s="76">
        <v>1</v>
      </c>
      <c r="I255" s="79">
        <v>1432</v>
      </c>
      <c r="J255" s="79">
        <v>1417</v>
      </c>
      <c r="K255" s="13"/>
      <c r="L255" s="13"/>
    </row>
    <row r="256" spans="1:12" x14ac:dyDescent="0.2">
      <c r="A256" s="76">
        <v>182</v>
      </c>
      <c r="B256" s="76">
        <v>1</v>
      </c>
      <c r="C256" s="76" t="s">
        <v>116</v>
      </c>
      <c r="D256" s="82">
        <v>2007</v>
      </c>
      <c r="E256" s="83">
        <v>2008</v>
      </c>
      <c r="F256" s="78">
        <v>100</v>
      </c>
      <c r="G256" s="76">
        <v>10</v>
      </c>
      <c r="H256" s="77">
        <v>0</v>
      </c>
      <c r="I256" s="77">
        <v>1602</v>
      </c>
      <c r="J256" s="79">
        <v>2466</v>
      </c>
      <c r="K256" s="13"/>
      <c r="L256" s="13"/>
    </row>
    <row r="257" spans="1:12" x14ac:dyDescent="0.2">
      <c r="A257" s="76">
        <v>182</v>
      </c>
      <c r="B257" s="76">
        <v>1</v>
      </c>
      <c r="C257" s="76" t="s">
        <v>116</v>
      </c>
      <c r="D257" s="82">
        <v>2007</v>
      </c>
      <c r="E257" s="83">
        <v>2008</v>
      </c>
      <c r="F257" s="78">
        <v>495</v>
      </c>
      <c r="G257" s="76">
        <v>10</v>
      </c>
      <c r="H257" s="77">
        <v>0</v>
      </c>
      <c r="I257" s="77">
        <v>1757</v>
      </c>
      <c r="J257" s="79">
        <v>2339</v>
      </c>
      <c r="K257" s="13"/>
      <c r="L257" s="13"/>
    </row>
    <row r="258" spans="1:12" x14ac:dyDescent="0.2">
      <c r="A258">
        <v>182</v>
      </c>
      <c r="B258">
        <v>1</v>
      </c>
      <c r="C258" t="s">
        <v>116</v>
      </c>
      <c r="D258">
        <v>2008</v>
      </c>
      <c r="E258" s="5">
        <v>2009</v>
      </c>
      <c r="F258" s="6">
        <v>595</v>
      </c>
      <c r="G258" s="5">
        <v>10</v>
      </c>
      <c r="H258" s="33">
        <v>0</v>
      </c>
      <c r="I258" s="33">
        <v>2459</v>
      </c>
      <c r="J258" s="33">
        <v>3596</v>
      </c>
      <c r="K258" s="13"/>
      <c r="L258" s="13"/>
    </row>
    <row r="259" spans="1:12" x14ac:dyDescent="0.2">
      <c r="A259">
        <v>182</v>
      </c>
      <c r="B259">
        <v>1</v>
      </c>
      <c r="C259" t="s">
        <v>116</v>
      </c>
      <c r="D259">
        <v>2008</v>
      </c>
      <c r="E259" s="5">
        <v>2009</v>
      </c>
      <c r="F259" s="6">
        <v>100</v>
      </c>
      <c r="G259" s="5">
        <v>10</v>
      </c>
      <c r="H259" s="33">
        <v>0</v>
      </c>
      <c r="I259" s="33">
        <v>2271</v>
      </c>
      <c r="J259" s="33">
        <v>3748</v>
      </c>
      <c r="K259" s="13"/>
      <c r="L259" s="13"/>
    </row>
    <row r="260" spans="1:12" x14ac:dyDescent="0.2">
      <c r="A260" s="76">
        <v>186</v>
      </c>
      <c r="B260" s="76">
        <v>1</v>
      </c>
      <c r="C260" s="76" t="s">
        <v>117</v>
      </c>
      <c r="D260" s="76">
        <v>2002</v>
      </c>
      <c r="E260" s="76">
        <v>2003</v>
      </c>
      <c r="F260" s="81">
        <v>1</v>
      </c>
      <c r="G260" s="76">
        <v>10</v>
      </c>
      <c r="H260" s="76">
        <v>1</v>
      </c>
      <c r="I260" s="79">
        <v>2293</v>
      </c>
      <c r="J260" s="79">
        <v>1741</v>
      </c>
      <c r="K260" s="13"/>
      <c r="L260" s="13"/>
    </row>
    <row r="261" spans="1:12" x14ac:dyDescent="0.2">
      <c r="A261" s="76">
        <v>186</v>
      </c>
      <c r="B261" s="76">
        <v>1</v>
      </c>
      <c r="C261" s="76" t="s">
        <v>117</v>
      </c>
      <c r="D261" s="76">
        <v>2004</v>
      </c>
      <c r="E261" s="76">
        <v>2005</v>
      </c>
      <c r="F261" s="81">
        <v>160.27000000000001</v>
      </c>
      <c r="G261" s="76">
        <v>10</v>
      </c>
      <c r="H261" s="76">
        <v>0</v>
      </c>
      <c r="I261" s="79">
        <v>1589</v>
      </c>
      <c r="J261" s="79">
        <v>3746</v>
      </c>
      <c r="K261" s="13"/>
      <c r="L261" s="13"/>
    </row>
    <row r="262" spans="1:12" x14ac:dyDescent="0.2">
      <c r="A262" s="76">
        <v>186</v>
      </c>
      <c r="B262" s="76">
        <v>1</v>
      </c>
      <c r="C262" s="76" t="s">
        <v>117</v>
      </c>
      <c r="D262" s="76">
        <v>2004</v>
      </c>
      <c r="E262" s="76">
        <v>2005</v>
      </c>
      <c r="F262" s="81">
        <v>200</v>
      </c>
      <c r="G262" s="76">
        <v>10</v>
      </c>
      <c r="H262" s="76">
        <v>0</v>
      </c>
      <c r="I262" s="79">
        <v>1629</v>
      </c>
      <c r="J262" s="79">
        <v>3683</v>
      </c>
      <c r="K262" s="13"/>
      <c r="L262" s="13"/>
    </row>
    <row r="263" spans="1:12" x14ac:dyDescent="0.2">
      <c r="A263" s="76">
        <v>186</v>
      </c>
      <c r="B263" s="76">
        <v>1</v>
      </c>
      <c r="C263" s="76" t="s">
        <v>117</v>
      </c>
      <c r="D263" s="76">
        <v>2004</v>
      </c>
      <c r="E263" s="76">
        <v>2005</v>
      </c>
      <c r="F263" s="81">
        <v>528.07000000000005</v>
      </c>
      <c r="G263" s="76">
        <v>10</v>
      </c>
      <c r="H263" s="76">
        <v>0</v>
      </c>
      <c r="I263" s="79">
        <v>1958</v>
      </c>
      <c r="J263" s="79">
        <v>3603</v>
      </c>
      <c r="K263" s="13"/>
      <c r="L263" s="13"/>
    </row>
    <row r="264" spans="1:12" x14ac:dyDescent="0.2">
      <c r="A264" s="76">
        <v>191</v>
      </c>
      <c r="B264" s="76">
        <v>1</v>
      </c>
      <c r="C264" s="76" t="s">
        <v>118</v>
      </c>
      <c r="D264" s="76">
        <v>1991</v>
      </c>
      <c r="E264" s="76">
        <v>1993</v>
      </c>
      <c r="F264" s="81">
        <v>276.44</v>
      </c>
      <c r="G264" s="76">
        <v>5</v>
      </c>
      <c r="H264" s="76">
        <v>1</v>
      </c>
      <c r="I264" s="79" t="s">
        <v>840</v>
      </c>
      <c r="J264" s="79" t="s">
        <v>840</v>
      </c>
      <c r="K264" s="13"/>
      <c r="L264" s="13"/>
    </row>
    <row r="265" spans="1:12" x14ac:dyDescent="0.2">
      <c r="A265" s="76">
        <v>191</v>
      </c>
      <c r="B265" s="76">
        <v>1</v>
      </c>
      <c r="C265" s="76" t="s">
        <v>118</v>
      </c>
      <c r="D265" s="76">
        <v>1997</v>
      </c>
      <c r="E265" s="76">
        <v>1998</v>
      </c>
      <c r="F265" s="81">
        <v>276.44</v>
      </c>
      <c r="G265" s="76">
        <v>8</v>
      </c>
      <c r="H265" s="76">
        <v>1</v>
      </c>
      <c r="I265" s="79">
        <v>3132</v>
      </c>
      <c r="J265" s="79">
        <v>2728</v>
      </c>
      <c r="K265" s="13"/>
      <c r="L265" s="13"/>
    </row>
    <row r="266" spans="1:12" x14ac:dyDescent="0.2">
      <c r="A266" s="76">
        <v>191</v>
      </c>
      <c r="B266" s="76">
        <v>1</v>
      </c>
      <c r="C266" s="76" t="s">
        <v>118</v>
      </c>
      <c r="D266" s="76">
        <v>2001</v>
      </c>
      <c r="E266" s="76">
        <v>2002</v>
      </c>
      <c r="F266" s="81">
        <v>837.38</v>
      </c>
      <c r="G266" s="76">
        <v>10</v>
      </c>
      <c r="H266" s="76">
        <v>0</v>
      </c>
      <c r="I266" s="79">
        <v>4607</v>
      </c>
      <c r="J266" s="79">
        <v>5096</v>
      </c>
      <c r="K266" s="13"/>
      <c r="L266" s="13"/>
    </row>
    <row r="267" spans="1:12" x14ac:dyDescent="0.2">
      <c r="A267" s="76">
        <v>191</v>
      </c>
      <c r="B267" s="76">
        <v>1</v>
      </c>
      <c r="C267" s="76" t="s">
        <v>118</v>
      </c>
      <c r="D267" s="76">
        <v>2002</v>
      </c>
      <c r="E267" s="76">
        <v>2003</v>
      </c>
      <c r="F267" s="81">
        <v>837.38</v>
      </c>
      <c r="G267" s="76">
        <v>10</v>
      </c>
      <c r="H267" s="76">
        <v>1</v>
      </c>
      <c r="I267" s="79">
        <v>13625</v>
      </c>
      <c r="J267" s="79">
        <v>12230</v>
      </c>
      <c r="K267" s="13"/>
      <c r="L267" s="13"/>
    </row>
    <row r="268" spans="1:12" x14ac:dyDescent="0.2">
      <c r="A268" s="76">
        <v>191</v>
      </c>
      <c r="B268" s="76">
        <v>1</v>
      </c>
      <c r="C268" s="76" t="s">
        <v>118</v>
      </c>
      <c r="D268" s="76">
        <v>2006</v>
      </c>
      <c r="E268" s="78">
        <v>2007</v>
      </c>
      <c r="F268" s="81">
        <v>588.07000000000005</v>
      </c>
      <c r="G268" s="78">
        <v>10</v>
      </c>
      <c r="H268" s="76">
        <v>0</v>
      </c>
      <c r="I268" s="77">
        <v>10992</v>
      </c>
      <c r="J268" s="77">
        <v>13882</v>
      </c>
      <c r="K268" s="13"/>
      <c r="L268" s="13"/>
    </row>
    <row r="269" spans="1:12" x14ac:dyDescent="0.2">
      <c r="A269" s="76">
        <v>191</v>
      </c>
      <c r="B269" s="76">
        <v>1</v>
      </c>
      <c r="C269" s="76" t="s">
        <v>118</v>
      </c>
      <c r="D269" s="82">
        <v>2007</v>
      </c>
      <c r="E269" s="83">
        <v>2008</v>
      </c>
      <c r="F269" s="78">
        <v>630.52</v>
      </c>
      <c r="G269" s="76">
        <v>10</v>
      </c>
      <c r="H269" s="77">
        <v>1</v>
      </c>
      <c r="I269" s="77">
        <v>6183</v>
      </c>
      <c r="J269" s="79">
        <v>5853</v>
      </c>
      <c r="K269" s="13"/>
      <c r="L269" s="13"/>
    </row>
    <row r="270" spans="1:12" x14ac:dyDescent="0.2">
      <c r="A270" s="76">
        <v>192</v>
      </c>
      <c r="B270" s="76">
        <v>1</v>
      </c>
      <c r="C270" s="76" t="s">
        <v>119</v>
      </c>
      <c r="D270" s="76">
        <v>1993</v>
      </c>
      <c r="E270" s="76">
        <v>1994</v>
      </c>
      <c r="F270" s="81">
        <v>175</v>
      </c>
      <c r="G270" s="76">
        <v>5</v>
      </c>
      <c r="H270" s="76">
        <v>1</v>
      </c>
      <c r="I270" s="79" t="s">
        <v>840</v>
      </c>
      <c r="J270" s="79" t="s">
        <v>840</v>
      </c>
      <c r="K270" s="13"/>
      <c r="L270" s="13"/>
    </row>
    <row r="271" spans="1:12" x14ac:dyDescent="0.2">
      <c r="A271" s="76">
        <v>192</v>
      </c>
      <c r="B271" s="76">
        <v>1</v>
      </c>
      <c r="C271" s="76" t="s">
        <v>119</v>
      </c>
      <c r="D271" s="76">
        <v>1995</v>
      </c>
      <c r="E271" s="76">
        <v>1996</v>
      </c>
      <c r="F271" s="81">
        <v>244</v>
      </c>
      <c r="G271" s="76">
        <v>10</v>
      </c>
      <c r="H271" s="76">
        <v>1</v>
      </c>
      <c r="I271" s="79">
        <v>1626</v>
      </c>
      <c r="J271" s="79">
        <v>680</v>
      </c>
      <c r="K271" s="13"/>
      <c r="L271" s="13"/>
    </row>
    <row r="272" spans="1:12" x14ac:dyDescent="0.2">
      <c r="A272" s="76">
        <v>192</v>
      </c>
      <c r="B272" s="76">
        <v>1</v>
      </c>
      <c r="C272" s="76" t="s">
        <v>119</v>
      </c>
      <c r="D272" s="76">
        <v>1998</v>
      </c>
      <c r="E272" s="76">
        <v>1999</v>
      </c>
      <c r="F272" s="81">
        <v>85</v>
      </c>
      <c r="G272" s="76">
        <v>10</v>
      </c>
      <c r="H272" s="76">
        <v>0</v>
      </c>
      <c r="I272" s="79">
        <v>2849</v>
      </c>
      <c r="J272" s="79">
        <v>3955</v>
      </c>
      <c r="K272" s="13"/>
      <c r="L272" s="13"/>
    </row>
    <row r="273" spans="1:12" x14ac:dyDescent="0.2">
      <c r="A273" s="76">
        <v>192</v>
      </c>
      <c r="B273" s="76">
        <v>1</v>
      </c>
      <c r="C273" s="76" t="s">
        <v>119</v>
      </c>
      <c r="D273" s="76">
        <v>1998</v>
      </c>
      <c r="E273" s="76">
        <v>1999</v>
      </c>
      <c r="F273" s="81">
        <v>175</v>
      </c>
      <c r="G273" s="76">
        <v>10</v>
      </c>
      <c r="H273" s="76">
        <v>1</v>
      </c>
      <c r="I273" s="79">
        <v>3483</v>
      </c>
      <c r="J273" s="79">
        <v>3414</v>
      </c>
      <c r="K273" s="13"/>
      <c r="L273" s="13"/>
    </row>
    <row r="274" spans="1:12" x14ac:dyDescent="0.2">
      <c r="A274" s="76">
        <v>192</v>
      </c>
      <c r="B274" s="76">
        <v>1</v>
      </c>
      <c r="C274" s="76" t="s">
        <v>119</v>
      </c>
      <c r="D274" s="76">
        <v>2000</v>
      </c>
      <c r="E274" s="76">
        <v>2001</v>
      </c>
      <c r="F274" s="81">
        <v>150</v>
      </c>
      <c r="G274" s="76">
        <v>10</v>
      </c>
      <c r="H274" s="76">
        <v>1</v>
      </c>
      <c r="I274" s="79">
        <v>4919</v>
      </c>
      <c r="J274" s="79">
        <v>4556</v>
      </c>
      <c r="K274" s="13"/>
      <c r="L274" s="13"/>
    </row>
    <row r="275" spans="1:12" x14ac:dyDescent="0.2">
      <c r="A275" s="76">
        <v>192</v>
      </c>
      <c r="B275" s="76">
        <v>1</v>
      </c>
      <c r="C275" s="76" t="s">
        <v>119</v>
      </c>
      <c r="D275" s="76">
        <v>2002</v>
      </c>
      <c r="E275" s="76">
        <v>2003</v>
      </c>
      <c r="F275" s="81">
        <v>250</v>
      </c>
      <c r="G275" s="76">
        <v>10</v>
      </c>
      <c r="H275" s="76">
        <v>0</v>
      </c>
      <c r="I275" s="79">
        <v>4458</v>
      </c>
      <c r="J275" s="79">
        <v>4875</v>
      </c>
      <c r="K275" s="13"/>
      <c r="L275" s="13"/>
    </row>
    <row r="276" spans="1:12" x14ac:dyDescent="0.2">
      <c r="A276" s="76">
        <v>192</v>
      </c>
      <c r="B276" s="76">
        <v>1</v>
      </c>
      <c r="C276" s="76" t="s">
        <v>119</v>
      </c>
      <c r="D276" s="76">
        <v>2003</v>
      </c>
      <c r="E276" s="76">
        <v>2004</v>
      </c>
      <c r="F276" s="81">
        <v>688.52</v>
      </c>
      <c r="G276" s="76">
        <v>10</v>
      </c>
      <c r="H276" s="76">
        <v>0</v>
      </c>
      <c r="I276" s="79">
        <v>1928</v>
      </c>
      <c r="J276" s="79">
        <v>2164</v>
      </c>
      <c r="K276" s="13"/>
      <c r="L276" s="13"/>
    </row>
    <row r="277" spans="1:12" x14ac:dyDescent="0.2">
      <c r="A277" s="76">
        <v>192</v>
      </c>
      <c r="B277" s="76">
        <v>1</v>
      </c>
      <c r="C277" s="76" t="s">
        <v>119</v>
      </c>
      <c r="D277" s="82">
        <v>2007</v>
      </c>
      <c r="E277" s="83">
        <v>2008</v>
      </c>
      <c r="F277" s="78">
        <v>200</v>
      </c>
      <c r="G277" s="76">
        <v>10</v>
      </c>
      <c r="H277" s="77">
        <v>0</v>
      </c>
      <c r="I277" s="77">
        <v>2225</v>
      </c>
      <c r="J277" s="79">
        <v>3367</v>
      </c>
      <c r="K277" s="13"/>
      <c r="L277" s="13"/>
    </row>
    <row r="278" spans="1:12" x14ac:dyDescent="0.2">
      <c r="A278" s="76">
        <v>192</v>
      </c>
      <c r="B278" s="76">
        <v>1</v>
      </c>
      <c r="C278" s="76" t="s">
        <v>119</v>
      </c>
      <c r="D278" s="82">
        <v>2007</v>
      </c>
      <c r="E278" s="83">
        <v>2008</v>
      </c>
      <c r="F278" s="78">
        <v>420.01</v>
      </c>
      <c r="G278" s="76">
        <v>10</v>
      </c>
      <c r="H278" s="77">
        <v>1</v>
      </c>
      <c r="I278" s="77">
        <v>2803</v>
      </c>
      <c r="J278" s="79">
        <v>2791</v>
      </c>
      <c r="K278" s="13"/>
      <c r="L278" s="13"/>
    </row>
    <row r="279" spans="1:12" x14ac:dyDescent="0.2">
      <c r="A279" s="76">
        <v>194</v>
      </c>
      <c r="B279" s="76">
        <v>1</v>
      </c>
      <c r="C279" s="76" t="s">
        <v>120</v>
      </c>
      <c r="D279" s="76">
        <v>1993</v>
      </c>
      <c r="E279" s="76">
        <v>1994</v>
      </c>
      <c r="F279" s="81">
        <v>272.87</v>
      </c>
      <c r="G279" s="76">
        <v>5</v>
      </c>
      <c r="H279" s="76">
        <v>1</v>
      </c>
      <c r="I279" s="79" t="s">
        <v>840</v>
      </c>
      <c r="J279" s="79" t="s">
        <v>840</v>
      </c>
      <c r="K279" s="13"/>
      <c r="L279" s="13"/>
    </row>
    <row r="280" spans="1:12" x14ac:dyDescent="0.2">
      <c r="A280" s="76">
        <v>194</v>
      </c>
      <c r="B280" s="76">
        <v>1</v>
      </c>
      <c r="C280" s="76" t="s">
        <v>120</v>
      </c>
      <c r="D280" s="76">
        <v>1996</v>
      </c>
      <c r="E280" s="76">
        <v>1997</v>
      </c>
      <c r="F280" s="81">
        <v>263.7</v>
      </c>
      <c r="G280" s="76">
        <v>10</v>
      </c>
      <c r="H280" s="76">
        <v>0</v>
      </c>
      <c r="I280" s="79">
        <v>7166</v>
      </c>
      <c r="J280" s="79">
        <v>7942</v>
      </c>
      <c r="K280" s="13"/>
      <c r="L280" s="13"/>
    </row>
    <row r="281" spans="1:12" x14ac:dyDescent="0.2">
      <c r="A281" s="76">
        <v>194</v>
      </c>
      <c r="B281" s="76">
        <v>1</v>
      </c>
      <c r="C281" s="76" t="s">
        <v>120</v>
      </c>
      <c r="D281" s="76">
        <v>1998</v>
      </c>
      <c r="E281" s="76">
        <v>1999</v>
      </c>
      <c r="F281" s="81">
        <v>50</v>
      </c>
      <c r="G281" s="76">
        <v>3</v>
      </c>
      <c r="H281" s="76">
        <v>1</v>
      </c>
      <c r="I281" s="79">
        <v>7424</v>
      </c>
      <c r="J281" s="79">
        <v>7419</v>
      </c>
      <c r="K281" s="13"/>
      <c r="L281" s="13"/>
    </row>
    <row r="282" spans="1:12" x14ac:dyDescent="0.2">
      <c r="A282" s="76">
        <v>194</v>
      </c>
      <c r="B282" s="76">
        <v>1</v>
      </c>
      <c r="C282" s="76" t="s">
        <v>120</v>
      </c>
      <c r="D282" s="76">
        <v>1998</v>
      </c>
      <c r="E282" s="76">
        <v>1999</v>
      </c>
      <c r="F282" s="81">
        <v>272.87</v>
      </c>
      <c r="G282" s="76">
        <v>5</v>
      </c>
      <c r="H282" s="76">
        <v>1</v>
      </c>
      <c r="I282" s="79">
        <v>8002</v>
      </c>
      <c r="J282" s="79">
        <v>6904</v>
      </c>
      <c r="K282" s="13"/>
      <c r="L282" s="13"/>
    </row>
    <row r="283" spans="1:12" x14ac:dyDescent="0.2">
      <c r="A283" s="76">
        <v>194</v>
      </c>
      <c r="B283" s="76">
        <v>1</v>
      </c>
      <c r="C283" s="76" t="s">
        <v>120</v>
      </c>
      <c r="D283" s="76">
        <v>2000</v>
      </c>
      <c r="E283" s="76">
        <v>2001</v>
      </c>
      <c r="F283" s="81">
        <v>462</v>
      </c>
      <c r="G283" s="76">
        <v>7</v>
      </c>
      <c r="H283" s="76">
        <v>1</v>
      </c>
      <c r="I283" s="79">
        <v>8961</v>
      </c>
      <c r="J283" s="79">
        <v>8146</v>
      </c>
      <c r="K283" s="13"/>
      <c r="L283" s="13"/>
    </row>
    <row r="284" spans="1:12" x14ac:dyDescent="0.2">
      <c r="A284" s="76">
        <v>194</v>
      </c>
      <c r="B284" s="76">
        <v>1</v>
      </c>
      <c r="C284" s="76" t="s">
        <v>120</v>
      </c>
      <c r="D284" s="76">
        <v>2001</v>
      </c>
      <c r="E284" s="76">
        <v>2002</v>
      </c>
      <c r="F284" s="81">
        <v>70</v>
      </c>
      <c r="G284" s="76">
        <v>3</v>
      </c>
      <c r="H284" s="76">
        <v>0</v>
      </c>
      <c r="I284" s="79">
        <v>4161</v>
      </c>
      <c r="J284" s="79">
        <v>4440</v>
      </c>
      <c r="K284" s="13"/>
      <c r="L284" s="13"/>
    </row>
    <row r="285" spans="1:12" x14ac:dyDescent="0.2">
      <c r="A285" s="76">
        <v>194</v>
      </c>
      <c r="B285" s="76">
        <v>1</v>
      </c>
      <c r="C285" s="76" t="s">
        <v>120</v>
      </c>
      <c r="D285" s="76">
        <v>2003</v>
      </c>
      <c r="E285" s="76">
        <v>2004</v>
      </c>
      <c r="F285" s="81">
        <v>125</v>
      </c>
      <c r="G285" s="76">
        <v>4</v>
      </c>
      <c r="H285" s="76">
        <v>1</v>
      </c>
      <c r="I285" s="79">
        <v>4250</v>
      </c>
      <c r="J285" s="79">
        <v>4117</v>
      </c>
      <c r="K285" s="13"/>
      <c r="L285" s="13"/>
    </row>
    <row r="286" spans="1:12" x14ac:dyDescent="0.2">
      <c r="A286" s="76">
        <v>194</v>
      </c>
      <c r="B286" s="76">
        <v>1</v>
      </c>
      <c r="C286" s="76" t="s">
        <v>120</v>
      </c>
      <c r="D286" s="76">
        <v>2003</v>
      </c>
      <c r="E286" s="76">
        <v>2004</v>
      </c>
      <c r="F286" s="81">
        <v>250</v>
      </c>
      <c r="G286" s="76">
        <v>7</v>
      </c>
      <c r="H286" s="76">
        <v>1</v>
      </c>
      <c r="I286" s="79">
        <v>4339</v>
      </c>
      <c r="J286" s="79">
        <v>4033</v>
      </c>
      <c r="K286" s="13"/>
      <c r="L286" s="13"/>
    </row>
    <row r="287" spans="1:12" x14ac:dyDescent="0.2">
      <c r="A287" s="76">
        <v>194</v>
      </c>
      <c r="B287" s="76">
        <v>1</v>
      </c>
      <c r="C287" s="76" t="s">
        <v>120</v>
      </c>
      <c r="D287" s="76">
        <v>2006</v>
      </c>
      <c r="E287" s="78">
        <v>2007</v>
      </c>
      <c r="F287" s="81">
        <v>0</v>
      </c>
      <c r="G287" s="78">
        <v>10</v>
      </c>
      <c r="H287" s="76">
        <v>0</v>
      </c>
      <c r="I287" s="77">
        <v>9121</v>
      </c>
      <c r="J287" s="77">
        <v>10894</v>
      </c>
      <c r="K287" s="13"/>
      <c r="L287" s="13"/>
    </row>
    <row r="288" spans="1:12" x14ac:dyDescent="0.2">
      <c r="A288" s="76">
        <v>194</v>
      </c>
      <c r="B288" s="76">
        <v>1</v>
      </c>
      <c r="C288" s="76" t="s">
        <v>120</v>
      </c>
      <c r="D288" s="76">
        <v>2006</v>
      </c>
      <c r="E288" s="78">
        <v>2007</v>
      </c>
      <c r="F288" s="81">
        <v>500</v>
      </c>
      <c r="G288" s="78">
        <v>10</v>
      </c>
      <c r="H288" s="76">
        <v>0</v>
      </c>
      <c r="I288" s="77">
        <v>9275</v>
      </c>
      <c r="J288" s="77">
        <v>10977</v>
      </c>
      <c r="K288" s="13"/>
      <c r="L288" s="13"/>
    </row>
    <row r="289" spans="1:12" x14ac:dyDescent="0.2">
      <c r="A289" s="76">
        <v>194</v>
      </c>
      <c r="B289" s="76">
        <v>1</v>
      </c>
      <c r="C289" s="76" t="s">
        <v>120</v>
      </c>
      <c r="D289" s="82">
        <v>2007</v>
      </c>
      <c r="E289" s="83">
        <v>2008</v>
      </c>
      <c r="F289" s="78">
        <v>389</v>
      </c>
      <c r="G289" s="76">
        <v>10</v>
      </c>
      <c r="H289" s="77">
        <v>0</v>
      </c>
      <c r="I289" s="77">
        <v>6271</v>
      </c>
      <c r="J289" s="79">
        <v>6286</v>
      </c>
      <c r="K289" s="13"/>
      <c r="L289" s="13"/>
    </row>
    <row r="290" spans="1:12" x14ac:dyDescent="0.2">
      <c r="A290" s="76">
        <v>194</v>
      </c>
      <c r="B290" s="76">
        <v>1</v>
      </c>
      <c r="C290" s="76" t="s">
        <v>120</v>
      </c>
      <c r="D290" s="82">
        <v>2007</v>
      </c>
      <c r="E290" s="83">
        <v>2008</v>
      </c>
      <c r="F290" s="78">
        <v>571</v>
      </c>
      <c r="G290" s="76">
        <v>10</v>
      </c>
      <c r="H290" s="77">
        <v>1</v>
      </c>
      <c r="I290" s="77">
        <v>7544</v>
      </c>
      <c r="J290" s="79">
        <v>5016</v>
      </c>
      <c r="K290" s="13"/>
      <c r="L290" s="13"/>
    </row>
    <row r="291" spans="1:12" x14ac:dyDescent="0.2">
      <c r="A291" s="76">
        <v>195</v>
      </c>
      <c r="B291" s="76">
        <v>1</v>
      </c>
      <c r="C291" s="76" t="s">
        <v>121</v>
      </c>
      <c r="D291" s="76">
        <v>1992</v>
      </c>
      <c r="E291" s="76">
        <v>1993</v>
      </c>
      <c r="F291" s="81">
        <v>314.74</v>
      </c>
      <c r="G291" s="76">
        <v>5</v>
      </c>
      <c r="H291" s="76">
        <v>1</v>
      </c>
      <c r="I291" s="79" t="s">
        <v>840</v>
      </c>
      <c r="J291" s="79" t="s">
        <v>840</v>
      </c>
      <c r="K291" s="13"/>
      <c r="L291" s="13"/>
    </row>
    <row r="292" spans="1:12" x14ac:dyDescent="0.2">
      <c r="A292" s="76">
        <v>195</v>
      </c>
      <c r="B292" s="76">
        <v>1</v>
      </c>
      <c r="C292" s="76" t="s">
        <v>121</v>
      </c>
      <c r="D292" s="76">
        <v>1997</v>
      </c>
      <c r="E292" s="76">
        <v>1998</v>
      </c>
      <c r="F292" s="81">
        <v>314.74</v>
      </c>
      <c r="G292" s="76">
        <v>10</v>
      </c>
      <c r="H292" s="76">
        <v>1</v>
      </c>
      <c r="I292" s="79">
        <v>195</v>
      </c>
      <c r="J292" s="79">
        <v>72</v>
      </c>
      <c r="K292" s="13"/>
      <c r="L292" s="13"/>
    </row>
    <row r="293" spans="1:12" x14ac:dyDescent="0.2">
      <c r="A293" s="76">
        <v>195</v>
      </c>
      <c r="B293" s="76">
        <v>1</v>
      </c>
      <c r="C293" s="76" t="s">
        <v>991</v>
      </c>
      <c r="D293" s="76">
        <v>2005</v>
      </c>
      <c r="E293" s="76">
        <v>2006</v>
      </c>
      <c r="F293" s="81">
        <v>580.44000000000005</v>
      </c>
      <c r="G293" s="76">
        <v>10</v>
      </c>
      <c r="H293" s="78">
        <v>1</v>
      </c>
      <c r="I293" s="77">
        <v>232</v>
      </c>
      <c r="J293" s="77">
        <v>152</v>
      </c>
      <c r="K293" s="13"/>
      <c r="L293" s="13"/>
    </row>
    <row r="294" spans="1:12" x14ac:dyDescent="0.2">
      <c r="A294" s="76">
        <v>196</v>
      </c>
      <c r="B294" s="76">
        <v>1</v>
      </c>
      <c r="C294" s="76" t="s">
        <v>611</v>
      </c>
      <c r="D294" s="76">
        <v>1991</v>
      </c>
      <c r="E294" s="76">
        <v>1993</v>
      </c>
      <c r="F294" s="81">
        <v>131</v>
      </c>
      <c r="G294" s="76">
        <v>5</v>
      </c>
      <c r="H294" s="76">
        <v>1</v>
      </c>
      <c r="I294" s="79" t="s">
        <v>840</v>
      </c>
      <c r="J294" s="79" t="s">
        <v>840</v>
      </c>
      <c r="K294" s="13"/>
      <c r="L294" s="13"/>
    </row>
    <row r="295" spans="1:12" x14ac:dyDescent="0.2">
      <c r="A295" s="76">
        <v>196</v>
      </c>
      <c r="B295" s="76">
        <v>1</v>
      </c>
      <c r="C295" s="76" t="s">
        <v>122</v>
      </c>
      <c r="D295" s="76">
        <v>1995</v>
      </c>
      <c r="E295" s="76">
        <v>1996</v>
      </c>
      <c r="F295" s="81">
        <v>517</v>
      </c>
      <c r="G295" s="76">
        <v>10</v>
      </c>
      <c r="H295" s="76">
        <v>1</v>
      </c>
      <c r="I295" s="79">
        <v>8870</v>
      </c>
      <c r="J295" s="79">
        <v>7909</v>
      </c>
      <c r="K295" s="13"/>
      <c r="L295" s="13"/>
    </row>
    <row r="296" spans="1:12" x14ac:dyDescent="0.2">
      <c r="A296" s="76">
        <v>196</v>
      </c>
      <c r="B296" s="76">
        <v>1</v>
      </c>
      <c r="C296" s="76" t="s">
        <v>611</v>
      </c>
      <c r="D296" s="76">
        <v>1999</v>
      </c>
      <c r="E296" s="76">
        <v>2000</v>
      </c>
      <c r="F296" s="81">
        <v>0</v>
      </c>
      <c r="G296" s="76">
        <v>1</v>
      </c>
      <c r="H296" s="76">
        <v>0</v>
      </c>
      <c r="I296" s="79">
        <v>8328</v>
      </c>
      <c r="J296" s="79">
        <v>8584</v>
      </c>
      <c r="K296" s="13"/>
      <c r="L296" s="13"/>
    </row>
    <row r="297" spans="1:12" x14ac:dyDescent="0.2">
      <c r="A297" s="76">
        <v>196</v>
      </c>
      <c r="B297" s="76">
        <v>1</v>
      </c>
      <c r="C297" s="76" t="s">
        <v>122</v>
      </c>
      <c r="D297" s="76">
        <v>2000</v>
      </c>
      <c r="E297" s="76">
        <v>2001</v>
      </c>
      <c r="F297" s="81">
        <v>474</v>
      </c>
      <c r="G297" s="76">
        <v>10</v>
      </c>
      <c r="H297" s="76">
        <v>0</v>
      </c>
      <c r="I297" s="79">
        <v>30213</v>
      </c>
      <c r="J297" s="79">
        <v>32595</v>
      </c>
      <c r="K297" s="13"/>
      <c r="L297" s="13"/>
    </row>
    <row r="298" spans="1:12" x14ac:dyDescent="0.2">
      <c r="A298" s="76">
        <v>196</v>
      </c>
      <c r="B298" s="76">
        <v>1</v>
      </c>
      <c r="C298" s="76" t="s">
        <v>122</v>
      </c>
      <c r="D298" s="76">
        <v>2001</v>
      </c>
      <c r="E298" s="76">
        <v>2002</v>
      </c>
      <c r="F298" s="81">
        <v>500</v>
      </c>
      <c r="G298" s="76">
        <v>6</v>
      </c>
      <c r="H298" s="76">
        <v>1</v>
      </c>
      <c r="I298" s="79">
        <v>22946</v>
      </c>
      <c r="J298" s="79">
        <v>13208</v>
      </c>
      <c r="K298" s="13"/>
      <c r="L298" s="13"/>
    </row>
    <row r="299" spans="1:12" x14ac:dyDescent="0.2">
      <c r="A299" s="76">
        <v>196</v>
      </c>
      <c r="B299" s="76">
        <v>1</v>
      </c>
      <c r="C299" s="76" t="s">
        <v>992</v>
      </c>
      <c r="D299" s="76">
        <v>2005</v>
      </c>
      <c r="E299" s="76">
        <v>2007</v>
      </c>
      <c r="F299" s="81">
        <v>506.57</v>
      </c>
      <c r="G299" s="76">
        <v>10</v>
      </c>
      <c r="H299" s="78">
        <v>1</v>
      </c>
      <c r="I299" s="77">
        <v>10627</v>
      </c>
      <c r="J299" s="77">
        <v>7438</v>
      </c>
      <c r="K299" s="13"/>
      <c r="L299" s="13"/>
    </row>
    <row r="300" spans="1:12" x14ac:dyDescent="0.2">
      <c r="A300" s="76">
        <v>196</v>
      </c>
      <c r="B300" s="76">
        <v>1</v>
      </c>
      <c r="C300" s="76" t="s">
        <v>992</v>
      </c>
      <c r="D300" s="76">
        <v>2005</v>
      </c>
      <c r="E300" s="76">
        <v>2006</v>
      </c>
      <c r="F300" s="81">
        <v>105.82</v>
      </c>
      <c r="G300" s="76">
        <v>10</v>
      </c>
      <c r="H300" s="78">
        <v>1</v>
      </c>
      <c r="I300" s="77">
        <v>11635</v>
      </c>
      <c r="J300" s="77">
        <v>6472</v>
      </c>
      <c r="K300" s="13"/>
      <c r="L300" s="13"/>
    </row>
    <row r="301" spans="1:12" x14ac:dyDescent="0.2">
      <c r="A301" s="76">
        <v>196</v>
      </c>
      <c r="B301" s="76">
        <v>1</v>
      </c>
      <c r="C301" s="76" t="s">
        <v>992</v>
      </c>
      <c r="D301" s="76">
        <v>2005</v>
      </c>
      <c r="E301" s="76">
        <v>2006</v>
      </c>
      <c r="F301" s="81">
        <v>430</v>
      </c>
      <c r="G301" s="76">
        <v>10</v>
      </c>
      <c r="H301" s="78">
        <v>1</v>
      </c>
      <c r="I301" s="77">
        <v>9695</v>
      </c>
      <c r="J301" s="77">
        <v>8365</v>
      </c>
      <c r="K301" s="13"/>
      <c r="L301" s="13"/>
    </row>
    <row r="302" spans="1:12" x14ac:dyDescent="0.2">
      <c r="A302" s="76">
        <v>197</v>
      </c>
      <c r="B302" s="76">
        <v>1</v>
      </c>
      <c r="C302" s="76" t="s">
        <v>123</v>
      </c>
      <c r="D302" s="76">
        <v>1995</v>
      </c>
      <c r="E302" s="76">
        <v>1996</v>
      </c>
      <c r="F302" s="81">
        <v>932</v>
      </c>
      <c r="G302" s="76">
        <v>6</v>
      </c>
      <c r="H302" s="76">
        <v>1</v>
      </c>
      <c r="I302" s="79">
        <v>4617</v>
      </c>
      <c r="J302" s="79">
        <v>3809</v>
      </c>
      <c r="K302" s="13"/>
      <c r="L302" s="13"/>
    </row>
    <row r="303" spans="1:12" x14ac:dyDescent="0.2">
      <c r="A303" s="76">
        <v>197</v>
      </c>
      <c r="B303" s="76">
        <v>1</v>
      </c>
      <c r="C303" s="76" t="s">
        <v>123</v>
      </c>
      <c r="D303" s="76">
        <v>2000</v>
      </c>
      <c r="E303" s="76">
        <v>2001</v>
      </c>
      <c r="F303" s="81">
        <v>981.25</v>
      </c>
      <c r="G303" s="76">
        <v>7</v>
      </c>
      <c r="H303" s="76">
        <v>1</v>
      </c>
      <c r="I303" s="79">
        <v>3344</v>
      </c>
      <c r="J303" s="79">
        <v>1015</v>
      </c>
      <c r="K303" s="13"/>
      <c r="L303" s="13"/>
    </row>
    <row r="304" spans="1:12" x14ac:dyDescent="0.2">
      <c r="A304" s="76">
        <v>197</v>
      </c>
      <c r="B304" s="76">
        <v>1</v>
      </c>
      <c r="C304" s="76" t="s">
        <v>123</v>
      </c>
      <c r="D304" s="76">
        <v>2001</v>
      </c>
      <c r="E304" s="76">
        <v>2002</v>
      </c>
      <c r="F304" s="81">
        <v>255.95</v>
      </c>
      <c r="G304" s="76">
        <v>6</v>
      </c>
      <c r="H304" s="76">
        <v>0</v>
      </c>
      <c r="I304" s="79">
        <v>2645</v>
      </c>
      <c r="J304" s="79">
        <v>2834</v>
      </c>
      <c r="K304" s="13"/>
      <c r="L304" s="13"/>
    </row>
    <row r="305" spans="1:12" x14ac:dyDescent="0.2">
      <c r="A305" s="76">
        <v>197</v>
      </c>
      <c r="B305" s="76">
        <v>1</v>
      </c>
      <c r="C305" s="76" t="s">
        <v>123</v>
      </c>
      <c r="D305" s="76">
        <v>2002</v>
      </c>
      <c r="E305" s="76">
        <v>2003</v>
      </c>
      <c r="F305" s="81">
        <v>360</v>
      </c>
      <c r="G305" s="76">
        <v>9</v>
      </c>
      <c r="H305" s="76">
        <v>1</v>
      </c>
      <c r="I305" s="79">
        <v>10222</v>
      </c>
      <c r="J305" s="79">
        <v>7816</v>
      </c>
      <c r="K305" s="13"/>
      <c r="L305" s="13"/>
    </row>
    <row r="306" spans="1:12" x14ac:dyDescent="0.2">
      <c r="A306" s="76">
        <v>197</v>
      </c>
      <c r="B306" s="76">
        <v>1</v>
      </c>
      <c r="C306" s="76" t="s">
        <v>123</v>
      </c>
      <c r="D306" s="76">
        <v>2006</v>
      </c>
      <c r="E306" s="78">
        <v>2007</v>
      </c>
      <c r="F306" s="81">
        <v>495.41</v>
      </c>
      <c r="G306" s="78">
        <v>10</v>
      </c>
      <c r="H306" s="76">
        <v>0</v>
      </c>
      <c r="I306" s="77">
        <v>7568</v>
      </c>
      <c r="J306" s="77">
        <v>10447</v>
      </c>
      <c r="K306" s="13"/>
      <c r="L306" s="13"/>
    </row>
    <row r="307" spans="1:12" x14ac:dyDescent="0.2">
      <c r="A307" s="76">
        <v>197</v>
      </c>
      <c r="B307" s="76">
        <v>1</v>
      </c>
      <c r="C307" s="76" t="s">
        <v>123</v>
      </c>
      <c r="D307" s="82">
        <v>2007</v>
      </c>
      <c r="E307" s="83">
        <v>2009</v>
      </c>
      <c r="F307" s="78">
        <v>307.89</v>
      </c>
      <c r="G307" s="76">
        <v>9</v>
      </c>
      <c r="H307" s="77">
        <v>0</v>
      </c>
      <c r="I307" s="77">
        <v>4092</v>
      </c>
      <c r="J307" s="79">
        <v>4150</v>
      </c>
      <c r="K307" s="13"/>
      <c r="L307" s="13"/>
    </row>
    <row r="308" spans="1:12" x14ac:dyDescent="0.2">
      <c r="A308" s="76">
        <v>197</v>
      </c>
      <c r="B308" s="76">
        <v>1</v>
      </c>
      <c r="C308" s="76" t="s">
        <v>123</v>
      </c>
      <c r="D308" s="82">
        <v>2007</v>
      </c>
      <c r="E308" s="83">
        <v>2008</v>
      </c>
      <c r="F308" s="78">
        <v>805.68</v>
      </c>
      <c r="G308" s="76">
        <v>10</v>
      </c>
      <c r="H308" s="77">
        <v>1</v>
      </c>
      <c r="I308" s="77">
        <v>4702</v>
      </c>
      <c r="J308" s="79">
        <v>4150</v>
      </c>
      <c r="K308" s="13"/>
      <c r="L308" s="13"/>
    </row>
    <row r="309" spans="1:12" x14ac:dyDescent="0.2">
      <c r="A309" s="76">
        <v>199</v>
      </c>
      <c r="B309" s="76">
        <v>1</v>
      </c>
      <c r="C309" s="76" t="s">
        <v>124</v>
      </c>
      <c r="D309" s="76">
        <v>1993</v>
      </c>
      <c r="E309" s="76">
        <v>1994</v>
      </c>
      <c r="F309" s="81">
        <v>361</v>
      </c>
      <c r="G309" s="76">
        <v>5</v>
      </c>
      <c r="H309" s="76">
        <v>1</v>
      </c>
      <c r="I309" s="79" t="s">
        <v>840</v>
      </c>
      <c r="J309" s="79" t="s">
        <v>840</v>
      </c>
      <c r="K309" s="13"/>
      <c r="L309" s="13"/>
    </row>
    <row r="310" spans="1:12" x14ac:dyDescent="0.2">
      <c r="A310" s="76">
        <v>199</v>
      </c>
      <c r="B310" s="76">
        <v>1</v>
      </c>
      <c r="C310" s="76" t="s">
        <v>124</v>
      </c>
      <c r="D310" s="76">
        <v>1995</v>
      </c>
      <c r="E310" s="76">
        <v>1996</v>
      </c>
      <c r="F310" s="81">
        <v>474.02</v>
      </c>
      <c r="G310" s="76">
        <v>10</v>
      </c>
      <c r="H310" s="76">
        <v>1</v>
      </c>
      <c r="I310" s="79">
        <v>1807</v>
      </c>
      <c r="J310" s="79">
        <v>972</v>
      </c>
      <c r="K310" s="13"/>
      <c r="L310" s="13"/>
    </row>
    <row r="311" spans="1:12" x14ac:dyDescent="0.2">
      <c r="A311" s="76">
        <v>199</v>
      </c>
      <c r="B311" s="76">
        <v>1</v>
      </c>
      <c r="C311" s="76" t="s">
        <v>124</v>
      </c>
      <c r="D311" s="76">
        <v>1997</v>
      </c>
      <c r="E311" s="76">
        <v>1999</v>
      </c>
      <c r="F311" s="81">
        <v>361</v>
      </c>
      <c r="G311" s="76">
        <v>10</v>
      </c>
      <c r="H311" s="76">
        <v>0</v>
      </c>
      <c r="I311" s="79">
        <v>1014</v>
      </c>
      <c r="J311" s="79">
        <v>1042</v>
      </c>
      <c r="K311" s="13"/>
      <c r="L311" s="13"/>
    </row>
    <row r="312" spans="1:12" x14ac:dyDescent="0.2">
      <c r="A312" s="76">
        <v>199</v>
      </c>
      <c r="B312" s="76">
        <v>1</v>
      </c>
      <c r="C312" s="76" t="s">
        <v>124</v>
      </c>
      <c r="D312" s="76">
        <v>1998</v>
      </c>
      <c r="E312" s="76">
        <v>1999</v>
      </c>
      <c r="F312" s="81">
        <v>361</v>
      </c>
      <c r="G312" s="76">
        <v>10</v>
      </c>
      <c r="H312" s="76">
        <v>1</v>
      </c>
      <c r="I312" s="79">
        <v>6116</v>
      </c>
      <c r="J312" s="79">
        <v>4679</v>
      </c>
      <c r="K312" s="13"/>
      <c r="L312" s="13"/>
    </row>
    <row r="313" spans="1:12" x14ac:dyDescent="0.2">
      <c r="A313" s="76">
        <v>199</v>
      </c>
      <c r="B313" s="76">
        <v>1</v>
      </c>
      <c r="C313" s="76" t="s">
        <v>124</v>
      </c>
      <c r="D313" s="76">
        <v>2000</v>
      </c>
      <c r="E313" s="76">
        <v>2001</v>
      </c>
      <c r="F313" s="81">
        <v>155.97999999999999</v>
      </c>
      <c r="G313" s="76">
        <v>10</v>
      </c>
      <c r="H313" s="76">
        <v>0</v>
      </c>
      <c r="I313" s="79">
        <v>5876</v>
      </c>
      <c r="J313" s="79">
        <v>5920</v>
      </c>
      <c r="K313" s="13"/>
      <c r="L313" s="13"/>
    </row>
    <row r="314" spans="1:12" x14ac:dyDescent="0.2">
      <c r="A314" s="76">
        <v>199</v>
      </c>
      <c r="B314" s="76">
        <v>1</v>
      </c>
      <c r="C314" s="76" t="s">
        <v>124</v>
      </c>
      <c r="D314" s="76">
        <v>2001</v>
      </c>
      <c r="E314" s="76">
        <v>2002</v>
      </c>
      <c r="F314" s="81">
        <v>400</v>
      </c>
      <c r="G314" s="76">
        <v>10</v>
      </c>
      <c r="H314" s="76">
        <v>0</v>
      </c>
      <c r="I314" s="79">
        <v>2333</v>
      </c>
      <c r="J314" s="79">
        <v>3063</v>
      </c>
      <c r="K314" s="13"/>
      <c r="L314" s="13"/>
    </row>
    <row r="315" spans="1:12" x14ac:dyDescent="0.2">
      <c r="A315" s="76">
        <v>199</v>
      </c>
      <c r="B315" s="76">
        <v>1</v>
      </c>
      <c r="C315" s="76" t="s">
        <v>124</v>
      </c>
      <c r="D315" s="76">
        <v>2002</v>
      </c>
      <c r="E315" s="76">
        <v>2003</v>
      </c>
      <c r="F315" s="81">
        <v>476.38</v>
      </c>
      <c r="G315" s="76">
        <v>10</v>
      </c>
      <c r="H315" s="76">
        <v>1</v>
      </c>
      <c r="I315" s="79">
        <v>6224</v>
      </c>
      <c r="J315" s="79">
        <v>5015</v>
      </c>
      <c r="K315" s="13"/>
      <c r="L315" s="13"/>
    </row>
    <row r="316" spans="1:12" x14ac:dyDescent="0.2">
      <c r="A316" s="76">
        <v>199</v>
      </c>
      <c r="B316" s="76">
        <v>1</v>
      </c>
      <c r="C316" s="76" t="s">
        <v>124</v>
      </c>
      <c r="D316" s="82">
        <v>2007</v>
      </c>
      <c r="E316" s="83">
        <v>2008</v>
      </c>
      <c r="F316" s="78">
        <v>400</v>
      </c>
      <c r="G316" s="76">
        <v>10</v>
      </c>
      <c r="H316" s="77">
        <v>0</v>
      </c>
      <c r="I316" s="77">
        <v>1408</v>
      </c>
      <c r="J316" s="79">
        <v>2886</v>
      </c>
      <c r="K316" s="13"/>
      <c r="L316" s="13"/>
    </row>
    <row r="317" spans="1:12" x14ac:dyDescent="0.2">
      <c r="A317">
        <v>199</v>
      </c>
      <c r="B317">
        <v>1</v>
      </c>
      <c r="C317" t="s">
        <v>124</v>
      </c>
      <c r="D317">
        <v>2008</v>
      </c>
      <c r="E317" s="5">
        <v>2009</v>
      </c>
      <c r="F317" s="6">
        <v>363.89</v>
      </c>
      <c r="G317" s="5">
        <v>10</v>
      </c>
      <c r="H317" s="33">
        <v>1</v>
      </c>
      <c r="I317" s="33">
        <v>9067</v>
      </c>
      <c r="J317" s="33">
        <v>5866</v>
      </c>
      <c r="K317" s="13"/>
      <c r="L317" s="13"/>
    </row>
    <row r="318" spans="1:12" x14ac:dyDescent="0.2">
      <c r="A318" s="76">
        <v>200</v>
      </c>
      <c r="B318" s="76">
        <v>1</v>
      </c>
      <c r="C318" s="76" t="s">
        <v>125</v>
      </c>
      <c r="D318" s="76">
        <v>1991</v>
      </c>
      <c r="E318" s="76">
        <v>1993</v>
      </c>
      <c r="F318" s="81">
        <v>220</v>
      </c>
      <c r="G318" s="76">
        <v>5</v>
      </c>
      <c r="H318" s="76">
        <v>1</v>
      </c>
      <c r="I318" s="79" t="s">
        <v>840</v>
      </c>
      <c r="J318" s="79" t="s">
        <v>840</v>
      </c>
      <c r="K318" s="13"/>
      <c r="L318" s="13"/>
    </row>
    <row r="319" spans="1:12" x14ac:dyDescent="0.2">
      <c r="A319" s="76">
        <v>200</v>
      </c>
      <c r="B319" s="76">
        <v>1</v>
      </c>
      <c r="C319" s="76" t="s">
        <v>125</v>
      </c>
      <c r="D319" s="76">
        <v>1997</v>
      </c>
      <c r="E319" s="76">
        <v>1998</v>
      </c>
      <c r="F319" s="81">
        <v>148.80000000000001</v>
      </c>
      <c r="G319" s="76">
        <v>10</v>
      </c>
      <c r="H319" s="76">
        <v>1</v>
      </c>
      <c r="I319" s="79">
        <v>1689</v>
      </c>
      <c r="J319" s="79">
        <v>777</v>
      </c>
      <c r="K319" s="13"/>
      <c r="L319" s="13"/>
    </row>
    <row r="320" spans="1:12" x14ac:dyDescent="0.2">
      <c r="A320" s="76">
        <v>200</v>
      </c>
      <c r="B320" s="76">
        <v>1</v>
      </c>
      <c r="C320" s="76" t="s">
        <v>125</v>
      </c>
      <c r="D320" s="76">
        <v>2001</v>
      </c>
      <c r="E320" s="76">
        <v>2002</v>
      </c>
      <c r="F320" s="81">
        <v>492</v>
      </c>
      <c r="G320" s="76">
        <v>10</v>
      </c>
      <c r="H320" s="76">
        <v>0</v>
      </c>
      <c r="I320" s="79">
        <v>2627</v>
      </c>
      <c r="J320" s="79">
        <v>4188</v>
      </c>
      <c r="K320" s="13"/>
      <c r="L320" s="13"/>
    </row>
    <row r="321" spans="1:12" x14ac:dyDescent="0.2">
      <c r="A321" s="76">
        <v>200</v>
      </c>
      <c r="B321" s="76">
        <v>1</v>
      </c>
      <c r="C321" s="76" t="s">
        <v>125</v>
      </c>
      <c r="D321" s="76">
        <v>2003</v>
      </c>
      <c r="E321" s="76">
        <v>2004</v>
      </c>
      <c r="F321" s="81">
        <v>690</v>
      </c>
      <c r="G321" s="76">
        <v>8</v>
      </c>
      <c r="H321" s="76">
        <v>1</v>
      </c>
      <c r="I321" s="79">
        <v>5373</v>
      </c>
      <c r="J321" s="79">
        <v>3331</v>
      </c>
      <c r="K321" s="13"/>
      <c r="L321" s="13"/>
    </row>
    <row r="322" spans="1:12" x14ac:dyDescent="0.2">
      <c r="A322" s="76">
        <v>200</v>
      </c>
      <c r="B322" s="76">
        <v>1</v>
      </c>
      <c r="C322" s="76" t="s">
        <v>993</v>
      </c>
      <c r="D322" s="76">
        <v>2005</v>
      </c>
      <c r="E322" s="76">
        <v>2006</v>
      </c>
      <c r="F322" s="81">
        <v>500</v>
      </c>
      <c r="G322" s="76">
        <v>8</v>
      </c>
      <c r="H322" s="78">
        <v>1</v>
      </c>
      <c r="I322" s="77">
        <v>3849</v>
      </c>
      <c r="J322" s="77">
        <v>3626</v>
      </c>
      <c r="K322" s="13"/>
      <c r="L322" s="13"/>
    </row>
    <row r="323" spans="1:12" x14ac:dyDescent="0.2">
      <c r="A323" s="76">
        <v>203</v>
      </c>
      <c r="B323" s="76">
        <v>1</v>
      </c>
      <c r="C323" s="76" t="s">
        <v>126</v>
      </c>
      <c r="D323" s="76">
        <v>1991</v>
      </c>
      <c r="E323" s="76">
        <v>1993</v>
      </c>
      <c r="F323" s="81">
        <v>150</v>
      </c>
      <c r="G323" s="76">
        <v>5</v>
      </c>
      <c r="H323" s="76">
        <v>1</v>
      </c>
      <c r="I323" s="79" t="s">
        <v>840</v>
      </c>
      <c r="J323" s="79" t="s">
        <v>840</v>
      </c>
      <c r="K323" s="13"/>
      <c r="L323" s="13"/>
    </row>
    <row r="324" spans="1:12" x14ac:dyDescent="0.2">
      <c r="A324" s="76">
        <v>203</v>
      </c>
      <c r="B324" s="76">
        <v>1</v>
      </c>
      <c r="C324" s="76" t="s">
        <v>126</v>
      </c>
      <c r="D324" s="76">
        <v>2003</v>
      </c>
      <c r="E324" s="76">
        <v>2004</v>
      </c>
      <c r="F324" s="81">
        <v>400</v>
      </c>
      <c r="G324" s="76">
        <v>5</v>
      </c>
      <c r="H324" s="76">
        <v>1</v>
      </c>
      <c r="I324" s="79">
        <v>835</v>
      </c>
      <c r="J324" s="79">
        <v>437</v>
      </c>
      <c r="K324" s="13"/>
      <c r="L324" s="13"/>
    </row>
    <row r="325" spans="1:12" x14ac:dyDescent="0.2">
      <c r="A325" s="76">
        <v>203</v>
      </c>
      <c r="B325" s="76">
        <v>1</v>
      </c>
      <c r="C325" s="76" t="s">
        <v>126</v>
      </c>
      <c r="D325" s="82">
        <v>2007</v>
      </c>
      <c r="E325" s="83">
        <v>2009</v>
      </c>
      <c r="F325" s="78">
        <v>600</v>
      </c>
      <c r="G325" s="76">
        <v>5</v>
      </c>
      <c r="H325" s="77">
        <v>1</v>
      </c>
      <c r="I325" s="77">
        <v>473</v>
      </c>
      <c r="J325" s="79">
        <v>296</v>
      </c>
      <c r="K325" s="13"/>
      <c r="L325" s="13"/>
    </row>
    <row r="326" spans="1:12" x14ac:dyDescent="0.2">
      <c r="A326" s="76">
        <v>204</v>
      </c>
      <c r="B326" s="76">
        <v>1</v>
      </c>
      <c r="C326" s="76" t="s">
        <v>127</v>
      </c>
      <c r="D326" s="76">
        <v>1998</v>
      </c>
      <c r="E326" s="76">
        <v>1999</v>
      </c>
      <c r="F326" s="81">
        <v>350</v>
      </c>
      <c r="G326" s="76">
        <v>5</v>
      </c>
      <c r="H326" s="76">
        <v>1</v>
      </c>
      <c r="I326" s="79">
        <v>1883</v>
      </c>
      <c r="J326" s="79">
        <v>1248</v>
      </c>
      <c r="K326" s="13"/>
      <c r="L326" s="13"/>
    </row>
    <row r="327" spans="1:12" x14ac:dyDescent="0.2">
      <c r="A327" s="76">
        <v>204</v>
      </c>
      <c r="B327" s="76">
        <v>1</v>
      </c>
      <c r="C327" s="76" t="s">
        <v>874</v>
      </c>
      <c r="D327" s="76">
        <v>2004</v>
      </c>
      <c r="E327" s="76">
        <v>2005</v>
      </c>
      <c r="F327" s="81">
        <v>700</v>
      </c>
      <c r="G327" s="76">
        <v>5</v>
      </c>
      <c r="H327" s="76">
        <v>0</v>
      </c>
      <c r="I327" s="79">
        <v>2313</v>
      </c>
      <c r="J327" s="79">
        <v>2410</v>
      </c>
      <c r="K327" s="13"/>
      <c r="L327" s="13"/>
    </row>
    <row r="328" spans="1:12" x14ac:dyDescent="0.2">
      <c r="A328" s="76">
        <v>204</v>
      </c>
      <c r="B328" s="76">
        <v>1</v>
      </c>
      <c r="C328" s="76" t="s">
        <v>994</v>
      </c>
      <c r="D328" s="76">
        <v>2005</v>
      </c>
      <c r="E328" s="76">
        <v>2006</v>
      </c>
      <c r="F328" s="81">
        <v>350</v>
      </c>
      <c r="G328" s="76">
        <v>10</v>
      </c>
      <c r="H328" s="78">
        <v>1</v>
      </c>
      <c r="I328" s="77">
        <v>801</v>
      </c>
      <c r="J328" s="77">
        <v>647</v>
      </c>
      <c r="K328" s="13"/>
      <c r="L328" s="13"/>
    </row>
    <row r="329" spans="1:12" x14ac:dyDescent="0.2">
      <c r="A329" s="76">
        <v>206</v>
      </c>
      <c r="B329" s="76">
        <v>1</v>
      </c>
      <c r="C329" s="76" t="s">
        <v>128</v>
      </c>
      <c r="D329" s="76">
        <v>1998</v>
      </c>
      <c r="E329" s="76">
        <v>1999</v>
      </c>
      <c r="F329" s="81">
        <v>350</v>
      </c>
      <c r="G329" s="76">
        <v>10</v>
      </c>
      <c r="H329" s="76">
        <v>0</v>
      </c>
      <c r="I329" s="79">
        <v>4400</v>
      </c>
      <c r="J329" s="79">
        <v>6581</v>
      </c>
      <c r="K329" s="13"/>
      <c r="L329" s="13"/>
    </row>
    <row r="330" spans="1:12" x14ac:dyDescent="0.2">
      <c r="A330" s="76">
        <v>206</v>
      </c>
      <c r="B330" s="76">
        <v>1</v>
      </c>
      <c r="C330" s="76" t="s">
        <v>128</v>
      </c>
      <c r="D330" s="76">
        <v>1999</v>
      </c>
      <c r="E330" s="76">
        <v>2000</v>
      </c>
      <c r="F330" s="81">
        <v>415</v>
      </c>
      <c r="G330" s="76">
        <v>10</v>
      </c>
      <c r="H330" s="76">
        <v>1</v>
      </c>
      <c r="I330" s="79">
        <v>4370</v>
      </c>
      <c r="J330" s="79">
        <v>2604</v>
      </c>
      <c r="K330" s="13"/>
      <c r="L330" s="13"/>
    </row>
    <row r="331" spans="1:12" x14ac:dyDescent="0.2">
      <c r="A331" s="76">
        <v>206</v>
      </c>
      <c r="B331" s="76">
        <v>1</v>
      </c>
      <c r="C331" s="76" t="s">
        <v>128</v>
      </c>
      <c r="D331" s="76">
        <v>2004</v>
      </c>
      <c r="E331" s="76">
        <v>2005</v>
      </c>
      <c r="F331" s="81">
        <v>15</v>
      </c>
      <c r="G331" s="76">
        <v>10</v>
      </c>
      <c r="H331" s="76">
        <v>0</v>
      </c>
      <c r="I331" s="79">
        <v>6588</v>
      </c>
      <c r="J331" s="79">
        <v>8506</v>
      </c>
      <c r="K331" s="13"/>
      <c r="L331" s="13"/>
    </row>
    <row r="332" spans="1:12" x14ac:dyDescent="0.2">
      <c r="A332" s="76">
        <v>206</v>
      </c>
      <c r="B332" s="76">
        <v>1</v>
      </c>
      <c r="C332" s="76" t="s">
        <v>128</v>
      </c>
      <c r="D332" s="76">
        <v>2004</v>
      </c>
      <c r="E332" s="76">
        <v>2005</v>
      </c>
      <c r="F332" s="81">
        <v>60</v>
      </c>
      <c r="G332" s="76">
        <v>10</v>
      </c>
      <c r="H332" s="76">
        <v>0</v>
      </c>
      <c r="I332" s="79">
        <v>6573</v>
      </c>
      <c r="J332" s="79">
        <v>8664</v>
      </c>
      <c r="K332" s="13"/>
      <c r="L332" s="13"/>
    </row>
    <row r="333" spans="1:12" x14ac:dyDescent="0.2">
      <c r="A333" s="76">
        <v>206</v>
      </c>
      <c r="B333" s="76">
        <v>1</v>
      </c>
      <c r="C333" s="76" t="s">
        <v>128</v>
      </c>
      <c r="D333" s="76">
        <v>2004</v>
      </c>
      <c r="E333" s="76">
        <v>2005</v>
      </c>
      <c r="F333" s="81">
        <v>100</v>
      </c>
      <c r="G333" s="76">
        <v>10</v>
      </c>
      <c r="H333" s="76">
        <v>0</v>
      </c>
      <c r="I333" s="79">
        <v>7650</v>
      </c>
      <c r="J333" s="79">
        <v>7774</v>
      </c>
      <c r="K333" s="13"/>
      <c r="L333" s="13"/>
    </row>
    <row r="334" spans="1:12" x14ac:dyDescent="0.2">
      <c r="A334" s="76">
        <v>206</v>
      </c>
      <c r="B334" s="76">
        <v>1</v>
      </c>
      <c r="C334" s="76" t="s">
        <v>128</v>
      </c>
      <c r="D334" s="76">
        <v>2004</v>
      </c>
      <c r="E334" s="76">
        <v>2005</v>
      </c>
      <c r="F334" s="81">
        <v>390</v>
      </c>
      <c r="G334" s="76">
        <v>10</v>
      </c>
      <c r="H334" s="76">
        <v>1</v>
      </c>
      <c r="I334" s="79">
        <v>8144</v>
      </c>
      <c r="J334" s="79">
        <v>7521</v>
      </c>
      <c r="K334" s="13"/>
      <c r="L334" s="13"/>
    </row>
    <row r="335" spans="1:12" x14ac:dyDescent="0.2">
      <c r="A335" s="76">
        <v>207</v>
      </c>
      <c r="B335" s="76">
        <v>1</v>
      </c>
      <c r="C335" s="76" t="s">
        <v>129</v>
      </c>
      <c r="D335" s="76">
        <v>2001</v>
      </c>
      <c r="E335" s="76">
        <v>2002</v>
      </c>
      <c r="F335" s="81">
        <v>1</v>
      </c>
      <c r="G335" s="76">
        <v>10</v>
      </c>
      <c r="H335" s="76">
        <v>1</v>
      </c>
      <c r="I335" s="79">
        <v>109</v>
      </c>
      <c r="J335" s="79">
        <v>23</v>
      </c>
      <c r="K335" s="13"/>
      <c r="L335" s="13"/>
    </row>
    <row r="336" spans="1:12" x14ac:dyDescent="0.2">
      <c r="A336" s="76">
        <v>207</v>
      </c>
      <c r="B336" s="76">
        <v>1</v>
      </c>
      <c r="C336" s="76" t="s">
        <v>129</v>
      </c>
      <c r="D336" s="76">
        <v>2004</v>
      </c>
      <c r="E336" s="76">
        <v>2005</v>
      </c>
      <c r="F336" s="81">
        <v>500</v>
      </c>
      <c r="G336" s="76">
        <v>5</v>
      </c>
      <c r="H336" s="76">
        <v>1</v>
      </c>
      <c r="I336" s="79">
        <v>490</v>
      </c>
      <c r="J336" s="79">
        <v>485</v>
      </c>
      <c r="K336" s="13"/>
      <c r="L336" s="13"/>
    </row>
    <row r="337" spans="1:12" x14ac:dyDescent="0.2">
      <c r="A337" s="76">
        <v>208</v>
      </c>
      <c r="B337" s="76">
        <v>1</v>
      </c>
      <c r="C337" s="76" t="s">
        <v>130</v>
      </c>
      <c r="D337" s="76">
        <v>2001</v>
      </c>
      <c r="E337" s="76">
        <v>2002</v>
      </c>
      <c r="F337" s="81">
        <v>837.38</v>
      </c>
      <c r="G337" s="76">
        <v>5</v>
      </c>
      <c r="H337" s="76">
        <v>1</v>
      </c>
      <c r="I337" s="79">
        <v>156</v>
      </c>
      <c r="J337" s="79">
        <v>32</v>
      </c>
      <c r="K337" s="13"/>
      <c r="L337" s="13"/>
    </row>
    <row r="338" spans="1:12" x14ac:dyDescent="0.2">
      <c r="A338" s="76">
        <v>208</v>
      </c>
      <c r="B338" s="76">
        <v>1</v>
      </c>
      <c r="C338" s="76" t="s">
        <v>995</v>
      </c>
      <c r="D338" s="76">
        <v>2005</v>
      </c>
      <c r="E338" s="76">
        <v>2006</v>
      </c>
      <c r="F338" s="81">
        <v>1373.71</v>
      </c>
      <c r="G338" s="76">
        <v>10</v>
      </c>
      <c r="H338" s="78">
        <v>1</v>
      </c>
      <c r="I338" s="77">
        <v>287</v>
      </c>
      <c r="J338" s="77">
        <v>192</v>
      </c>
      <c r="K338" s="13"/>
      <c r="L338" s="13"/>
    </row>
    <row r="339" spans="1:12" x14ac:dyDescent="0.2">
      <c r="A339" s="76">
        <v>209</v>
      </c>
      <c r="B339" s="76">
        <v>1</v>
      </c>
      <c r="C339" s="76" t="s">
        <v>731</v>
      </c>
      <c r="D339" s="76">
        <v>1992</v>
      </c>
      <c r="E339" s="76">
        <v>1993</v>
      </c>
      <c r="F339" s="81">
        <v>410</v>
      </c>
      <c r="G339" s="76">
        <v>5</v>
      </c>
      <c r="H339" s="76">
        <v>0</v>
      </c>
      <c r="I339" s="79" t="s">
        <v>840</v>
      </c>
      <c r="J339" s="79" t="s">
        <v>840</v>
      </c>
      <c r="K339" s="13"/>
      <c r="L339" s="13"/>
    </row>
    <row r="340" spans="1:12" x14ac:dyDescent="0.2">
      <c r="A340" s="76">
        <v>213</v>
      </c>
      <c r="B340" s="76">
        <v>1</v>
      </c>
      <c r="C340" s="76" t="s">
        <v>732</v>
      </c>
      <c r="D340" s="76">
        <v>1994</v>
      </c>
      <c r="E340" s="76">
        <v>1995</v>
      </c>
      <c r="F340" s="81">
        <v>374.43</v>
      </c>
      <c r="G340" s="76">
        <v>2</v>
      </c>
      <c r="H340" s="76">
        <v>0</v>
      </c>
      <c r="I340" s="79">
        <v>404</v>
      </c>
      <c r="J340" s="79">
        <v>673</v>
      </c>
      <c r="K340" s="13"/>
      <c r="L340" s="13"/>
    </row>
    <row r="341" spans="1:12" x14ac:dyDescent="0.2">
      <c r="A341" s="76">
        <v>213</v>
      </c>
      <c r="B341" s="76">
        <v>1</v>
      </c>
      <c r="C341" s="76" t="s">
        <v>131</v>
      </c>
      <c r="D341" s="76">
        <v>1996</v>
      </c>
      <c r="E341" s="76">
        <v>1997</v>
      </c>
      <c r="F341" s="81">
        <v>315</v>
      </c>
      <c r="G341" s="76">
        <v>5</v>
      </c>
      <c r="H341" s="76">
        <v>1</v>
      </c>
      <c r="I341" s="79">
        <v>949</v>
      </c>
      <c r="J341" s="79">
        <v>916</v>
      </c>
      <c r="K341" s="13"/>
      <c r="L341" s="13"/>
    </row>
    <row r="342" spans="1:12" x14ac:dyDescent="0.2">
      <c r="A342" s="76">
        <v>219</v>
      </c>
      <c r="B342" s="76">
        <v>1</v>
      </c>
      <c r="C342" s="76" t="s">
        <v>521</v>
      </c>
      <c r="D342" s="76">
        <v>1991</v>
      </c>
      <c r="E342" s="76">
        <v>1992</v>
      </c>
      <c r="F342" s="81">
        <v>260.57</v>
      </c>
      <c r="G342" s="76">
        <v>5</v>
      </c>
      <c r="H342" s="76">
        <v>1</v>
      </c>
      <c r="I342" s="79" t="s">
        <v>840</v>
      </c>
      <c r="J342" s="79" t="s">
        <v>840</v>
      </c>
      <c r="K342" s="13"/>
      <c r="L342" s="13"/>
    </row>
    <row r="343" spans="1:12" x14ac:dyDescent="0.2">
      <c r="A343" s="76">
        <v>227</v>
      </c>
      <c r="B343" s="76">
        <v>1</v>
      </c>
      <c r="C343" s="76" t="s">
        <v>132</v>
      </c>
      <c r="D343" s="76">
        <v>1995</v>
      </c>
      <c r="E343" s="76">
        <v>1996</v>
      </c>
      <c r="F343" s="81">
        <v>337</v>
      </c>
      <c r="G343" s="76">
        <v>10</v>
      </c>
      <c r="H343" s="76">
        <v>1</v>
      </c>
      <c r="I343" s="79">
        <v>658</v>
      </c>
      <c r="J343" s="79">
        <v>434</v>
      </c>
      <c r="K343" s="13"/>
      <c r="L343" s="13"/>
    </row>
    <row r="344" spans="1:12" x14ac:dyDescent="0.2">
      <c r="A344" s="76">
        <v>227</v>
      </c>
      <c r="B344" s="76">
        <v>1</v>
      </c>
      <c r="C344" s="76" t="s">
        <v>132</v>
      </c>
      <c r="D344" s="76">
        <v>2001</v>
      </c>
      <c r="E344" s="76">
        <v>2002</v>
      </c>
      <c r="F344" s="81">
        <v>350</v>
      </c>
      <c r="G344" s="76">
        <v>10</v>
      </c>
      <c r="H344" s="76">
        <v>1</v>
      </c>
      <c r="I344" s="79">
        <v>643</v>
      </c>
      <c r="J344" s="79">
        <v>488</v>
      </c>
      <c r="K344" s="13"/>
      <c r="L344" s="13"/>
    </row>
    <row r="345" spans="1:12" x14ac:dyDescent="0.2">
      <c r="A345" s="76">
        <v>229</v>
      </c>
      <c r="B345" s="76">
        <v>1</v>
      </c>
      <c r="C345" s="76" t="s">
        <v>133</v>
      </c>
      <c r="D345" s="76">
        <v>1996</v>
      </c>
      <c r="E345" s="76">
        <v>1997</v>
      </c>
      <c r="F345" s="81">
        <v>315</v>
      </c>
      <c r="G345" s="76">
        <v>10</v>
      </c>
      <c r="H345" s="76">
        <v>1</v>
      </c>
      <c r="I345" s="79">
        <v>445</v>
      </c>
      <c r="J345" s="79">
        <v>385</v>
      </c>
      <c r="K345" s="13"/>
      <c r="L345" s="13"/>
    </row>
    <row r="346" spans="1:12" x14ac:dyDescent="0.2">
      <c r="A346" s="76">
        <v>229</v>
      </c>
      <c r="B346" s="76">
        <v>1</v>
      </c>
      <c r="C346" s="76" t="s">
        <v>133</v>
      </c>
      <c r="D346" s="76">
        <v>2001</v>
      </c>
      <c r="E346" s="76">
        <v>2002</v>
      </c>
      <c r="F346" s="81">
        <v>315</v>
      </c>
      <c r="G346" s="76">
        <v>10</v>
      </c>
      <c r="H346" s="76">
        <v>1</v>
      </c>
      <c r="I346" s="79">
        <v>249</v>
      </c>
      <c r="J346" s="79">
        <v>99</v>
      </c>
      <c r="K346" s="13"/>
      <c r="L346" s="13"/>
    </row>
    <row r="347" spans="1:12" x14ac:dyDescent="0.2">
      <c r="A347" s="76">
        <v>233</v>
      </c>
      <c r="B347" s="76">
        <v>1</v>
      </c>
      <c r="C347" s="76" t="s">
        <v>733</v>
      </c>
      <c r="D347" s="76">
        <v>1991</v>
      </c>
      <c r="E347" s="76">
        <v>1993</v>
      </c>
      <c r="F347" s="81">
        <v>125.2</v>
      </c>
      <c r="G347" s="76">
        <v>5</v>
      </c>
      <c r="H347" s="76">
        <v>0</v>
      </c>
      <c r="I347" s="79" t="s">
        <v>840</v>
      </c>
      <c r="J347" s="79" t="s">
        <v>840</v>
      </c>
      <c r="K347" s="13"/>
      <c r="L347" s="13"/>
    </row>
    <row r="348" spans="1:12" x14ac:dyDescent="0.2">
      <c r="A348" s="76">
        <v>238</v>
      </c>
      <c r="B348" s="76">
        <v>1</v>
      </c>
      <c r="C348" s="76" t="s">
        <v>134</v>
      </c>
      <c r="D348" s="76">
        <v>1995</v>
      </c>
      <c r="E348" s="76">
        <v>1996</v>
      </c>
      <c r="F348" s="81">
        <v>271.54000000000002</v>
      </c>
      <c r="G348" s="76">
        <v>10</v>
      </c>
      <c r="H348" s="76">
        <v>1</v>
      </c>
      <c r="I348" s="79">
        <v>279</v>
      </c>
      <c r="J348" s="79">
        <v>111</v>
      </c>
      <c r="K348" s="13"/>
      <c r="L348" s="13"/>
    </row>
    <row r="349" spans="1:12" x14ac:dyDescent="0.2">
      <c r="A349" s="76">
        <v>238</v>
      </c>
      <c r="B349" s="76">
        <v>1</v>
      </c>
      <c r="C349" s="76" t="s">
        <v>134</v>
      </c>
      <c r="D349" s="76">
        <v>2002</v>
      </c>
      <c r="E349" s="76">
        <v>2003</v>
      </c>
      <c r="F349" s="81">
        <v>775</v>
      </c>
      <c r="G349" s="76">
        <v>7</v>
      </c>
      <c r="H349" s="76">
        <v>0</v>
      </c>
      <c r="I349" s="79">
        <v>392</v>
      </c>
      <c r="J349" s="79">
        <v>475</v>
      </c>
      <c r="K349" s="13"/>
      <c r="L349" s="13"/>
    </row>
    <row r="350" spans="1:12" x14ac:dyDescent="0.2">
      <c r="A350" s="76">
        <v>238</v>
      </c>
      <c r="B350" s="76">
        <v>1</v>
      </c>
      <c r="C350" s="76" t="s">
        <v>134</v>
      </c>
      <c r="D350" s="76">
        <v>2003</v>
      </c>
      <c r="E350" s="76">
        <v>2004</v>
      </c>
      <c r="F350" s="81">
        <v>300</v>
      </c>
      <c r="G350" s="76">
        <v>5</v>
      </c>
      <c r="H350" s="76">
        <v>1</v>
      </c>
      <c r="I350" s="79">
        <v>262</v>
      </c>
      <c r="J350" s="79">
        <v>189</v>
      </c>
      <c r="K350" s="13"/>
      <c r="L350" s="13"/>
    </row>
    <row r="351" spans="1:12" x14ac:dyDescent="0.2">
      <c r="A351" s="76">
        <v>238</v>
      </c>
      <c r="B351" s="76">
        <v>1</v>
      </c>
      <c r="C351" s="76" t="s">
        <v>996</v>
      </c>
      <c r="D351" s="76">
        <v>2005</v>
      </c>
      <c r="E351" s="76">
        <v>2006</v>
      </c>
      <c r="F351" s="81">
        <v>1207.96</v>
      </c>
      <c r="G351" s="76">
        <v>6</v>
      </c>
      <c r="H351" s="78">
        <v>1</v>
      </c>
      <c r="I351" s="77">
        <v>479</v>
      </c>
      <c r="J351" s="77">
        <v>229</v>
      </c>
      <c r="K351" s="13"/>
      <c r="L351" s="13"/>
    </row>
    <row r="352" spans="1:12" x14ac:dyDescent="0.2">
      <c r="A352" s="76">
        <v>239</v>
      </c>
      <c r="B352" s="76">
        <v>1</v>
      </c>
      <c r="C352" s="76" t="s">
        <v>734</v>
      </c>
      <c r="D352" s="76">
        <v>1992</v>
      </c>
      <c r="E352" s="76">
        <v>1993</v>
      </c>
      <c r="F352" s="81">
        <v>151.52000000000001</v>
      </c>
      <c r="G352" s="76">
        <v>5</v>
      </c>
      <c r="H352" s="76">
        <v>0</v>
      </c>
      <c r="I352" s="79" t="s">
        <v>840</v>
      </c>
      <c r="J352" s="79" t="s">
        <v>840</v>
      </c>
      <c r="K352" s="13"/>
      <c r="L352" s="13"/>
    </row>
    <row r="353" spans="1:12" x14ac:dyDescent="0.2">
      <c r="A353" s="76">
        <v>239</v>
      </c>
      <c r="B353" s="76">
        <v>1</v>
      </c>
      <c r="C353" s="76" t="s">
        <v>135</v>
      </c>
      <c r="D353" s="76">
        <v>1996</v>
      </c>
      <c r="E353" s="76">
        <v>1997</v>
      </c>
      <c r="F353" s="81">
        <v>289.7</v>
      </c>
      <c r="G353" s="76">
        <v>5</v>
      </c>
      <c r="H353" s="76">
        <v>0</v>
      </c>
      <c r="I353" s="79">
        <v>817</v>
      </c>
      <c r="J353" s="79">
        <v>887</v>
      </c>
      <c r="K353" s="13"/>
      <c r="L353" s="13"/>
    </row>
    <row r="354" spans="1:12" x14ac:dyDescent="0.2">
      <c r="A354" s="76">
        <v>239</v>
      </c>
      <c r="B354" s="76">
        <v>1</v>
      </c>
      <c r="C354" s="76" t="s">
        <v>735</v>
      </c>
      <c r="D354" s="76">
        <v>1997</v>
      </c>
      <c r="E354" s="76">
        <v>1998</v>
      </c>
      <c r="F354" s="81">
        <v>279.35000000000002</v>
      </c>
      <c r="G354" s="76">
        <v>5</v>
      </c>
      <c r="H354" s="76">
        <v>1</v>
      </c>
      <c r="I354" s="79">
        <v>775</v>
      </c>
      <c r="J354" s="79">
        <v>267</v>
      </c>
      <c r="K354" s="13"/>
      <c r="L354" s="13"/>
    </row>
    <row r="355" spans="1:12" x14ac:dyDescent="0.2">
      <c r="A355" s="76">
        <v>239</v>
      </c>
      <c r="B355" s="76">
        <v>1</v>
      </c>
      <c r="C355" s="76" t="s">
        <v>135</v>
      </c>
      <c r="D355" s="76">
        <v>2001</v>
      </c>
      <c r="E355" s="76">
        <v>2002</v>
      </c>
      <c r="F355" s="81">
        <v>837</v>
      </c>
      <c r="G355" s="76">
        <v>10</v>
      </c>
      <c r="H355" s="76">
        <v>1</v>
      </c>
      <c r="I355" s="79">
        <v>795</v>
      </c>
      <c r="J355" s="79">
        <v>479</v>
      </c>
      <c r="K355" s="13"/>
      <c r="L355" s="13"/>
    </row>
    <row r="356" spans="1:12" x14ac:dyDescent="0.2">
      <c r="A356" s="76">
        <v>241</v>
      </c>
      <c r="B356" s="76">
        <v>1</v>
      </c>
      <c r="C356" s="76" t="s">
        <v>136</v>
      </c>
      <c r="D356" s="76">
        <v>1992</v>
      </c>
      <c r="E356" s="76">
        <v>1993</v>
      </c>
      <c r="F356" s="81">
        <v>150</v>
      </c>
      <c r="G356" s="76">
        <v>5</v>
      </c>
      <c r="H356" s="76">
        <v>1</v>
      </c>
      <c r="I356" s="79" t="s">
        <v>840</v>
      </c>
      <c r="J356" s="79" t="s">
        <v>840</v>
      </c>
      <c r="K356" s="13"/>
      <c r="L356" s="13"/>
    </row>
    <row r="357" spans="1:12" x14ac:dyDescent="0.2">
      <c r="A357" s="76">
        <v>241</v>
      </c>
      <c r="B357" s="76">
        <v>1</v>
      </c>
      <c r="C357" s="76" t="s">
        <v>136</v>
      </c>
      <c r="D357" s="76">
        <v>1996</v>
      </c>
      <c r="E357" s="76">
        <v>1998</v>
      </c>
      <c r="F357" s="81">
        <v>150</v>
      </c>
      <c r="G357" s="76">
        <v>10</v>
      </c>
      <c r="H357" s="76">
        <v>1</v>
      </c>
      <c r="I357" s="79">
        <v>6503</v>
      </c>
      <c r="J357" s="79">
        <v>4465</v>
      </c>
      <c r="K357" s="13"/>
      <c r="L357" s="13"/>
    </row>
    <row r="358" spans="1:12" x14ac:dyDescent="0.2">
      <c r="A358" s="76">
        <v>241</v>
      </c>
      <c r="B358" s="76">
        <v>1</v>
      </c>
      <c r="C358" s="76" t="s">
        <v>136</v>
      </c>
      <c r="D358" s="76">
        <v>2001</v>
      </c>
      <c r="E358" s="76">
        <v>2002</v>
      </c>
      <c r="F358" s="81">
        <v>358</v>
      </c>
      <c r="G358" s="76">
        <v>10</v>
      </c>
      <c r="H358" s="76">
        <v>0</v>
      </c>
      <c r="I358" s="79">
        <v>2794</v>
      </c>
      <c r="J358" s="79">
        <v>4233</v>
      </c>
      <c r="K358" s="13"/>
      <c r="L358" s="13"/>
    </row>
    <row r="359" spans="1:12" x14ac:dyDescent="0.2">
      <c r="A359" s="76">
        <v>241</v>
      </c>
      <c r="B359" s="76">
        <v>1</v>
      </c>
      <c r="C359" s="76" t="s">
        <v>136</v>
      </c>
      <c r="D359" s="76">
        <v>2002</v>
      </c>
      <c r="E359" s="76">
        <v>2003</v>
      </c>
      <c r="F359" s="81">
        <v>125</v>
      </c>
      <c r="G359" s="76">
        <v>5</v>
      </c>
      <c r="H359" s="76">
        <v>1</v>
      </c>
      <c r="I359" s="79">
        <v>5825</v>
      </c>
      <c r="J359" s="79">
        <v>4919</v>
      </c>
      <c r="K359" s="13"/>
      <c r="L359" s="13"/>
    </row>
    <row r="360" spans="1:12" x14ac:dyDescent="0.2">
      <c r="A360" s="76">
        <v>241</v>
      </c>
      <c r="B360" s="76">
        <v>1</v>
      </c>
      <c r="C360" s="76" t="s">
        <v>136</v>
      </c>
      <c r="D360" s="76">
        <v>2002</v>
      </c>
      <c r="E360" s="76">
        <v>2003</v>
      </c>
      <c r="F360" s="81">
        <v>365</v>
      </c>
      <c r="G360" s="76">
        <v>5</v>
      </c>
      <c r="H360" s="76">
        <v>1</v>
      </c>
      <c r="I360" s="79">
        <v>6227</v>
      </c>
      <c r="J360" s="79">
        <v>4577</v>
      </c>
      <c r="K360" s="13"/>
      <c r="L360" s="13"/>
    </row>
    <row r="361" spans="1:12" x14ac:dyDescent="0.2">
      <c r="A361" s="76">
        <v>241</v>
      </c>
      <c r="B361" s="76">
        <v>1</v>
      </c>
      <c r="C361" s="76" t="s">
        <v>136</v>
      </c>
      <c r="D361" s="76">
        <v>2006</v>
      </c>
      <c r="E361" s="78">
        <v>2007</v>
      </c>
      <c r="F361" s="81">
        <v>460</v>
      </c>
      <c r="G361" s="78">
        <v>5</v>
      </c>
      <c r="H361" s="76">
        <v>0</v>
      </c>
      <c r="I361" s="77">
        <v>4568</v>
      </c>
      <c r="J361" s="77">
        <v>6407</v>
      </c>
      <c r="K361" s="13"/>
      <c r="L361" s="13"/>
    </row>
    <row r="362" spans="1:12" x14ac:dyDescent="0.2">
      <c r="A362" s="76">
        <v>241</v>
      </c>
      <c r="B362" s="76">
        <v>1</v>
      </c>
      <c r="C362" s="76" t="s">
        <v>136</v>
      </c>
      <c r="D362" s="82">
        <v>2007</v>
      </c>
      <c r="E362" s="83">
        <v>2008</v>
      </c>
      <c r="F362" s="78">
        <v>89</v>
      </c>
      <c r="G362" s="76">
        <v>7</v>
      </c>
      <c r="H362" s="77">
        <v>1</v>
      </c>
      <c r="I362" s="77">
        <v>4674</v>
      </c>
      <c r="J362" s="79">
        <v>3795</v>
      </c>
      <c r="K362" s="13"/>
      <c r="L362" s="13"/>
    </row>
    <row r="363" spans="1:12" x14ac:dyDescent="0.2">
      <c r="A363" s="76">
        <v>241</v>
      </c>
      <c r="B363" s="76">
        <v>1</v>
      </c>
      <c r="C363" s="76" t="s">
        <v>136</v>
      </c>
      <c r="D363" s="82">
        <v>2007</v>
      </c>
      <c r="E363" s="83">
        <v>2008</v>
      </c>
      <c r="F363" s="78">
        <v>869</v>
      </c>
      <c r="G363" s="76">
        <v>7</v>
      </c>
      <c r="H363" s="77">
        <v>1</v>
      </c>
      <c r="I363" s="77">
        <v>5014</v>
      </c>
      <c r="J363" s="79">
        <v>3522</v>
      </c>
      <c r="K363" s="13"/>
      <c r="L363" s="13"/>
    </row>
    <row r="364" spans="1:12" x14ac:dyDescent="0.2">
      <c r="A364" s="76">
        <v>242</v>
      </c>
      <c r="B364" s="76">
        <v>1</v>
      </c>
      <c r="C364" s="76" t="s">
        <v>137</v>
      </c>
      <c r="D364" s="76">
        <v>2004</v>
      </c>
      <c r="E364" s="76">
        <v>2005</v>
      </c>
      <c r="F364" s="81">
        <v>478</v>
      </c>
      <c r="G364" s="76">
        <v>10</v>
      </c>
      <c r="H364" s="76">
        <v>1</v>
      </c>
      <c r="I364" s="79">
        <v>568</v>
      </c>
      <c r="J364" s="79">
        <v>348</v>
      </c>
      <c r="K364" s="13"/>
      <c r="L364" s="13"/>
    </row>
    <row r="365" spans="1:12" x14ac:dyDescent="0.2">
      <c r="A365" s="76">
        <v>243</v>
      </c>
      <c r="B365" s="76">
        <v>1</v>
      </c>
      <c r="C365" s="76" t="s">
        <v>525</v>
      </c>
      <c r="D365" s="76">
        <v>1995</v>
      </c>
      <c r="E365" s="76">
        <v>1996</v>
      </c>
      <c r="F365" s="81">
        <v>310.10000000000002</v>
      </c>
      <c r="G365" s="76">
        <v>5</v>
      </c>
      <c r="H365" s="76">
        <v>1</v>
      </c>
      <c r="I365" s="79">
        <v>115</v>
      </c>
      <c r="J365" s="79">
        <v>26</v>
      </c>
      <c r="K365" s="13"/>
      <c r="L365" s="13"/>
    </row>
    <row r="366" spans="1:12" x14ac:dyDescent="0.2">
      <c r="A366" s="76">
        <v>245</v>
      </c>
      <c r="B366" s="76">
        <v>1</v>
      </c>
      <c r="C366" s="76" t="s">
        <v>526</v>
      </c>
      <c r="D366" s="76">
        <v>1994</v>
      </c>
      <c r="E366" s="76">
        <v>1995</v>
      </c>
      <c r="F366" s="81">
        <v>681</v>
      </c>
      <c r="G366" s="76">
        <v>10</v>
      </c>
      <c r="H366" s="76">
        <v>1</v>
      </c>
      <c r="I366" s="79">
        <v>506</v>
      </c>
      <c r="J366" s="79">
        <v>369</v>
      </c>
      <c r="K366" s="13"/>
      <c r="L366" s="13"/>
    </row>
    <row r="367" spans="1:12" x14ac:dyDescent="0.2">
      <c r="A367" s="76">
        <v>252</v>
      </c>
      <c r="B367" s="76">
        <v>1</v>
      </c>
      <c r="C367" s="76" t="s">
        <v>138</v>
      </c>
      <c r="D367" s="76">
        <v>1992</v>
      </c>
      <c r="E367" s="76">
        <v>1993</v>
      </c>
      <c r="F367" s="81">
        <v>320</v>
      </c>
      <c r="G367" s="76">
        <v>5</v>
      </c>
      <c r="H367" s="76">
        <v>1</v>
      </c>
      <c r="I367" s="79" t="s">
        <v>840</v>
      </c>
      <c r="J367" s="79" t="s">
        <v>840</v>
      </c>
      <c r="K367" s="13"/>
      <c r="L367" s="13"/>
    </row>
    <row r="368" spans="1:12" x14ac:dyDescent="0.2">
      <c r="A368" s="76">
        <v>252</v>
      </c>
      <c r="B368" s="76">
        <v>1</v>
      </c>
      <c r="C368" s="76" t="s">
        <v>138</v>
      </c>
      <c r="D368" s="76">
        <v>2000</v>
      </c>
      <c r="E368" s="76">
        <v>2001</v>
      </c>
      <c r="F368" s="81">
        <v>415</v>
      </c>
      <c r="G368" s="76">
        <v>10</v>
      </c>
      <c r="H368" s="76">
        <v>1</v>
      </c>
      <c r="I368" s="79">
        <v>2725</v>
      </c>
      <c r="J368" s="79">
        <v>1117</v>
      </c>
      <c r="K368" s="13"/>
      <c r="L368" s="13"/>
    </row>
    <row r="369" spans="1:12" x14ac:dyDescent="0.2">
      <c r="A369" s="76">
        <v>252</v>
      </c>
      <c r="B369" s="76">
        <v>1</v>
      </c>
      <c r="C369" s="76" t="s">
        <v>138</v>
      </c>
      <c r="D369" s="76">
        <v>2004</v>
      </c>
      <c r="E369" s="76">
        <v>2005</v>
      </c>
      <c r="F369" s="81">
        <v>500</v>
      </c>
      <c r="G369" s="76">
        <v>3</v>
      </c>
      <c r="H369" s="76">
        <v>1</v>
      </c>
      <c r="I369" s="79">
        <v>2521</v>
      </c>
      <c r="J369" s="79">
        <v>1865</v>
      </c>
      <c r="K369" s="13"/>
      <c r="L369" s="13"/>
    </row>
    <row r="370" spans="1:12" x14ac:dyDescent="0.2">
      <c r="A370" s="76">
        <v>252</v>
      </c>
      <c r="B370" s="76">
        <v>1</v>
      </c>
      <c r="C370" s="76" t="s">
        <v>138</v>
      </c>
      <c r="D370" s="82">
        <v>2007</v>
      </c>
      <c r="E370" s="83">
        <v>2008</v>
      </c>
      <c r="F370" s="78">
        <v>500</v>
      </c>
      <c r="G370" s="76">
        <v>6</v>
      </c>
      <c r="H370" s="77">
        <v>1</v>
      </c>
      <c r="I370" s="77">
        <v>1695</v>
      </c>
      <c r="J370" s="79">
        <v>580</v>
      </c>
      <c r="K370" s="13"/>
      <c r="L370" s="13"/>
    </row>
    <row r="371" spans="1:12" x14ac:dyDescent="0.2">
      <c r="A371" s="76">
        <v>253</v>
      </c>
      <c r="B371" s="76">
        <v>1</v>
      </c>
      <c r="C371" s="76" t="s">
        <v>139</v>
      </c>
      <c r="D371" s="76">
        <v>1991</v>
      </c>
      <c r="E371" s="76">
        <v>1993</v>
      </c>
      <c r="F371" s="81">
        <v>200</v>
      </c>
      <c r="G371" s="76">
        <v>5</v>
      </c>
      <c r="H371" s="76">
        <v>1</v>
      </c>
      <c r="I371" s="79" t="s">
        <v>840</v>
      </c>
      <c r="J371" s="79" t="s">
        <v>840</v>
      </c>
      <c r="K371" s="13"/>
      <c r="L371" s="13"/>
    </row>
    <row r="372" spans="1:12" x14ac:dyDescent="0.2">
      <c r="A372" s="76">
        <v>253</v>
      </c>
      <c r="B372" s="76">
        <v>1</v>
      </c>
      <c r="C372" s="76" t="s">
        <v>139</v>
      </c>
      <c r="D372" s="76">
        <v>1997</v>
      </c>
      <c r="E372" s="76">
        <v>1998</v>
      </c>
      <c r="F372" s="81">
        <v>101</v>
      </c>
      <c r="G372" s="76">
        <v>10</v>
      </c>
      <c r="H372" s="76">
        <v>1</v>
      </c>
      <c r="I372" s="79">
        <v>226</v>
      </c>
      <c r="J372" s="79">
        <v>71</v>
      </c>
      <c r="K372" s="13"/>
      <c r="L372" s="13"/>
    </row>
    <row r="373" spans="1:12" x14ac:dyDescent="0.2">
      <c r="A373" s="76">
        <v>253</v>
      </c>
      <c r="B373" s="76">
        <v>1</v>
      </c>
      <c r="C373" s="76" t="s">
        <v>139</v>
      </c>
      <c r="D373" s="76">
        <v>2001</v>
      </c>
      <c r="E373" s="76">
        <v>2002</v>
      </c>
      <c r="F373" s="81">
        <v>126</v>
      </c>
      <c r="G373" s="76">
        <v>10</v>
      </c>
      <c r="H373" s="76">
        <v>1</v>
      </c>
      <c r="I373" s="79">
        <v>460</v>
      </c>
      <c r="J373" s="79">
        <v>155</v>
      </c>
      <c r="K373" s="13"/>
      <c r="L373" s="13"/>
    </row>
    <row r="374" spans="1:12" x14ac:dyDescent="0.2">
      <c r="A374" s="76">
        <v>255</v>
      </c>
      <c r="B374" s="76">
        <v>1</v>
      </c>
      <c r="C374" s="76" t="s">
        <v>140</v>
      </c>
      <c r="D374" s="76">
        <v>1994</v>
      </c>
      <c r="E374" s="76">
        <v>1995</v>
      </c>
      <c r="F374" s="81">
        <v>253</v>
      </c>
      <c r="G374" s="76">
        <v>5</v>
      </c>
      <c r="H374" s="76">
        <v>0</v>
      </c>
      <c r="I374" s="79">
        <v>741</v>
      </c>
      <c r="J374" s="79">
        <v>931</v>
      </c>
      <c r="K374" s="13"/>
      <c r="L374" s="13"/>
    </row>
    <row r="375" spans="1:12" x14ac:dyDescent="0.2">
      <c r="A375" s="76">
        <v>255</v>
      </c>
      <c r="B375" s="76">
        <v>1</v>
      </c>
      <c r="C375" s="76" t="s">
        <v>140</v>
      </c>
      <c r="D375" s="76">
        <v>1996</v>
      </c>
      <c r="E375" s="76">
        <v>1997</v>
      </c>
      <c r="F375" s="81">
        <v>460.44</v>
      </c>
      <c r="G375" s="76">
        <v>10</v>
      </c>
      <c r="H375" s="76">
        <v>0</v>
      </c>
      <c r="I375" s="79">
        <v>920</v>
      </c>
      <c r="J375" s="79">
        <v>1226</v>
      </c>
      <c r="K375" s="13"/>
      <c r="L375" s="13"/>
    </row>
    <row r="376" spans="1:12" x14ac:dyDescent="0.2">
      <c r="A376" s="76">
        <v>255</v>
      </c>
      <c r="B376" s="76">
        <v>1</v>
      </c>
      <c r="C376" s="76" t="s">
        <v>140</v>
      </c>
      <c r="D376" s="76">
        <v>1997</v>
      </c>
      <c r="E376" s="76">
        <v>1998</v>
      </c>
      <c r="F376" s="81">
        <v>400</v>
      </c>
      <c r="G376" s="76">
        <v>10</v>
      </c>
      <c r="H376" s="76">
        <v>1</v>
      </c>
      <c r="I376" s="79">
        <v>651</v>
      </c>
      <c r="J376" s="79">
        <v>440</v>
      </c>
      <c r="K376" s="13"/>
      <c r="L376" s="13"/>
    </row>
    <row r="377" spans="1:12" x14ac:dyDescent="0.2">
      <c r="A377" s="76">
        <v>255</v>
      </c>
      <c r="B377" s="76">
        <v>1</v>
      </c>
      <c r="C377" s="76" t="s">
        <v>140</v>
      </c>
      <c r="D377" s="76">
        <v>2002</v>
      </c>
      <c r="E377" s="76">
        <v>2003</v>
      </c>
      <c r="F377" s="81">
        <v>450</v>
      </c>
      <c r="G377" s="76">
        <v>10</v>
      </c>
      <c r="H377" s="76">
        <v>0</v>
      </c>
      <c r="I377" s="79">
        <v>1299</v>
      </c>
      <c r="J377" s="79">
        <v>1324</v>
      </c>
      <c r="K377" s="13"/>
      <c r="L377" s="13"/>
    </row>
    <row r="378" spans="1:12" x14ac:dyDescent="0.2">
      <c r="A378" s="76">
        <v>255</v>
      </c>
      <c r="B378" s="76">
        <v>1</v>
      </c>
      <c r="C378" s="76" t="s">
        <v>140</v>
      </c>
      <c r="D378" s="76">
        <v>2003</v>
      </c>
      <c r="E378" s="76">
        <v>2004</v>
      </c>
      <c r="F378" s="81">
        <v>500</v>
      </c>
      <c r="G378" s="76">
        <v>10</v>
      </c>
      <c r="H378" s="76">
        <v>1</v>
      </c>
      <c r="I378" s="79">
        <v>908</v>
      </c>
      <c r="J378" s="79">
        <v>425</v>
      </c>
      <c r="K378" s="13"/>
      <c r="L378" s="13"/>
    </row>
    <row r="379" spans="1:12" x14ac:dyDescent="0.2">
      <c r="A379" s="76">
        <v>256</v>
      </c>
      <c r="B379" s="76">
        <v>1</v>
      </c>
      <c r="C379" s="76" t="s">
        <v>141</v>
      </c>
      <c r="D379" s="76">
        <v>1998</v>
      </c>
      <c r="E379" s="76">
        <v>1999</v>
      </c>
      <c r="F379" s="81">
        <v>500</v>
      </c>
      <c r="G379" s="76">
        <v>5</v>
      </c>
      <c r="H379" s="76">
        <v>0</v>
      </c>
      <c r="I379" s="79">
        <v>2153</v>
      </c>
      <c r="J379" s="79">
        <v>3774</v>
      </c>
      <c r="K379" s="13"/>
      <c r="L379" s="13"/>
    </row>
    <row r="380" spans="1:12" x14ac:dyDescent="0.2">
      <c r="A380" s="76">
        <v>256</v>
      </c>
      <c r="B380" s="76">
        <v>1</v>
      </c>
      <c r="C380" s="76" t="s">
        <v>141</v>
      </c>
      <c r="D380" s="76">
        <v>2000</v>
      </c>
      <c r="E380" s="76">
        <v>2001</v>
      </c>
      <c r="F380" s="81">
        <v>300</v>
      </c>
      <c r="G380" s="76">
        <v>10</v>
      </c>
      <c r="H380" s="76">
        <v>1</v>
      </c>
      <c r="I380" s="79">
        <v>3301</v>
      </c>
      <c r="J380" s="79">
        <v>2413</v>
      </c>
      <c r="K380" s="13"/>
      <c r="L380" s="13"/>
    </row>
    <row r="381" spans="1:12" x14ac:dyDescent="0.2">
      <c r="A381" s="76">
        <v>256</v>
      </c>
      <c r="B381" s="76">
        <v>1</v>
      </c>
      <c r="C381" s="76" t="s">
        <v>141</v>
      </c>
      <c r="D381" s="76">
        <v>2002</v>
      </c>
      <c r="E381" s="76">
        <v>2003</v>
      </c>
      <c r="F381" s="81">
        <v>75</v>
      </c>
      <c r="G381" s="76">
        <v>5</v>
      </c>
      <c r="H381" s="76">
        <v>0</v>
      </c>
      <c r="I381" s="79">
        <v>1831</v>
      </c>
      <c r="J381" s="79">
        <v>3109</v>
      </c>
      <c r="K381" s="13"/>
      <c r="L381" s="13"/>
    </row>
    <row r="382" spans="1:12" x14ac:dyDescent="0.2">
      <c r="A382" s="76">
        <v>256</v>
      </c>
      <c r="B382" s="76">
        <v>1</v>
      </c>
      <c r="C382" s="76" t="s">
        <v>141</v>
      </c>
      <c r="D382" s="76">
        <v>2002</v>
      </c>
      <c r="E382" s="76">
        <v>2003</v>
      </c>
      <c r="F382" s="81">
        <v>75</v>
      </c>
      <c r="G382" s="76">
        <v>5</v>
      </c>
      <c r="H382" s="76">
        <v>0</v>
      </c>
      <c r="I382" s="79">
        <v>1823</v>
      </c>
      <c r="J382" s="79">
        <v>3124</v>
      </c>
      <c r="K382" s="13"/>
      <c r="L382" s="13"/>
    </row>
    <row r="383" spans="1:12" x14ac:dyDescent="0.2">
      <c r="A383" s="76">
        <v>256</v>
      </c>
      <c r="B383" s="76">
        <v>1</v>
      </c>
      <c r="C383" s="76" t="s">
        <v>141</v>
      </c>
      <c r="D383" s="76">
        <v>2002</v>
      </c>
      <c r="E383" s="76">
        <v>2003</v>
      </c>
      <c r="F383" s="81">
        <v>625</v>
      </c>
      <c r="G383" s="76">
        <v>5</v>
      </c>
      <c r="H383" s="76">
        <v>0</v>
      </c>
      <c r="I383" s="79">
        <v>1819</v>
      </c>
      <c r="J383" s="79">
        <v>3148</v>
      </c>
      <c r="K383" s="13"/>
      <c r="L383" s="13"/>
    </row>
    <row r="384" spans="1:12" x14ac:dyDescent="0.2">
      <c r="A384" s="76">
        <v>256</v>
      </c>
      <c r="B384" s="76">
        <v>1</v>
      </c>
      <c r="C384" s="76" t="s">
        <v>141</v>
      </c>
      <c r="D384" s="76">
        <v>2003</v>
      </c>
      <c r="E384" s="76">
        <v>2004</v>
      </c>
      <c r="F384" s="81">
        <v>520</v>
      </c>
      <c r="G384" s="76">
        <v>5</v>
      </c>
      <c r="H384" s="76">
        <v>1</v>
      </c>
      <c r="I384" s="79">
        <v>2448</v>
      </c>
      <c r="J384" s="79">
        <v>2358</v>
      </c>
      <c r="K384" s="13"/>
      <c r="L384" s="13"/>
    </row>
    <row r="385" spans="1:12" x14ac:dyDescent="0.2">
      <c r="A385">
        <v>256</v>
      </c>
      <c r="B385">
        <v>1</v>
      </c>
      <c r="C385" t="s">
        <v>141</v>
      </c>
      <c r="D385">
        <v>2008</v>
      </c>
      <c r="E385" s="5">
        <v>2009</v>
      </c>
      <c r="F385" s="6">
        <v>936.41</v>
      </c>
      <c r="G385" s="5">
        <v>5</v>
      </c>
      <c r="H385" s="33">
        <v>1</v>
      </c>
      <c r="I385" s="33">
        <v>3440</v>
      </c>
      <c r="J385" s="33">
        <v>2024</v>
      </c>
      <c r="K385" s="13"/>
      <c r="L385" s="13"/>
    </row>
    <row r="386" spans="1:12" x14ac:dyDescent="0.2">
      <c r="A386">
        <v>256</v>
      </c>
      <c r="B386">
        <v>1</v>
      </c>
      <c r="C386" t="s">
        <v>141</v>
      </c>
      <c r="D386">
        <v>2008</v>
      </c>
      <c r="E386" s="5">
        <v>2009</v>
      </c>
      <c r="F386" s="6">
        <v>175</v>
      </c>
      <c r="G386" s="5">
        <v>5</v>
      </c>
      <c r="H386" s="33">
        <v>1</v>
      </c>
      <c r="I386" s="33">
        <v>3036</v>
      </c>
      <c r="J386" s="33">
        <v>2410</v>
      </c>
      <c r="K386" s="13"/>
      <c r="L386" s="13"/>
    </row>
    <row r="387" spans="1:12" x14ac:dyDescent="0.2">
      <c r="A387" s="76">
        <v>260</v>
      </c>
      <c r="B387" s="76">
        <v>1</v>
      </c>
      <c r="C387" s="76" t="s">
        <v>736</v>
      </c>
      <c r="D387" s="76">
        <v>1991</v>
      </c>
      <c r="E387" s="76">
        <v>1993</v>
      </c>
      <c r="F387" s="81">
        <v>225</v>
      </c>
      <c r="G387" s="76">
        <v>5</v>
      </c>
      <c r="H387" s="76">
        <v>1</v>
      </c>
      <c r="I387" s="79" t="s">
        <v>840</v>
      </c>
      <c r="J387" s="79" t="s">
        <v>840</v>
      </c>
      <c r="K387" s="13"/>
      <c r="L387" s="13"/>
    </row>
    <row r="388" spans="1:12" x14ac:dyDescent="0.2">
      <c r="A388" s="76">
        <v>264</v>
      </c>
      <c r="B388" s="76">
        <v>1</v>
      </c>
      <c r="C388" s="76" t="s">
        <v>737</v>
      </c>
      <c r="D388" s="76">
        <v>1992</v>
      </c>
      <c r="E388" s="76">
        <v>1993</v>
      </c>
      <c r="F388" s="81">
        <v>415.08</v>
      </c>
      <c r="G388" s="76">
        <v>5</v>
      </c>
      <c r="H388" s="76">
        <v>0</v>
      </c>
      <c r="I388" s="79" t="s">
        <v>840</v>
      </c>
      <c r="J388" s="79" t="s">
        <v>840</v>
      </c>
      <c r="K388" s="13"/>
      <c r="L388" s="13"/>
    </row>
    <row r="389" spans="1:12" x14ac:dyDescent="0.2">
      <c r="A389" s="76">
        <v>264</v>
      </c>
      <c r="B389" s="76">
        <v>1</v>
      </c>
      <c r="C389" s="76" t="s">
        <v>143</v>
      </c>
      <c r="D389" s="76">
        <v>1993</v>
      </c>
      <c r="E389" s="76">
        <v>1994</v>
      </c>
      <c r="F389" s="81">
        <v>926.28</v>
      </c>
      <c r="G389" s="76">
        <v>3</v>
      </c>
      <c r="H389" s="76">
        <v>1</v>
      </c>
      <c r="I389" s="79" t="s">
        <v>840</v>
      </c>
      <c r="J389" s="79" t="s">
        <v>840</v>
      </c>
      <c r="K389" s="13"/>
      <c r="L389" s="13"/>
    </row>
    <row r="390" spans="1:12" x14ac:dyDescent="0.2">
      <c r="A390" s="76">
        <v>264</v>
      </c>
      <c r="B390" s="76">
        <v>1</v>
      </c>
      <c r="C390" s="76" t="s">
        <v>143</v>
      </c>
      <c r="D390" s="76">
        <v>1996</v>
      </c>
      <c r="E390" s="76">
        <v>1997</v>
      </c>
      <c r="F390" s="81">
        <v>926.28</v>
      </c>
      <c r="G390" s="76">
        <v>3</v>
      </c>
      <c r="H390" s="76">
        <v>1</v>
      </c>
      <c r="I390" s="79">
        <v>467</v>
      </c>
      <c r="J390" s="79">
        <v>223</v>
      </c>
      <c r="K390" s="13"/>
      <c r="L390" s="13"/>
    </row>
    <row r="391" spans="1:12" x14ac:dyDescent="0.2">
      <c r="A391" s="76">
        <v>264</v>
      </c>
      <c r="B391" s="76">
        <v>1</v>
      </c>
      <c r="C391" s="76" t="s">
        <v>143</v>
      </c>
      <c r="D391" s="76">
        <v>1999</v>
      </c>
      <c r="E391" s="76">
        <v>2000</v>
      </c>
      <c r="F391" s="81">
        <v>926.28</v>
      </c>
      <c r="G391" s="76">
        <v>10</v>
      </c>
      <c r="H391" s="76">
        <v>1</v>
      </c>
      <c r="I391" s="79">
        <v>325</v>
      </c>
      <c r="J391" s="79">
        <v>94</v>
      </c>
      <c r="K391" s="13"/>
      <c r="L391" s="13"/>
    </row>
    <row r="392" spans="1:12" x14ac:dyDescent="0.2">
      <c r="A392" s="76">
        <v>264</v>
      </c>
      <c r="B392" s="76">
        <v>1</v>
      </c>
      <c r="C392" s="76" t="s">
        <v>143</v>
      </c>
      <c r="D392" s="76">
        <v>2004</v>
      </c>
      <c r="E392" s="76">
        <v>2005</v>
      </c>
      <c r="F392" s="81">
        <v>400</v>
      </c>
      <c r="G392" s="76">
        <v>10</v>
      </c>
      <c r="H392" s="76">
        <v>1</v>
      </c>
      <c r="I392" s="79">
        <v>425</v>
      </c>
      <c r="J392" s="79">
        <v>221</v>
      </c>
      <c r="K392" s="13"/>
      <c r="L392" s="13"/>
    </row>
    <row r="393" spans="1:12" x14ac:dyDescent="0.2">
      <c r="A393">
        <v>264</v>
      </c>
      <c r="B393">
        <v>1</v>
      </c>
      <c r="C393" t="s">
        <v>143</v>
      </c>
      <c r="D393">
        <v>2008</v>
      </c>
      <c r="E393" s="5">
        <v>2010</v>
      </c>
      <c r="F393" s="6">
        <v>927.24</v>
      </c>
      <c r="G393" s="5">
        <v>10</v>
      </c>
      <c r="H393" s="33">
        <v>1</v>
      </c>
      <c r="I393" s="33">
        <v>389</v>
      </c>
      <c r="J393" s="33">
        <v>188</v>
      </c>
      <c r="K393" s="13"/>
      <c r="L393" s="13"/>
    </row>
    <row r="394" spans="1:12" x14ac:dyDescent="0.2">
      <c r="A394" s="76">
        <v>270</v>
      </c>
      <c r="B394" s="76">
        <v>1</v>
      </c>
      <c r="C394" s="76" t="s">
        <v>144</v>
      </c>
      <c r="D394" s="76">
        <v>1995</v>
      </c>
      <c r="E394" s="76">
        <v>1996</v>
      </c>
      <c r="F394" s="81">
        <v>449</v>
      </c>
      <c r="G394" s="76">
        <v>5</v>
      </c>
      <c r="H394" s="76">
        <v>1</v>
      </c>
      <c r="I394" s="79">
        <v>6825</v>
      </c>
      <c r="J394" s="79">
        <v>3315</v>
      </c>
      <c r="K394" s="13"/>
      <c r="L394" s="13"/>
    </row>
    <row r="395" spans="1:12" x14ac:dyDescent="0.2">
      <c r="A395" s="76">
        <v>270</v>
      </c>
      <c r="B395" s="76">
        <v>1</v>
      </c>
      <c r="C395" s="76" t="s">
        <v>144</v>
      </c>
      <c r="D395" s="76">
        <v>1999</v>
      </c>
      <c r="E395" s="76">
        <v>2001</v>
      </c>
      <c r="F395" s="81">
        <v>449</v>
      </c>
      <c r="G395" s="76">
        <v>10</v>
      </c>
      <c r="H395" s="76">
        <v>1</v>
      </c>
      <c r="I395" s="79">
        <v>6024</v>
      </c>
      <c r="J395" s="79">
        <v>2758</v>
      </c>
      <c r="K395" s="13"/>
      <c r="L395" s="13"/>
    </row>
    <row r="396" spans="1:12" x14ac:dyDescent="0.2">
      <c r="A396" s="76">
        <v>270</v>
      </c>
      <c r="B396" s="76">
        <v>1</v>
      </c>
      <c r="C396" s="76" t="s">
        <v>144</v>
      </c>
      <c r="D396" s="76">
        <v>2001</v>
      </c>
      <c r="E396" s="76">
        <v>2002</v>
      </c>
      <c r="F396" s="81">
        <v>225</v>
      </c>
      <c r="G396" s="76">
        <v>10</v>
      </c>
      <c r="H396" s="76">
        <v>1</v>
      </c>
      <c r="I396" s="79">
        <v>6478</v>
      </c>
      <c r="J396" s="79">
        <v>5879</v>
      </c>
      <c r="K396" s="13"/>
      <c r="L396" s="13"/>
    </row>
    <row r="397" spans="1:12" x14ac:dyDescent="0.2">
      <c r="A397" s="76">
        <v>270</v>
      </c>
      <c r="B397" s="76">
        <v>1</v>
      </c>
      <c r="C397" s="76" t="s">
        <v>144</v>
      </c>
      <c r="D397" s="76">
        <v>2005</v>
      </c>
      <c r="E397" s="76">
        <v>2006</v>
      </c>
      <c r="F397" s="81">
        <v>1507.31</v>
      </c>
      <c r="G397" s="76">
        <v>10</v>
      </c>
      <c r="H397" s="78">
        <v>1</v>
      </c>
      <c r="I397" s="77">
        <v>6711</v>
      </c>
      <c r="J397" s="77">
        <v>3596</v>
      </c>
      <c r="K397" s="13"/>
      <c r="L397" s="13"/>
    </row>
    <row r="398" spans="1:12" x14ac:dyDescent="0.2">
      <c r="A398" s="76">
        <v>271</v>
      </c>
      <c r="B398" s="76">
        <v>1</v>
      </c>
      <c r="C398" s="76" t="s">
        <v>145</v>
      </c>
      <c r="D398" s="76">
        <v>1995</v>
      </c>
      <c r="E398" s="76">
        <v>1996</v>
      </c>
      <c r="F398" s="81">
        <v>444.18</v>
      </c>
      <c r="G398" s="76">
        <v>5</v>
      </c>
      <c r="H398" s="76">
        <v>1</v>
      </c>
      <c r="I398" s="79">
        <v>11236</v>
      </c>
      <c r="J398" s="79">
        <v>7051</v>
      </c>
      <c r="K398" s="13"/>
      <c r="L398" s="13"/>
    </row>
    <row r="399" spans="1:12" x14ac:dyDescent="0.2">
      <c r="A399" s="76">
        <v>271</v>
      </c>
      <c r="B399" s="76">
        <v>1</v>
      </c>
      <c r="C399" s="76" t="s">
        <v>145</v>
      </c>
      <c r="D399" s="76">
        <v>2000</v>
      </c>
      <c r="E399" s="76">
        <v>2001</v>
      </c>
      <c r="F399" s="81">
        <v>665.44</v>
      </c>
      <c r="G399" s="76">
        <v>10</v>
      </c>
      <c r="H399" s="76">
        <v>1</v>
      </c>
      <c r="I399" s="79">
        <v>24211</v>
      </c>
      <c r="J399" s="79">
        <v>18442</v>
      </c>
      <c r="K399" s="13"/>
      <c r="L399" s="13"/>
    </row>
    <row r="400" spans="1:12" x14ac:dyDescent="0.2">
      <c r="A400" s="76">
        <v>271</v>
      </c>
      <c r="B400" s="76">
        <v>1</v>
      </c>
      <c r="C400" s="76" t="s">
        <v>145</v>
      </c>
      <c r="D400" s="76">
        <v>2001</v>
      </c>
      <c r="E400" s="76">
        <v>2002</v>
      </c>
      <c r="F400" s="81">
        <v>247.3</v>
      </c>
      <c r="G400" s="76">
        <v>10</v>
      </c>
      <c r="H400" s="76">
        <v>0</v>
      </c>
      <c r="I400" s="79">
        <v>7381</v>
      </c>
      <c r="J400" s="79">
        <v>9346</v>
      </c>
      <c r="K400" s="13"/>
      <c r="L400" s="13"/>
    </row>
    <row r="401" spans="1:12" x14ac:dyDescent="0.2">
      <c r="A401" s="76">
        <v>271</v>
      </c>
      <c r="B401" s="76">
        <v>1</v>
      </c>
      <c r="C401" s="76" t="s">
        <v>145</v>
      </c>
      <c r="D401" s="76">
        <v>2003</v>
      </c>
      <c r="E401" s="76">
        <v>2004</v>
      </c>
      <c r="F401" s="81">
        <v>395.6</v>
      </c>
      <c r="G401" s="76">
        <v>10</v>
      </c>
      <c r="H401" s="76">
        <v>1</v>
      </c>
      <c r="I401" s="79">
        <v>10358</v>
      </c>
      <c r="J401" s="79">
        <v>8077</v>
      </c>
      <c r="K401" s="13"/>
      <c r="L401" s="13"/>
    </row>
    <row r="402" spans="1:12" x14ac:dyDescent="0.2">
      <c r="A402" s="76">
        <v>271</v>
      </c>
      <c r="B402" s="76">
        <v>1</v>
      </c>
      <c r="C402" s="76" t="s">
        <v>145</v>
      </c>
      <c r="D402" s="82">
        <v>2007</v>
      </c>
      <c r="E402" s="83">
        <v>2009</v>
      </c>
      <c r="F402" s="78">
        <v>511.71</v>
      </c>
      <c r="G402" s="76">
        <v>10</v>
      </c>
      <c r="H402" s="77">
        <v>1</v>
      </c>
      <c r="I402" s="77">
        <v>8675</v>
      </c>
      <c r="J402" s="79">
        <v>8402</v>
      </c>
      <c r="K402" s="13"/>
      <c r="L402" s="13"/>
    </row>
    <row r="403" spans="1:12" x14ac:dyDescent="0.2">
      <c r="A403" s="76">
        <v>272</v>
      </c>
      <c r="B403" s="76">
        <v>1</v>
      </c>
      <c r="C403" s="76" t="s">
        <v>146</v>
      </c>
      <c r="D403" s="76">
        <v>1999</v>
      </c>
      <c r="E403" s="76">
        <v>2000</v>
      </c>
      <c r="F403" s="81">
        <v>981.25</v>
      </c>
      <c r="G403" s="76">
        <v>10</v>
      </c>
      <c r="H403" s="76">
        <v>1</v>
      </c>
      <c r="I403" s="79">
        <v>3323</v>
      </c>
      <c r="J403" s="79">
        <v>2783</v>
      </c>
      <c r="K403" s="13"/>
      <c r="L403" s="13"/>
    </row>
    <row r="404" spans="1:12" x14ac:dyDescent="0.2">
      <c r="A404" s="76">
        <v>272</v>
      </c>
      <c r="B404" s="76">
        <v>1</v>
      </c>
      <c r="C404" s="76" t="s">
        <v>146</v>
      </c>
      <c r="D404" s="76">
        <v>2001</v>
      </c>
      <c r="E404" s="76">
        <v>2002</v>
      </c>
      <c r="F404" s="81">
        <v>415</v>
      </c>
      <c r="G404" s="76">
        <v>10</v>
      </c>
      <c r="H404" s="76">
        <v>0</v>
      </c>
      <c r="I404" s="79">
        <v>3238</v>
      </c>
      <c r="J404" s="79">
        <v>3699</v>
      </c>
      <c r="K404" s="13"/>
      <c r="L404" s="13"/>
    </row>
    <row r="405" spans="1:12" x14ac:dyDescent="0.2">
      <c r="A405" s="76">
        <v>272</v>
      </c>
      <c r="B405" s="76">
        <v>1</v>
      </c>
      <c r="C405" s="76" t="s">
        <v>146</v>
      </c>
      <c r="D405" s="76">
        <v>2002</v>
      </c>
      <c r="E405" s="76">
        <v>2003</v>
      </c>
      <c r="F405" s="81">
        <v>263.51</v>
      </c>
      <c r="G405" s="76">
        <v>7</v>
      </c>
      <c r="H405" s="76">
        <v>1</v>
      </c>
      <c r="I405" s="79">
        <v>14357</v>
      </c>
      <c r="J405" s="79">
        <v>9835</v>
      </c>
      <c r="K405" s="13"/>
      <c r="L405" s="13"/>
    </row>
    <row r="406" spans="1:12" x14ac:dyDescent="0.2">
      <c r="A406" s="76">
        <v>272</v>
      </c>
      <c r="B406" s="76">
        <v>1</v>
      </c>
      <c r="C406" s="76" t="s">
        <v>146</v>
      </c>
      <c r="D406" s="76">
        <v>2004</v>
      </c>
      <c r="E406" s="76">
        <v>2005</v>
      </c>
      <c r="F406" s="81">
        <v>1200</v>
      </c>
      <c r="G406" s="76">
        <v>10</v>
      </c>
      <c r="H406" s="76">
        <v>1</v>
      </c>
      <c r="I406" s="79">
        <v>15421</v>
      </c>
      <c r="J406" s="79">
        <v>13729</v>
      </c>
      <c r="K406" s="13"/>
      <c r="L406" s="13"/>
    </row>
    <row r="407" spans="1:12" x14ac:dyDescent="0.2">
      <c r="A407" s="76">
        <v>273</v>
      </c>
      <c r="B407" s="76">
        <v>1</v>
      </c>
      <c r="C407" s="76" t="s">
        <v>147</v>
      </c>
      <c r="D407" s="76">
        <v>1993</v>
      </c>
      <c r="E407" s="76">
        <v>1994</v>
      </c>
      <c r="F407" s="81">
        <v>555.4</v>
      </c>
      <c r="G407" s="76">
        <v>5</v>
      </c>
      <c r="H407" s="76">
        <v>1</v>
      </c>
      <c r="I407" s="79" t="s">
        <v>840</v>
      </c>
      <c r="J407" s="79" t="s">
        <v>840</v>
      </c>
      <c r="K407" s="13"/>
      <c r="L407" s="13"/>
    </row>
    <row r="408" spans="1:12" x14ac:dyDescent="0.2">
      <c r="A408" s="76">
        <v>273</v>
      </c>
      <c r="B408" s="76">
        <v>1</v>
      </c>
      <c r="C408" s="76" t="s">
        <v>147</v>
      </c>
      <c r="D408" s="76">
        <v>1998</v>
      </c>
      <c r="E408" s="76">
        <v>1999</v>
      </c>
      <c r="F408" s="81">
        <v>555.4</v>
      </c>
      <c r="G408" s="76">
        <v>5</v>
      </c>
      <c r="H408" s="76">
        <v>1</v>
      </c>
      <c r="I408" s="79">
        <v>14414</v>
      </c>
      <c r="J408" s="79">
        <v>5972</v>
      </c>
      <c r="K408" s="13"/>
      <c r="L408" s="13"/>
    </row>
    <row r="409" spans="1:12" x14ac:dyDescent="0.2">
      <c r="A409" s="76">
        <v>273</v>
      </c>
      <c r="B409" s="76">
        <v>1</v>
      </c>
      <c r="C409" s="76" t="s">
        <v>147</v>
      </c>
      <c r="D409" s="76">
        <v>2001</v>
      </c>
      <c r="E409" s="76">
        <v>2002</v>
      </c>
      <c r="F409" s="81">
        <v>398.32</v>
      </c>
      <c r="G409" s="76">
        <v>10</v>
      </c>
      <c r="H409" s="76">
        <v>1</v>
      </c>
      <c r="I409" s="79">
        <v>6296</v>
      </c>
      <c r="J409" s="79">
        <v>3667</v>
      </c>
      <c r="K409" s="13"/>
      <c r="L409" s="13"/>
    </row>
    <row r="410" spans="1:12" x14ac:dyDescent="0.2">
      <c r="A410" s="76">
        <v>273</v>
      </c>
      <c r="B410" s="76">
        <v>1</v>
      </c>
      <c r="C410" s="76" t="s">
        <v>147</v>
      </c>
      <c r="D410" s="76">
        <v>2003</v>
      </c>
      <c r="E410" s="76">
        <v>2004</v>
      </c>
      <c r="F410" s="81">
        <v>43.12</v>
      </c>
      <c r="G410" s="76">
        <v>4</v>
      </c>
      <c r="H410" s="76">
        <v>1</v>
      </c>
      <c r="I410" s="79">
        <v>7237</v>
      </c>
      <c r="J410" s="79">
        <v>3413</v>
      </c>
      <c r="K410" s="13"/>
      <c r="L410" s="13"/>
    </row>
    <row r="411" spans="1:12" x14ac:dyDescent="0.2">
      <c r="A411" s="76">
        <v>273</v>
      </c>
      <c r="B411" s="76">
        <v>1</v>
      </c>
      <c r="C411" s="76" t="s">
        <v>147</v>
      </c>
      <c r="D411" s="82">
        <v>2007</v>
      </c>
      <c r="E411" s="83">
        <v>2008</v>
      </c>
      <c r="F411" s="78">
        <v>1383.1</v>
      </c>
      <c r="G411" s="76">
        <v>10</v>
      </c>
      <c r="H411" s="77">
        <v>1</v>
      </c>
      <c r="I411" s="77">
        <v>5707</v>
      </c>
      <c r="J411" s="79">
        <v>2187</v>
      </c>
      <c r="K411" s="13"/>
      <c r="L411" s="13"/>
    </row>
    <row r="412" spans="1:12" x14ac:dyDescent="0.2">
      <c r="A412" s="76">
        <v>276</v>
      </c>
      <c r="B412" s="76">
        <v>1</v>
      </c>
      <c r="C412" s="76" t="s">
        <v>148</v>
      </c>
      <c r="D412" s="76">
        <v>2001</v>
      </c>
      <c r="E412" s="76">
        <v>2002</v>
      </c>
      <c r="F412" s="81">
        <v>1376.2</v>
      </c>
      <c r="G412" s="76">
        <v>10</v>
      </c>
      <c r="H412" s="76">
        <v>0</v>
      </c>
      <c r="I412" s="79">
        <v>4649</v>
      </c>
      <c r="J412" s="79">
        <v>4796</v>
      </c>
      <c r="K412" s="13"/>
      <c r="L412" s="13"/>
    </row>
    <row r="413" spans="1:12" x14ac:dyDescent="0.2">
      <c r="A413" s="76">
        <v>276</v>
      </c>
      <c r="B413" s="76">
        <v>1</v>
      </c>
      <c r="C413" s="76" t="s">
        <v>148</v>
      </c>
      <c r="D413" s="76">
        <v>2002</v>
      </c>
      <c r="E413" s="76">
        <v>2003</v>
      </c>
      <c r="F413" s="81">
        <v>1376.09</v>
      </c>
      <c r="G413" s="76">
        <v>10</v>
      </c>
      <c r="H413" s="76">
        <v>1</v>
      </c>
      <c r="I413" s="79">
        <v>13013</v>
      </c>
      <c r="J413" s="79">
        <v>9003</v>
      </c>
      <c r="K413" s="13"/>
      <c r="L413" s="13"/>
    </row>
    <row r="414" spans="1:12" x14ac:dyDescent="0.2">
      <c r="A414" s="76">
        <v>276</v>
      </c>
      <c r="B414" s="76">
        <v>1</v>
      </c>
      <c r="C414" s="76" t="s">
        <v>148</v>
      </c>
      <c r="D414" s="82">
        <v>2007</v>
      </c>
      <c r="E414" s="83">
        <v>2008</v>
      </c>
      <c r="F414" s="78">
        <v>436.29</v>
      </c>
      <c r="G414" s="76">
        <v>10</v>
      </c>
      <c r="H414" s="77">
        <v>1</v>
      </c>
      <c r="I414" s="77">
        <v>5106</v>
      </c>
      <c r="J414" s="79">
        <v>2773</v>
      </c>
      <c r="K414" s="13"/>
      <c r="L414" s="13"/>
    </row>
    <row r="415" spans="1:12" x14ac:dyDescent="0.2">
      <c r="A415" s="76">
        <v>277</v>
      </c>
      <c r="B415" s="76">
        <v>1</v>
      </c>
      <c r="C415" s="76" t="s">
        <v>149</v>
      </c>
      <c r="D415" s="76">
        <v>1994</v>
      </c>
      <c r="E415" s="76">
        <v>1995</v>
      </c>
      <c r="F415" s="81">
        <v>326</v>
      </c>
      <c r="G415" s="76">
        <v>6</v>
      </c>
      <c r="H415" s="76">
        <v>0</v>
      </c>
      <c r="I415" s="79">
        <v>3659</v>
      </c>
      <c r="J415" s="79">
        <v>3670</v>
      </c>
      <c r="K415" s="13"/>
      <c r="L415" s="13"/>
    </row>
    <row r="416" spans="1:12" x14ac:dyDescent="0.2">
      <c r="A416" s="76">
        <v>277</v>
      </c>
      <c r="B416" s="76">
        <v>1</v>
      </c>
      <c r="C416" s="76" t="s">
        <v>149</v>
      </c>
      <c r="D416" s="76">
        <v>1995</v>
      </c>
      <c r="E416" s="76">
        <v>1996</v>
      </c>
      <c r="F416" s="81">
        <v>338</v>
      </c>
      <c r="G416" s="76">
        <v>10</v>
      </c>
      <c r="H416" s="76">
        <v>1</v>
      </c>
      <c r="I416" s="79">
        <v>2789</v>
      </c>
      <c r="J416" s="79">
        <v>1878</v>
      </c>
      <c r="K416" s="13"/>
      <c r="L416" s="13"/>
    </row>
    <row r="417" spans="1:12" x14ac:dyDescent="0.2">
      <c r="A417" s="76">
        <v>277</v>
      </c>
      <c r="B417" s="76">
        <v>1</v>
      </c>
      <c r="C417" s="76" t="s">
        <v>149</v>
      </c>
      <c r="D417" s="76">
        <v>1999</v>
      </c>
      <c r="E417" s="76">
        <v>2000</v>
      </c>
      <c r="F417" s="81">
        <v>103.15</v>
      </c>
      <c r="G417" s="76">
        <v>6</v>
      </c>
      <c r="H417" s="76">
        <v>1</v>
      </c>
      <c r="I417" s="79">
        <v>1319</v>
      </c>
      <c r="J417" s="79">
        <v>1098</v>
      </c>
      <c r="K417" s="13"/>
      <c r="L417" s="13"/>
    </row>
    <row r="418" spans="1:12" x14ac:dyDescent="0.2">
      <c r="A418" s="76">
        <v>277</v>
      </c>
      <c r="B418" s="76">
        <v>1</v>
      </c>
      <c r="C418" s="76" t="s">
        <v>149</v>
      </c>
      <c r="D418" s="76">
        <v>2001</v>
      </c>
      <c r="E418" s="76">
        <v>2002</v>
      </c>
      <c r="F418" s="81">
        <v>570</v>
      </c>
      <c r="G418" s="76">
        <v>10</v>
      </c>
      <c r="H418" s="76">
        <v>0</v>
      </c>
      <c r="I418" s="79">
        <v>1452</v>
      </c>
      <c r="J418" s="79">
        <v>2078</v>
      </c>
      <c r="K418" s="13"/>
      <c r="L418" s="13"/>
    </row>
    <row r="419" spans="1:12" x14ac:dyDescent="0.2">
      <c r="A419" s="76">
        <v>277</v>
      </c>
      <c r="B419" s="76">
        <v>1</v>
      </c>
      <c r="C419" s="76" t="s">
        <v>149</v>
      </c>
      <c r="D419" s="76">
        <v>2002</v>
      </c>
      <c r="E419" s="76">
        <v>2003</v>
      </c>
      <c r="F419" s="81">
        <v>570</v>
      </c>
      <c r="G419" s="76">
        <v>10</v>
      </c>
      <c r="H419" s="76">
        <v>1</v>
      </c>
      <c r="I419" s="79">
        <v>2475</v>
      </c>
      <c r="J419" s="79">
        <v>2094</v>
      </c>
      <c r="K419" s="13"/>
      <c r="L419" s="13"/>
    </row>
    <row r="420" spans="1:12" x14ac:dyDescent="0.2">
      <c r="A420" s="76">
        <v>277</v>
      </c>
      <c r="B420" s="76">
        <v>1</v>
      </c>
      <c r="C420" s="76" t="s">
        <v>149</v>
      </c>
      <c r="D420" s="76">
        <v>2004</v>
      </c>
      <c r="E420" s="76">
        <v>2006</v>
      </c>
      <c r="F420" s="81">
        <v>562.97</v>
      </c>
      <c r="G420" s="76">
        <v>10</v>
      </c>
      <c r="H420" s="76">
        <v>1</v>
      </c>
      <c r="I420" s="79">
        <v>5721</v>
      </c>
      <c r="J420" s="79">
        <v>4702</v>
      </c>
      <c r="K420" s="13"/>
      <c r="L420" s="13"/>
    </row>
    <row r="421" spans="1:12" x14ac:dyDescent="0.2">
      <c r="A421" s="76">
        <v>277</v>
      </c>
      <c r="B421" s="76">
        <v>1</v>
      </c>
      <c r="C421" s="76" t="s">
        <v>149</v>
      </c>
      <c r="D421" s="76">
        <v>2006</v>
      </c>
      <c r="E421" s="78">
        <v>2007</v>
      </c>
      <c r="F421" s="81">
        <v>480</v>
      </c>
      <c r="G421" s="78">
        <v>10</v>
      </c>
      <c r="H421" s="76">
        <v>0</v>
      </c>
      <c r="I421" s="77">
        <v>3393</v>
      </c>
      <c r="J421" s="77">
        <v>5418</v>
      </c>
      <c r="K421" s="13"/>
      <c r="L421" s="13"/>
    </row>
    <row r="422" spans="1:12" x14ac:dyDescent="0.2">
      <c r="A422" s="76">
        <v>277</v>
      </c>
      <c r="B422" s="76">
        <v>1</v>
      </c>
      <c r="C422" s="76" t="s">
        <v>149</v>
      </c>
      <c r="D422" s="82">
        <v>2007</v>
      </c>
      <c r="E422" s="83">
        <v>2008</v>
      </c>
      <c r="F422" s="78">
        <v>334.46</v>
      </c>
      <c r="G422" s="76">
        <v>10</v>
      </c>
      <c r="H422" s="77">
        <v>1</v>
      </c>
      <c r="I422" s="77">
        <v>2136</v>
      </c>
      <c r="J422" s="79">
        <v>1981</v>
      </c>
      <c r="K422" s="13"/>
      <c r="L422" s="13"/>
    </row>
    <row r="423" spans="1:12" x14ac:dyDescent="0.2">
      <c r="A423" s="76">
        <v>278</v>
      </c>
      <c r="B423" s="76">
        <v>1</v>
      </c>
      <c r="C423" s="76" t="s">
        <v>150</v>
      </c>
      <c r="D423" s="76">
        <v>2000</v>
      </c>
      <c r="E423" s="76">
        <v>2001</v>
      </c>
      <c r="F423" s="81">
        <v>111.61</v>
      </c>
      <c r="G423" s="76">
        <v>10</v>
      </c>
      <c r="H423" s="76">
        <v>1</v>
      </c>
      <c r="I423" s="79">
        <v>3586</v>
      </c>
      <c r="J423" s="79">
        <v>2847</v>
      </c>
      <c r="K423" s="13"/>
      <c r="L423" s="13"/>
    </row>
    <row r="424" spans="1:12" x14ac:dyDescent="0.2">
      <c r="A424" s="76">
        <v>278</v>
      </c>
      <c r="B424" s="76">
        <v>1</v>
      </c>
      <c r="C424" s="76" t="s">
        <v>150</v>
      </c>
      <c r="D424" s="76">
        <v>2001</v>
      </c>
      <c r="E424" s="76">
        <v>2002</v>
      </c>
      <c r="F424" s="81">
        <v>1004</v>
      </c>
      <c r="G424" s="76">
        <v>10</v>
      </c>
      <c r="H424" s="76">
        <v>0</v>
      </c>
      <c r="I424" s="79">
        <v>1172</v>
      </c>
      <c r="J424" s="79">
        <v>1615</v>
      </c>
      <c r="K424" s="13"/>
      <c r="L424" s="13"/>
    </row>
    <row r="425" spans="1:12" x14ac:dyDescent="0.2">
      <c r="A425" s="76">
        <v>278</v>
      </c>
      <c r="B425" s="76">
        <v>1</v>
      </c>
      <c r="C425" s="76" t="s">
        <v>150</v>
      </c>
      <c r="D425" s="76">
        <v>2002</v>
      </c>
      <c r="E425" s="76">
        <v>2003</v>
      </c>
      <c r="F425" s="81">
        <v>173.27</v>
      </c>
      <c r="G425" s="76">
        <v>10</v>
      </c>
      <c r="H425" s="76">
        <v>1</v>
      </c>
      <c r="I425" s="79">
        <v>3820</v>
      </c>
      <c r="J425" s="79">
        <v>2681</v>
      </c>
      <c r="K425" s="13"/>
      <c r="L425" s="13"/>
    </row>
    <row r="426" spans="1:12" x14ac:dyDescent="0.2">
      <c r="A426" s="76">
        <v>278</v>
      </c>
      <c r="B426" s="76">
        <v>1</v>
      </c>
      <c r="C426" s="76" t="s">
        <v>150</v>
      </c>
      <c r="D426" s="76">
        <v>2004</v>
      </c>
      <c r="E426" s="76">
        <v>2005</v>
      </c>
      <c r="F426" s="81">
        <v>1200</v>
      </c>
      <c r="G426" s="76">
        <v>10</v>
      </c>
      <c r="H426" s="76">
        <v>1</v>
      </c>
      <c r="I426" s="79">
        <v>4447</v>
      </c>
      <c r="J426" s="79">
        <v>2989</v>
      </c>
      <c r="K426" s="13"/>
      <c r="L426" s="13"/>
    </row>
    <row r="427" spans="1:12" x14ac:dyDescent="0.2">
      <c r="A427" s="76">
        <v>278</v>
      </c>
      <c r="B427" s="76">
        <v>1</v>
      </c>
      <c r="C427" s="76" t="s">
        <v>150</v>
      </c>
      <c r="D427" s="76">
        <v>2005</v>
      </c>
      <c r="E427" s="76">
        <v>2006</v>
      </c>
      <c r="F427" s="81">
        <v>520</v>
      </c>
      <c r="G427" s="76">
        <v>10</v>
      </c>
      <c r="H427" s="78">
        <v>0</v>
      </c>
      <c r="I427" s="77">
        <v>1814</v>
      </c>
      <c r="J427" s="77">
        <v>1917</v>
      </c>
      <c r="K427" s="13"/>
      <c r="L427" s="13"/>
    </row>
    <row r="428" spans="1:12" x14ac:dyDescent="0.2">
      <c r="A428" s="76">
        <v>278</v>
      </c>
      <c r="B428" s="76">
        <v>1</v>
      </c>
      <c r="C428" s="76" t="s">
        <v>150</v>
      </c>
      <c r="D428" s="76">
        <v>2006</v>
      </c>
      <c r="E428" s="78">
        <v>2007</v>
      </c>
      <c r="F428" s="81">
        <v>550</v>
      </c>
      <c r="G428" s="86">
        <v>10</v>
      </c>
      <c r="H428" s="76">
        <v>1</v>
      </c>
      <c r="I428" s="77">
        <v>3276</v>
      </c>
      <c r="J428" s="77">
        <v>2941</v>
      </c>
      <c r="K428" s="13"/>
      <c r="L428" s="13"/>
    </row>
    <row r="429" spans="1:12" x14ac:dyDescent="0.2">
      <c r="A429" s="76">
        <v>279</v>
      </c>
      <c r="B429" s="76">
        <v>1</v>
      </c>
      <c r="C429" s="76" t="s">
        <v>151</v>
      </c>
      <c r="D429" s="76">
        <v>1995</v>
      </c>
      <c r="E429" s="76">
        <v>1996</v>
      </c>
      <c r="F429" s="81">
        <v>231.27</v>
      </c>
      <c r="G429" s="76">
        <v>10</v>
      </c>
      <c r="H429" s="76">
        <v>1</v>
      </c>
      <c r="I429" s="79">
        <v>7007</v>
      </c>
      <c r="J429" s="79">
        <v>6956</v>
      </c>
      <c r="K429" s="13"/>
      <c r="L429" s="13"/>
    </row>
    <row r="430" spans="1:12" x14ac:dyDescent="0.2">
      <c r="A430" s="76">
        <v>279</v>
      </c>
      <c r="B430" s="76">
        <v>1</v>
      </c>
      <c r="C430" s="76" t="s">
        <v>151</v>
      </c>
      <c r="D430" s="76">
        <v>2001</v>
      </c>
      <c r="E430" s="76">
        <v>2002</v>
      </c>
      <c r="F430" s="81">
        <v>559</v>
      </c>
      <c r="G430" s="76">
        <v>10</v>
      </c>
      <c r="H430" s="76">
        <v>0</v>
      </c>
      <c r="I430" s="79">
        <v>8455</v>
      </c>
      <c r="J430" s="79">
        <v>12595</v>
      </c>
      <c r="K430" s="13"/>
      <c r="L430" s="13"/>
    </row>
    <row r="431" spans="1:12" x14ac:dyDescent="0.2">
      <c r="A431" s="76">
        <v>279</v>
      </c>
      <c r="B431" s="76">
        <v>1</v>
      </c>
      <c r="C431" s="76" t="s">
        <v>151</v>
      </c>
      <c r="D431" s="76">
        <v>2002</v>
      </c>
      <c r="E431" s="76">
        <v>2003</v>
      </c>
      <c r="F431" s="81">
        <v>560.1</v>
      </c>
      <c r="G431" s="76">
        <v>7</v>
      </c>
      <c r="H431" s="76">
        <v>1</v>
      </c>
      <c r="I431" s="79">
        <v>28002</v>
      </c>
      <c r="J431" s="79">
        <v>23169</v>
      </c>
      <c r="K431" s="13"/>
      <c r="L431" s="13"/>
    </row>
    <row r="432" spans="1:12" x14ac:dyDescent="0.2">
      <c r="A432" s="76">
        <v>279</v>
      </c>
      <c r="B432" s="76">
        <v>1</v>
      </c>
      <c r="C432" s="76" t="s">
        <v>151</v>
      </c>
      <c r="D432" s="82">
        <v>2007</v>
      </c>
      <c r="E432" s="83">
        <v>2008</v>
      </c>
      <c r="F432" s="78">
        <v>321.89</v>
      </c>
      <c r="G432" s="76">
        <v>10</v>
      </c>
      <c r="H432" s="77">
        <v>0</v>
      </c>
      <c r="I432" s="77">
        <v>9940</v>
      </c>
      <c r="J432" s="79">
        <v>10173</v>
      </c>
      <c r="K432" s="13"/>
      <c r="L432" s="13"/>
    </row>
    <row r="433" spans="1:12" x14ac:dyDescent="0.2">
      <c r="A433" s="76">
        <v>279</v>
      </c>
      <c r="B433" s="76">
        <v>1</v>
      </c>
      <c r="C433" s="76" t="s">
        <v>151</v>
      </c>
      <c r="D433" s="82">
        <v>2007</v>
      </c>
      <c r="E433" s="83">
        <v>2008</v>
      </c>
      <c r="F433" s="78">
        <v>585.74</v>
      </c>
      <c r="G433" s="76">
        <v>10</v>
      </c>
      <c r="H433" s="77">
        <v>1</v>
      </c>
      <c r="I433" s="77">
        <v>10863</v>
      </c>
      <c r="J433" s="79">
        <v>9262</v>
      </c>
      <c r="K433" s="13"/>
      <c r="L433" s="13"/>
    </row>
    <row r="434" spans="1:12" x14ac:dyDescent="0.2">
      <c r="A434">
        <v>279</v>
      </c>
      <c r="B434">
        <v>1</v>
      </c>
      <c r="C434" t="s">
        <v>151</v>
      </c>
      <c r="D434">
        <v>2008</v>
      </c>
      <c r="E434" s="5">
        <v>2009</v>
      </c>
      <c r="F434" s="6">
        <v>336.31</v>
      </c>
      <c r="G434" s="5">
        <v>10</v>
      </c>
      <c r="H434" s="33">
        <v>0</v>
      </c>
      <c r="I434" s="33">
        <v>32039</v>
      </c>
      <c r="J434" s="33">
        <v>34946</v>
      </c>
      <c r="K434" s="13"/>
      <c r="L434" s="13"/>
    </row>
    <row r="435" spans="1:12" x14ac:dyDescent="0.2">
      <c r="A435" s="76">
        <v>280</v>
      </c>
      <c r="B435" s="76">
        <v>1</v>
      </c>
      <c r="C435" s="76" t="s">
        <v>152</v>
      </c>
      <c r="D435" s="76">
        <v>2001</v>
      </c>
      <c r="E435" s="76">
        <v>2002</v>
      </c>
      <c r="F435" s="81">
        <v>297</v>
      </c>
      <c r="G435" s="76">
        <v>10</v>
      </c>
      <c r="H435" s="76">
        <v>0</v>
      </c>
      <c r="I435" s="79">
        <v>2911</v>
      </c>
      <c r="J435" s="79">
        <v>3263</v>
      </c>
      <c r="K435" s="13"/>
      <c r="L435" s="13"/>
    </row>
    <row r="436" spans="1:12" x14ac:dyDescent="0.2">
      <c r="A436" s="76">
        <v>280</v>
      </c>
      <c r="B436" s="76">
        <v>1</v>
      </c>
      <c r="C436" s="76" t="s">
        <v>152</v>
      </c>
      <c r="D436" s="76">
        <v>2002</v>
      </c>
      <c r="E436" s="76">
        <v>2003</v>
      </c>
      <c r="F436" s="81">
        <v>298.17</v>
      </c>
      <c r="G436" s="76">
        <v>10</v>
      </c>
      <c r="H436" s="76">
        <v>1</v>
      </c>
      <c r="I436" s="79">
        <v>10081</v>
      </c>
      <c r="J436" s="79">
        <v>6688</v>
      </c>
      <c r="K436" s="13"/>
      <c r="L436" s="13"/>
    </row>
    <row r="437" spans="1:12" x14ac:dyDescent="0.2">
      <c r="A437" s="76">
        <v>280</v>
      </c>
      <c r="B437" s="76">
        <v>1</v>
      </c>
      <c r="C437" s="76" t="s">
        <v>997</v>
      </c>
      <c r="D437" s="76">
        <v>2005</v>
      </c>
      <c r="E437" s="76">
        <v>2006</v>
      </c>
      <c r="F437" s="81">
        <v>252</v>
      </c>
      <c r="G437" s="76">
        <v>10</v>
      </c>
      <c r="H437" s="78">
        <v>1</v>
      </c>
      <c r="I437" s="77">
        <v>2892</v>
      </c>
      <c r="J437" s="77">
        <v>1967</v>
      </c>
      <c r="K437" s="13"/>
      <c r="L437" s="13"/>
    </row>
    <row r="438" spans="1:12" x14ac:dyDescent="0.2">
      <c r="A438" s="76">
        <v>280</v>
      </c>
      <c r="B438" s="76">
        <v>1</v>
      </c>
      <c r="C438" s="76" t="s">
        <v>997</v>
      </c>
      <c r="D438" s="76">
        <v>2005</v>
      </c>
      <c r="E438" s="76">
        <v>2006</v>
      </c>
      <c r="F438" s="81">
        <v>546.38</v>
      </c>
      <c r="G438" s="76">
        <v>10</v>
      </c>
      <c r="H438" s="78">
        <v>1</v>
      </c>
      <c r="I438" s="77">
        <v>3264</v>
      </c>
      <c r="J438" s="77">
        <v>1599</v>
      </c>
      <c r="K438" s="13"/>
      <c r="L438" s="13"/>
    </row>
    <row r="439" spans="1:12" x14ac:dyDescent="0.2">
      <c r="A439" s="76">
        <v>281</v>
      </c>
      <c r="B439" s="76">
        <v>1</v>
      </c>
      <c r="C439" s="76" t="s">
        <v>153</v>
      </c>
      <c r="D439" s="76">
        <v>2001</v>
      </c>
      <c r="E439" s="76">
        <v>2002</v>
      </c>
      <c r="F439" s="81">
        <v>837.38</v>
      </c>
      <c r="G439" s="76">
        <v>10</v>
      </c>
      <c r="H439" s="76">
        <v>1</v>
      </c>
      <c r="I439" s="79">
        <v>12247</v>
      </c>
      <c r="J439" s="79">
        <v>8201</v>
      </c>
      <c r="K439" s="13"/>
      <c r="L439" s="13"/>
    </row>
    <row r="440" spans="1:12" x14ac:dyDescent="0.2">
      <c r="A440" s="76">
        <v>281</v>
      </c>
      <c r="B440" s="76">
        <v>1</v>
      </c>
      <c r="C440" s="76" t="s">
        <v>153</v>
      </c>
      <c r="D440" s="82">
        <v>2007</v>
      </c>
      <c r="E440" s="83">
        <v>2008</v>
      </c>
      <c r="F440" s="78">
        <v>624.58000000000004</v>
      </c>
      <c r="G440" s="76">
        <v>10</v>
      </c>
      <c r="H440" s="77">
        <v>0</v>
      </c>
      <c r="I440" s="77">
        <v>9660</v>
      </c>
      <c r="J440" s="79">
        <v>10733</v>
      </c>
      <c r="K440" s="13"/>
      <c r="L440" s="13"/>
    </row>
    <row r="441" spans="1:12" x14ac:dyDescent="0.2">
      <c r="A441">
        <v>281</v>
      </c>
      <c r="B441">
        <v>1</v>
      </c>
      <c r="C441" t="s">
        <v>153</v>
      </c>
      <c r="D441">
        <v>2008</v>
      </c>
      <c r="E441" s="5">
        <v>2009</v>
      </c>
      <c r="F441" s="6">
        <v>512.1</v>
      </c>
      <c r="G441" s="5">
        <v>7</v>
      </c>
      <c r="H441" s="33">
        <v>1</v>
      </c>
      <c r="I441" s="33">
        <v>30083</v>
      </c>
      <c r="J441" s="33">
        <v>24490</v>
      </c>
      <c r="K441" s="13"/>
      <c r="L441" s="13"/>
    </row>
    <row r="442" spans="1:12" x14ac:dyDescent="0.2">
      <c r="A442">
        <v>281</v>
      </c>
      <c r="B442">
        <v>1</v>
      </c>
      <c r="C442" t="s">
        <v>153</v>
      </c>
      <c r="D442">
        <v>2008</v>
      </c>
      <c r="E442" s="5">
        <v>2009</v>
      </c>
      <c r="F442" s="6">
        <v>119.46</v>
      </c>
      <c r="G442" s="5">
        <v>7</v>
      </c>
      <c r="H442" s="33">
        <v>1</v>
      </c>
      <c r="I442" s="33">
        <v>28552</v>
      </c>
      <c r="J442" s="33">
        <v>25913</v>
      </c>
      <c r="K442" s="13"/>
      <c r="L442" s="13"/>
    </row>
    <row r="443" spans="1:12" x14ac:dyDescent="0.2">
      <c r="A443" s="76">
        <v>282</v>
      </c>
      <c r="B443" s="76">
        <v>1</v>
      </c>
      <c r="C443" s="76" t="s">
        <v>845</v>
      </c>
      <c r="D443" s="76">
        <v>2003</v>
      </c>
      <c r="E443" s="76">
        <v>2004</v>
      </c>
      <c r="F443" s="81">
        <v>400</v>
      </c>
      <c r="G443" s="76">
        <v>4</v>
      </c>
      <c r="H443" s="76">
        <v>1</v>
      </c>
      <c r="I443" s="79">
        <v>1497</v>
      </c>
      <c r="J443" s="79">
        <v>1083</v>
      </c>
      <c r="K443" s="13"/>
      <c r="L443" s="13"/>
    </row>
    <row r="444" spans="1:12" x14ac:dyDescent="0.2">
      <c r="A444" s="76">
        <v>282</v>
      </c>
      <c r="B444" s="76">
        <v>1</v>
      </c>
      <c r="C444" s="76" t="s">
        <v>998</v>
      </c>
      <c r="D444" s="76">
        <v>2005</v>
      </c>
      <c r="E444" s="76">
        <v>2006</v>
      </c>
      <c r="F444" s="81">
        <v>1985</v>
      </c>
      <c r="G444" s="76">
        <v>10</v>
      </c>
      <c r="H444" s="78">
        <v>1</v>
      </c>
      <c r="I444" s="77">
        <v>1254</v>
      </c>
      <c r="J444" s="77">
        <v>597</v>
      </c>
      <c r="K444" s="13"/>
      <c r="L444" s="13"/>
    </row>
    <row r="445" spans="1:12" x14ac:dyDescent="0.2">
      <c r="A445" s="76">
        <v>283</v>
      </c>
      <c r="B445" s="76">
        <v>1</v>
      </c>
      <c r="C445" s="76" t="s">
        <v>155</v>
      </c>
      <c r="D445" s="76">
        <v>2001</v>
      </c>
      <c r="E445" s="76">
        <v>2002</v>
      </c>
      <c r="F445" s="81">
        <v>230</v>
      </c>
      <c r="G445" s="76">
        <v>10</v>
      </c>
      <c r="H445" s="76">
        <v>1</v>
      </c>
      <c r="I445" s="79">
        <v>3913</v>
      </c>
      <c r="J445" s="79">
        <v>3028</v>
      </c>
      <c r="K445" s="13"/>
      <c r="L445" s="13"/>
    </row>
    <row r="446" spans="1:12" x14ac:dyDescent="0.2">
      <c r="A446" s="76">
        <v>283</v>
      </c>
      <c r="B446" s="76">
        <v>1</v>
      </c>
      <c r="C446" s="76" t="s">
        <v>155</v>
      </c>
      <c r="D446" s="76">
        <v>2004</v>
      </c>
      <c r="E446" s="76">
        <v>2005</v>
      </c>
      <c r="F446" s="81">
        <v>1560.55</v>
      </c>
      <c r="G446" s="76">
        <v>10</v>
      </c>
      <c r="H446" s="76">
        <v>1</v>
      </c>
      <c r="I446" s="79">
        <v>15314</v>
      </c>
      <c r="J446" s="79">
        <v>9122</v>
      </c>
      <c r="K446" s="13"/>
      <c r="L446" s="13"/>
    </row>
    <row r="447" spans="1:12" x14ac:dyDescent="0.2">
      <c r="A447">
        <v>283</v>
      </c>
      <c r="B447">
        <v>1</v>
      </c>
      <c r="C447" t="s">
        <v>155</v>
      </c>
      <c r="D447">
        <v>2008</v>
      </c>
      <c r="E447" s="5">
        <v>2009</v>
      </c>
      <c r="F447" s="6">
        <v>309.22000000000003</v>
      </c>
      <c r="G447" s="5">
        <v>10</v>
      </c>
      <c r="H447" s="33">
        <v>1</v>
      </c>
      <c r="I447" s="33">
        <v>15872</v>
      </c>
      <c r="J447" s="33">
        <v>9532</v>
      </c>
      <c r="K447" s="13"/>
      <c r="L447" s="13"/>
    </row>
    <row r="448" spans="1:12" x14ac:dyDescent="0.2">
      <c r="A448" s="76">
        <v>284</v>
      </c>
      <c r="B448" s="76">
        <v>1</v>
      </c>
      <c r="C448" s="76" t="s">
        <v>738</v>
      </c>
      <c r="D448" s="76">
        <v>1991</v>
      </c>
      <c r="E448" s="76">
        <v>1992</v>
      </c>
      <c r="F448" s="81">
        <v>303.07</v>
      </c>
      <c r="G448" s="76">
        <v>5</v>
      </c>
      <c r="H448" s="76">
        <v>1</v>
      </c>
      <c r="I448" s="79" t="s">
        <v>840</v>
      </c>
      <c r="J448" s="79" t="s">
        <v>840</v>
      </c>
      <c r="K448" s="13"/>
      <c r="L448" s="13"/>
    </row>
    <row r="449" spans="1:12" x14ac:dyDescent="0.2">
      <c r="A449" s="76">
        <v>284</v>
      </c>
      <c r="B449" s="76">
        <v>1</v>
      </c>
      <c r="C449" s="76" t="s">
        <v>156</v>
      </c>
      <c r="D449" s="76">
        <v>1994</v>
      </c>
      <c r="E449" s="76">
        <v>1995</v>
      </c>
      <c r="F449" s="81">
        <v>1129.8800000000001</v>
      </c>
      <c r="G449" s="76">
        <v>10</v>
      </c>
      <c r="H449" s="76">
        <v>1</v>
      </c>
      <c r="I449" s="79">
        <v>11298</v>
      </c>
      <c r="J449" s="79">
        <v>8700</v>
      </c>
      <c r="K449" s="13"/>
      <c r="L449" s="13"/>
    </row>
    <row r="450" spans="1:12" x14ac:dyDescent="0.2">
      <c r="A450" s="76">
        <v>284</v>
      </c>
      <c r="B450" s="76">
        <v>1</v>
      </c>
      <c r="C450" s="76" t="s">
        <v>156</v>
      </c>
      <c r="D450" s="76">
        <v>2001</v>
      </c>
      <c r="E450" s="76">
        <v>2002</v>
      </c>
      <c r="F450" s="81">
        <v>837.38</v>
      </c>
      <c r="G450" s="76">
        <v>10</v>
      </c>
      <c r="H450" s="76">
        <v>1</v>
      </c>
      <c r="I450" s="79">
        <v>5049</v>
      </c>
      <c r="J450" s="79">
        <v>3900</v>
      </c>
      <c r="K450" s="13"/>
      <c r="L450" s="13"/>
    </row>
    <row r="451" spans="1:12" x14ac:dyDescent="0.2">
      <c r="A451" s="76">
        <v>284</v>
      </c>
      <c r="B451" s="76">
        <v>1</v>
      </c>
      <c r="C451" s="76" t="s">
        <v>156</v>
      </c>
      <c r="D451" s="76">
        <v>2003</v>
      </c>
      <c r="E451" s="76">
        <v>2004</v>
      </c>
      <c r="F451" s="81">
        <v>31.06</v>
      </c>
      <c r="G451" s="76">
        <v>10</v>
      </c>
      <c r="H451" s="76">
        <v>1</v>
      </c>
      <c r="I451" s="79">
        <v>4246</v>
      </c>
      <c r="J451" s="79">
        <v>3221</v>
      </c>
      <c r="K451" s="13"/>
      <c r="L451" s="13"/>
    </row>
    <row r="452" spans="1:12" x14ac:dyDescent="0.2">
      <c r="A452" s="76">
        <v>284</v>
      </c>
      <c r="B452" s="76">
        <v>1</v>
      </c>
      <c r="C452" s="76" t="s">
        <v>156</v>
      </c>
      <c r="D452" s="76">
        <v>2005</v>
      </c>
      <c r="E452" s="76">
        <v>2006</v>
      </c>
      <c r="F452" s="81">
        <v>629</v>
      </c>
      <c r="G452" s="76">
        <v>10</v>
      </c>
      <c r="H452" s="78">
        <v>1</v>
      </c>
      <c r="I452" s="77">
        <v>4172</v>
      </c>
      <c r="J452" s="77">
        <v>3222</v>
      </c>
      <c r="K452" s="13"/>
      <c r="L452" s="13"/>
    </row>
    <row r="453" spans="1:12" x14ac:dyDescent="0.2">
      <c r="A453" s="76">
        <v>286</v>
      </c>
      <c r="B453" s="76">
        <v>1</v>
      </c>
      <c r="C453" s="76" t="s">
        <v>157</v>
      </c>
      <c r="D453" s="76">
        <v>1995</v>
      </c>
      <c r="E453" s="76">
        <v>1996</v>
      </c>
      <c r="F453" s="81">
        <v>300</v>
      </c>
      <c r="G453" s="76">
        <v>10</v>
      </c>
      <c r="H453" s="76">
        <v>1</v>
      </c>
      <c r="I453" s="79">
        <v>1042</v>
      </c>
      <c r="J453" s="79">
        <v>891</v>
      </c>
      <c r="K453" s="13"/>
      <c r="L453" s="13"/>
    </row>
    <row r="454" spans="1:12" x14ac:dyDescent="0.2">
      <c r="A454" s="76">
        <v>286</v>
      </c>
      <c r="B454" s="76">
        <v>1</v>
      </c>
      <c r="C454" s="76" t="s">
        <v>157</v>
      </c>
      <c r="D454" s="76">
        <v>1995</v>
      </c>
      <c r="E454" s="76">
        <v>1996</v>
      </c>
      <c r="F454" s="81">
        <v>300</v>
      </c>
      <c r="G454" s="76">
        <v>10</v>
      </c>
      <c r="H454" s="76">
        <v>0</v>
      </c>
      <c r="I454" s="79">
        <v>380</v>
      </c>
      <c r="J454" s="79">
        <v>520</v>
      </c>
      <c r="K454" s="13"/>
      <c r="L454" s="13"/>
    </row>
    <row r="455" spans="1:12" x14ac:dyDescent="0.2">
      <c r="A455" s="76">
        <v>286</v>
      </c>
      <c r="B455" s="76">
        <v>1</v>
      </c>
      <c r="C455" s="76" t="s">
        <v>157</v>
      </c>
      <c r="D455" s="76">
        <v>2001</v>
      </c>
      <c r="E455" s="76">
        <v>2002</v>
      </c>
      <c r="F455" s="81">
        <v>335</v>
      </c>
      <c r="G455" s="76">
        <v>10</v>
      </c>
      <c r="H455" s="76">
        <v>1</v>
      </c>
      <c r="I455" s="79">
        <v>812</v>
      </c>
      <c r="J455" s="79">
        <v>692</v>
      </c>
      <c r="K455" s="13"/>
      <c r="L455" s="13"/>
    </row>
    <row r="456" spans="1:12" x14ac:dyDescent="0.2">
      <c r="A456" s="76">
        <v>286</v>
      </c>
      <c r="B456" s="76">
        <v>1</v>
      </c>
      <c r="C456" s="76" t="s">
        <v>999</v>
      </c>
      <c r="D456" s="76">
        <v>2005</v>
      </c>
      <c r="E456" s="76">
        <v>2006</v>
      </c>
      <c r="F456" s="81">
        <v>595</v>
      </c>
      <c r="G456" s="76">
        <v>10</v>
      </c>
      <c r="H456" s="78">
        <v>0</v>
      </c>
      <c r="I456" s="77">
        <v>730</v>
      </c>
      <c r="J456" s="77">
        <v>753</v>
      </c>
      <c r="K456" s="13"/>
      <c r="L456" s="13"/>
    </row>
    <row r="457" spans="1:12" x14ac:dyDescent="0.2">
      <c r="A457" s="76">
        <v>286</v>
      </c>
      <c r="B457" s="76">
        <v>1</v>
      </c>
      <c r="C457" s="76" t="s">
        <v>999</v>
      </c>
      <c r="D457" s="76">
        <v>2005</v>
      </c>
      <c r="E457" s="76">
        <v>2006</v>
      </c>
      <c r="F457" s="81">
        <v>595</v>
      </c>
      <c r="G457" s="76">
        <v>10</v>
      </c>
      <c r="H457" s="78">
        <v>0</v>
      </c>
      <c r="I457" s="77">
        <v>411</v>
      </c>
      <c r="J457" s="77">
        <v>606</v>
      </c>
      <c r="K457" s="13"/>
      <c r="L457" s="13"/>
    </row>
    <row r="458" spans="1:12" x14ac:dyDescent="0.2">
      <c r="A458" s="76">
        <v>286</v>
      </c>
      <c r="B458" s="76">
        <v>1</v>
      </c>
      <c r="C458" s="76" t="s">
        <v>157</v>
      </c>
      <c r="D458" s="76">
        <v>2006</v>
      </c>
      <c r="E458" s="78">
        <v>2007</v>
      </c>
      <c r="F458" s="81">
        <v>200</v>
      </c>
      <c r="G458" s="78">
        <v>10</v>
      </c>
      <c r="H458" s="76">
        <v>0</v>
      </c>
      <c r="I458" s="77">
        <v>1028</v>
      </c>
      <c r="J458" s="77">
        <v>1422</v>
      </c>
      <c r="K458" s="13"/>
      <c r="L458" s="13"/>
    </row>
    <row r="459" spans="1:12" x14ac:dyDescent="0.2">
      <c r="A459" s="76">
        <v>286</v>
      </c>
      <c r="B459" s="76">
        <v>1</v>
      </c>
      <c r="C459" s="76" t="s">
        <v>157</v>
      </c>
      <c r="D459" s="76">
        <v>2006</v>
      </c>
      <c r="E459" s="78">
        <v>2007</v>
      </c>
      <c r="F459" s="81">
        <v>315</v>
      </c>
      <c r="G459" s="78">
        <v>10</v>
      </c>
      <c r="H459" s="76">
        <v>0</v>
      </c>
      <c r="I459" s="77">
        <v>1146</v>
      </c>
      <c r="J459" s="77">
        <v>1333</v>
      </c>
      <c r="K459" s="13"/>
      <c r="L459" s="13"/>
    </row>
    <row r="460" spans="1:12" x14ac:dyDescent="0.2">
      <c r="A460" s="76">
        <v>286</v>
      </c>
      <c r="B460" s="76">
        <v>1</v>
      </c>
      <c r="C460" s="76" t="s">
        <v>157</v>
      </c>
      <c r="D460" s="76">
        <v>2006</v>
      </c>
      <c r="E460" s="78">
        <v>2007</v>
      </c>
      <c r="F460" s="81">
        <v>595</v>
      </c>
      <c r="G460" s="78">
        <v>10</v>
      </c>
      <c r="H460" s="76">
        <v>0</v>
      </c>
      <c r="I460" s="77">
        <v>666</v>
      </c>
      <c r="J460" s="77">
        <v>767</v>
      </c>
      <c r="K460" s="13"/>
      <c r="L460" s="13"/>
    </row>
    <row r="461" spans="1:12" x14ac:dyDescent="0.2">
      <c r="A461" s="76">
        <v>286</v>
      </c>
      <c r="B461" s="76">
        <v>1</v>
      </c>
      <c r="C461" s="76" t="s">
        <v>157</v>
      </c>
      <c r="D461" s="82">
        <v>2007</v>
      </c>
      <c r="E461" s="83">
        <v>2008</v>
      </c>
      <c r="F461" s="78">
        <v>300</v>
      </c>
      <c r="G461" s="76">
        <v>10</v>
      </c>
      <c r="H461" s="77">
        <v>0</v>
      </c>
      <c r="I461" s="77">
        <v>495</v>
      </c>
      <c r="J461" s="79">
        <v>689</v>
      </c>
      <c r="K461" s="13"/>
      <c r="L461" s="13"/>
    </row>
    <row r="462" spans="1:12" x14ac:dyDescent="0.2">
      <c r="A462">
        <v>286</v>
      </c>
      <c r="B462">
        <v>1</v>
      </c>
      <c r="C462" t="s">
        <v>157</v>
      </c>
      <c r="D462">
        <v>2008</v>
      </c>
      <c r="E462" s="5">
        <v>2009</v>
      </c>
      <c r="F462" s="6">
        <v>200</v>
      </c>
      <c r="G462" s="5">
        <v>10</v>
      </c>
      <c r="H462" s="33">
        <v>0</v>
      </c>
      <c r="I462" s="33">
        <v>504</v>
      </c>
      <c r="J462" s="33">
        <v>684</v>
      </c>
      <c r="K462" s="13"/>
      <c r="L462" s="13"/>
    </row>
    <row r="463" spans="1:12" x14ac:dyDescent="0.2">
      <c r="A463" s="76">
        <v>294</v>
      </c>
      <c r="B463" s="76">
        <v>1</v>
      </c>
      <c r="C463" s="76" t="s">
        <v>158</v>
      </c>
      <c r="D463" s="76">
        <v>1991</v>
      </c>
      <c r="E463" s="76">
        <v>1993</v>
      </c>
      <c r="F463" s="81">
        <v>251.68</v>
      </c>
      <c r="G463" s="76">
        <v>5</v>
      </c>
      <c r="H463" s="76">
        <v>1</v>
      </c>
      <c r="I463" s="79" t="s">
        <v>840</v>
      </c>
      <c r="J463" s="79" t="s">
        <v>840</v>
      </c>
      <c r="K463" s="13"/>
      <c r="L463" s="13"/>
    </row>
    <row r="464" spans="1:12" x14ac:dyDescent="0.2">
      <c r="A464" s="76">
        <v>294</v>
      </c>
      <c r="B464" s="76">
        <v>1</v>
      </c>
      <c r="C464" s="76" t="s">
        <v>158</v>
      </c>
      <c r="D464" s="76">
        <v>1997</v>
      </c>
      <c r="E464" s="76">
        <v>1998</v>
      </c>
      <c r="F464" s="81">
        <v>315</v>
      </c>
      <c r="G464" s="76">
        <v>5</v>
      </c>
      <c r="H464" s="76">
        <v>1</v>
      </c>
      <c r="I464" s="79">
        <v>317</v>
      </c>
      <c r="J464" s="79">
        <v>230</v>
      </c>
      <c r="K464" s="13"/>
      <c r="L464" s="13"/>
    </row>
    <row r="465" spans="1:12" x14ac:dyDescent="0.2">
      <c r="A465" s="76">
        <v>294</v>
      </c>
      <c r="B465" s="76">
        <v>1</v>
      </c>
      <c r="C465" s="76" t="s">
        <v>158</v>
      </c>
      <c r="D465" s="76">
        <v>1998</v>
      </c>
      <c r="E465" s="76">
        <v>1999</v>
      </c>
      <c r="F465" s="81">
        <v>400</v>
      </c>
      <c r="G465" s="76">
        <v>10</v>
      </c>
      <c r="H465" s="76">
        <v>0</v>
      </c>
      <c r="I465" s="79">
        <v>451</v>
      </c>
      <c r="J465" s="79">
        <v>753</v>
      </c>
      <c r="K465" s="13"/>
      <c r="L465" s="13"/>
    </row>
    <row r="466" spans="1:12" x14ac:dyDescent="0.2">
      <c r="A466" s="76">
        <v>294</v>
      </c>
      <c r="B466" s="76">
        <v>1</v>
      </c>
      <c r="C466" s="76" t="s">
        <v>158</v>
      </c>
      <c r="D466" s="76">
        <v>1999</v>
      </c>
      <c r="E466" s="76">
        <v>2000</v>
      </c>
      <c r="F466" s="81">
        <v>499</v>
      </c>
      <c r="G466" s="76">
        <v>3</v>
      </c>
      <c r="H466" s="76">
        <v>1</v>
      </c>
      <c r="I466" s="79">
        <v>682</v>
      </c>
      <c r="J466" s="79">
        <v>436</v>
      </c>
      <c r="K466" s="13"/>
      <c r="L466" s="13"/>
    </row>
    <row r="467" spans="1:12" x14ac:dyDescent="0.2">
      <c r="A467" s="76">
        <v>294</v>
      </c>
      <c r="B467" s="76">
        <v>1</v>
      </c>
      <c r="C467" s="76" t="s">
        <v>158</v>
      </c>
      <c r="D467" s="76">
        <v>2001</v>
      </c>
      <c r="E467" s="76">
        <v>2003</v>
      </c>
      <c r="F467" s="81">
        <v>837.38</v>
      </c>
      <c r="G467" s="76">
        <v>5</v>
      </c>
      <c r="H467" s="76">
        <v>1</v>
      </c>
      <c r="I467" s="79">
        <v>437</v>
      </c>
      <c r="J467" s="79">
        <v>195</v>
      </c>
      <c r="K467" s="13"/>
      <c r="L467" s="13"/>
    </row>
    <row r="468" spans="1:12" x14ac:dyDescent="0.2">
      <c r="A468" s="76">
        <v>294</v>
      </c>
      <c r="B468" s="76">
        <v>1</v>
      </c>
      <c r="C468" s="76" t="s">
        <v>158</v>
      </c>
      <c r="D468" s="76">
        <v>2006</v>
      </c>
      <c r="E468" s="78">
        <v>2008</v>
      </c>
      <c r="F468" s="81">
        <v>1400</v>
      </c>
      <c r="G468" s="78">
        <v>10</v>
      </c>
      <c r="H468" s="76">
        <v>0</v>
      </c>
      <c r="I468" s="77">
        <v>522</v>
      </c>
      <c r="J468" s="77">
        <v>869</v>
      </c>
      <c r="K468" s="13"/>
      <c r="L468" s="13"/>
    </row>
    <row r="469" spans="1:12" x14ac:dyDescent="0.2">
      <c r="A469" s="76">
        <v>294</v>
      </c>
      <c r="B469" s="76">
        <v>1</v>
      </c>
      <c r="C469" s="76" t="s">
        <v>158</v>
      </c>
      <c r="D469" s="82">
        <v>2007</v>
      </c>
      <c r="E469" s="83">
        <v>2008</v>
      </c>
      <c r="F469" s="78">
        <v>1077</v>
      </c>
      <c r="G469" s="76">
        <v>7</v>
      </c>
      <c r="H469" s="77">
        <v>1</v>
      </c>
      <c r="I469" s="77">
        <v>453</v>
      </c>
      <c r="J469" s="79">
        <v>310</v>
      </c>
      <c r="K469" s="13"/>
      <c r="L469" s="13"/>
    </row>
    <row r="470" spans="1:12" x14ac:dyDescent="0.2">
      <c r="A470" s="76">
        <v>297</v>
      </c>
      <c r="B470" s="76">
        <v>1</v>
      </c>
      <c r="C470" s="76" t="s">
        <v>159</v>
      </c>
      <c r="D470" s="76">
        <v>1992</v>
      </c>
      <c r="E470" s="76">
        <v>1993</v>
      </c>
      <c r="F470" s="81">
        <v>164.82</v>
      </c>
      <c r="G470" s="76">
        <v>5</v>
      </c>
      <c r="H470" s="76">
        <v>1</v>
      </c>
      <c r="I470" s="79" t="s">
        <v>840</v>
      </c>
      <c r="J470" s="79" t="s">
        <v>840</v>
      </c>
      <c r="K470" s="13"/>
      <c r="L470" s="13"/>
    </row>
    <row r="471" spans="1:12" x14ac:dyDescent="0.2">
      <c r="A471" s="76">
        <v>297</v>
      </c>
      <c r="B471" s="76">
        <v>1</v>
      </c>
      <c r="C471" s="76" t="s">
        <v>159</v>
      </c>
      <c r="D471" s="76">
        <v>1996</v>
      </c>
      <c r="E471" s="76">
        <v>1997</v>
      </c>
      <c r="F471" s="81">
        <v>166.05</v>
      </c>
      <c r="G471" s="76">
        <v>10</v>
      </c>
      <c r="H471" s="76">
        <v>0</v>
      </c>
      <c r="I471" s="79">
        <v>476</v>
      </c>
      <c r="J471" s="79">
        <v>536</v>
      </c>
      <c r="K471" s="13"/>
      <c r="L471" s="13"/>
    </row>
    <row r="472" spans="1:12" x14ac:dyDescent="0.2">
      <c r="A472" s="76">
        <v>297</v>
      </c>
      <c r="B472" s="76">
        <v>1</v>
      </c>
      <c r="C472" s="76" t="s">
        <v>159</v>
      </c>
      <c r="D472" s="76">
        <v>1997</v>
      </c>
      <c r="E472" s="76">
        <v>1998</v>
      </c>
      <c r="F472" s="81">
        <v>119.84</v>
      </c>
      <c r="G472" s="76">
        <v>10</v>
      </c>
      <c r="H472" s="76">
        <v>1</v>
      </c>
      <c r="I472" s="79">
        <v>231</v>
      </c>
      <c r="J472" s="79">
        <v>105</v>
      </c>
      <c r="K472" s="13"/>
      <c r="L472" s="13"/>
    </row>
    <row r="473" spans="1:12" x14ac:dyDescent="0.2">
      <c r="A473" s="76">
        <v>297</v>
      </c>
      <c r="B473" s="76">
        <v>1</v>
      </c>
      <c r="C473" s="76" t="s">
        <v>73</v>
      </c>
      <c r="D473" s="76">
        <v>1999</v>
      </c>
      <c r="E473" s="76">
        <v>2000</v>
      </c>
      <c r="F473" s="81">
        <v>325</v>
      </c>
      <c r="G473" s="76">
        <v>10</v>
      </c>
      <c r="H473" s="76">
        <v>1</v>
      </c>
      <c r="I473" s="79">
        <v>222</v>
      </c>
      <c r="J473" s="79">
        <v>142</v>
      </c>
      <c r="K473" s="13"/>
      <c r="L473" s="13"/>
    </row>
    <row r="474" spans="1:12" x14ac:dyDescent="0.2">
      <c r="A474" s="76">
        <v>297</v>
      </c>
      <c r="B474" s="76">
        <v>1</v>
      </c>
      <c r="C474" s="76" t="s">
        <v>159</v>
      </c>
      <c r="D474" s="76">
        <v>2001</v>
      </c>
      <c r="E474" s="76">
        <v>2002</v>
      </c>
      <c r="F474" s="81">
        <v>588.07000000000005</v>
      </c>
      <c r="G474" s="76">
        <v>10</v>
      </c>
      <c r="H474" s="76">
        <v>1</v>
      </c>
      <c r="I474" s="79">
        <v>267</v>
      </c>
      <c r="J474" s="79">
        <v>177</v>
      </c>
      <c r="K474" s="13"/>
      <c r="L474" s="13"/>
    </row>
    <row r="475" spans="1:12" x14ac:dyDescent="0.2">
      <c r="A475" s="76">
        <v>297</v>
      </c>
      <c r="B475" s="76">
        <v>1</v>
      </c>
      <c r="C475" s="76" t="s">
        <v>1000</v>
      </c>
      <c r="D475" s="76">
        <v>2005</v>
      </c>
      <c r="E475" s="76">
        <v>2006</v>
      </c>
      <c r="F475" s="81">
        <v>1388</v>
      </c>
      <c r="G475" s="76">
        <v>10</v>
      </c>
      <c r="H475" s="78">
        <v>1</v>
      </c>
      <c r="I475" s="77">
        <v>359</v>
      </c>
      <c r="J475" s="77">
        <v>205</v>
      </c>
      <c r="K475" s="13"/>
      <c r="L475" s="13"/>
    </row>
    <row r="476" spans="1:12" x14ac:dyDescent="0.2">
      <c r="A476" s="76">
        <v>299</v>
      </c>
      <c r="B476" s="76">
        <v>1</v>
      </c>
      <c r="C476" s="76" t="s">
        <v>160</v>
      </c>
      <c r="D476" s="76">
        <v>1994</v>
      </c>
      <c r="E476" s="76">
        <v>1995</v>
      </c>
      <c r="F476" s="81">
        <v>220</v>
      </c>
      <c r="G476" s="76">
        <v>5</v>
      </c>
      <c r="H476" s="76">
        <v>1</v>
      </c>
      <c r="I476" s="79">
        <v>1504</v>
      </c>
      <c r="J476" s="79">
        <v>1212</v>
      </c>
      <c r="K476" s="13"/>
      <c r="L476" s="13"/>
    </row>
    <row r="477" spans="1:12" x14ac:dyDescent="0.2">
      <c r="A477" s="76">
        <v>299</v>
      </c>
      <c r="B477" s="76">
        <v>1</v>
      </c>
      <c r="C477" s="76" t="s">
        <v>160</v>
      </c>
      <c r="D477" s="76">
        <v>1996</v>
      </c>
      <c r="E477" s="76">
        <v>1997</v>
      </c>
      <c r="F477" s="81">
        <v>226.38</v>
      </c>
      <c r="G477" s="76">
        <v>5</v>
      </c>
      <c r="H477" s="76">
        <v>0</v>
      </c>
      <c r="I477" s="79">
        <v>1169</v>
      </c>
      <c r="J477" s="79">
        <v>1701</v>
      </c>
      <c r="K477" s="13"/>
      <c r="L477" s="13"/>
    </row>
    <row r="478" spans="1:12" x14ac:dyDescent="0.2">
      <c r="A478" s="76">
        <v>299</v>
      </c>
      <c r="B478" s="76">
        <v>1</v>
      </c>
      <c r="C478" s="76" t="s">
        <v>160</v>
      </c>
      <c r="D478" s="76">
        <v>1998</v>
      </c>
      <c r="E478" s="76">
        <v>2000</v>
      </c>
      <c r="F478" s="81">
        <v>188.62</v>
      </c>
      <c r="G478" s="76">
        <v>4</v>
      </c>
      <c r="H478" s="76">
        <v>1</v>
      </c>
      <c r="I478" s="79">
        <v>1429</v>
      </c>
      <c r="J478" s="79">
        <v>828</v>
      </c>
      <c r="K478" s="13"/>
      <c r="L478" s="13"/>
    </row>
    <row r="479" spans="1:12" x14ac:dyDescent="0.2">
      <c r="A479" s="76">
        <v>299</v>
      </c>
      <c r="B479" s="76">
        <v>1</v>
      </c>
      <c r="C479" s="76" t="s">
        <v>160</v>
      </c>
      <c r="D479" s="76">
        <v>1998</v>
      </c>
      <c r="E479" s="76">
        <v>1999</v>
      </c>
      <c r="F479" s="81">
        <v>350</v>
      </c>
      <c r="G479" s="76">
        <v>5</v>
      </c>
      <c r="H479" s="76">
        <v>1</v>
      </c>
      <c r="I479" s="79">
        <v>1429</v>
      </c>
      <c r="J479" s="79">
        <v>828</v>
      </c>
      <c r="K479" s="13"/>
      <c r="L479" s="13"/>
    </row>
    <row r="480" spans="1:12" x14ac:dyDescent="0.2">
      <c r="A480" s="76">
        <v>299</v>
      </c>
      <c r="B480" s="76">
        <v>1</v>
      </c>
      <c r="C480" s="76" t="s">
        <v>160</v>
      </c>
      <c r="D480" s="76">
        <v>2001</v>
      </c>
      <c r="E480" s="76">
        <v>2002</v>
      </c>
      <c r="F480" s="81">
        <v>260</v>
      </c>
      <c r="G480" s="76">
        <v>10</v>
      </c>
      <c r="H480" s="76">
        <v>0</v>
      </c>
      <c r="I480" s="79">
        <v>400</v>
      </c>
      <c r="J480" s="79">
        <v>977</v>
      </c>
      <c r="K480" s="13"/>
      <c r="L480" s="13"/>
    </row>
    <row r="481" spans="1:12" x14ac:dyDescent="0.2">
      <c r="A481" s="76">
        <v>299</v>
      </c>
      <c r="B481" s="76">
        <v>1</v>
      </c>
      <c r="C481" s="76" t="s">
        <v>160</v>
      </c>
      <c r="D481" s="76">
        <v>2002</v>
      </c>
      <c r="E481" s="76">
        <v>2003</v>
      </c>
      <c r="F481" s="81">
        <v>718.3</v>
      </c>
      <c r="G481" s="76">
        <v>5</v>
      </c>
      <c r="H481" s="76">
        <v>1</v>
      </c>
      <c r="I481" s="79">
        <v>1244</v>
      </c>
      <c r="J481" s="79">
        <v>770</v>
      </c>
      <c r="K481" s="13"/>
      <c r="L481" s="13"/>
    </row>
    <row r="482" spans="1:12" x14ac:dyDescent="0.2">
      <c r="A482" s="76">
        <v>299</v>
      </c>
      <c r="B482" s="76">
        <v>1</v>
      </c>
      <c r="C482" s="76" t="s">
        <v>160</v>
      </c>
      <c r="D482" s="82">
        <v>2007</v>
      </c>
      <c r="E482" s="83">
        <v>2008</v>
      </c>
      <c r="F482" s="78">
        <v>725.96</v>
      </c>
      <c r="G482" s="76">
        <v>5</v>
      </c>
      <c r="H482" s="77">
        <v>1</v>
      </c>
      <c r="I482" s="77">
        <v>531</v>
      </c>
      <c r="J482" s="79">
        <v>356</v>
      </c>
      <c r="K482" s="13"/>
      <c r="L482" s="13"/>
    </row>
    <row r="483" spans="1:12" x14ac:dyDescent="0.2">
      <c r="A483" s="76">
        <v>300</v>
      </c>
      <c r="B483" s="76">
        <v>1</v>
      </c>
      <c r="C483" s="76" t="s">
        <v>628</v>
      </c>
      <c r="D483" s="76">
        <v>1991</v>
      </c>
      <c r="E483" s="76">
        <v>1993</v>
      </c>
      <c r="F483" s="81">
        <v>305</v>
      </c>
      <c r="G483" s="76">
        <v>5</v>
      </c>
      <c r="H483" s="76">
        <v>0</v>
      </c>
      <c r="I483" s="79" t="s">
        <v>840</v>
      </c>
      <c r="J483" s="79" t="s">
        <v>840</v>
      </c>
      <c r="K483" s="13"/>
      <c r="L483" s="13"/>
    </row>
    <row r="484" spans="1:12" x14ac:dyDescent="0.2">
      <c r="A484" s="76">
        <v>300</v>
      </c>
      <c r="B484" s="76">
        <v>1</v>
      </c>
      <c r="C484" s="76" t="s">
        <v>161</v>
      </c>
      <c r="D484" s="76">
        <v>1992</v>
      </c>
      <c r="E484" s="76">
        <v>1993</v>
      </c>
      <c r="F484" s="81">
        <v>275</v>
      </c>
      <c r="G484" s="76">
        <v>5</v>
      </c>
      <c r="H484" s="76">
        <v>1</v>
      </c>
      <c r="I484" s="79" t="s">
        <v>840</v>
      </c>
      <c r="J484" s="79" t="s">
        <v>840</v>
      </c>
      <c r="K484" s="13"/>
      <c r="L484" s="13"/>
    </row>
    <row r="485" spans="1:12" x14ac:dyDescent="0.2">
      <c r="A485" s="76">
        <v>300</v>
      </c>
      <c r="B485" s="76">
        <v>1</v>
      </c>
      <c r="C485" s="76" t="s">
        <v>161</v>
      </c>
      <c r="D485" s="76">
        <v>1997</v>
      </c>
      <c r="E485" s="76">
        <v>1998</v>
      </c>
      <c r="F485" s="81">
        <v>225</v>
      </c>
      <c r="G485" s="76">
        <v>10</v>
      </c>
      <c r="H485" s="76">
        <v>1</v>
      </c>
      <c r="I485" s="79">
        <v>1122</v>
      </c>
      <c r="J485" s="79">
        <v>608</v>
      </c>
      <c r="K485" s="13"/>
      <c r="L485" s="13"/>
    </row>
    <row r="486" spans="1:12" x14ac:dyDescent="0.2">
      <c r="A486" s="76">
        <v>300</v>
      </c>
      <c r="B486" s="76">
        <v>1</v>
      </c>
      <c r="C486" s="76" t="s">
        <v>161</v>
      </c>
      <c r="D486" s="76">
        <v>2001</v>
      </c>
      <c r="E486" s="76">
        <v>2002</v>
      </c>
      <c r="F486" s="81">
        <v>1</v>
      </c>
      <c r="G486" s="76">
        <v>10</v>
      </c>
      <c r="H486" s="76">
        <v>1</v>
      </c>
      <c r="I486" s="79">
        <v>721</v>
      </c>
      <c r="J486" s="79">
        <v>230</v>
      </c>
      <c r="K486" s="13"/>
      <c r="L486" s="13"/>
    </row>
    <row r="487" spans="1:12" x14ac:dyDescent="0.2">
      <c r="A487" s="76">
        <v>300</v>
      </c>
      <c r="B487" s="76">
        <v>1</v>
      </c>
      <c r="C487" s="76" t="s">
        <v>161</v>
      </c>
      <c r="D487" s="76">
        <v>2002</v>
      </c>
      <c r="E487" s="76">
        <v>2003</v>
      </c>
      <c r="F487" s="81">
        <v>550</v>
      </c>
      <c r="G487" s="76">
        <v>10</v>
      </c>
      <c r="H487" s="76">
        <v>0</v>
      </c>
      <c r="I487" s="79">
        <v>1380</v>
      </c>
      <c r="J487" s="79">
        <v>2563</v>
      </c>
      <c r="K487" s="13"/>
      <c r="L487" s="13"/>
    </row>
    <row r="488" spans="1:12" x14ac:dyDescent="0.2">
      <c r="A488" s="76">
        <v>300</v>
      </c>
      <c r="B488" s="76">
        <v>1</v>
      </c>
      <c r="C488" s="76" t="s">
        <v>846</v>
      </c>
      <c r="D488" s="76">
        <v>2003</v>
      </c>
      <c r="E488" s="76">
        <v>2004</v>
      </c>
      <c r="F488" s="81">
        <v>100</v>
      </c>
      <c r="G488" s="76">
        <v>5</v>
      </c>
      <c r="H488" s="76">
        <v>0</v>
      </c>
      <c r="I488" s="79">
        <v>1238</v>
      </c>
      <c r="J488" s="79">
        <v>1779</v>
      </c>
      <c r="K488" s="13"/>
      <c r="L488" s="13"/>
    </row>
    <row r="489" spans="1:12" x14ac:dyDescent="0.2">
      <c r="A489" s="76">
        <v>300</v>
      </c>
      <c r="B489" s="76">
        <v>1</v>
      </c>
      <c r="C489" s="76" t="s">
        <v>846</v>
      </c>
      <c r="D489" s="76">
        <v>2003</v>
      </c>
      <c r="E489" s="76">
        <v>2004</v>
      </c>
      <c r="F489" s="81">
        <v>600</v>
      </c>
      <c r="G489" s="76">
        <v>5</v>
      </c>
      <c r="H489" s="76">
        <v>0</v>
      </c>
      <c r="I489" s="79">
        <v>1385</v>
      </c>
      <c r="J489" s="79">
        <v>1648</v>
      </c>
      <c r="K489" s="13"/>
      <c r="L489" s="13"/>
    </row>
    <row r="490" spans="1:12" x14ac:dyDescent="0.2">
      <c r="A490" s="76">
        <v>300</v>
      </c>
      <c r="B490" s="76">
        <v>1</v>
      </c>
      <c r="C490" s="76" t="s">
        <v>161</v>
      </c>
      <c r="D490" s="76">
        <v>2006</v>
      </c>
      <c r="E490" s="78">
        <v>2007</v>
      </c>
      <c r="F490" s="81">
        <v>575</v>
      </c>
      <c r="G490" s="78">
        <v>5</v>
      </c>
      <c r="H490" s="76">
        <v>1</v>
      </c>
      <c r="I490" s="77">
        <v>1931</v>
      </c>
      <c r="J490" s="77">
        <v>1615</v>
      </c>
      <c r="K490" s="13"/>
      <c r="L490" s="13"/>
    </row>
    <row r="491" spans="1:12" x14ac:dyDescent="0.2">
      <c r="A491" s="76">
        <v>306</v>
      </c>
      <c r="B491" s="76">
        <v>1</v>
      </c>
      <c r="C491" s="76" t="s">
        <v>162</v>
      </c>
      <c r="D491" s="76">
        <v>2001</v>
      </c>
      <c r="E491" s="76">
        <v>2002</v>
      </c>
      <c r="F491" s="81">
        <v>126</v>
      </c>
      <c r="G491" s="76">
        <v>10</v>
      </c>
      <c r="H491" s="76">
        <v>0</v>
      </c>
      <c r="I491" s="79">
        <v>131</v>
      </c>
      <c r="J491" s="79">
        <v>216</v>
      </c>
      <c r="K491" s="13"/>
      <c r="L491" s="13"/>
    </row>
    <row r="492" spans="1:12" x14ac:dyDescent="0.2">
      <c r="A492" s="76">
        <v>308</v>
      </c>
      <c r="B492" s="76">
        <v>1</v>
      </c>
      <c r="C492" s="76" t="s">
        <v>163</v>
      </c>
      <c r="D492" s="76">
        <v>2001</v>
      </c>
      <c r="E492" s="76">
        <v>2002</v>
      </c>
      <c r="F492" s="81">
        <v>126</v>
      </c>
      <c r="G492" s="76">
        <v>10</v>
      </c>
      <c r="H492" s="76">
        <v>1</v>
      </c>
      <c r="I492" s="79">
        <v>165</v>
      </c>
      <c r="J492" s="79">
        <v>154</v>
      </c>
      <c r="K492" s="13"/>
      <c r="L492" s="13"/>
    </row>
    <row r="493" spans="1:12" x14ac:dyDescent="0.2">
      <c r="A493" s="76">
        <v>309</v>
      </c>
      <c r="B493" s="76">
        <v>1</v>
      </c>
      <c r="C493" s="76" t="s">
        <v>164</v>
      </c>
      <c r="D493" s="76">
        <v>1994</v>
      </c>
      <c r="E493" s="76">
        <v>1995</v>
      </c>
      <c r="F493" s="81">
        <v>336.26</v>
      </c>
      <c r="G493" s="76">
        <v>10</v>
      </c>
      <c r="H493" s="76">
        <v>0</v>
      </c>
      <c r="I493" s="79">
        <v>2030</v>
      </c>
      <c r="J493" s="79">
        <v>2467</v>
      </c>
      <c r="K493" s="13"/>
      <c r="L493" s="13"/>
    </row>
    <row r="494" spans="1:12" x14ac:dyDescent="0.2">
      <c r="A494" s="76">
        <v>309</v>
      </c>
      <c r="B494" s="76">
        <v>1</v>
      </c>
      <c r="C494" s="76" t="s">
        <v>164</v>
      </c>
      <c r="D494" s="76">
        <v>1995</v>
      </c>
      <c r="E494" s="76">
        <v>1996</v>
      </c>
      <c r="F494" s="81">
        <v>336.26</v>
      </c>
      <c r="G494" s="76">
        <v>10</v>
      </c>
      <c r="H494" s="76">
        <v>1</v>
      </c>
      <c r="I494" s="79">
        <v>2077</v>
      </c>
      <c r="J494" s="79">
        <v>1294</v>
      </c>
      <c r="K494" s="13"/>
      <c r="L494" s="13"/>
    </row>
    <row r="495" spans="1:12" x14ac:dyDescent="0.2">
      <c r="A495" s="76">
        <v>309</v>
      </c>
      <c r="B495" s="76">
        <v>1</v>
      </c>
      <c r="C495" s="76" t="s">
        <v>164</v>
      </c>
      <c r="D495" s="76">
        <v>2002</v>
      </c>
      <c r="E495" s="76">
        <v>2003</v>
      </c>
      <c r="F495" s="81">
        <v>360</v>
      </c>
      <c r="G495" s="76">
        <v>3</v>
      </c>
      <c r="H495" s="76">
        <v>0</v>
      </c>
      <c r="I495" s="79">
        <v>1458</v>
      </c>
      <c r="J495" s="79">
        <v>3986</v>
      </c>
      <c r="K495" s="13"/>
      <c r="L495" s="13"/>
    </row>
    <row r="496" spans="1:12" x14ac:dyDescent="0.2">
      <c r="A496" s="76">
        <v>309</v>
      </c>
      <c r="B496" s="76">
        <v>1</v>
      </c>
      <c r="C496" s="76" t="s">
        <v>164</v>
      </c>
      <c r="D496" s="76">
        <v>2003</v>
      </c>
      <c r="E496" s="76">
        <v>2004</v>
      </c>
      <c r="F496" s="81">
        <v>375</v>
      </c>
      <c r="G496" s="76">
        <v>3</v>
      </c>
      <c r="H496" s="76">
        <v>0</v>
      </c>
      <c r="I496" s="79">
        <v>1017</v>
      </c>
      <c r="J496" s="79">
        <v>2454</v>
      </c>
      <c r="K496" s="13"/>
      <c r="L496" s="13"/>
    </row>
    <row r="497" spans="1:12" x14ac:dyDescent="0.2">
      <c r="A497" s="76">
        <v>309</v>
      </c>
      <c r="B497" s="76">
        <v>1</v>
      </c>
      <c r="C497" s="76" t="s">
        <v>164</v>
      </c>
      <c r="D497" s="76">
        <v>2004</v>
      </c>
      <c r="E497" s="76">
        <v>2006</v>
      </c>
      <c r="F497" s="81">
        <v>375</v>
      </c>
      <c r="G497" s="76">
        <v>7</v>
      </c>
      <c r="H497" s="76">
        <v>0</v>
      </c>
      <c r="I497" s="79">
        <v>2661</v>
      </c>
      <c r="J497" s="79">
        <v>4029</v>
      </c>
      <c r="K497" s="13"/>
      <c r="L497" s="13"/>
    </row>
    <row r="498" spans="1:12" x14ac:dyDescent="0.2">
      <c r="A498" s="76">
        <v>309</v>
      </c>
      <c r="B498" s="76">
        <v>1</v>
      </c>
      <c r="C498" s="76" t="s">
        <v>1001</v>
      </c>
      <c r="D498" s="76">
        <v>2005</v>
      </c>
      <c r="E498" s="76">
        <v>2006</v>
      </c>
      <c r="F498" s="81">
        <v>400</v>
      </c>
      <c r="G498" s="76">
        <v>7</v>
      </c>
      <c r="H498" s="78">
        <v>0</v>
      </c>
      <c r="I498" s="77">
        <v>1673</v>
      </c>
      <c r="J498" s="77">
        <v>2193</v>
      </c>
      <c r="K498" s="13"/>
      <c r="L498" s="13"/>
    </row>
    <row r="499" spans="1:12" x14ac:dyDescent="0.2">
      <c r="A499" s="76">
        <v>309</v>
      </c>
      <c r="B499" s="76">
        <v>1</v>
      </c>
      <c r="C499" s="76" t="s">
        <v>164</v>
      </c>
      <c r="D499" s="76">
        <v>2006</v>
      </c>
      <c r="E499" s="78">
        <v>2007</v>
      </c>
      <c r="F499" s="81">
        <v>600</v>
      </c>
      <c r="G499" s="78">
        <v>5</v>
      </c>
      <c r="H499" s="76">
        <v>1</v>
      </c>
      <c r="I499" s="77">
        <v>3486</v>
      </c>
      <c r="J499" s="77">
        <v>2807</v>
      </c>
      <c r="K499" s="13"/>
      <c r="L499" s="13"/>
    </row>
    <row r="500" spans="1:12" x14ac:dyDescent="0.2">
      <c r="A500" s="76">
        <v>314</v>
      </c>
      <c r="B500" s="76">
        <v>1</v>
      </c>
      <c r="C500" s="76" t="s">
        <v>165</v>
      </c>
      <c r="D500" s="76">
        <v>1992</v>
      </c>
      <c r="E500" s="76">
        <v>1993</v>
      </c>
      <c r="F500" s="81">
        <v>305</v>
      </c>
      <c r="G500" s="76">
        <v>5</v>
      </c>
      <c r="H500" s="76">
        <v>0</v>
      </c>
      <c r="I500" s="79" t="s">
        <v>840</v>
      </c>
      <c r="J500" s="79" t="s">
        <v>840</v>
      </c>
      <c r="K500" s="13"/>
      <c r="L500" s="13"/>
    </row>
    <row r="501" spans="1:12" x14ac:dyDescent="0.2">
      <c r="A501" s="76">
        <v>314</v>
      </c>
      <c r="B501" s="76">
        <v>1</v>
      </c>
      <c r="C501" s="76" t="s">
        <v>165</v>
      </c>
      <c r="D501" s="76">
        <v>1993</v>
      </c>
      <c r="E501" s="76">
        <v>1994</v>
      </c>
      <c r="F501" s="81">
        <v>400</v>
      </c>
      <c r="G501" s="76">
        <v>3</v>
      </c>
      <c r="H501" s="76">
        <v>1</v>
      </c>
      <c r="I501" s="79" t="s">
        <v>840</v>
      </c>
      <c r="J501" s="79" t="s">
        <v>840</v>
      </c>
      <c r="K501" s="13"/>
      <c r="L501" s="13"/>
    </row>
    <row r="502" spans="1:12" x14ac:dyDescent="0.2">
      <c r="A502" s="76">
        <v>314</v>
      </c>
      <c r="B502" s="76">
        <v>1</v>
      </c>
      <c r="C502" s="76" t="s">
        <v>165</v>
      </c>
      <c r="D502" s="76">
        <v>1995</v>
      </c>
      <c r="E502" s="76">
        <v>1997</v>
      </c>
      <c r="F502" s="81">
        <v>400</v>
      </c>
      <c r="G502" s="76">
        <v>3</v>
      </c>
      <c r="H502" s="76">
        <v>1</v>
      </c>
      <c r="I502" s="79">
        <v>324</v>
      </c>
      <c r="J502" s="79">
        <v>187</v>
      </c>
      <c r="K502" s="13"/>
      <c r="L502" s="13"/>
    </row>
    <row r="503" spans="1:12" x14ac:dyDescent="0.2">
      <c r="A503" s="76">
        <v>314</v>
      </c>
      <c r="B503" s="76">
        <v>1</v>
      </c>
      <c r="C503" s="76" t="s">
        <v>165</v>
      </c>
      <c r="D503" s="76">
        <v>1999</v>
      </c>
      <c r="E503" s="76">
        <v>2000</v>
      </c>
      <c r="F503" s="81">
        <v>415</v>
      </c>
      <c r="G503" s="76">
        <v>6</v>
      </c>
      <c r="H503" s="76">
        <v>1</v>
      </c>
      <c r="I503" s="79">
        <v>728</v>
      </c>
      <c r="J503" s="79">
        <v>572</v>
      </c>
      <c r="K503" s="13"/>
      <c r="L503" s="13"/>
    </row>
    <row r="504" spans="1:12" x14ac:dyDescent="0.2">
      <c r="A504" s="76">
        <v>314</v>
      </c>
      <c r="B504" s="76">
        <v>1</v>
      </c>
      <c r="C504" s="76" t="s">
        <v>165</v>
      </c>
      <c r="D504" s="76">
        <v>2001</v>
      </c>
      <c r="E504" s="76">
        <v>2002</v>
      </c>
      <c r="F504" s="81">
        <v>295</v>
      </c>
      <c r="G504" s="76">
        <v>6</v>
      </c>
      <c r="H504" s="76">
        <v>1</v>
      </c>
      <c r="I504" s="79">
        <v>510</v>
      </c>
      <c r="J504" s="79">
        <v>426</v>
      </c>
      <c r="K504" s="13"/>
      <c r="L504" s="13"/>
    </row>
    <row r="505" spans="1:12" x14ac:dyDescent="0.2">
      <c r="A505" s="76">
        <v>314</v>
      </c>
      <c r="B505" s="76">
        <v>1</v>
      </c>
      <c r="C505" s="76" t="s">
        <v>165</v>
      </c>
      <c r="D505" s="82">
        <v>2007</v>
      </c>
      <c r="E505" s="83">
        <v>2008</v>
      </c>
      <c r="F505" s="78">
        <v>475</v>
      </c>
      <c r="G505" s="76">
        <v>6</v>
      </c>
      <c r="H505" s="77">
        <v>1</v>
      </c>
      <c r="I505" s="77">
        <v>407</v>
      </c>
      <c r="J505" s="79">
        <v>374</v>
      </c>
      <c r="K505" s="13"/>
      <c r="L505" s="13"/>
    </row>
    <row r="506" spans="1:12" x14ac:dyDescent="0.2">
      <c r="A506" s="76">
        <v>316</v>
      </c>
      <c r="B506" s="76">
        <v>1</v>
      </c>
      <c r="C506" s="76" t="s">
        <v>527</v>
      </c>
      <c r="D506" s="76">
        <v>1993</v>
      </c>
      <c r="E506" s="76">
        <v>1994</v>
      </c>
      <c r="F506" s="81">
        <v>396.69</v>
      </c>
      <c r="G506" s="76">
        <v>5</v>
      </c>
      <c r="H506" s="76">
        <v>1</v>
      </c>
      <c r="I506" s="79" t="s">
        <v>840</v>
      </c>
      <c r="J506" s="79" t="s">
        <v>840</v>
      </c>
      <c r="K506" s="13"/>
      <c r="L506" s="13"/>
    </row>
    <row r="507" spans="1:12" x14ac:dyDescent="0.2">
      <c r="A507" s="76">
        <v>316</v>
      </c>
      <c r="B507" s="76">
        <v>1</v>
      </c>
      <c r="C507" s="76" t="s">
        <v>166</v>
      </c>
      <c r="D507" s="76">
        <v>1997</v>
      </c>
      <c r="E507" s="76">
        <v>1999</v>
      </c>
      <c r="F507" s="81">
        <v>336.11</v>
      </c>
      <c r="G507" s="76">
        <v>10</v>
      </c>
      <c r="H507" s="76">
        <v>1</v>
      </c>
      <c r="I507" s="79">
        <v>671</v>
      </c>
      <c r="J507" s="79">
        <v>518</v>
      </c>
      <c r="K507" s="13"/>
      <c r="L507" s="13"/>
    </row>
    <row r="508" spans="1:12" x14ac:dyDescent="0.2">
      <c r="A508" s="76">
        <v>316</v>
      </c>
      <c r="B508" s="76">
        <v>1</v>
      </c>
      <c r="C508" s="76" t="s">
        <v>166</v>
      </c>
      <c r="D508" s="76">
        <v>1997</v>
      </c>
      <c r="E508" s="76">
        <v>1998</v>
      </c>
      <c r="F508" s="81">
        <v>50.1</v>
      </c>
      <c r="G508" s="76">
        <v>7</v>
      </c>
      <c r="H508" s="76">
        <v>1</v>
      </c>
      <c r="I508" s="79">
        <v>652</v>
      </c>
      <c r="J508" s="79">
        <v>523</v>
      </c>
      <c r="K508" s="13"/>
      <c r="L508" s="13"/>
    </row>
    <row r="509" spans="1:12" x14ac:dyDescent="0.2">
      <c r="A509" s="76">
        <v>316</v>
      </c>
      <c r="B509" s="76">
        <v>1</v>
      </c>
      <c r="C509" s="76" t="s">
        <v>166</v>
      </c>
      <c r="D509" s="76">
        <v>1998</v>
      </c>
      <c r="E509" s="76">
        <v>1999</v>
      </c>
      <c r="F509" s="81">
        <v>37.020000000000003</v>
      </c>
      <c r="G509" s="76">
        <v>5</v>
      </c>
      <c r="H509" s="76">
        <v>1</v>
      </c>
      <c r="I509" s="79">
        <v>1731</v>
      </c>
      <c r="J509" s="79">
        <v>1613</v>
      </c>
      <c r="K509" s="13"/>
      <c r="L509" s="13"/>
    </row>
    <row r="510" spans="1:12" x14ac:dyDescent="0.2">
      <c r="A510" s="76">
        <v>316</v>
      </c>
      <c r="B510" s="76">
        <v>1</v>
      </c>
      <c r="C510" s="76" t="s">
        <v>166</v>
      </c>
      <c r="D510" s="76">
        <v>1998</v>
      </c>
      <c r="E510" s="76">
        <v>1999</v>
      </c>
      <c r="F510" s="81">
        <v>96.08</v>
      </c>
      <c r="G510" s="76">
        <v>5</v>
      </c>
      <c r="H510" s="76">
        <v>1</v>
      </c>
      <c r="I510" s="79">
        <v>1705</v>
      </c>
      <c r="J510" s="79">
        <v>1655</v>
      </c>
      <c r="K510" s="13"/>
      <c r="L510" s="13"/>
    </row>
    <row r="511" spans="1:12" x14ac:dyDescent="0.2">
      <c r="A511" s="76">
        <v>316</v>
      </c>
      <c r="B511" s="76">
        <v>1</v>
      </c>
      <c r="C511" s="76" t="s">
        <v>166</v>
      </c>
      <c r="D511" s="76">
        <v>2000</v>
      </c>
      <c r="E511" s="76">
        <v>2001</v>
      </c>
      <c r="F511" s="81">
        <v>427.7</v>
      </c>
      <c r="G511" s="76">
        <v>10</v>
      </c>
      <c r="H511" s="76">
        <v>1</v>
      </c>
      <c r="I511" s="79">
        <v>2268</v>
      </c>
      <c r="J511" s="79">
        <v>1542</v>
      </c>
      <c r="K511" s="13"/>
      <c r="L511" s="13"/>
    </row>
    <row r="512" spans="1:12" x14ac:dyDescent="0.2">
      <c r="A512" s="76">
        <v>316</v>
      </c>
      <c r="B512" s="76">
        <v>1</v>
      </c>
      <c r="C512" s="76" t="s">
        <v>166</v>
      </c>
      <c r="D512" s="76">
        <v>2004</v>
      </c>
      <c r="E512" s="76">
        <v>2005</v>
      </c>
      <c r="F512" s="81">
        <v>307.08</v>
      </c>
      <c r="G512" s="76">
        <v>5</v>
      </c>
      <c r="H512" s="76">
        <v>1</v>
      </c>
      <c r="I512" s="79">
        <v>2257</v>
      </c>
      <c r="J512" s="79">
        <v>1908</v>
      </c>
      <c r="K512" s="13"/>
      <c r="L512" s="13"/>
    </row>
    <row r="513" spans="1:12" x14ac:dyDescent="0.2">
      <c r="A513">
        <v>316</v>
      </c>
      <c r="B513">
        <v>1</v>
      </c>
      <c r="C513" t="s">
        <v>166</v>
      </c>
      <c r="D513">
        <v>2008</v>
      </c>
      <c r="E513" s="5">
        <v>2009</v>
      </c>
      <c r="F513" s="6">
        <v>154.97999999999999</v>
      </c>
      <c r="G513" s="5">
        <v>5</v>
      </c>
      <c r="H513" s="33">
        <v>0</v>
      </c>
      <c r="I513" s="33">
        <v>898</v>
      </c>
      <c r="J513" s="33">
        <v>1170</v>
      </c>
      <c r="K513" s="13"/>
      <c r="L513" s="13"/>
    </row>
    <row r="514" spans="1:12" x14ac:dyDescent="0.2">
      <c r="A514" s="76">
        <v>317</v>
      </c>
      <c r="B514" s="76">
        <v>1</v>
      </c>
      <c r="C514" s="76" t="s">
        <v>167</v>
      </c>
      <c r="D514" s="76">
        <v>1996</v>
      </c>
      <c r="E514" s="76">
        <v>1997</v>
      </c>
      <c r="F514" s="81">
        <v>315</v>
      </c>
      <c r="G514" s="76">
        <v>10</v>
      </c>
      <c r="H514" s="76">
        <v>0</v>
      </c>
      <c r="I514" s="79">
        <v>913</v>
      </c>
      <c r="J514" s="79">
        <v>1080</v>
      </c>
      <c r="K514" s="13"/>
      <c r="L514" s="13"/>
    </row>
    <row r="515" spans="1:12" x14ac:dyDescent="0.2">
      <c r="A515" s="76">
        <v>317</v>
      </c>
      <c r="B515" s="76">
        <v>1</v>
      </c>
      <c r="C515" s="76" t="s">
        <v>167</v>
      </c>
      <c r="D515" s="76">
        <v>1997</v>
      </c>
      <c r="E515" s="76">
        <v>1998</v>
      </c>
      <c r="F515" s="81">
        <v>315</v>
      </c>
      <c r="G515" s="76">
        <v>10</v>
      </c>
      <c r="H515" s="76">
        <v>1</v>
      </c>
      <c r="I515" s="79">
        <v>520</v>
      </c>
      <c r="J515" s="79">
        <v>416</v>
      </c>
      <c r="K515" s="13"/>
      <c r="L515" s="13"/>
    </row>
    <row r="516" spans="1:12" x14ac:dyDescent="0.2">
      <c r="A516" s="76">
        <v>317</v>
      </c>
      <c r="B516" s="76">
        <v>1</v>
      </c>
      <c r="C516" s="76" t="s">
        <v>167</v>
      </c>
      <c r="D516" s="76">
        <v>2002</v>
      </c>
      <c r="E516" s="76">
        <v>2003</v>
      </c>
      <c r="F516" s="81">
        <v>80</v>
      </c>
      <c r="G516" s="76">
        <v>10</v>
      </c>
      <c r="H516" s="76">
        <v>0</v>
      </c>
      <c r="I516" s="79">
        <v>660</v>
      </c>
      <c r="J516" s="79">
        <v>1367</v>
      </c>
      <c r="K516" s="13"/>
      <c r="L516" s="13"/>
    </row>
    <row r="517" spans="1:12" x14ac:dyDescent="0.2">
      <c r="A517" s="76">
        <v>317</v>
      </c>
      <c r="B517" s="76">
        <v>1</v>
      </c>
      <c r="C517" s="76" t="s">
        <v>167</v>
      </c>
      <c r="D517" s="76">
        <v>2004</v>
      </c>
      <c r="E517" s="76">
        <v>2005</v>
      </c>
      <c r="F517" s="81">
        <v>500</v>
      </c>
      <c r="G517" s="76">
        <v>10</v>
      </c>
      <c r="H517" s="76">
        <v>0</v>
      </c>
      <c r="I517" s="79">
        <v>942</v>
      </c>
      <c r="J517" s="79">
        <v>1508</v>
      </c>
      <c r="K517" s="13"/>
      <c r="L517" s="13"/>
    </row>
    <row r="518" spans="1:12" x14ac:dyDescent="0.2">
      <c r="A518" s="76">
        <v>317</v>
      </c>
      <c r="B518" s="76">
        <v>1</v>
      </c>
      <c r="C518" s="76" t="s">
        <v>167</v>
      </c>
      <c r="D518" s="76">
        <v>2006</v>
      </c>
      <c r="E518" s="78">
        <v>2007</v>
      </c>
      <c r="F518" s="81">
        <v>100</v>
      </c>
      <c r="G518" s="78">
        <v>5</v>
      </c>
      <c r="H518" s="76">
        <v>0</v>
      </c>
      <c r="I518" s="77">
        <v>934</v>
      </c>
      <c r="J518" s="77">
        <v>1310</v>
      </c>
      <c r="K518" s="13"/>
      <c r="L518" s="13"/>
    </row>
    <row r="519" spans="1:12" x14ac:dyDescent="0.2">
      <c r="A519" s="76">
        <v>317</v>
      </c>
      <c r="B519" s="76">
        <v>1</v>
      </c>
      <c r="C519" s="76" t="s">
        <v>167</v>
      </c>
      <c r="D519" s="76">
        <v>2006</v>
      </c>
      <c r="E519" s="78">
        <v>2007</v>
      </c>
      <c r="F519" s="81">
        <v>600</v>
      </c>
      <c r="G519" s="78">
        <v>5</v>
      </c>
      <c r="H519" s="76">
        <v>0</v>
      </c>
      <c r="I519" s="77">
        <v>990</v>
      </c>
      <c r="J519" s="77">
        <v>1264</v>
      </c>
      <c r="K519" s="13"/>
      <c r="L519" s="13"/>
    </row>
    <row r="520" spans="1:12" x14ac:dyDescent="0.2">
      <c r="A520" s="76">
        <v>318</v>
      </c>
      <c r="B520" s="76">
        <v>1</v>
      </c>
      <c r="C520" s="76" t="s">
        <v>168</v>
      </c>
      <c r="D520" s="82">
        <v>2007</v>
      </c>
      <c r="E520" s="83">
        <v>2008</v>
      </c>
      <c r="F520" s="78">
        <v>295</v>
      </c>
      <c r="G520" s="76">
        <v>10</v>
      </c>
      <c r="H520" s="77">
        <v>0</v>
      </c>
      <c r="I520" s="77">
        <v>2261</v>
      </c>
      <c r="J520" s="79">
        <v>4012</v>
      </c>
      <c r="K520" s="13"/>
      <c r="L520" s="13"/>
    </row>
    <row r="521" spans="1:12" x14ac:dyDescent="0.2">
      <c r="A521" s="76">
        <v>319</v>
      </c>
      <c r="B521" s="76">
        <v>1</v>
      </c>
      <c r="C521" s="76" t="s">
        <v>739</v>
      </c>
      <c r="D521" s="76">
        <v>1992</v>
      </c>
      <c r="E521" s="76">
        <v>1993</v>
      </c>
      <c r="F521" s="81">
        <v>100</v>
      </c>
      <c r="G521" s="76">
        <v>5</v>
      </c>
      <c r="H521" s="76">
        <v>0</v>
      </c>
      <c r="I521" s="79" t="s">
        <v>840</v>
      </c>
      <c r="J521" s="79" t="s">
        <v>840</v>
      </c>
      <c r="K521" s="13"/>
      <c r="L521" s="13"/>
    </row>
    <row r="522" spans="1:12" x14ac:dyDescent="0.2">
      <c r="A522" s="76">
        <v>319</v>
      </c>
      <c r="B522" s="76">
        <v>1</v>
      </c>
      <c r="C522" s="76" t="s">
        <v>740</v>
      </c>
      <c r="D522" s="76">
        <v>1993</v>
      </c>
      <c r="E522" s="76">
        <v>1994</v>
      </c>
      <c r="F522" s="81">
        <v>99.6</v>
      </c>
      <c r="G522" s="76">
        <v>5</v>
      </c>
      <c r="H522" s="76">
        <v>1</v>
      </c>
      <c r="I522" s="79" t="s">
        <v>840</v>
      </c>
      <c r="J522" s="79" t="s">
        <v>840</v>
      </c>
      <c r="K522" s="13"/>
      <c r="L522" s="13"/>
    </row>
    <row r="523" spans="1:12" x14ac:dyDescent="0.2">
      <c r="A523" s="76">
        <v>319</v>
      </c>
      <c r="B523" s="76">
        <v>1</v>
      </c>
      <c r="C523" s="76" t="s">
        <v>169</v>
      </c>
      <c r="D523" s="76">
        <v>1998</v>
      </c>
      <c r="E523" s="76">
        <v>1999</v>
      </c>
      <c r="F523" s="81">
        <v>309.01</v>
      </c>
      <c r="G523" s="76">
        <v>10</v>
      </c>
      <c r="H523" s="76">
        <v>1</v>
      </c>
      <c r="I523" s="79">
        <v>1057</v>
      </c>
      <c r="J523" s="79">
        <v>847</v>
      </c>
      <c r="K523" s="13"/>
      <c r="L523" s="13"/>
    </row>
    <row r="524" spans="1:12" x14ac:dyDescent="0.2">
      <c r="A524">
        <v>319</v>
      </c>
      <c r="B524">
        <v>1</v>
      </c>
      <c r="C524" t="s">
        <v>169</v>
      </c>
      <c r="D524">
        <v>2008</v>
      </c>
      <c r="E524" s="5">
        <v>2009</v>
      </c>
      <c r="F524" s="6">
        <v>900</v>
      </c>
      <c r="G524" s="1">
        <v>10</v>
      </c>
      <c r="H524" s="33">
        <v>0</v>
      </c>
      <c r="I524" s="33">
        <v>884</v>
      </c>
      <c r="J524" s="33">
        <v>1350</v>
      </c>
      <c r="K524" s="13"/>
      <c r="L524" s="13"/>
    </row>
    <row r="525" spans="1:12" x14ac:dyDescent="0.2">
      <c r="A525" s="76">
        <v>323</v>
      </c>
      <c r="B525" s="76">
        <v>2</v>
      </c>
      <c r="C525" s="76" t="s">
        <v>170</v>
      </c>
      <c r="D525" s="76">
        <v>2001</v>
      </c>
      <c r="E525" s="76">
        <v>2002</v>
      </c>
      <c r="F525" s="81">
        <v>300</v>
      </c>
      <c r="G525" s="76">
        <v>4</v>
      </c>
      <c r="H525" s="76">
        <v>1</v>
      </c>
      <c r="I525" s="79">
        <v>44</v>
      </c>
      <c r="J525" s="79">
        <v>9</v>
      </c>
      <c r="K525" s="13"/>
      <c r="L525" s="13"/>
    </row>
    <row r="526" spans="1:12" x14ac:dyDescent="0.2">
      <c r="A526" s="76">
        <v>323</v>
      </c>
      <c r="B526" s="76">
        <v>1</v>
      </c>
      <c r="C526" s="76" t="s">
        <v>1002</v>
      </c>
      <c r="D526" s="76">
        <v>2005</v>
      </c>
      <c r="E526" s="76">
        <v>2006</v>
      </c>
      <c r="F526" s="81">
        <v>1400</v>
      </c>
      <c r="G526" s="76">
        <v>5</v>
      </c>
      <c r="H526" s="78">
        <v>1</v>
      </c>
      <c r="I526" s="77">
        <v>50</v>
      </c>
      <c r="J526" s="77">
        <v>14</v>
      </c>
      <c r="K526" s="13"/>
      <c r="L526" s="13"/>
    </row>
    <row r="527" spans="1:12" x14ac:dyDescent="0.2">
      <c r="A527" s="76">
        <v>325</v>
      </c>
      <c r="B527" s="76">
        <v>1</v>
      </c>
      <c r="C527" s="76" t="s">
        <v>630</v>
      </c>
      <c r="D527" s="76">
        <v>1991</v>
      </c>
      <c r="E527" s="76">
        <v>1992</v>
      </c>
      <c r="F527" s="81">
        <v>333</v>
      </c>
      <c r="G527" s="76">
        <v>5</v>
      </c>
      <c r="H527" s="76">
        <v>1</v>
      </c>
      <c r="I527" s="79" t="s">
        <v>840</v>
      </c>
      <c r="J527" s="79" t="s">
        <v>840</v>
      </c>
      <c r="K527" s="13"/>
      <c r="L527" s="13"/>
    </row>
    <row r="528" spans="1:12" x14ac:dyDescent="0.2">
      <c r="A528" s="76">
        <v>325</v>
      </c>
      <c r="B528" s="76">
        <v>1</v>
      </c>
      <c r="C528" s="76" t="s">
        <v>630</v>
      </c>
      <c r="D528" s="76">
        <v>1996</v>
      </c>
      <c r="E528" s="76">
        <v>1997</v>
      </c>
      <c r="F528" s="81">
        <v>1000</v>
      </c>
      <c r="G528" s="76">
        <v>5</v>
      </c>
      <c r="H528" s="76">
        <v>0</v>
      </c>
      <c r="I528" s="79">
        <v>445</v>
      </c>
      <c r="J528" s="79">
        <v>1028</v>
      </c>
      <c r="K528" s="13"/>
      <c r="L528" s="13"/>
    </row>
    <row r="529" spans="1:12" x14ac:dyDescent="0.2">
      <c r="A529" s="76">
        <v>330</v>
      </c>
      <c r="B529" s="76">
        <v>1</v>
      </c>
      <c r="C529" s="76" t="s">
        <v>171</v>
      </c>
      <c r="D529" s="76">
        <v>2001</v>
      </c>
      <c r="E529" s="76">
        <v>2002</v>
      </c>
      <c r="F529" s="81">
        <v>585.63</v>
      </c>
      <c r="G529" s="76">
        <v>10</v>
      </c>
      <c r="H529" s="76">
        <v>1</v>
      </c>
      <c r="I529" s="79">
        <v>424</v>
      </c>
      <c r="J529" s="79">
        <v>125</v>
      </c>
      <c r="K529" s="13"/>
      <c r="L529" s="13"/>
    </row>
    <row r="530" spans="1:12" x14ac:dyDescent="0.2">
      <c r="A530" s="76">
        <v>330</v>
      </c>
      <c r="B530" s="76">
        <v>1</v>
      </c>
      <c r="C530" s="76" t="s">
        <v>847</v>
      </c>
      <c r="D530" s="76">
        <v>2003</v>
      </c>
      <c r="E530" s="76">
        <v>2004</v>
      </c>
      <c r="F530" s="81">
        <v>500</v>
      </c>
      <c r="G530" s="76">
        <v>10</v>
      </c>
      <c r="H530" s="76">
        <v>1</v>
      </c>
      <c r="I530" s="79">
        <v>251</v>
      </c>
      <c r="J530" s="79">
        <v>118</v>
      </c>
      <c r="K530" s="13"/>
      <c r="L530" s="13"/>
    </row>
    <row r="531" spans="1:12" x14ac:dyDescent="0.2">
      <c r="A531" s="76">
        <v>332</v>
      </c>
      <c r="B531" s="76">
        <v>1</v>
      </c>
      <c r="C531" s="76" t="s">
        <v>172</v>
      </c>
      <c r="D531" s="76">
        <v>1999</v>
      </c>
      <c r="E531" s="76">
        <v>2000</v>
      </c>
      <c r="F531" s="81">
        <v>415</v>
      </c>
      <c r="G531" s="76">
        <v>6</v>
      </c>
      <c r="H531" s="76">
        <v>0</v>
      </c>
      <c r="I531" s="79">
        <v>820</v>
      </c>
      <c r="J531" s="79">
        <v>875</v>
      </c>
      <c r="K531" s="13"/>
      <c r="L531" s="13"/>
    </row>
    <row r="532" spans="1:12" x14ac:dyDescent="0.2">
      <c r="A532" s="76">
        <v>332</v>
      </c>
      <c r="B532" s="76">
        <v>1</v>
      </c>
      <c r="C532" s="76" t="s">
        <v>172</v>
      </c>
      <c r="D532" s="76">
        <v>2001</v>
      </c>
      <c r="E532" s="76">
        <v>2002</v>
      </c>
      <c r="F532" s="81">
        <v>126</v>
      </c>
      <c r="G532" s="76">
        <v>8</v>
      </c>
      <c r="H532" s="76">
        <v>1</v>
      </c>
      <c r="I532" s="79">
        <v>1450</v>
      </c>
      <c r="J532" s="79">
        <v>918</v>
      </c>
      <c r="K532" s="13"/>
      <c r="L532" s="13"/>
    </row>
    <row r="533" spans="1:12" x14ac:dyDescent="0.2">
      <c r="A533" s="76">
        <v>333</v>
      </c>
      <c r="B533" s="76">
        <v>1</v>
      </c>
      <c r="C533" s="76" t="s">
        <v>173</v>
      </c>
      <c r="D533" s="76">
        <v>1992</v>
      </c>
      <c r="E533" s="76">
        <v>1993</v>
      </c>
      <c r="F533" s="81">
        <v>305</v>
      </c>
      <c r="G533" s="76">
        <v>5</v>
      </c>
      <c r="H533" s="76">
        <v>0</v>
      </c>
      <c r="I533" s="79" t="s">
        <v>840</v>
      </c>
      <c r="J533" s="79" t="s">
        <v>840</v>
      </c>
      <c r="K533" s="13"/>
      <c r="L533" s="13"/>
    </row>
    <row r="534" spans="1:12" x14ac:dyDescent="0.2">
      <c r="A534" s="76">
        <v>333</v>
      </c>
      <c r="B534" s="76">
        <v>1</v>
      </c>
      <c r="C534" s="76" t="s">
        <v>173</v>
      </c>
      <c r="D534" s="76">
        <v>1994</v>
      </c>
      <c r="E534" s="76">
        <v>1995</v>
      </c>
      <c r="F534" s="81">
        <v>432.2</v>
      </c>
      <c r="G534" s="76">
        <v>5</v>
      </c>
      <c r="H534" s="76">
        <v>1</v>
      </c>
      <c r="I534" s="79">
        <v>608</v>
      </c>
      <c r="J534" s="79">
        <v>386</v>
      </c>
      <c r="K534" s="13"/>
      <c r="L534" s="13"/>
    </row>
    <row r="535" spans="1:12" x14ac:dyDescent="0.2">
      <c r="A535" s="76">
        <v>333</v>
      </c>
      <c r="B535" s="76">
        <v>1</v>
      </c>
      <c r="C535" s="76" t="s">
        <v>173</v>
      </c>
      <c r="D535" s="76">
        <v>1999</v>
      </c>
      <c r="E535" s="76">
        <v>2000</v>
      </c>
      <c r="F535" s="81">
        <v>415</v>
      </c>
      <c r="G535" s="76">
        <v>5</v>
      </c>
      <c r="H535" s="76">
        <v>1</v>
      </c>
      <c r="I535" s="79">
        <v>416</v>
      </c>
      <c r="J535" s="79">
        <v>210</v>
      </c>
      <c r="K535" s="13"/>
      <c r="L535" s="13"/>
    </row>
    <row r="536" spans="1:12" x14ac:dyDescent="0.2">
      <c r="A536" s="76">
        <v>333</v>
      </c>
      <c r="B536" s="76">
        <v>1</v>
      </c>
      <c r="C536" s="76" t="s">
        <v>173</v>
      </c>
      <c r="D536" s="76">
        <v>2002</v>
      </c>
      <c r="E536" s="76">
        <v>2003</v>
      </c>
      <c r="F536" s="81">
        <v>400</v>
      </c>
      <c r="G536" s="76">
        <v>5</v>
      </c>
      <c r="H536" s="76">
        <v>0</v>
      </c>
      <c r="I536" s="79">
        <v>326</v>
      </c>
      <c r="J536" s="79">
        <v>616</v>
      </c>
      <c r="K536" s="13"/>
      <c r="L536" s="13"/>
    </row>
    <row r="537" spans="1:12" x14ac:dyDescent="0.2">
      <c r="A537" s="76">
        <v>333</v>
      </c>
      <c r="B537" s="76">
        <v>1</v>
      </c>
      <c r="C537" s="76" t="s">
        <v>173</v>
      </c>
      <c r="D537" s="76">
        <v>2003</v>
      </c>
      <c r="E537" s="76">
        <v>2004</v>
      </c>
      <c r="F537" s="81">
        <v>550</v>
      </c>
      <c r="G537" s="76">
        <v>5</v>
      </c>
      <c r="H537" s="76">
        <v>1</v>
      </c>
      <c r="I537" s="79">
        <v>296</v>
      </c>
      <c r="J537" s="79">
        <v>355</v>
      </c>
      <c r="K537" s="13"/>
      <c r="L537" s="13"/>
    </row>
    <row r="538" spans="1:12" x14ac:dyDescent="0.2">
      <c r="A538">
        <v>333</v>
      </c>
      <c r="B538">
        <v>1</v>
      </c>
      <c r="C538" t="s">
        <v>173</v>
      </c>
      <c r="D538">
        <v>2008</v>
      </c>
      <c r="E538" s="5">
        <v>2009</v>
      </c>
      <c r="F538" s="6">
        <v>1195</v>
      </c>
      <c r="G538" s="5">
        <v>5</v>
      </c>
      <c r="H538" s="33">
        <v>0</v>
      </c>
      <c r="I538" s="33">
        <v>800</v>
      </c>
      <c r="J538" s="33">
        <v>1050</v>
      </c>
      <c r="K538" s="13"/>
      <c r="L538" s="13"/>
    </row>
    <row r="539" spans="1:12" x14ac:dyDescent="0.2">
      <c r="A539" s="76">
        <v>341</v>
      </c>
      <c r="B539" s="76">
        <v>1</v>
      </c>
      <c r="C539" s="76" t="s">
        <v>631</v>
      </c>
      <c r="D539" s="76">
        <v>1992</v>
      </c>
      <c r="E539" s="76">
        <v>1993</v>
      </c>
      <c r="F539" s="81">
        <v>200</v>
      </c>
      <c r="G539" s="76">
        <v>5</v>
      </c>
      <c r="H539" s="76">
        <v>0</v>
      </c>
      <c r="I539" s="79" t="s">
        <v>840</v>
      </c>
      <c r="J539" s="79" t="s">
        <v>840</v>
      </c>
      <c r="K539" s="13"/>
      <c r="L539" s="13"/>
    </row>
    <row r="540" spans="1:12" x14ac:dyDescent="0.2">
      <c r="A540" s="76">
        <v>341</v>
      </c>
      <c r="B540" s="76">
        <v>1</v>
      </c>
      <c r="C540" s="76" t="s">
        <v>631</v>
      </c>
      <c r="D540" s="76">
        <v>1994</v>
      </c>
      <c r="E540" s="76">
        <v>1995</v>
      </c>
      <c r="F540" s="81">
        <v>435.76</v>
      </c>
      <c r="G540" s="76">
        <v>10</v>
      </c>
      <c r="H540" s="76">
        <v>1</v>
      </c>
      <c r="I540" s="79">
        <v>800</v>
      </c>
      <c r="J540" s="79">
        <v>611</v>
      </c>
      <c r="K540" s="13"/>
      <c r="L540" s="13"/>
    </row>
    <row r="541" spans="1:12" x14ac:dyDescent="0.2">
      <c r="A541" s="76">
        <v>345</v>
      </c>
      <c r="B541" s="76">
        <v>1</v>
      </c>
      <c r="C541" s="76" t="s">
        <v>174</v>
      </c>
      <c r="D541" s="76">
        <v>1995</v>
      </c>
      <c r="E541" s="76">
        <v>1996</v>
      </c>
      <c r="F541" s="81">
        <v>414.35</v>
      </c>
      <c r="G541" s="76">
        <v>3</v>
      </c>
      <c r="H541" s="76">
        <v>0</v>
      </c>
      <c r="I541" s="79">
        <v>757</v>
      </c>
      <c r="J541" s="79">
        <v>1172</v>
      </c>
      <c r="K541" s="13"/>
      <c r="L541" s="13"/>
    </row>
    <row r="542" spans="1:12" x14ac:dyDescent="0.2">
      <c r="A542" s="76">
        <v>345</v>
      </c>
      <c r="B542" s="76">
        <v>1</v>
      </c>
      <c r="C542" s="76" t="s">
        <v>174</v>
      </c>
      <c r="D542" s="76">
        <v>1996</v>
      </c>
      <c r="E542" s="76">
        <v>1997</v>
      </c>
      <c r="F542" s="81">
        <v>315</v>
      </c>
      <c r="G542" s="76">
        <v>7</v>
      </c>
      <c r="H542" s="76">
        <v>1</v>
      </c>
      <c r="I542" s="79">
        <v>2772</v>
      </c>
      <c r="J542" s="79">
        <v>1763</v>
      </c>
      <c r="K542" s="13"/>
      <c r="L542" s="13"/>
    </row>
    <row r="543" spans="1:12" x14ac:dyDescent="0.2">
      <c r="A543" s="76">
        <v>345</v>
      </c>
      <c r="B543" s="76">
        <v>1</v>
      </c>
      <c r="C543" s="76" t="s">
        <v>741</v>
      </c>
      <c r="D543" s="76">
        <v>2001</v>
      </c>
      <c r="E543" s="76">
        <v>2003</v>
      </c>
      <c r="F543" s="81">
        <v>415</v>
      </c>
      <c r="G543" s="76">
        <v>10</v>
      </c>
      <c r="H543" s="76">
        <v>0</v>
      </c>
      <c r="I543" s="79">
        <v>1725</v>
      </c>
      <c r="J543" s="79">
        <v>2071</v>
      </c>
      <c r="K543" s="13"/>
      <c r="L543" s="13"/>
    </row>
    <row r="544" spans="1:12" x14ac:dyDescent="0.2">
      <c r="A544" s="76">
        <v>345</v>
      </c>
      <c r="B544" s="76">
        <v>1</v>
      </c>
      <c r="C544" s="76" t="s">
        <v>174</v>
      </c>
      <c r="D544" s="76">
        <v>2002</v>
      </c>
      <c r="E544" s="76">
        <v>2003</v>
      </c>
      <c r="F544" s="81">
        <v>395</v>
      </c>
      <c r="G544" s="76">
        <v>7</v>
      </c>
      <c r="H544" s="76">
        <v>1</v>
      </c>
      <c r="I544" s="79">
        <v>2191</v>
      </c>
      <c r="J544" s="79">
        <v>2114</v>
      </c>
      <c r="K544" s="13"/>
      <c r="L544" s="13"/>
    </row>
    <row r="545" spans="1:12" x14ac:dyDescent="0.2">
      <c r="A545">
        <v>345</v>
      </c>
      <c r="B545">
        <v>1</v>
      </c>
      <c r="C545" t="s">
        <v>174</v>
      </c>
      <c r="D545">
        <v>2008</v>
      </c>
      <c r="E545" s="5">
        <v>2010</v>
      </c>
      <c r="F545" s="6">
        <v>597</v>
      </c>
      <c r="G545" s="5">
        <v>7</v>
      </c>
      <c r="H545" s="33">
        <v>1</v>
      </c>
      <c r="I545" s="33">
        <v>3262</v>
      </c>
      <c r="J545" s="33">
        <v>2130</v>
      </c>
      <c r="K545" s="13"/>
      <c r="L545" s="13"/>
    </row>
    <row r="546" spans="1:12" x14ac:dyDescent="0.2">
      <c r="A546" s="76">
        <v>347</v>
      </c>
      <c r="B546" s="76">
        <v>1</v>
      </c>
      <c r="C546" s="76" t="s">
        <v>175</v>
      </c>
      <c r="D546" s="76">
        <v>1994</v>
      </c>
      <c r="E546" s="76">
        <v>1995</v>
      </c>
      <c r="F546" s="81">
        <v>425.64</v>
      </c>
      <c r="G546" s="76">
        <v>3</v>
      </c>
      <c r="H546" s="76">
        <v>1</v>
      </c>
      <c r="I546" s="79">
        <v>4375</v>
      </c>
      <c r="J546" s="79">
        <v>3814</v>
      </c>
      <c r="K546" s="13"/>
      <c r="L546" s="13"/>
    </row>
    <row r="547" spans="1:12" x14ac:dyDescent="0.2">
      <c r="A547" s="76">
        <v>347</v>
      </c>
      <c r="B547" s="76">
        <v>1</v>
      </c>
      <c r="C547" s="76" t="s">
        <v>175</v>
      </c>
      <c r="D547" s="76">
        <v>1997</v>
      </c>
      <c r="E547" s="76">
        <v>1998</v>
      </c>
      <c r="F547" s="81">
        <v>315</v>
      </c>
      <c r="G547" s="76">
        <v>5</v>
      </c>
      <c r="H547" s="76">
        <v>1</v>
      </c>
      <c r="I547" s="79">
        <v>1607</v>
      </c>
      <c r="J547" s="79">
        <v>355</v>
      </c>
      <c r="K547" s="13"/>
      <c r="L547" s="13"/>
    </row>
    <row r="548" spans="1:12" x14ac:dyDescent="0.2">
      <c r="A548" s="76">
        <v>347</v>
      </c>
      <c r="B548" s="76">
        <v>1</v>
      </c>
      <c r="C548" s="76" t="s">
        <v>743</v>
      </c>
      <c r="D548" s="76">
        <v>2001</v>
      </c>
      <c r="E548" s="76">
        <v>2002</v>
      </c>
      <c r="F548" s="81">
        <v>80</v>
      </c>
      <c r="G548" s="76">
        <v>10</v>
      </c>
      <c r="H548" s="76">
        <v>0</v>
      </c>
      <c r="I548" s="79">
        <v>3712</v>
      </c>
      <c r="J548" s="79">
        <v>3976</v>
      </c>
      <c r="K548" s="13"/>
      <c r="L548" s="13"/>
    </row>
    <row r="549" spans="1:12" x14ac:dyDescent="0.2">
      <c r="A549" s="76">
        <v>347</v>
      </c>
      <c r="B549" s="76">
        <v>1</v>
      </c>
      <c r="C549" s="76" t="s">
        <v>742</v>
      </c>
      <c r="D549" s="76">
        <v>2001</v>
      </c>
      <c r="E549" s="76">
        <v>2002</v>
      </c>
      <c r="F549" s="81">
        <v>495</v>
      </c>
      <c r="G549" s="76">
        <v>10</v>
      </c>
      <c r="H549" s="76">
        <v>1</v>
      </c>
      <c r="I549" s="79">
        <v>4074</v>
      </c>
      <c r="J549" s="79">
        <v>3694</v>
      </c>
      <c r="K549" s="13"/>
      <c r="L549" s="13"/>
    </row>
    <row r="550" spans="1:12" x14ac:dyDescent="0.2">
      <c r="A550" s="76">
        <v>347</v>
      </c>
      <c r="B550" s="76">
        <v>1</v>
      </c>
      <c r="C550" s="76" t="s">
        <v>175</v>
      </c>
      <c r="D550" s="76">
        <v>2001</v>
      </c>
      <c r="E550" s="76">
        <v>2002</v>
      </c>
      <c r="F550" s="81">
        <v>625</v>
      </c>
      <c r="G550" s="76">
        <v>7</v>
      </c>
      <c r="H550" s="76">
        <v>0</v>
      </c>
      <c r="I550" s="79">
        <v>2375</v>
      </c>
      <c r="J550" s="79">
        <v>2732</v>
      </c>
      <c r="K550" s="13"/>
      <c r="L550" s="13"/>
    </row>
    <row r="551" spans="1:12" x14ac:dyDescent="0.2">
      <c r="A551">
        <v>347</v>
      </c>
      <c r="B551">
        <v>1</v>
      </c>
      <c r="C551" t="s">
        <v>175</v>
      </c>
      <c r="D551">
        <v>2008</v>
      </c>
      <c r="E551" s="5">
        <v>2009</v>
      </c>
      <c r="F551" s="6">
        <v>201.51</v>
      </c>
      <c r="G551" s="1">
        <v>10</v>
      </c>
      <c r="H551" s="33">
        <v>1</v>
      </c>
      <c r="I551" s="33">
        <v>6696</v>
      </c>
      <c r="J551" s="33">
        <v>5068</v>
      </c>
      <c r="K551" s="13"/>
      <c r="L551" s="13"/>
    </row>
    <row r="552" spans="1:12" x14ac:dyDescent="0.2">
      <c r="A552">
        <v>347</v>
      </c>
      <c r="B552">
        <v>1</v>
      </c>
      <c r="C552" t="s">
        <v>175</v>
      </c>
      <c r="D552">
        <v>2008</v>
      </c>
      <c r="E552" s="5">
        <v>2009</v>
      </c>
      <c r="F552" s="6">
        <v>374.36</v>
      </c>
      <c r="G552" s="5">
        <v>10</v>
      </c>
      <c r="H552" s="33">
        <v>0</v>
      </c>
      <c r="I552" s="33">
        <v>5620</v>
      </c>
      <c r="J552" s="33">
        <v>6036</v>
      </c>
      <c r="K552" s="13"/>
      <c r="L552" s="13"/>
    </row>
    <row r="553" spans="1:12" x14ac:dyDescent="0.2">
      <c r="A553" s="76">
        <v>354</v>
      </c>
      <c r="B553" s="76">
        <v>1</v>
      </c>
      <c r="C553" s="76" t="s">
        <v>532</v>
      </c>
      <c r="D553" s="76">
        <v>1991</v>
      </c>
      <c r="E553" s="76">
        <v>1992</v>
      </c>
      <c r="F553" s="81">
        <v>2327.4299999999998</v>
      </c>
      <c r="G553" s="76">
        <v>5</v>
      </c>
      <c r="H553" s="76">
        <v>1</v>
      </c>
      <c r="I553" s="79" t="s">
        <v>840</v>
      </c>
      <c r="J553" s="79" t="s">
        <v>840</v>
      </c>
      <c r="K553" s="13"/>
      <c r="L553" s="13"/>
    </row>
    <row r="554" spans="1:12" x14ac:dyDescent="0.2">
      <c r="A554" s="76">
        <v>356</v>
      </c>
      <c r="B554" s="76">
        <v>1</v>
      </c>
      <c r="C554" s="76" t="s">
        <v>176</v>
      </c>
      <c r="D554" s="76">
        <v>2002</v>
      </c>
      <c r="E554" s="76">
        <v>2003</v>
      </c>
      <c r="F554" s="81">
        <v>675</v>
      </c>
      <c r="G554" s="76">
        <v>10</v>
      </c>
      <c r="H554" s="76">
        <v>1</v>
      </c>
      <c r="I554" s="79">
        <v>232</v>
      </c>
      <c r="J554" s="79">
        <v>180</v>
      </c>
      <c r="K554" s="13"/>
      <c r="L554" s="13"/>
    </row>
    <row r="555" spans="1:12" x14ac:dyDescent="0.2">
      <c r="A555" s="76">
        <v>356</v>
      </c>
      <c r="B555" s="76">
        <v>1</v>
      </c>
      <c r="C555" s="76" t="s">
        <v>176</v>
      </c>
      <c r="D555" s="76">
        <v>2006</v>
      </c>
      <c r="E555" s="78">
        <v>2008</v>
      </c>
      <c r="F555" s="81">
        <v>1009.08</v>
      </c>
      <c r="G555" s="78">
        <v>10</v>
      </c>
      <c r="H555" s="76">
        <v>1</v>
      </c>
      <c r="I555" s="77">
        <v>267</v>
      </c>
      <c r="J555" s="77">
        <v>120</v>
      </c>
      <c r="K555" s="13"/>
      <c r="L555" s="13"/>
    </row>
    <row r="556" spans="1:12" x14ac:dyDescent="0.2">
      <c r="A556" s="76">
        <v>361</v>
      </c>
      <c r="B556" s="76">
        <v>1</v>
      </c>
      <c r="C556" s="76" t="s">
        <v>744</v>
      </c>
      <c r="D556" s="76">
        <v>1992</v>
      </c>
      <c r="E556" s="76">
        <v>1993</v>
      </c>
      <c r="F556" s="81">
        <v>189.37</v>
      </c>
      <c r="G556" s="76">
        <v>5</v>
      </c>
      <c r="H556" s="76">
        <v>0</v>
      </c>
      <c r="I556" s="79" t="s">
        <v>840</v>
      </c>
      <c r="J556" s="79" t="s">
        <v>840</v>
      </c>
      <c r="K556" s="13"/>
      <c r="L556" s="13"/>
    </row>
    <row r="557" spans="1:12" x14ac:dyDescent="0.2">
      <c r="A557" s="76">
        <v>361</v>
      </c>
      <c r="B557" s="76">
        <v>1</v>
      </c>
      <c r="C557" s="76" t="s">
        <v>177</v>
      </c>
      <c r="D557" s="76">
        <v>1994</v>
      </c>
      <c r="E557" s="76">
        <v>1995</v>
      </c>
      <c r="F557" s="81">
        <v>407.2</v>
      </c>
      <c r="G557" s="76">
        <v>10</v>
      </c>
      <c r="H557" s="76">
        <v>1</v>
      </c>
      <c r="I557" s="79">
        <v>2715</v>
      </c>
      <c r="J557" s="79">
        <v>1400</v>
      </c>
      <c r="K557" s="13"/>
      <c r="L557" s="13"/>
    </row>
    <row r="558" spans="1:12" x14ac:dyDescent="0.2">
      <c r="A558" s="76">
        <v>361</v>
      </c>
      <c r="B558" s="76">
        <v>1</v>
      </c>
      <c r="C558" s="76" t="s">
        <v>746</v>
      </c>
      <c r="D558" s="76">
        <v>2001</v>
      </c>
      <c r="E558" s="76">
        <v>2002</v>
      </c>
      <c r="F558" s="81">
        <v>120</v>
      </c>
      <c r="G558" s="76">
        <v>10</v>
      </c>
      <c r="H558" s="76">
        <v>0</v>
      </c>
      <c r="I558" s="79">
        <v>1251</v>
      </c>
      <c r="J558" s="79">
        <v>1356</v>
      </c>
      <c r="K558" s="13"/>
      <c r="L558" s="13"/>
    </row>
    <row r="559" spans="1:12" x14ac:dyDescent="0.2">
      <c r="A559" s="76">
        <v>361</v>
      </c>
      <c r="B559" s="76">
        <v>1</v>
      </c>
      <c r="C559" s="76" t="s">
        <v>745</v>
      </c>
      <c r="D559" s="76">
        <v>2001</v>
      </c>
      <c r="E559" s="76">
        <v>2002</v>
      </c>
      <c r="F559" s="81">
        <v>560</v>
      </c>
      <c r="G559" s="76">
        <v>10</v>
      </c>
      <c r="H559" s="76">
        <v>1</v>
      </c>
      <c r="I559" s="79">
        <v>1684</v>
      </c>
      <c r="J559" s="79">
        <v>934</v>
      </c>
      <c r="K559" s="13"/>
      <c r="L559" s="13"/>
    </row>
    <row r="560" spans="1:12" x14ac:dyDescent="0.2">
      <c r="A560" s="76">
        <v>361</v>
      </c>
      <c r="B560" s="76">
        <v>1</v>
      </c>
      <c r="C560" s="76" t="s">
        <v>848</v>
      </c>
      <c r="D560" s="76">
        <v>2003</v>
      </c>
      <c r="E560" s="76">
        <v>2004</v>
      </c>
      <c r="F560" s="81">
        <v>286.68</v>
      </c>
      <c r="G560" s="76">
        <v>5</v>
      </c>
      <c r="H560" s="76">
        <v>0</v>
      </c>
      <c r="I560" s="79">
        <v>1088</v>
      </c>
      <c r="J560" s="79">
        <v>1315</v>
      </c>
      <c r="K560" s="13"/>
      <c r="L560" s="13"/>
    </row>
    <row r="561" spans="1:12" x14ac:dyDescent="0.2">
      <c r="A561" s="76">
        <v>362</v>
      </c>
      <c r="B561" s="76">
        <v>1</v>
      </c>
      <c r="C561" s="76" t="s">
        <v>178</v>
      </c>
      <c r="D561" s="76">
        <v>2001</v>
      </c>
      <c r="E561" s="76">
        <v>2002</v>
      </c>
      <c r="F561" s="81">
        <v>1</v>
      </c>
      <c r="G561" s="76">
        <v>10</v>
      </c>
      <c r="H561" s="76">
        <v>1</v>
      </c>
      <c r="I561" s="79">
        <v>239</v>
      </c>
      <c r="J561" s="79">
        <v>28</v>
      </c>
      <c r="K561" s="13"/>
      <c r="L561" s="13"/>
    </row>
    <row r="562" spans="1:12" x14ac:dyDescent="0.2">
      <c r="A562" s="76">
        <v>363</v>
      </c>
      <c r="B562" s="76">
        <v>1</v>
      </c>
      <c r="C562" s="76" t="s">
        <v>179</v>
      </c>
      <c r="D562" s="76">
        <v>2001</v>
      </c>
      <c r="E562" s="76">
        <v>2003</v>
      </c>
      <c r="F562" s="81">
        <v>1</v>
      </c>
      <c r="G562" s="76">
        <v>10</v>
      </c>
      <c r="H562" s="76">
        <v>1</v>
      </c>
      <c r="I562" s="79">
        <v>140</v>
      </c>
      <c r="J562" s="79">
        <v>23</v>
      </c>
      <c r="K562" s="13"/>
      <c r="L562" s="13"/>
    </row>
    <row r="563" spans="1:12" x14ac:dyDescent="0.2">
      <c r="A563" s="76">
        <v>371</v>
      </c>
      <c r="B563" s="76">
        <v>1</v>
      </c>
      <c r="C563" s="76" t="s">
        <v>180</v>
      </c>
      <c r="D563" s="76">
        <v>1991</v>
      </c>
      <c r="E563" s="76">
        <v>1992</v>
      </c>
      <c r="F563" s="81">
        <v>314.76</v>
      </c>
      <c r="G563" s="76">
        <v>5</v>
      </c>
      <c r="H563" s="76">
        <v>1</v>
      </c>
      <c r="I563" s="79" t="s">
        <v>840</v>
      </c>
      <c r="J563" s="79" t="s">
        <v>840</v>
      </c>
      <c r="K563" s="13"/>
      <c r="L563" s="13"/>
    </row>
    <row r="564" spans="1:12" x14ac:dyDescent="0.2">
      <c r="A564" s="76">
        <v>371</v>
      </c>
      <c r="B564" s="76">
        <v>1</v>
      </c>
      <c r="C564" s="76" t="s">
        <v>180</v>
      </c>
      <c r="D564" s="76">
        <v>2000</v>
      </c>
      <c r="E564" s="76">
        <v>2001</v>
      </c>
      <c r="F564" s="81">
        <v>544.41999999999996</v>
      </c>
      <c r="G564" s="76">
        <v>5</v>
      </c>
      <c r="H564" s="76">
        <v>1</v>
      </c>
      <c r="I564" s="79">
        <v>224</v>
      </c>
      <c r="J564" s="79">
        <v>195</v>
      </c>
      <c r="K564" s="13"/>
      <c r="L564" s="13"/>
    </row>
    <row r="565" spans="1:12" x14ac:dyDescent="0.2">
      <c r="A565" s="76">
        <v>371</v>
      </c>
      <c r="B565" s="76">
        <v>1</v>
      </c>
      <c r="C565" s="76" t="s">
        <v>180</v>
      </c>
      <c r="D565" s="76">
        <v>2003</v>
      </c>
      <c r="E565" s="76">
        <v>2004</v>
      </c>
      <c r="F565" s="81">
        <v>1536.57</v>
      </c>
      <c r="G565" s="76">
        <v>10</v>
      </c>
      <c r="H565" s="76">
        <v>1</v>
      </c>
      <c r="I565" s="79">
        <v>215</v>
      </c>
      <c r="J565" s="79">
        <v>29</v>
      </c>
      <c r="K565" s="13"/>
      <c r="L565" s="13"/>
    </row>
    <row r="566" spans="1:12" x14ac:dyDescent="0.2">
      <c r="A566" s="76">
        <v>378</v>
      </c>
      <c r="B566" s="76">
        <v>1</v>
      </c>
      <c r="C566" s="76" t="s">
        <v>747</v>
      </c>
      <c r="D566" s="76">
        <v>1992</v>
      </c>
      <c r="E566" s="76">
        <v>1993</v>
      </c>
      <c r="F566" s="81">
        <v>155.51</v>
      </c>
      <c r="G566" s="76">
        <v>5</v>
      </c>
      <c r="H566" s="76">
        <v>1</v>
      </c>
      <c r="I566" s="79" t="s">
        <v>840</v>
      </c>
      <c r="J566" s="79" t="s">
        <v>840</v>
      </c>
      <c r="K566" s="13"/>
      <c r="L566" s="13"/>
    </row>
    <row r="567" spans="1:12" x14ac:dyDescent="0.2">
      <c r="A567" s="76">
        <v>378</v>
      </c>
      <c r="B567" s="76">
        <v>1</v>
      </c>
      <c r="C567" s="76" t="s">
        <v>181</v>
      </c>
      <c r="D567" s="76">
        <v>1997</v>
      </c>
      <c r="E567" s="76">
        <v>1998</v>
      </c>
      <c r="F567" s="81">
        <v>81.569999999999993</v>
      </c>
      <c r="G567" s="76">
        <v>5</v>
      </c>
      <c r="H567" s="76">
        <v>1</v>
      </c>
      <c r="I567" s="79">
        <v>253</v>
      </c>
      <c r="J567" s="79">
        <v>98</v>
      </c>
      <c r="K567" s="13"/>
      <c r="L567" s="13"/>
    </row>
    <row r="568" spans="1:12" x14ac:dyDescent="0.2">
      <c r="A568" s="76">
        <v>378</v>
      </c>
      <c r="B568" s="76">
        <v>1</v>
      </c>
      <c r="C568" s="76" t="s">
        <v>181</v>
      </c>
      <c r="D568" s="76">
        <v>2001</v>
      </c>
      <c r="E568" s="76">
        <v>2002</v>
      </c>
      <c r="F568" s="81">
        <v>450</v>
      </c>
      <c r="G568" s="76">
        <v>10</v>
      </c>
      <c r="H568" s="76">
        <v>1</v>
      </c>
      <c r="I568" s="79">
        <v>557</v>
      </c>
      <c r="J568" s="79">
        <v>358</v>
      </c>
      <c r="K568" s="13"/>
      <c r="L568" s="13"/>
    </row>
    <row r="569" spans="1:12" x14ac:dyDescent="0.2">
      <c r="A569" s="76">
        <v>378</v>
      </c>
      <c r="B569" s="76">
        <v>1</v>
      </c>
      <c r="C569" s="76" t="s">
        <v>747</v>
      </c>
      <c r="D569" s="76">
        <v>2004</v>
      </c>
      <c r="E569" s="76">
        <v>2005</v>
      </c>
      <c r="F569" s="81">
        <v>302.32</v>
      </c>
      <c r="G569" s="76">
        <v>10</v>
      </c>
      <c r="H569" s="76">
        <v>1</v>
      </c>
      <c r="I569" s="79">
        <v>908</v>
      </c>
      <c r="J569" s="79">
        <v>867</v>
      </c>
      <c r="K569" s="13"/>
      <c r="L569" s="13"/>
    </row>
    <row r="570" spans="1:12" x14ac:dyDescent="0.2">
      <c r="A570" s="76">
        <v>381</v>
      </c>
      <c r="B570" s="76">
        <v>1</v>
      </c>
      <c r="C570" s="76" t="s">
        <v>182</v>
      </c>
      <c r="D570" s="76">
        <v>1993</v>
      </c>
      <c r="E570" s="76">
        <v>1994</v>
      </c>
      <c r="F570" s="81">
        <v>375.39</v>
      </c>
      <c r="G570" s="76">
        <v>5</v>
      </c>
      <c r="H570" s="76">
        <v>1</v>
      </c>
      <c r="I570" s="79" t="s">
        <v>840</v>
      </c>
      <c r="J570" s="79" t="s">
        <v>840</v>
      </c>
      <c r="K570" s="13"/>
      <c r="L570" s="13"/>
    </row>
    <row r="571" spans="1:12" x14ac:dyDescent="0.2">
      <c r="A571" s="76">
        <v>381</v>
      </c>
      <c r="B571" s="76">
        <v>1</v>
      </c>
      <c r="C571" s="76" t="s">
        <v>182</v>
      </c>
      <c r="D571" s="76">
        <v>1997</v>
      </c>
      <c r="E571" s="76">
        <v>1999</v>
      </c>
      <c r="F571" s="81">
        <v>315</v>
      </c>
      <c r="G571" s="76">
        <v>10</v>
      </c>
      <c r="H571" s="76">
        <v>1</v>
      </c>
      <c r="I571" s="79">
        <v>1758</v>
      </c>
      <c r="J571" s="79">
        <v>221</v>
      </c>
      <c r="K571" s="13"/>
      <c r="L571" s="13"/>
    </row>
    <row r="572" spans="1:12" x14ac:dyDescent="0.2">
      <c r="A572" s="76">
        <v>381</v>
      </c>
      <c r="B572" s="76">
        <v>1</v>
      </c>
      <c r="C572" s="76" t="s">
        <v>182</v>
      </c>
      <c r="D572" s="76">
        <v>2000</v>
      </c>
      <c r="E572" s="76">
        <v>2001</v>
      </c>
      <c r="F572" s="81">
        <v>100</v>
      </c>
      <c r="G572" s="76">
        <v>8</v>
      </c>
      <c r="H572" s="76">
        <v>0</v>
      </c>
      <c r="I572" s="79">
        <v>3812</v>
      </c>
      <c r="J572" s="79">
        <v>3838</v>
      </c>
      <c r="K572" s="13"/>
      <c r="L572" s="13"/>
    </row>
    <row r="573" spans="1:12" x14ac:dyDescent="0.2">
      <c r="A573" s="76">
        <v>381</v>
      </c>
      <c r="B573" s="76">
        <v>1</v>
      </c>
      <c r="C573" s="76" t="s">
        <v>182</v>
      </c>
      <c r="D573" s="76">
        <v>2006</v>
      </c>
      <c r="E573" s="78">
        <v>2007</v>
      </c>
      <c r="F573" s="81">
        <v>950</v>
      </c>
      <c r="G573" s="78">
        <v>10</v>
      </c>
      <c r="H573" s="76">
        <v>0</v>
      </c>
      <c r="I573" s="77">
        <v>2621</v>
      </c>
      <c r="J573" s="77">
        <v>4583</v>
      </c>
      <c r="K573" s="13"/>
      <c r="L573" s="13"/>
    </row>
    <row r="574" spans="1:12" x14ac:dyDescent="0.2">
      <c r="A574" s="76">
        <v>381</v>
      </c>
      <c r="B574" s="76">
        <v>1</v>
      </c>
      <c r="C574" s="76" t="s">
        <v>182</v>
      </c>
      <c r="D574" s="82">
        <v>2007</v>
      </c>
      <c r="E574" s="83">
        <v>2008</v>
      </c>
      <c r="F574" s="78">
        <v>600</v>
      </c>
      <c r="G574" s="76">
        <v>8</v>
      </c>
      <c r="H574" s="77">
        <v>0</v>
      </c>
      <c r="I574" s="77">
        <v>1839</v>
      </c>
      <c r="J574" s="79">
        <v>2914</v>
      </c>
      <c r="K574" s="13"/>
      <c r="L574" s="13"/>
    </row>
    <row r="575" spans="1:12" x14ac:dyDescent="0.2">
      <c r="A575" s="76">
        <v>390</v>
      </c>
      <c r="B575" s="76">
        <v>1</v>
      </c>
      <c r="C575" s="76" t="s">
        <v>183</v>
      </c>
      <c r="D575" s="76">
        <v>2001</v>
      </c>
      <c r="E575" s="76">
        <v>2002</v>
      </c>
      <c r="F575" s="81">
        <v>126</v>
      </c>
      <c r="G575" s="76">
        <v>10</v>
      </c>
      <c r="H575" s="76">
        <v>1</v>
      </c>
      <c r="I575" s="79">
        <v>899</v>
      </c>
      <c r="J575" s="79">
        <v>495</v>
      </c>
      <c r="K575" s="13"/>
      <c r="L575" s="13"/>
    </row>
    <row r="576" spans="1:12" x14ac:dyDescent="0.2">
      <c r="A576" s="76">
        <v>390</v>
      </c>
      <c r="B576" s="76">
        <v>1</v>
      </c>
      <c r="C576" s="76" t="s">
        <v>183</v>
      </c>
      <c r="D576" s="76">
        <v>2006</v>
      </c>
      <c r="E576" s="78">
        <v>2007</v>
      </c>
      <c r="F576" s="81">
        <v>573.70000000000005</v>
      </c>
      <c r="G576" s="78">
        <v>10</v>
      </c>
      <c r="H576" s="76">
        <v>0</v>
      </c>
      <c r="I576" s="77">
        <v>795</v>
      </c>
      <c r="J576" s="77">
        <v>952</v>
      </c>
      <c r="K576" s="13"/>
      <c r="L576" s="13"/>
    </row>
    <row r="577" spans="1:12" x14ac:dyDescent="0.2">
      <c r="A577" s="76">
        <v>390</v>
      </c>
      <c r="B577" s="76">
        <v>1</v>
      </c>
      <c r="C577" s="76" t="s">
        <v>183</v>
      </c>
      <c r="D577" s="82">
        <v>2007</v>
      </c>
      <c r="E577" s="83">
        <v>2008</v>
      </c>
      <c r="F577" s="78">
        <v>573.70000000000005</v>
      </c>
      <c r="G577" s="76">
        <v>10</v>
      </c>
      <c r="H577" s="77">
        <v>1</v>
      </c>
      <c r="I577" s="77">
        <v>810</v>
      </c>
      <c r="J577" s="79">
        <v>475</v>
      </c>
      <c r="K577" s="13"/>
      <c r="L577" s="13"/>
    </row>
    <row r="578" spans="1:12" x14ac:dyDescent="0.2">
      <c r="A578" s="76">
        <v>391</v>
      </c>
      <c r="B578" s="76">
        <v>1</v>
      </c>
      <c r="C578" s="76" t="s">
        <v>184</v>
      </c>
      <c r="D578" s="76">
        <v>1993</v>
      </c>
      <c r="E578" s="76">
        <v>1994</v>
      </c>
      <c r="F578" s="81">
        <v>375</v>
      </c>
      <c r="G578" s="76">
        <v>3</v>
      </c>
      <c r="H578" s="76">
        <v>0</v>
      </c>
      <c r="I578" s="79" t="s">
        <v>840</v>
      </c>
      <c r="J578" s="79" t="s">
        <v>840</v>
      </c>
      <c r="K578" s="13"/>
      <c r="L578" s="13"/>
    </row>
    <row r="579" spans="1:12" x14ac:dyDescent="0.2">
      <c r="A579" s="76">
        <v>391</v>
      </c>
      <c r="B579" s="76">
        <v>1</v>
      </c>
      <c r="C579" s="76" t="s">
        <v>184</v>
      </c>
      <c r="D579" s="76">
        <v>1994</v>
      </c>
      <c r="E579" s="76">
        <v>1995</v>
      </c>
      <c r="F579" s="81">
        <v>430.92</v>
      </c>
      <c r="G579" s="76">
        <v>3</v>
      </c>
      <c r="H579" s="76">
        <v>1</v>
      </c>
      <c r="I579" s="79">
        <v>600</v>
      </c>
      <c r="J579" s="79">
        <v>481</v>
      </c>
      <c r="K579" s="13"/>
      <c r="L579" s="13"/>
    </row>
    <row r="580" spans="1:12" x14ac:dyDescent="0.2">
      <c r="A580" s="76">
        <v>391</v>
      </c>
      <c r="B580" s="76">
        <v>1</v>
      </c>
      <c r="C580" s="76" t="s">
        <v>184</v>
      </c>
      <c r="D580" s="76">
        <v>1998</v>
      </c>
      <c r="E580" s="76">
        <v>1999</v>
      </c>
      <c r="F580" s="81">
        <v>350</v>
      </c>
      <c r="G580" s="76">
        <v>3</v>
      </c>
      <c r="H580" s="76">
        <v>0</v>
      </c>
      <c r="I580" s="79">
        <v>588</v>
      </c>
      <c r="J580" s="79">
        <v>596</v>
      </c>
      <c r="K580" s="13"/>
      <c r="L580" s="13"/>
    </row>
    <row r="581" spans="1:12" x14ac:dyDescent="0.2">
      <c r="A581" s="76">
        <v>391</v>
      </c>
      <c r="B581" s="76">
        <v>1</v>
      </c>
      <c r="C581" s="76" t="s">
        <v>184</v>
      </c>
      <c r="D581" s="76">
        <v>1999</v>
      </c>
      <c r="E581" s="76">
        <v>2000</v>
      </c>
      <c r="F581" s="81">
        <v>415</v>
      </c>
      <c r="G581" s="76">
        <v>5</v>
      </c>
      <c r="H581" s="76">
        <v>1</v>
      </c>
      <c r="I581" s="79">
        <v>599</v>
      </c>
      <c r="J581" s="79">
        <v>171</v>
      </c>
      <c r="K581" s="13"/>
      <c r="L581" s="13"/>
    </row>
    <row r="582" spans="1:12" x14ac:dyDescent="0.2">
      <c r="A582" s="76">
        <v>391</v>
      </c>
      <c r="B582" s="76">
        <v>1</v>
      </c>
      <c r="C582" s="76" t="s">
        <v>184</v>
      </c>
      <c r="D582" s="76">
        <v>2001</v>
      </c>
      <c r="E582" s="76">
        <v>2002</v>
      </c>
      <c r="F582" s="81">
        <v>350</v>
      </c>
      <c r="G582" s="76">
        <v>10</v>
      </c>
      <c r="H582" s="76">
        <v>1</v>
      </c>
      <c r="I582" s="79">
        <v>446</v>
      </c>
      <c r="J582" s="79">
        <v>237</v>
      </c>
      <c r="K582" s="13"/>
      <c r="L582" s="13"/>
    </row>
    <row r="583" spans="1:12" x14ac:dyDescent="0.2">
      <c r="A583" s="76">
        <v>391</v>
      </c>
      <c r="B583" s="76">
        <v>1</v>
      </c>
      <c r="C583" s="76" t="s">
        <v>1003</v>
      </c>
      <c r="D583" s="76">
        <v>2005</v>
      </c>
      <c r="E583" s="76">
        <v>2006</v>
      </c>
      <c r="F583" s="81">
        <v>350</v>
      </c>
      <c r="G583" s="76">
        <v>10</v>
      </c>
      <c r="H583" s="78">
        <v>1</v>
      </c>
      <c r="I583" s="77">
        <v>367</v>
      </c>
      <c r="J583" s="77">
        <v>190</v>
      </c>
      <c r="K583" s="13"/>
      <c r="L583" s="13"/>
    </row>
    <row r="584" spans="1:12" x14ac:dyDescent="0.2">
      <c r="A584" s="76">
        <v>392</v>
      </c>
      <c r="B584" s="76">
        <v>1</v>
      </c>
      <c r="C584" s="76" t="s">
        <v>185</v>
      </c>
      <c r="D584" s="76">
        <v>2000</v>
      </c>
      <c r="E584" s="76">
        <v>2001</v>
      </c>
      <c r="F584" s="81">
        <v>318.58</v>
      </c>
      <c r="G584" s="76">
        <v>10</v>
      </c>
      <c r="H584" s="76">
        <v>0</v>
      </c>
      <c r="I584" s="79">
        <v>777</v>
      </c>
      <c r="J584" s="79">
        <v>859</v>
      </c>
      <c r="K584" s="13"/>
      <c r="L584" s="13"/>
    </row>
    <row r="585" spans="1:12" x14ac:dyDescent="0.2">
      <c r="A585" s="76">
        <v>392</v>
      </c>
      <c r="B585" s="76">
        <v>1</v>
      </c>
      <c r="C585" s="76" t="s">
        <v>185</v>
      </c>
      <c r="D585" s="76">
        <v>2001</v>
      </c>
      <c r="E585" s="76">
        <v>2002</v>
      </c>
      <c r="F585" s="81">
        <v>250</v>
      </c>
      <c r="G585" s="76">
        <v>10</v>
      </c>
      <c r="H585" s="76">
        <v>1</v>
      </c>
      <c r="I585" s="79">
        <v>508</v>
      </c>
      <c r="J585" s="79">
        <v>420</v>
      </c>
      <c r="K585" s="13"/>
      <c r="L585" s="13"/>
    </row>
    <row r="586" spans="1:12" x14ac:dyDescent="0.2">
      <c r="A586" s="76">
        <v>392</v>
      </c>
      <c r="B586" s="76">
        <v>1</v>
      </c>
      <c r="C586" s="76" t="s">
        <v>1004</v>
      </c>
      <c r="D586" s="76">
        <v>2005</v>
      </c>
      <c r="E586" s="76">
        <v>2006</v>
      </c>
      <c r="F586" s="81">
        <v>350</v>
      </c>
      <c r="G586" s="76">
        <v>10</v>
      </c>
      <c r="H586" s="78">
        <v>1</v>
      </c>
      <c r="I586" s="77">
        <v>358</v>
      </c>
      <c r="J586" s="77">
        <v>332</v>
      </c>
      <c r="K586" s="13"/>
      <c r="L586" s="13"/>
    </row>
    <row r="587" spans="1:12" x14ac:dyDescent="0.2">
      <c r="A587" s="76">
        <v>394</v>
      </c>
      <c r="B587" s="76">
        <v>1</v>
      </c>
      <c r="C587" s="76" t="s">
        <v>849</v>
      </c>
      <c r="D587" s="76">
        <v>2003</v>
      </c>
      <c r="E587" s="76">
        <v>2004</v>
      </c>
      <c r="F587" s="81">
        <v>405</v>
      </c>
      <c r="G587" s="76">
        <v>10</v>
      </c>
      <c r="H587" s="76">
        <v>0</v>
      </c>
      <c r="I587" s="79">
        <v>483</v>
      </c>
      <c r="J587" s="79">
        <v>1345</v>
      </c>
      <c r="K587" s="13"/>
      <c r="L587" s="13"/>
    </row>
    <row r="588" spans="1:12" x14ac:dyDescent="0.2">
      <c r="A588" s="76">
        <v>394</v>
      </c>
      <c r="B588" s="76">
        <v>1</v>
      </c>
      <c r="C588" s="76" t="s">
        <v>186</v>
      </c>
      <c r="D588" s="82">
        <v>2007</v>
      </c>
      <c r="E588" s="83">
        <v>2008</v>
      </c>
      <c r="F588" s="78">
        <v>330</v>
      </c>
      <c r="G588" s="76">
        <v>8</v>
      </c>
      <c r="H588" s="77">
        <v>0</v>
      </c>
      <c r="I588" s="77">
        <v>779</v>
      </c>
      <c r="J588" s="79">
        <v>976</v>
      </c>
      <c r="K588" s="13"/>
      <c r="L588" s="13"/>
    </row>
    <row r="589" spans="1:12" x14ac:dyDescent="0.2">
      <c r="A589" s="76">
        <v>394</v>
      </c>
      <c r="B589" s="76">
        <v>1</v>
      </c>
      <c r="C589" s="76" t="s">
        <v>186</v>
      </c>
      <c r="D589" s="82">
        <v>2007</v>
      </c>
      <c r="E589" s="83">
        <v>2008</v>
      </c>
      <c r="F589" s="78">
        <v>450</v>
      </c>
      <c r="G589" s="76">
        <v>8</v>
      </c>
      <c r="H589" s="77">
        <v>0</v>
      </c>
      <c r="I589" s="77">
        <v>833</v>
      </c>
      <c r="J589" s="79">
        <v>1233</v>
      </c>
      <c r="K589" s="13"/>
      <c r="L589" s="13"/>
    </row>
    <row r="590" spans="1:12" x14ac:dyDescent="0.2">
      <c r="A590">
        <v>394</v>
      </c>
      <c r="B590">
        <v>1</v>
      </c>
      <c r="C590" t="s">
        <v>186</v>
      </c>
      <c r="D590">
        <v>2008</v>
      </c>
      <c r="E590" s="5">
        <v>2009</v>
      </c>
      <c r="F590" s="6">
        <v>313.13</v>
      </c>
      <c r="G590" s="5">
        <v>5</v>
      </c>
      <c r="H590" s="33">
        <v>1</v>
      </c>
      <c r="I590" s="33">
        <v>2609</v>
      </c>
      <c r="J590" s="33">
        <v>1772</v>
      </c>
      <c r="K590" s="13"/>
      <c r="L590" s="13"/>
    </row>
    <row r="591" spans="1:12" x14ac:dyDescent="0.2">
      <c r="A591">
        <v>394</v>
      </c>
      <c r="B591">
        <v>1</v>
      </c>
      <c r="C591" t="s">
        <v>186</v>
      </c>
      <c r="D591">
        <v>2008</v>
      </c>
      <c r="E591" s="5">
        <v>2009</v>
      </c>
      <c r="F591" s="6">
        <v>70.97</v>
      </c>
      <c r="G591" s="5">
        <v>5</v>
      </c>
      <c r="H591" s="33">
        <v>1</v>
      </c>
      <c r="I591" s="33">
        <v>2343</v>
      </c>
      <c r="J591" s="33">
        <v>2008</v>
      </c>
      <c r="K591" s="13"/>
      <c r="L591" s="13"/>
    </row>
    <row r="592" spans="1:12" x14ac:dyDescent="0.2">
      <c r="A592" s="76">
        <v>402</v>
      </c>
      <c r="B592" s="76">
        <v>1</v>
      </c>
      <c r="C592" s="76" t="s">
        <v>187</v>
      </c>
      <c r="D592" s="76">
        <v>1992</v>
      </c>
      <c r="E592" s="76">
        <v>1993</v>
      </c>
      <c r="F592" s="81">
        <v>670.62</v>
      </c>
      <c r="G592" s="76">
        <v>5</v>
      </c>
      <c r="H592" s="76">
        <v>0</v>
      </c>
      <c r="I592" s="79" t="s">
        <v>840</v>
      </c>
      <c r="J592" s="79" t="s">
        <v>840</v>
      </c>
      <c r="K592" s="13"/>
      <c r="L592" s="13"/>
    </row>
    <row r="593" spans="1:12" x14ac:dyDescent="0.2">
      <c r="A593" s="76">
        <v>402</v>
      </c>
      <c r="B593" s="76">
        <v>1</v>
      </c>
      <c r="C593" s="76" t="s">
        <v>187</v>
      </c>
      <c r="D593" s="76">
        <v>1994</v>
      </c>
      <c r="E593" s="76">
        <v>1995</v>
      </c>
      <c r="F593" s="81">
        <v>500</v>
      </c>
      <c r="G593" s="76">
        <v>10</v>
      </c>
      <c r="H593" s="76">
        <v>0</v>
      </c>
      <c r="I593" s="79">
        <v>297</v>
      </c>
      <c r="J593" s="79">
        <v>320</v>
      </c>
      <c r="K593" s="13"/>
      <c r="L593" s="13"/>
    </row>
    <row r="594" spans="1:12" x14ac:dyDescent="0.2">
      <c r="A594" s="76">
        <v>402</v>
      </c>
      <c r="B594" s="76">
        <v>1</v>
      </c>
      <c r="C594" s="76" t="s">
        <v>187</v>
      </c>
      <c r="D594" s="76">
        <v>2001</v>
      </c>
      <c r="E594" s="76">
        <v>2002</v>
      </c>
      <c r="F594" s="81">
        <v>400</v>
      </c>
      <c r="G594" s="76">
        <v>10</v>
      </c>
      <c r="H594" s="76">
        <v>1</v>
      </c>
      <c r="I594" s="79">
        <v>235</v>
      </c>
      <c r="J594" s="79">
        <v>103</v>
      </c>
      <c r="K594" s="13"/>
      <c r="L594" s="13"/>
    </row>
    <row r="595" spans="1:12" x14ac:dyDescent="0.2">
      <c r="A595" s="76">
        <v>402</v>
      </c>
      <c r="B595" s="76">
        <v>1</v>
      </c>
      <c r="C595" s="76" t="s">
        <v>187</v>
      </c>
      <c r="D595" s="76">
        <v>2004</v>
      </c>
      <c r="E595" s="76">
        <v>2005</v>
      </c>
      <c r="F595" s="81">
        <v>400</v>
      </c>
      <c r="G595" s="76">
        <v>10</v>
      </c>
      <c r="H595" s="76">
        <v>1</v>
      </c>
      <c r="I595" s="79">
        <v>366</v>
      </c>
      <c r="J595" s="79">
        <v>252</v>
      </c>
      <c r="K595" s="13"/>
      <c r="L595" s="13"/>
    </row>
    <row r="596" spans="1:12" x14ac:dyDescent="0.2">
      <c r="A596">
        <v>402</v>
      </c>
      <c r="B596">
        <v>1</v>
      </c>
      <c r="C596" t="s">
        <v>187</v>
      </c>
      <c r="D596">
        <v>2008</v>
      </c>
      <c r="E596" s="5">
        <v>2009</v>
      </c>
      <c r="F596" s="6">
        <v>643</v>
      </c>
      <c r="G596" s="5">
        <v>10</v>
      </c>
      <c r="H596" s="33">
        <v>0</v>
      </c>
      <c r="I596" s="33">
        <v>143</v>
      </c>
      <c r="J596" s="33">
        <v>201</v>
      </c>
      <c r="K596" s="13"/>
      <c r="L596" s="13"/>
    </row>
    <row r="597" spans="1:12" x14ac:dyDescent="0.2">
      <c r="A597" s="76">
        <v>403</v>
      </c>
      <c r="B597" s="76">
        <v>1</v>
      </c>
      <c r="C597" s="76" t="s">
        <v>188</v>
      </c>
      <c r="D597" s="76">
        <v>1992</v>
      </c>
      <c r="E597" s="76">
        <v>1993</v>
      </c>
      <c r="F597" s="81">
        <v>518.80999999999995</v>
      </c>
      <c r="G597" s="76">
        <v>5</v>
      </c>
      <c r="H597" s="76">
        <v>0</v>
      </c>
      <c r="I597" s="79" t="s">
        <v>840</v>
      </c>
      <c r="J597" s="79" t="s">
        <v>840</v>
      </c>
      <c r="K597" s="13"/>
      <c r="L597" s="13"/>
    </row>
    <row r="598" spans="1:12" x14ac:dyDescent="0.2">
      <c r="A598" s="76">
        <v>403</v>
      </c>
      <c r="B598" s="76">
        <v>1</v>
      </c>
      <c r="C598" s="76" t="s">
        <v>188</v>
      </c>
      <c r="D598" s="76">
        <v>1994</v>
      </c>
      <c r="E598" s="76">
        <v>1995</v>
      </c>
      <c r="F598" s="81">
        <v>483.87</v>
      </c>
      <c r="G598" s="76">
        <v>10</v>
      </c>
      <c r="H598" s="76">
        <v>1</v>
      </c>
      <c r="I598" s="79">
        <v>463</v>
      </c>
      <c r="J598" s="79">
        <v>443</v>
      </c>
      <c r="K598" s="13"/>
      <c r="L598" s="13"/>
    </row>
    <row r="599" spans="1:12" x14ac:dyDescent="0.2">
      <c r="A599" s="76">
        <v>403</v>
      </c>
      <c r="B599" s="76">
        <v>1</v>
      </c>
      <c r="C599" s="76" t="s">
        <v>188</v>
      </c>
      <c r="D599" s="76">
        <v>2001</v>
      </c>
      <c r="E599" s="76">
        <v>2002</v>
      </c>
      <c r="F599" s="81">
        <v>400</v>
      </c>
      <c r="G599" s="76">
        <v>10</v>
      </c>
      <c r="H599" s="76">
        <v>1</v>
      </c>
      <c r="I599" s="79">
        <v>278</v>
      </c>
      <c r="J599" s="79">
        <v>129</v>
      </c>
      <c r="K599" s="13"/>
      <c r="L599" s="13"/>
    </row>
    <row r="600" spans="1:12" x14ac:dyDescent="0.2">
      <c r="A600" s="76">
        <v>403</v>
      </c>
      <c r="B600" s="76">
        <v>1</v>
      </c>
      <c r="C600" s="76" t="s">
        <v>188</v>
      </c>
      <c r="D600" s="76">
        <v>2006</v>
      </c>
      <c r="E600" s="78">
        <v>2007</v>
      </c>
      <c r="F600" s="81">
        <v>799.55</v>
      </c>
      <c r="G600" s="78">
        <v>10</v>
      </c>
      <c r="H600" s="76">
        <v>1</v>
      </c>
      <c r="I600" s="77">
        <v>343</v>
      </c>
      <c r="J600" s="77">
        <v>338</v>
      </c>
      <c r="K600" s="13"/>
      <c r="L600" s="13"/>
    </row>
    <row r="601" spans="1:12" x14ac:dyDescent="0.2">
      <c r="A601" s="76">
        <v>404</v>
      </c>
      <c r="B601" s="76">
        <v>1</v>
      </c>
      <c r="C601" s="76" t="s">
        <v>189</v>
      </c>
      <c r="D601" s="76">
        <v>2000</v>
      </c>
      <c r="E601" s="76">
        <v>2001</v>
      </c>
      <c r="F601" s="81">
        <v>613.14</v>
      </c>
      <c r="G601" s="76">
        <v>10</v>
      </c>
      <c r="H601" s="76">
        <v>1</v>
      </c>
      <c r="I601" s="79">
        <v>430</v>
      </c>
      <c r="J601" s="79">
        <v>297</v>
      </c>
      <c r="K601" s="13"/>
      <c r="L601" s="13"/>
    </row>
    <row r="602" spans="1:12" x14ac:dyDescent="0.2">
      <c r="A602" s="76">
        <v>404</v>
      </c>
      <c r="B602" s="76">
        <v>1</v>
      </c>
      <c r="C602" s="76" t="s">
        <v>189</v>
      </c>
      <c r="D602" s="76">
        <v>2006</v>
      </c>
      <c r="E602" s="78">
        <v>2007</v>
      </c>
      <c r="F602" s="81">
        <v>840.63</v>
      </c>
      <c r="G602" s="78">
        <v>10</v>
      </c>
      <c r="H602" s="76">
        <v>1</v>
      </c>
      <c r="I602" s="77">
        <v>317</v>
      </c>
      <c r="J602" s="77">
        <v>308</v>
      </c>
      <c r="K602" s="13"/>
      <c r="L602" s="13"/>
    </row>
    <row r="603" spans="1:12" x14ac:dyDescent="0.2">
      <c r="A603" s="76">
        <v>409</v>
      </c>
      <c r="B603" s="76">
        <v>1</v>
      </c>
      <c r="C603" s="76" t="s">
        <v>190</v>
      </c>
      <c r="D603" s="76">
        <v>1998</v>
      </c>
      <c r="E603" s="76">
        <v>1999</v>
      </c>
      <c r="F603" s="81">
        <v>350</v>
      </c>
      <c r="G603" s="76">
        <v>10</v>
      </c>
      <c r="H603" s="76">
        <v>0</v>
      </c>
      <c r="I603" s="79">
        <v>429</v>
      </c>
      <c r="J603" s="79">
        <v>520</v>
      </c>
      <c r="K603" s="13"/>
      <c r="L603" s="13"/>
    </row>
    <row r="604" spans="1:12" x14ac:dyDescent="0.2">
      <c r="A604" s="76">
        <v>409</v>
      </c>
      <c r="B604" s="76">
        <v>1</v>
      </c>
      <c r="C604" s="76" t="s">
        <v>190</v>
      </c>
      <c r="D604" s="76">
        <v>2000</v>
      </c>
      <c r="E604" s="76">
        <v>2001</v>
      </c>
      <c r="F604" s="81">
        <v>415</v>
      </c>
      <c r="G604" s="76">
        <v>10</v>
      </c>
      <c r="H604" s="76">
        <v>1</v>
      </c>
      <c r="I604" s="79">
        <v>573</v>
      </c>
      <c r="J604" s="79">
        <v>317</v>
      </c>
      <c r="K604" s="13"/>
      <c r="L604" s="13"/>
    </row>
    <row r="605" spans="1:12" x14ac:dyDescent="0.2">
      <c r="A605" s="76">
        <v>409</v>
      </c>
      <c r="B605" s="76">
        <v>1</v>
      </c>
      <c r="C605" s="76" t="s">
        <v>190</v>
      </c>
      <c r="D605" s="76">
        <v>2005</v>
      </c>
      <c r="E605" s="76">
        <v>2006</v>
      </c>
      <c r="F605" s="81">
        <v>708.12</v>
      </c>
      <c r="G605" s="76">
        <v>10</v>
      </c>
      <c r="H605" s="78">
        <v>1</v>
      </c>
      <c r="I605" s="77">
        <v>426</v>
      </c>
      <c r="J605" s="77">
        <v>125</v>
      </c>
      <c r="K605" s="13"/>
      <c r="L605" s="13"/>
    </row>
    <row r="606" spans="1:12" x14ac:dyDescent="0.2">
      <c r="A606" s="76">
        <v>411</v>
      </c>
      <c r="B606" s="76">
        <v>1</v>
      </c>
      <c r="C606" s="76" t="s">
        <v>191</v>
      </c>
      <c r="D606" s="76">
        <v>1994</v>
      </c>
      <c r="E606" s="76">
        <v>1995</v>
      </c>
      <c r="F606" s="81">
        <v>555</v>
      </c>
      <c r="G606" s="76">
        <v>5</v>
      </c>
      <c r="H606" s="76">
        <v>1</v>
      </c>
      <c r="I606" s="79">
        <v>454</v>
      </c>
      <c r="J606" s="79">
        <v>197</v>
      </c>
      <c r="K606" s="13"/>
      <c r="L606" s="13"/>
    </row>
    <row r="607" spans="1:12" x14ac:dyDescent="0.2">
      <c r="A607" s="76">
        <v>411</v>
      </c>
      <c r="B607" s="76">
        <v>1</v>
      </c>
      <c r="C607" s="76" t="s">
        <v>191</v>
      </c>
      <c r="D607" s="76">
        <v>1998</v>
      </c>
      <c r="E607" s="76">
        <v>2000</v>
      </c>
      <c r="F607" s="81">
        <v>452.27</v>
      </c>
      <c r="G607" s="76">
        <v>5</v>
      </c>
      <c r="H607" s="76">
        <v>1</v>
      </c>
      <c r="I607" s="79">
        <v>482</v>
      </c>
      <c r="J607" s="79">
        <v>223</v>
      </c>
      <c r="K607" s="13"/>
      <c r="L607" s="13"/>
    </row>
    <row r="608" spans="1:12" x14ac:dyDescent="0.2">
      <c r="A608" s="76">
        <v>411</v>
      </c>
      <c r="B608" s="76">
        <v>1</v>
      </c>
      <c r="C608" s="76" t="s">
        <v>191</v>
      </c>
      <c r="D608" s="76">
        <v>2001</v>
      </c>
      <c r="E608" s="76">
        <v>2002</v>
      </c>
      <c r="F608" s="81">
        <v>325.22000000000003</v>
      </c>
      <c r="G608" s="76">
        <v>10</v>
      </c>
      <c r="H608" s="76">
        <v>1</v>
      </c>
      <c r="I608" s="79">
        <v>199</v>
      </c>
      <c r="J608" s="79">
        <v>125</v>
      </c>
      <c r="K608" s="13"/>
      <c r="L608" s="13"/>
    </row>
    <row r="609" spans="1:12" x14ac:dyDescent="0.2">
      <c r="A609" s="76">
        <v>411</v>
      </c>
      <c r="B609" s="76">
        <v>1</v>
      </c>
      <c r="C609" s="76" t="s">
        <v>191</v>
      </c>
      <c r="D609" s="76">
        <v>2003</v>
      </c>
      <c r="E609" s="76">
        <v>2004</v>
      </c>
      <c r="F609" s="81">
        <v>226.25</v>
      </c>
      <c r="G609" s="76">
        <v>5</v>
      </c>
      <c r="H609" s="76">
        <v>1</v>
      </c>
      <c r="I609" s="79">
        <v>123</v>
      </c>
      <c r="J609" s="79">
        <v>52</v>
      </c>
      <c r="K609" s="13"/>
      <c r="L609" s="13"/>
    </row>
    <row r="610" spans="1:12" x14ac:dyDescent="0.2">
      <c r="A610" s="76">
        <v>411</v>
      </c>
      <c r="B610" s="76">
        <v>1</v>
      </c>
      <c r="C610" s="76" t="s">
        <v>191</v>
      </c>
      <c r="D610" s="82">
        <v>2007</v>
      </c>
      <c r="E610" s="83">
        <v>2008</v>
      </c>
      <c r="F610" s="78">
        <v>276.2</v>
      </c>
      <c r="G610" s="76">
        <v>10</v>
      </c>
      <c r="H610" s="77">
        <v>1</v>
      </c>
      <c r="I610" s="77">
        <v>172</v>
      </c>
      <c r="J610" s="79">
        <v>77</v>
      </c>
      <c r="K610" s="13"/>
      <c r="L610" s="13"/>
    </row>
    <row r="611" spans="1:12" x14ac:dyDescent="0.2">
      <c r="A611" s="76">
        <v>411</v>
      </c>
      <c r="B611" s="76">
        <v>1</v>
      </c>
      <c r="C611" s="76" t="s">
        <v>191</v>
      </c>
      <c r="D611" s="82">
        <v>2007</v>
      </c>
      <c r="E611" s="83">
        <v>2008</v>
      </c>
      <c r="F611" s="78">
        <v>648.97</v>
      </c>
      <c r="G611" s="76">
        <v>10</v>
      </c>
      <c r="H611" s="77">
        <v>1</v>
      </c>
      <c r="I611" s="77">
        <v>186</v>
      </c>
      <c r="J611" s="79">
        <v>65</v>
      </c>
      <c r="K611" s="13"/>
      <c r="L611" s="13"/>
    </row>
    <row r="612" spans="1:12" x14ac:dyDescent="0.2">
      <c r="A612" s="76">
        <v>413</v>
      </c>
      <c r="B612" s="76">
        <v>1</v>
      </c>
      <c r="C612" s="76" t="s">
        <v>192</v>
      </c>
      <c r="D612" s="76">
        <v>1991</v>
      </c>
      <c r="E612" s="76">
        <v>1993</v>
      </c>
      <c r="F612" s="81">
        <v>200</v>
      </c>
      <c r="G612" s="76">
        <v>5</v>
      </c>
      <c r="H612" s="76">
        <v>0</v>
      </c>
      <c r="I612" s="79" t="s">
        <v>840</v>
      </c>
      <c r="J612" s="79" t="s">
        <v>840</v>
      </c>
      <c r="K612" s="13"/>
      <c r="L612" s="13"/>
    </row>
    <row r="613" spans="1:12" x14ac:dyDescent="0.2">
      <c r="A613" s="76">
        <v>413</v>
      </c>
      <c r="B613" s="76">
        <v>1</v>
      </c>
      <c r="C613" s="76" t="s">
        <v>192</v>
      </c>
      <c r="D613" s="76">
        <v>1998</v>
      </c>
      <c r="E613" s="76">
        <v>1999</v>
      </c>
      <c r="F613" s="81">
        <v>445</v>
      </c>
      <c r="G613" s="76">
        <v>5</v>
      </c>
      <c r="H613" s="76">
        <v>1</v>
      </c>
      <c r="I613" s="79">
        <v>3139</v>
      </c>
      <c r="J613" s="79">
        <v>2508</v>
      </c>
      <c r="K613" s="13"/>
      <c r="L613" s="13"/>
    </row>
    <row r="614" spans="1:12" x14ac:dyDescent="0.2">
      <c r="A614" s="76">
        <v>413</v>
      </c>
      <c r="B614" s="76">
        <v>1</v>
      </c>
      <c r="C614" s="76" t="s">
        <v>192</v>
      </c>
      <c r="D614" s="76">
        <v>2003</v>
      </c>
      <c r="E614" s="76">
        <v>2004</v>
      </c>
      <c r="F614" s="81">
        <v>75</v>
      </c>
      <c r="G614" s="76">
        <v>5</v>
      </c>
      <c r="H614" s="76">
        <v>1</v>
      </c>
      <c r="I614" s="79">
        <v>1481</v>
      </c>
      <c r="J614" s="79">
        <v>1238</v>
      </c>
      <c r="K614" s="13"/>
      <c r="L614" s="13"/>
    </row>
    <row r="615" spans="1:12" x14ac:dyDescent="0.2">
      <c r="A615" s="76">
        <v>413</v>
      </c>
      <c r="B615" s="76">
        <v>1</v>
      </c>
      <c r="C615" s="76" t="s">
        <v>192</v>
      </c>
      <c r="D615" s="76">
        <v>2003</v>
      </c>
      <c r="E615" s="76">
        <v>2004</v>
      </c>
      <c r="F615" s="81">
        <v>125</v>
      </c>
      <c r="G615" s="76">
        <v>5</v>
      </c>
      <c r="H615" s="76">
        <v>1</v>
      </c>
      <c r="I615" s="79">
        <v>1595</v>
      </c>
      <c r="J615" s="79">
        <v>1131</v>
      </c>
      <c r="K615" s="13"/>
      <c r="L615" s="13"/>
    </row>
    <row r="616" spans="1:12" x14ac:dyDescent="0.2">
      <c r="A616" s="76">
        <v>413</v>
      </c>
      <c r="B616" s="76">
        <v>1</v>
      </c>
      <c r="C616" s="76" t="s">
        <v>192</v>
      </c>
      <c r="D616" s="82">
        <v>2007</v>
      </c>
      <c r="E616" s="83">
        <v>2008</v>
      </c>
      <c r="F616" s="78">
        <v>175</v>
      </c>
      <c r="G616" s="76">
        <v>5</v>
      </c>
      <c r="H616" s="77">
        <v>1</v>
      </c>
      <c r="I616" s="77">
        <v>1706</v>
      </c>
      <c r="J616" s="79">
        <v>1595</v>
      </c>
      <c r="K616" s="13"/>
      <c r="L616" s="13"/>
    </row>
    <row r="617" spans="1:12" x14ac:dyDescent="0.2">
      <c r="A617" s="76">
        <v>413</v>
      </c>
      <c r="B617" s="76">
        <v>1</v>
      </c>
      <c r="C617" s="76" t="s">
        <v>192</v>
      </c>
      <c r="D617" s="82">
        <v>2007</v>
      </c>
      <c r="E617" s="83">
        <v>2008</v>
      </c>
      <c r="F617" s="78">
        <v>300</v>
      </c>
      <c r="G617" s="76">
        <v>5</v>
      </c>
      <c r="H617" s="77">
        <v>1</v>
      </c>
      <c r="I617" s="77">
        <v>1947</v>
      </c>
      <c r="J617" s="79">
        <v>1369</v>
      </c>
      <c r="K617" s="13"/>
      <c r="L617" s="13"/>
    </row>
    <row r="618" spans="1:12" x14ac:dyDescent="0.2">
      <c r="A618" s="76">
        <v>414</v>
      </c>
      <c r="B618" s="76">
        <v>1</v>
      </c>
      <c r="C618" s="76" t="s">
        <v>193</v>
      </c>
      <c r="D618" s="76">
        <v>1996</v>
      </c>
      <c r="E618" s="76">
        <v>1997</v>
      </c>
      <c r="F618" s="81">
        <v>250</v>
      </c>
      <c r="G618" s="76">
        <v>10</v>
      </c>
      <c r="H618" s="76">
        <v>0</v>
      </c>
      <c r="I618" s="79">
        <v>613</v>
      </c>
      <c r="J618" s="79">
        <v>758</v>
      </c>
      <c r="K618" s="13"/>
      <c r="L618" s="13"/>
    </row>
    <row r="619" spans="1:12" x14ac:dyDescent="0.2">
      <c r="A619" s="76">
        <v>414</v>
      </c>
      <c r="B619" s="76">
        <v>1</v>
      </c>
      <c r="C619" s="76" t="s">
        <v>193</v>
      </c>
      <c r="D619" s="76">
        <v>1997</v>
      </c>
      <c r="E619" s="76">
        <v>1998</v>
      </c>
      <c r="F619" s="81">
        <v>185.41</v>
      </c>
      <c r="G619" s="76">
        <v>10</v>
      </c>
      <c r="H619" s="76">
        <v>1</v>
      </c>
      <c r="I619" s="79">
        <v>253</v>
      </c>
      <c r="J619" s="79">
        <v>186</v>
      </c>
      <c r="K619" s="13"/>
      <c r="L619" s="13"/>
    </row>
    <row r="620" spans="1:12" x14ac:dyDescent="0.2">
      <c r="A620" s="76">
        <v>414</v>
      </c>
      <c r="B620" s="76">
        <v>1</v>
      </c>
      <c r="C620" s="76" t="s">
        <v>193</v>
      </c>
      <c r="D620" s="76">
        <v>2001</v>
      </c>
      <c r="E620" s="76">
        <v>2002</v>
      </c>
      <c r="F620" s="81">
        <v>126</v>
      </c>
      <c r="G620" s="76">
        <v>10</v>
      </c>
      <c r="H620" s="76">
        <v>1</v>
      </c>
      <c r="I620" s="79">
        <v>325</v>
      </c>
      <c r="J620" s="79">
        <v>103</v>
      </c>
      <c r="K620" s="13"/>
      <c r="L620" s="13"/>
    </row>
    <row r="621" spans="1:12" x14ac:dyDescent="0.2">
      <c r="A621" s="76">
        <v>415</v>
      </c>
      <c r="B621" s="76">
        <v>1</v>
      </c>
      <c r="C621" s="76" t="s">
        <v>194</v>
      </c>
      <c r="D621" s="76">
        <v>1993</v>
      </c>
      <c r="E621" s="76">
        <v>1994</v>
      </c>
      <c r="F621" s="81">
        <v>315</v>
      </c>
      <c r="G621" s="76">
        <v>1</v>
      </c>
      <c r="H621" s="76">
        <v>1</v>
      </c>
      <c r="I621" s="79" t="s">
        <v>840</v>
      </c>
      <c r="J621" s="79" t="s">
        <v>840</v>
      </c>
      <c r="K621" s="13"/>
      <c r="L621" s="13"/>
    </row>
    <row r="622" spans="1:12" x14ac:dyDescent="0.2">
      <c r="A622" s="76">
        <v>415</v>
      </c>
      <c r="B622" s="76">
        <v>1</v>
      </c>
      <c r="C622" s="76" t="s">
        <v>194</v>
      </c>
      <c r="D622" s="76">
        <v>1994</v>
      </c>
      <c r="E622" s="76">
        <v>1995</v>
      </c>
      <c r="F622" s="81">
        <v>331</v>
      </c>
      <c r="G622" s="76">
        <v>3</v>
      </c>
      <c r="H622" s="76">
        <v>0</v>
      </c>
      <c r="I622" s="79">
        <v>156</v>
      </c>
      <c r="J622" s="79">
        <v>207</v>
      </c>
      <c r="K622" s="13"/>
      <c r="L622" s="13"/>
    </row>
    <row r="623" spans="1:12" x14ac:dyDescent="0.2">
      <c r="A623" s="76">
        <v>415</v>
      </c>
      <c r="B623" s="76">
        <v>1</v>
      </c>
      <c r="C623" s="76" t="s">
        <v>194</v>
      </c>
      <c r="D623" s="76">
        <v>1995</v>
      </c>
      <c r="E623" s="76">
        <v>1996</v>
      </c>
      <c r="F623" s="81">
        <v>315</v>
      </c>
      <c r="G623" s="76">
        <v>3</v>
      </c>
      <c r="H623" s="76">
        <v>1</v>
      </c>
      <c r="I623" s="79">
        <v>123</v>
      </c>
      <c r="J623" s="79">
        <v>112</v>
      </c>
      <c r="K623" s="13"/>
      <c r="L623" s="13"/>
    </row>
    <row r="624" spans="1:12" x14ac:dyDescent="0.2">
      <c r="A624" s="76">
        <v>415</v>
      </c>
      <c r="B624" s="76">
        <v>1</v>
      </c>
      <c r="C624" s="76" t="s">
        <v>194</v>
      </c>
      <c r="D624" s="76">
        <v>1998</v>
      </c>
      <c r="E624" s="76">
        <v>1999</v>
      </c>
      <c r="F624" s="81">
        <v>507</v>
      </c>
      <c r="G624" s="76">
        <v>7</v>
      </c>
      <c r="H624" s="76">
        <v>0</v>
      </c>
      <c r="I624" s="79">
        <v>187</v>
      </c>
      <c r="J624" s="79">
        <v>230</v>
      </c>
      <c r="K624" s="13"/>
      <c r="L624" s="13"/>
    </row>
    <row r="625" spans="1:12" x14ac:dyDescent="0.2">
      <c r="A625" s="76">
        <v>415</v>
      </c>
      <c r="B625" s="76">
        <v>1</v>
      </c>
      <c r="C625" s="76" t="s">
        <v>194</v>
      </c>
      <c r="D625" s="76">
        <v>1999</v>
      </c>
      <c r="E625" s="76">
        <v>2000</v>
      </c>
      <c r="F625" s="81">
        <v>378.11</v>
      </c>
      <c r="G625" s="76">
        <v>5</v>
      </c>
      <c r="H625" s="76">
        <v>1</v>
      </c>
      <c r="I625" s="79">
        <v>170</v>
      </c>
      <c r="J625" s="79">
        <v>62</v>
      </c>
      <c r="K625" s="13"/>
      <c r="L625" s="13"/>
    </row>
    <row r="626" spans="1:12" x14ac:dyDescent="0.2">
      <c r="A626" s="76">
        <v>415</v>
      </c>
      <c r="B626" s="76">
        <v>1</v>
      </c>
      <c r="C626" s="76" t="s">
        <v>194</v>
      </c>
      <c r="D626" s="76">
        <v>2003</v>
      </c>
      <c r="E626" s="76">
        <v>2004</v>
      </c>
      <c r="F626" s="81">
        <v>615</v>
      </c>
      <c r="G626" s="76">
        <v>5</v>
      </c>
      <c r="H626" s="76">
        <v>1</v>
      </c>
      <c r="I626" s="79">
        <v>160</v>
      </c>
      <c r="J626" s="79">
        <v>49</v>
      </c>
      <c r="K626" s="13"/>
      <c r="L626" s="13"/>
    </row>
    <row r="627" spans="1:12" x14ac:dyDescent="0.2">
      <c r="A627" s="76">
        <v>415</v>
      </c>
      <c r="B627" s="76">
        <v>1</v>
      </c>
      <c r="C627" s="76" t="s">
        <v>194</v>
      </c>
      <c r="D627" s="76">
        <v>2005</v>
      </c>
      <c r="E627" s="76">
        <v>2006</v>
      </c>
      <c r="F627" s="81">
        <v>1000</v>
      </c>
      <c r="G627" s="76">
        <v>10</v>
      </c>
      <c r="H627" s="78">
        <v>1</v>
      </c>
      <c r="I627" s="77">
        <v>134</v>
      </c>
      <c r="J627" s="77">
        <v>39</v>
      </c>
      <c r="K627" s="13"/>
      <c r="L627" s="13"/>
    </row>
    <row r="628" spans="1:12" x14ac:dyDescent="0.2">
      <c r="A628" s="76">
        <v>417</v>
      </c>
      <c r="B628" s="76">
        <v>1</v>
      </c>
      <c r="C628" s="76" t="s">
        <v>195</v>
      </c>
      <c r="D628" s="76">
        <v>1991</v>
      </c>
      <c r="E628" s="76">
        <v>1992</v>
      </c>
      <c r="F628" s="81">
        <v>116</v>
      </c>
      <c r="G628" s="76">
        <v>4</v>
      </c>
      <c r="H628" s="76">
        <v>1</v>
      </c>
      <c r="I628" s="79" t="s">
        <v>840</v>
      </c>
      <c r="J628" s="79" t="s">
        <v>840</v>
      </c>
      <c r="K628" s="13"/>
      <c r="L628" s="13"/>
    </row>
    <row r="629" spans="1:12" x14ac:dyDescent="0.2">
      <c r="A629" s="76">
        <v>417</v>
      </c>
      <c r="B629" s="76">
        <v>1</v>
      </c>
      <c r="C629" s="76" t="s">
        <v>195</v>
      </c>
      <c r="D629" s="76">
        <v>1997</v>
      </c>
      <c r="E629" s="76">
        <v>1998</v>
      </c>
      <c r="F629" s="81">
        <v>315</v>
      </c>
      <c r="G629" s="76">
        <v>5</v>
      </c>
      <c r="H629" s="76">
        <v>1</v>
      </c>
      <c r="I629" s="79">
        <v>660</v>
      </c>
      <c r="J629" s="79">
        <v>477</v>
      </c>
      <c r="K629" s="13"/>
      <c r="L629" s="13"/>
    </row>
    <row r="630" spans="1:12" x14ac:dyDescent="0.2">
      <c r="A630" s="76">
        <v>417</v>
      </c>
      <c r="B630" s="76">
        <v>1</v>
      </c>
      <c r="C630" s="76" t="s">
        <v>195</v>
      </c>
      <c r="D630" s="76">
        <v>2001</v>
      </c>
      <c r="E630" s="76">
        <v>2002</v>
      </c>
      <c r="F630" s="81">
        <v>425</v>
      </c>
      <c r="G630" s="76">
        <v>5</v>
      </c>
      <c r="H630" s="76">
        <v>1</v>
      </c>
      <c r="I630" s="79">
        <v>561</v>
      </c>
      <c r="J630" s="79">
        <v>287</v>
      </c>
      <c r="K630" s="13"/>
      <c r="L630" s="13"/>
    </row>
    <row r="631" spans="1:12" x14ac:dyDescent="0.2">
      <c r="A631" s="76">
        <v>417</v>
      </c>
      <c r="B631" s="76">
        <v>1</v>
      </c>
      <c r="C631" s="76" t="s">
        <v>195</v>
      </c>
      <c r="D631" s="76">
        <v>2005</v>
      </c>
      <c r="E631" s="76">
        <v>2006</v>
      </c>
      <c r="F631" s="81">
        <v>425</v>
      </c>
      <c r="G631" s="76">
        <v>5</v>
      </c>
      <c r="H631" s="78">
        <v>1</v>
      </c>
      <c r="I631" s="77">
        <v>506</v>
      </c>
      <c r="J631" s="77">
        <v>207</v>
      </c>
      <c r="K631" s="13"/>
      <c r="L631" s="13"/>
    </row>
    <row r="632" spans="1:12" x14ac:dyDescent="0.2">
      <c r="A632" s="76">
        <v>417</v>
      </c>
      <c r="B632" s="76">
        <v>1</v>
      </c>
      <c r="C632" s="76" t="s">
        <v>195</v>
      </c>
      <c r="D632" s="82">
        <v>2007</v>
      </c>
      <c r="E632" s="83">
        <v>2008</v>
      </c>
      <c r="F632" s="78">
        <v>275</v>
      </c>
      <c r="G632" s="76">
        <v>5</v>
      </c>
      <c r="H632" s="77">
        <v>1</v>
      </c>
      <c r="I632" s="77">
        <v>476</v>
      </c>
      <c r="J632" s="79">
        <v>364</v>
      </c>
      <c r="K632" s="13"/>
      <c r="L632" s="13"/>
    </row>
    <row r="633" spans="1:12" x14ac:dyDescent="0.2">
      <c r="A633" s="76">
        <v>418</v>
      </c>
      <c r="B633" s="76">
        <v>1</v>
      </c>
      <c r="C633" s="76" t="s">
        <v>196</v>
      </c>
      <c r="D633" s="76">
        <v>1998</v>
      </c>
      <c r="E633" s="76">
        <v>1999</v>
      </c>
      <c r="F633" s="81">
        <v>350</v>
      </c>
      <c r="G633" s="76">
        <v>10</v>
      </c>
      <c r="H633" s="76">
        <v>1</v>
      </c>
      <c r="I633" s="79">
        <v>195</v>
      </c>
      <c r="J633" s="79">
        <v>155</v>
      </c>
      <c r="K633" s="13"/>
      <c r="L633" s="13"/>
    </row>
    <row r="634" spans="1:12" x14ac:dyDescent="0.2">
      <c r="A634" s="76">
        <v>418</v>
      </c>
      <c r="B634" s="76">
        <v>1</v>
      </c>
      <c r="C634" s="76" t="s">
        <v>196</v>
      </c>
      <c r="D634" s="76">
        <v>2003</v>
      </c>
      <c r="E634" s="76">
        <v>2004</v>
      </c>
      <c r="F634" s="81">
        <v>500</v>
      </c>
      <c r="G634" s="76">
        <v>10</v>
      </c>
      <c r="H634" s="76">
        <v>1</v>
      </c>
      <c r="I634" s="79">
        <v>84</v>
      </c>
      <c r="J634" s="79">
        <v>58</v>
      </c>
      <c r="K634" s="13"/>
      <c r="L634" s="13"/>
    </row>
    <row r="635" spans="1:12" x14ac:dyDescent="0.2">
      <c r="A635" s="76">
        <v>418</v>
      </c>
      <c r="B635" s="76">
        <v>1</v>
      </c>
      <c r="C635" s="76" t="s">
        <v>196</v>
      </c>
      <c r="D635" s="76">
        <v>2005</v>
      </c>
      <c r="E635" s="76">
        <v>2006</v>
      </c>
      <c r="F635" s="81">
        <v>209.44</v>
      </c>
      <c r="G635" s="76">
        <v>8</v>
      </c>
      <c r="H635" s="78">
        <v>1</v>
      </c>
      <c r="I635" s="77">
        <v>85</v>
      </c>
      <c r="J635" s="77">
        <v>51</v>
      </c>
      <c r="K635" s="13"/>
      <c r="L635" s="13"/>
    </row>
    <row r="636" spans="1:12" x14ac:dyDescent="0.2">
      <c r="A636" s="76">
        <v>422</v>
      </c>
      <c r="B636" s="76">
        <v>1</v>
      </c>
      <c r="C636" s="76" t="s">
        <v>640</v>
      </c>
      <c r="D636" s="76">
        <v>1991</v>
      </c>
      <c r="E636" s="76">
        <v>1992</v>
      </c>
      <c r="F636" s="81">
        <v>166.12</v>
      </c>
      <c r="G636" s="76">
        <v>3</v>
      </c>
      <c r="H636" s="76">
        <v>1</v>
      </c>
      <c r="I636" s="79" t="s">
        <v>840</v>
      </c>
      <c r="J636" s="79" t="s">
        <v>840</v>
      </c>
      <c r="K636" s="13"/>
      <c r="L636" s="13"/>
    </row>
    <row r="637" spans="1:12" x14ac:dyDescent="0.2">
      <c r="A637" s="76">
        <v>422</v>
      </c>
      <c r="B637" s="76">
        <v>1</v>
      </c>
      <c r="C637" s="76" t="s">
        <v>640</v>
      </c>
      <c r="D637" s="76">
        <v>1994</v>
      </c>
      <c r="E637" s="76">
        <v>1995</v>
      </c>
      <c r="F637" s="81">
        <v>336.67</v>
      </c>
      <c r="G637" s="76">
        <v>2</v>
      </c>
      <c r="H637" s="76">
        <v>0</v>
      </c>
      <c r="I637" s="79">
        <v>1711</v>
      </c>
      <c r="J637" s="79">
        <v>1805</v>
      </c>
      <c r="K637" s="13"/>
      <c r="L637" s="13"/>
    </row>
    <row r="638" spans="1:12" x14ac:dyDescent="0.2">
      <c r="A638" s="76">
        <v>422</v>
      </c>
      <c r="B638" s="76">
        <v>1</v>
      </c>
      <c r="C638" s="76" t="s">
        <v>640</v>
      </c>
      <c r="D638" s="76">
        <v>1995</v>
      </c>
      <c r="E638" s="76">
        <v>1996</v>
      </c>
      <c r="F638" s="81">
        <v>328.4</v>
      </c>
      <c r="G638" s="76">
        <v>1</v>
      </c>
      <c r="H638" s="76">
        <v>1</v>
      </c>
      <c r="I638" s="79">
        <v>1651</v>
      </c>
      <c r="J638" s="79">
        <v>690</v>
      </c>
      <c r="K638" s="13"/>
      <c r="L638" s="13"/>
    </row>
    <row r="639" spans="1:12" x14ac:dyDescent="0.2">
      <c r="A639" s="76">
        <v>423</v>
      </c>
      <c r="B639" s="76">
        <v>1</v>
      </c>
      <c r="C639" s="76" t="s">
        <v>197</v>
      </c>
      <c r="D639" s="76">
        <v>1992</v>
      </c>
      <c r="E639" s="76">
        <v>1993</v>
      </c>
      <c r="F639" s="81">
        <v>145</v>
      </c>
      <c r="G639" s="76">
        <v>5</v>
      </c>
      <c r="H639" s="76">
        <v>0</v>
      </c>
      <c r="I639" s="79" t="s">
        <v>840</v>
      </c>
      <c r="J639" s="79" t="s">
        <v>840</v>
      </c>
      <c r="K639" s="13"/>
      <c r="L639" s="13"/>
    </row>
    <row r="640" spans="1:12" x14ac:dyDescent="0.2">
      <c r="A640" s="76">
        <v>423</v>
      </c>
      <c r="B640" s="76">
        <v>1</v>
      </c>
      <c r="C640" s="76" t="s">
        <v>197</v>
      </c>
      <c r="D640" s="76">
        <v>1996</v>
      </c>
      <c r="E640" s="76">
        <v>1997</v>
      </c>
      <c r="F640" s="81">
        <v>315</v>
      </c>
      <c r="G640" s="76">
        <v>10</v>
      </c>
      <c r="H640" s="76">
        <v>0</v>
      </c>
      <c r="I640" s="79">
        <v>1574</v>
      </c>
      <c r="J640" s="79">
        <v>2018</v>
      </c>
      <c r="K640" s="13"/>
      <c r="L640" s="13"/>
    </row>
    <row r="641" spans="1:12" x14ac:dyDescent="0.2">
      <c r="A641" s="76">
        <v>423</v>
      </c>
      <c r="B641" s="76">
        <v>1</v>
      </c>
      <c r="C641" s="76" t="s">
        <v>197</v>
      </c>
      <c r="D641" s="76">
        <v>1998</v>
      </c>
      <c r="E641" s="76">
        <v>1999</v>
      </c>
      <c r="F641" s="81">
        <v>350</v>
      </c>
      <c r="G641" s="76">
        <v>10</v>
      </c>
      <c r="H641" s="76">
        <v>0</v>
      </c>
      <c r="I641" s="79">
        <v>3198</v>
      </c>
      <c r="J641" s="79">
        <v>3859</v>
      </c>
      <c r="K641" s="13"/>
      <c r="L641" s="13"/>
    </row>
    <row r="642" spans="1:12" x14ac:dyDescent="0.2">
      <c r="A642" s="76">
        <v>423</v>
      </c>
      <c r="B642" s="76">
        <v>1</v>
      </c>
      <c r="C642" s="76" t="s">
        <v>197</v>
      </c>
      <c r="D642" s="76">
        <v>1999</v>
      </c>
      <c r="E642" s="76">
        <v>2000</v>
      </c>
      <c r="F642" s="81">
        <v>350</v>
      </c>
      <c r="G642" s="76">
        <v>5</v>
      </c>
      <c r="H642" s="76">
        <v>1</v>
      </c>
      <c r="I642" s="79">
        <v>3857</v>
      </c>
      <c r="J642" s="79">
        <v>2004</v>
      </c>
      <c r="K642" s="13"/>
      <c r="L642" s="13"/>
    </row>
    <row r="643" spans="1:12" x14ac:dyDescent="0.2">
      <c r="A643" s="76">
        <v>423</v>
      </c>
      <c r="B643" s="76">
        <v>1</v>
      </c>
      <c r="C643" s="76" t="s">
        <v>197</v>
      </c>
      <c r="D643" s="76">
        <v>2001</v>
      </c>
      <c r="E643" s="76">
        <v>2002</v>
      </c>
      <c r="F643" s="81">
        <v>126</v>
      </c>
      <c r="G643" s="76">
        <v>10</v>
      </c>
      <c r="H643" s="76">
        <v>1</v>
      </c>
      <c r="I643" s="79">
        <v>1987</v>
      </c>
      <c r="J643" s="79">
        <v>1471</v>
      </c>
      <c r="K643" s="13"/>
      <c r="L643" s="13"/>
    </row>
    <row r="644" spans="1:12" x14ac:dyDescent="0.2">
      <c r="A644" s="76">
        <v>423</v>
      </c>
      <c r="B644" s="76">
        <v>1</v>
      </c>
      <c r="C644" s="76" t="s">
        <v>197</v>
      </c>
      <c r="D644" s="76">
        <v>2003</v>
      </c>
      <c r="E644" s="76">
        <v>2004</v>
      </c>
      <c r="F644" s="81">
        <v>680</v>
      </c>
      <c r="G644" s="76">
        <v>10</v>
      </c>
      <c r="H644" s="76">
        <v>1</v>
      </c>
      <c r="I644" s="79">
        <v>2533</v>
      </c>
      <c r="J644" s="79">
        <v>2291</v>
      </c>
      <c r="K644" s="13"/>
      <c r="L644" s="13"/>
    </row>
    <row r="645" spans="1:12" x14ac:dyDescent="0.2">
      <c r="A645" s="76">
        <v>424</v>
      </c>
      <c r="B645" s="76">
        <v>1</v>
      </c>
      <c r="C645" s="76" t="s">
        <v>198</v>
      </c>
      <c r="D645" s="76">
        <v>1999</v>
      </c>
      <c r="E645" s="76">
        <v>2000</v>
      </c>
      <c r="F645" s="81">
        <v>415</v>
      </c>
      <c r="G645" s="76">
        <v>10</v>
      </c>
      <c r="H645" s="76">
        <v>1</v>
      </c>
      <c r="I645" s="79">
        <v>316</v>
      </c>
      <c r="J645" s="79">
        <v>197</v>
      </c>
      <c r="K645" s="13"/>
      <c r="L645" s="13"/>
    </row>
    <row r="646" spans="1:12" x14ac:dyDescent="0.2">
      <c r="A646" s="76">
        <v>424</v>
      </c>
      <c r="B646" s="76">
        <v>1</v>
      </c>
      <c r="C646" s="76" t="s">
        <v>198</v>
      </c>
      <c r="D646" s="76">
        <v>2001</v>
      </c>
      <c r="E646" s="76">
        <v>2002</v>
      </c>
      <c r="F646" s="81">
        <v>125</v>
      </c>
      <c r="G646" s="76">
        <v>10</v>
      </c>
      <c r="H646" s="76">
        <v>0</v>
      </c>
      <c r="I646" s="79">
        <v>240</v>
      </c>
      <c r="J646" s="79">
        <v>253</v>
      </c>
      <c r="K646" s="13"/>
      <c r="L646" s="13"/>
    </row>
    <row r="647" spans="1:12" x14ac:dyDescent="0.2">
      <c r="A647" s="76">
        <v>424</v>
      </c>
      <c r="B647" s="76">
        <v>1</v>
      </c>
      <c r="C647" s="76" t="s">
        <v>198</v>
      </c>
      <c r="D647" s="76">
        <v>2003</v>
      </c>
      <c r="E647" s="76">
        <v>2005</v>
      </c>
      <c r="F647" s="81">
        <v>95</v>
      </c>
      <c r="G647" s="76">
        <v>9</v>
      </c>
      <c r="H647" s="76">
        <v>1</v>
      </c>
      <c r="I647" s="79">
        <v>337</v>
      </c>
      <c r="J647" s="79">
        <v>217</v>
      </c>
      <c r="K647" s="13"/>
      <c r="L647" s="13"/>
    </row>
    <row r="648" spans="1:12" x14ac:dyDescent="0.2">
      <c r="A648" s="76">
        <v>424</v>
      </c>
      <c r="B648" s="76">
        <v>1</v>
      </c>
      <c r="C648" s="76" t="s">
        <v>198</v>
      </c>
      <c r="D648" s="76">
        <v>2003</v>
      </c>
      <c r="E648" s="76">
        <v>2004</v>
      </c>
      <c r="F648" s="81">
        <v>405</v>
      </c>
      <c r="G648" s="76">
        <v>10</v>
      </c>
      <c r="H648" s="76">
        <v>1</v>
      </c>
      <c r="I648" s="79">
        <v>337</v>
      </c>
      <c r="J648" s="79">
        <v>223</v>
      </c>
      <c r="K648" s="13"/>
      <c r="L648" s="13"/>
    </row>
    <row r="649" spans="1:12" x14ac:dyDescent="0.2">
      <c r="A649" s="76">
        <v>424</v>
      </c>
      <c r="B649" s="76">
        <v>1</v>
      </c>
      <c r="C649" s="76" t="s">
        <v>198</v>
      </c>
      <c r="D649" s="76">
        <v>2006</v>
      </c>
      <c r="E649" s="78">
        <v>2007</v>
      </c>
      <c r="F649" s="81">
        <v>521</v>
      </c>
      <c r="G649" s="78">
        <v>10</v>
      </c>
      <c r="H649" s="76">
        <v>1</v>
      </c>
      <c r="I649" s="77">
        <v>306</v>
      </c>
      <c r="J649" s="77">
        <v>293</v>
      </c>
      <c r="K649" s="13"/>
      <c r="L649" s="13"/>
    </row>
    <row r="650" spans="1:12" x14ac:dyDescent="0.2">
      <c r="A650" s="76">
        <v>425</v>
      </c>
      <c r="B650" s="76">
        <v>1</v>
      </c>
      <c r="C650" s="76" t="s">
        <v>641</v>
      </c>
      <c r="D650" s="76">
        <v>1991</v>
      </c>
      <c r="E650" s="76">
        <v>1993</v>
      </c>
      <c r="F650" s="81">
        <v>253.29</v>
      </c>
      <c r="G650" s="76">
        <v>3</v>
      </c>
      <c r="H650" s="76">
        <v>1</v>
      </c>
      <c r="I650" s="79" t="s">
        <v>840</v>
      </c>
      <c r="J650" s="79" t="s">
        <v>840</v>
      </c>
      <c r="K650" s="13"/>
      <c r="L650" s="13"/>
    </row>
    <row r="651" spans="1:12" x14ac:dyDescent="0.2">
      <c r="A651" s="76">
        <v>425</v>
      </c>
      <c r="B651" s="76">
        <v>1</v>
      </c>
      <c r="C651" s="76" t="s">
        <v>641</v>
      </c>
      <c r="D651" s="76">
        <v>1995</v>
      </c>
      <c r="E651" s="76">
        <v>1996</v>
      </c>
      <c r="F651" s="81">
        <v>431.74</v>
      </c>
      <c r="G651" s="76">
        <v>1</v>
      </c>
      <c r="H651" s="76">
        <v>1</v>
      </c>
      <c r="I651" s="79">
        <v>190</v>
      </c>
      <c r="J651" s="79">
        <v>70</v>
      </c>
      <c r="K651" s="13"/>
      <c r="L651" s="13"/>
    </row>
    <row r="652" spans="1:12" x14ac:dyDescent="0.2">
      <c r="A652" s="76">
        <v>426</v>
      </c>
      <c r="B652" s="76">
        <v>1</v>
      </c>
      <c r="C652" s="76" t="s">
        <v>748</v>
      </c>
      <c r="D652" s="76">
        <v>1993</v>
      </c>
      <c r="E652" s="76">
        <v>1994</v>
      </c>
      <c r="F652" s="81">
        <v>170</v>
      </c>
      <c r="G652" s="76">
        <v>5</v>
      </c>
      <c r="H652" s="76">
        <v>1</v>
      </c>
      <c r="I652" s="79" t="s">
        <v>840</v>
      </c>
      <c r="J652" s="79" t="s">
        <v>840</v>
      </c>
      <c r="K652" s="13"/>
      <c r="L652" s="13"/>
    </row>
    <row r="653" spans="1:12" x14ac:dyDescent="0.2">
      <c r="A653" s="76">
        <v>432</v>
      </c>
      <c r="B653" s="76">
        <v>1</v>
      </c>
      <c r="C653" s="76" t="s">
        <v>199</v>
      </c>
      <c r="D653" s="76">
        <v>1996</v>
      </c>
      <c r="E653" s="76">
        <v>1997</v>
      </c>
      <c r="F653" s="81">
        <v>315</v>
      </c>
      <c r="G653" s="76">
        <v>5</v>
      </c>
      <c r="H653" s="76">
        <v>0</v>
      </c>
      <c r="I653" s="79">
        <v>548</v>
      </c>
      <c r="J653" s="79">
        <v>984</v>
      </c>
      <c r="K653" s="13"/>
      <c r="L653" s="13"/>
    </row>
    <row r="654" spans="1:12" x14ac:dyDescent="0.2">
      <c r="A654" s="76">
        <v>436</v>
      </c>
      <c r="B654" s="76">
        <v>1</v>
      </c>
      <c r="C654" s="76" t="s">
        <v>749</v>
      </c>
      <c r="D654" s="76">
        <v>1992</v>
      </c>
      <c r="E654" s="76">
        <v>1993</v>
      </c>
      <c r="F654" s="81">
        <v>239</v>
      </c>
      <c r="G654" s="76">
        <v>5</v>
      </c>
      <c r="H654" s="76">
        <v>1</v>
      </c>
      <c r="I654" s="79" t="s">
        <v>840</v>
      </c>
      <c r="J654" s="79" t="s">
        <v>840</v>
      </c>
      <c r="K654" s="13"/>
      <c r="L654" s="13"/>
    </row>
    <row r="655" spans="1:12" x14ac:dyDescent="0.2">
      <c r="A655" s="76">
        <v>437</v>
      </c>
      <c r="B655" s="76">
        <v>1</v>
      </c>
      <c r="C655" s="76" t="s">
        <v>645</v>
      </c>
      <c r="D655" s="76">
        <v>1994</v>
      </c>
      <c r="E655" s="76">
        <v>1995</v>
      </c>
      <c r="F655" s="81">
        <v>500</v>
      </c>
      <c r="G655" s="76">
        <v>10</v>
      </c>
      <c r="H655" s="76">
        <v>1</v>
      </c>
      <c r="I655" s="79">
        <v>400</v>
      </c>
      <c r="J655" s="79">
        <v>238</v>
      </c>
      <c r="K655" s="13"/>
      <c r="L655" s="13"/>
    </row>
    <row r="656" spans="1:12" x14ac:dyDescent="0.2">
      <c r="A656" s="76">
        <v>441</v>
      </c>
      <c r="B656" s="76">
        <v>1</v>
      </c>
      <c r="C656" s="76" t="s">
        <v>201</v>
      </c>
      <c r="D656" s="76">
        <v>1991</v>
      </c>
      <c r="E656" s="76">
        <v>1993</v>
      </c>
      <c r="F656" s="81">
        <v>550</v>
      </c>
      <c r="G656" s="76">
        <v>5</v>
      </c>
      <c r="H656" s="76">
        <v>1</v>
      </c>
      <c r="I656" s="79" t="s">
        <v>840</v>
      </c>
      <c r="J656" s="79" t="s">
        <v>840</v>
      </c>
      <c r="K656" s="13"/>
      <c r="L656" s="13"/>
    </row>
    <row r="657" spans="1:12" x14ac:dyDescent="0.2">
      <c r="A657" s="76">
        <v>441</v>
      </c>
      <c r="B657" s="76">
        <v>1</v>
      </c>
      <c r="C657" s="76" t="s">
        <v>201</v>
      </c>
      <c r="D657" s="76">
        <v>1997</v>
      </c>
      <c r="E657" s="76">
        <v>1998</v>
      </c>
      <c r="F657" s="81">
        <v>345</v>
      </c>
      <c r="G657" s="76">
        <v>10</v>
      </c>
      <c r="H657" s="76">
        <v>1</v>
      </c>
      <c r="I657" s="79">
        <v>192</v>
      </c>
      <c r="J657" s="79">
        <v>101</v>
      </c>
      <c r="K657" s="13"/>
      <c r="L657" s="13"/>
    </row>
    <row r="658" spans="1:12" x14ac:dyDescent="0.2">
      <c r="A658" s="76">
        <v>441</v>
      </c>
      <c r="B658" s="76">
        <v>1</v>
      </c>
      <c r="C658" s="76" t="s">
        <v>201</v>
      </c>
      <c r="D658" s="76">
        <v>2001</v>
      </c>
      <c r="E658" s="76">
        <v>2002</v>
      </c>
      <c r="F658" s="81">
        <v>200</v>
      </c>
      <c r="G658" s="76">
        <v>10</v>
      </c>
      <c r="H658" s="76">
        <v>1</v>
      </c>
      <c r="I658" s="79">
        <v>260</v>
      </c>
      <c r="J658" s="79">
        <v>75</v>
      </c>
      <c r="K658" s="13"/>
      <c r="L658" s="13"/>
    </row>
    <row r="659" spans="1:12" x14ac:dyDescent="0.2">
      <c r="A659" s="76">
        <v>441</v>
      </c>
      <c r="B659" s="76">
        <v>1</v>
      </c>
      <c r="C659" s="76" t="s">
        <v>875</v>
      </c>
      <c r="D659" s="76">
        <v>2004</v>
      </c>
      <c r="E659" s="76">
        <v>2005</v>
      </c>
      <c r="F659" s="81">
        <v>600</v>
      </c>
      <c r="G659" s="76">
        <v>10</v>
      </c>
      <c r="H659" s="76">
        <v>1</v>
      </c>
      <c r="I659" s="79">
        <v>651</v>
      </c>
      <c r="J659" s="79">
        <v>418</v>
      </c>
      <c r="K659" s="13"/>
      <c r="L659" s="13"/>
    </row>
    <row r="660" spans="1:12" x14ac:dyDescent="0.2">
      <c r="A660" s="76">
        <v>442</v>
      </c>
      <c r="B660" s="76">
        <v>1</v>
      </c>
      <c r="C660" s="76" t="s">
        <v>647</v>
      </c>
      <c r="D660" s="76">
        <v>1992</v>
      </c>
      <c r="E660" s="76">
        <v>1993</v>
      </c>
      <c r="F660" s="81">
        <v>915</v>
      </c>
      <c r="G660" s="76">
        <v>5</v>
      </c>
      <c r="H660" s="76">
        <v>1</v>
      </c>
      <c r="I660" s="79" t="s">
        <v>840</v>
      </c>
      <c r="J660" s="79" t="s">
        <v>840</v>
      </c>
      <c r="K660" s="13"/>
      <c r="L660" s="13"/>
    </row>
    <row r="661" spans="1:12" x14ac:dyDescent="0.2">
      <c r="A661" s="76">
        <v>447</v>
      </c>
      <c r="B661" s="76">
        <v>1</v>
      </c>
      <c r="C661" s="76" t="s">
        <v>202</v>
      </c>
      <c r="D661" s="76">
        <v>2001</v>
      </c>
      <c r="E661" s="76">
        <v>2002</v>
      </c>
      <c r="F661" s="81">
        <v>126</v>
      </c>
      <c r="G661" s="76">
        <v>10</v>
      </c>
      <c r="H661" s="76">
        <v>1</v>
      </c>
      <c r="I661" s="79">
        <v>160</v>
      </c>
      <c r="J661" s="79">
        <v>43</v>
      </c>
      <c r="K661" s="13"/>
      <c r="L661" s="13"/>
    </row>
    <row r="662" spans="1:12" x14ac:dyDescent="0.2">
      <c r="A662" s="76">
        <v>454</v>
      </c>
      <c r="B662" s="76">
        <v>1</v>
      </c>
      <c r="C662" s="76" t="s">
        <v>650</v>
      </c>
      <c r="D662" s="76">
        <v>1992</v>
      </c>
      <c r="E662" s="76">
        <v>1993</v>
      </c>
      <c r="F662" s="81">
        <v>315.05</v>
      </c>
      <c r="G662" s="76">
        <v>5</v>
      </c>
      <c r="H662" s="76">
        <v>0</v>
      </c>
      <c r="I662" s="79" t="s">
        <v>840</v>
      </c>
      <c r="J662" s="79" t="s">
        <v>840</v>
      </c>
      <c r="K662" s="13"/>
      <c r="L662" s="13"/>
    </row>
    <row r="663" spans="1:12" x14ac:dyDescent="0.2">
      <c r="A663" s="76">
        <v>458</v>
      </c>
      <c r="B663" s="76">
        <v>1</v>
      </c>
      <c r="C663" s="76" t="s">
        <v>203</v>
      </c>
      <c r="D663" s="76">
        <v>2000</v>
      </c>
      <c r="E663" s="76">
        <v>2001</v>
      </c>
      <c r="F663" s="81">
        <v>516.73</v>
      </c>
      <c r="G663" s="76">
        <v>10</v>
      </c>
      <c r="H663" s="76">
        <v>1</v>
      </c>
      <c r="I663" s="79">
        <v>914</v>
      </c>
      <c r="J663" s="79">
        <v>422</v>
      </c>
      <c r="K663" s="13"/>
      <c r="L663" s="13"/>
    </row>
    <row r="664" spans="1:12" x14ac:dyDescent="0.2">
      <c r="A664" s="76">
        <v>458</v>
      </c>
      <c r="B664" s="76">
        <v>1</v>
      </c>
      <c r="C664" s="76" t="s">
        <v>203</v>
      </c>
      <c r="D664" s="76">
        <v>2002</v>
      </c>
      <c r="E664" s="76">
        <v>2003</v>
      </c>
      <c r="F664" s="81">
        <v>256.64999999999998</v>
      </c>
      <c r="G664" s="76">
        <v>10</v>
      </c>
      <c r="H664" s="76">
        <v>1</v>
      </c>
      <c r="I664" s="79">
        <v>316</v>
      </c>
      <c r="J664" s="79">
        <v>175</v>
      </c>
      <c r="K664" s="13"/>
      <c r="L664" s="13"/>
    </row>
    <row r="665" spans="1:12" x14ac:dyDescent="0.2">
      <c r="A665" s="76">
        <v>458</v>
      </c>
      <c r="B665" s="76">
        <v>1</v>
      </c>
      <c r="C665" s="76" t="s">
        <v>203</v>
      </c>
      <c r="D665" s="82">
        <v>2007</v>
      </c>
      <c r="E665" s="83">
        <v>2008</v>
      </c>
      <c r="F665" s="78">
        <v>702.34</v>
      </c>
      <c r="G665" s="76">
        <v>10</v>
      </c>
      <c r="H665" s="77">
        <v>1</v>
      </c>
      <c r="I665" s="77">
        <v>445</v>
      </c>
      <c r="J665" s="79">
        <v>141</v>
      </c>
      <c r="K665" s="13"/>
      <c r="L665" s="13"/>
    </row>
    <row r="666" spans="1:12" x14ac:dyDescent="0.2">
      <c r="A666" s="76">
        <v>463</v>
      </c>
      <c r="B666" s="76">
        <v>1</v>
      </c>
      <c r="C666" s="76" t="s">
        <v>204</v>
      </c>
      <c r="D666" s="76">
        <v>1994</v>
      </c>
      <c r="E666" s="76">
        <v>1995</v>
      </c>
      <c r="F666" s="81">
        <v>432.14</v>
      </c>
      <c r="G666" s="76">
        <v>10</v>
      </c>
      <c r="H666" s="76">
        <v>1</v>
      </c>
      <c r="I666" s="79">
        <v>814</v>
      </c>
      <c r="J666" s="79">
        <v>704</v>
      </c>
      <c r="K666" s="13"/>
      <c r="L666" s="13"/>
    </row>
    <row r="667" spans="1:12" x14ac:dyDescent="0.2">
      <c r="A667" s="76">
        <v>463</v>
      </c>
      <c r="B667" s="76">
        <v>1</v>
      </c>
      <c r="C667" s="76" t="s">
        <v>204</v>
      </c>
      <c r="D667" s="76">
        <v>2001</v>
      </c>
      <c r="E667" s="76">
        <v>2002</v>
      </c>
      <c r="F667" s="81">
        <v>225</v>
      </c>
      <c r="G667" s="76">
        <v>10</v>
      </c>
      <c r="H667" s="76">
        <v>1</v>
      </c>
      <c r="I667" s="79">
        <v>456</v>
      </c>
      <c r="J667" s="79">
        <v>423</v>
      </c>
      <c r="K667" s="13"/>
      <c r="L667" s="13"/>
    </row>
    <row r="668" spans="1:12" x14ac:dyDescent="0.2">
      <c r="A668" s="76">
        <v>463</v>
      </c>
      <c r="B668" s="76">
        <v>1</v>
      </c>
      <c r="C668" s="76" t="s">
        <v>1005</v>
      </c>
      <c r="D668" s="76">
        <v>2005</v>
      </c>
      <c r="E668" s="76">
        <v>2006</v>
      </c>
      <c r="F668" s="81">
        <v>450</v>
      </c>
      <c r="G668" s="76">
        <v>6</v>
      </c>
      <c r="H668" s="78">
        <v>1</v>
      </c>
      <c r="I668" s="77">
        <v>597</v>
      </c>
      <c r="J668" s="77">
        <v>236</v>
      </c>
      <c r="K668" s="13"/>
      <c r="L668" s="13"/>
    </row>
    <row r="669" spans="1:12" x14ac:dyDescent="0.2">
      <c r="A669" s="76">
        <v>465</v>
      </c>
      <c r="B669" s="76">
        <v>1</v>
      </c>
      <c r="C669" s="76" t="s">
        <v>205</v>
      </c>
      <c r="D669" s="76">
        <v>1996</v>
      </c>
      <c r="E669" s="76">
        <v>1997</v>
      </c>
      <c r="F669" s="81">
        <v>315</v>
      </c>
      <c r="G669" s="76">
        <v>10</v>
      </c>
      <c r="H669" s="76">
        <v>0</v>
      </c>
      <c r="I669" s="79">
        <v>1073</v>
      </c>
      <c r="J669" s="79">
        <v>2076</v>
      </c>
      <c r="K669" s="13"/>
      <c r="L669" s="13"/>
    </row>
    <row r="670" spans="1:12" x14ac:dyDescent="0.2">
      <c r="A670" s="76">
        <v>465</v>
      </c>
      <c r="B670" s="76">
        <v>1</v>
      </c>
      <c r="C670" s="76" t="s">
        <v>205</v>
      </c>
      <c r="D670" s="76">
        <v>1998</v>
      </c>
      <c r="E670" s="76">
        <v>1999</v>
      </c>
      <c r="F670" s="81">
        <v>350</v>
      </c>
      <c r="G670" s="76">
        <v>10</v>
      </c>
      <c r="H670" s="76">
        <v>1</v>
      </c>
      <c r="I670" s="79">
        <v>2620</v>
      </c>
      <c r="J670" s="79">
        <v>2554</v>
      </c>
      <c r="K670" s="13"/>
      <c r="L670" s="13"/>
    </row>
    <row r="671" spans="1:12" x14ac:dyDescent="0.2">
      <c r="A671" s="76">
        <v>465</v>
      </c>
      <c r="B671" s="76">
        <v>1</v>
      </c>
      <c r="C671" s="76" t="s">
        <v>205</v>
      </c>
      <c r="D671" s="76">
        <v>2002</v>
      </c>
      <c r="E671" s="76">
        <v>2003</v>
      </c>
      <c r="F671" s="81">
        <v>300</v>
      </c>
      <c r="G671" s="76">
        <v>10</v>
      </c>
      <c r="H671" s="76">
        <v>1</v>
      </c>
      <c r="I671" s="79">
        <v>2585</v>
      </c>
      <c r="J671" s="79">
        <v>2133</v>
      </c>
      <c r="K671" s="13"/>
      <c r="L671" s="13"/>
    </row>
    <row r="672" spans="1:12" x14ac:dyDescent="0.2">
      <c r="A672">
        <v>465</v>
      </c>
      <c r="B672">
        <v>1</v>
      </c>
      <c r="C672" t="s">
        <v>205</v>
      </c>
      <c r="D672">
        <v>2008</v>
      </c>
      <c r="E672" s="5">
        <v>2009</v>
      </c>
      <c r="F672" s="6">
        <v>298.49</v>
      </c>
      <c r="G672" s="5">
        <v>10</v>
      </c>
      <c r="H672" s="33">
        <v>0</v>
      </c>
      <c r="I672" s="33">
        <v>2679</v>
      </c>
      <c r="J672" s="33">
        <v>3389</v>
      </c>
      <c r="K672" s="13"/>
      <c r="L672" s="13"/>
    </row>
    <row r="673" spans="1:12" x14ac:dyDescent="0.2">
      <c r="A673" s="76">
        <v>466</v>
      </c>
      <c r="B673" s="76">
        <v>1</v>
      </c>
      <c r="C673" s="76" t="s">
        <v>206</v>
      </c>
      <c r="D673" s="76">
        <v>1994</v>
      </c>
      <c r="E673" s="76">
        <v>1995</v>
      </c>
      <c r="F673" s="81">
        <v>338.63</v>
      </c>
      <c r="G673" s="76">
        <v>5</v>
      </c>
      <c r="H673" s="76">
        <v>1</v>
      </c>
      <c r="I673" s="79">
        <v>1736</v>
      </c>
      <c r="J673" s="79">
        <v>1555</v>
      </c>
      <c r="K673" s="13"/>
      <c r="L673" s="13"/>
    </row>
    <row r="674" spans="1:12" x14ac:dyDescent="0.2">
      <c r="A674" s="76">
        <v>466</v>
      </c>
      <c r="B674" s="76">
        <v>1</v>
      </c>
      <c r="C674" s="76" t="s">
        <v>206</v>
      </c>
      <c r="D674" s="76">
        <v>1998</v>
      </c>
      <c r="E674" s="76">
        <v>2000</v>
      </c>
      <c r="F674" s="81">
        <v>350</v>
      </c>
      <c r="G674" s="76">
        <v>5</v>
      </c>
      <c r="H674" s="76">
        <v>0</v>
      </c>
      <c r="I674" s="79">
        <v>1855</v>
      </c>
      <c r="J674" s="79">
        <v>2301</v>
      </c>
      <c r="K674" s="13"/>
      <c r="L674" s="13"/>
    </row>
    <row r="675" spans="1:12" x14ac:dyDescent="0.2">
      <c r="A675" s="76">
        <v>466</v>
      </c>
      <c r="B675" s="76">
        <v>1</v>
      </c>
      <c r="C675" s="76" t="s">
        <v>206</v>
      </c>
      <c r="D675" s="76">
        <v>1999</v>
      </c>
      <c r="E675" s="76">
        <v>2000</v>
      </c>
      <c r="F675" s="81">
        <v>350</v>
      </c>
      <c r="G675" s="76">
        <v>5</v>
      </c>
      <c r="H675" s="76">
        <v>1</v>
      </c>
      <c r="I675" s="79">
        <v>1810</v>
      </c>
      <c r="J675" s="79">
        <v>897</v>
      </c>
      <c r="K675" s="13"/>
      <c r="L675" s="13"/>
    </row>
    <row r="676" spans="1:12" x14ac:dyDescent="0.2">
      <c r="A676" s="76">
        <v>466</v>
      </c>
      <c r="B676" s="76">
        <v>1</v>
      </c>
      <c r="C676" s="76" t="s">
        <v>206</v>
      </c>
      <c r="D676" s="76">
        <v>2001</v>
      </c>
      <c r="E676" s="76">
        <v>2002</v>
      </c>
      <c r="F676" s="81">
        <v>126</v>
      </c>
      <c r="G676" s="76">
        <v>5</v>
      </c>
      <c r="H676" s="76">
        <v>1</v>
      </c>
      <c r="I676" s="79">
        <v>1234</v>
      </c>
      <c r="J676" s="79">
        <v>979</v>
      </c>
      <c r="K676" s="13"/>
      <c r="L676" s="13"/>
    </row>
    <row r="677" spans="1:12" x14ac:dyDescent="0.2">
      <c r="A677" s="76">
        <v>466</v>
      </c>
      <c r="B677" s="76">
        <v>1</v>
      </c>
      <c r="C677" s="76" t="s">
        <v>1006</v>
      </c>
      <c r="D677" s="76">
        <v>2005</v>
      </c>
      <c r="E677" s="76">
        <v>2007</v>
      </c>
      <c r="F677" s="81">
        <v>127.18</v>
      </c>
      <c r="G677" s="76">
        <v>10</v>
      </c>
      <c r="H677" s="78">
        <v>0</v>
      </c>
      <c r="I677" s="77">
        <v>1326</v>
      </c>
      <c r="J677" s="77">
        <v>1465</v>
      </c>
      <c r="K677" s="13"/>
      <c r="L677" s="13"/>
    </row>
    <row r="678" spans="1:12" x14ac:dyDescent="0.2">
      <c r="A678" s="76">
        <v>466</v>
      </c>
      <c r="B678" s="76">
        <v>1</v>
      </c>
      <c r="C678" s="76" t="s">
        <v>1006</v>
      </c>
      <c r="D678" s="76">
        <v>2005</v>
      </c>
      <c r="E678" s="76">
        <v>2006</v>
      </c>
      <c r="F678" s="81">
        <v>357</v>
      </c>
      <c r="G678" s="76">
        <v>10</v>
      </c>
      <c r="H678" s="78">
        <v>0</v>
      </c>
      <c r="I678" s="77">
        <v>866</v>
      </c>
      <c r="J678" s="77">
        <v>1914</v>
      </c>
      <c r="K678" s="13"/>
      <c r="L678" s="13"/>
    </row>
    <row r="679" spans="1:12" x14ac:dyDescent="0.2">
      <c r="A679" s="76">
        <v>466</v>
      </c>
      <c r="B679" s="76">
        <v>1</v>
      </c>
      <c r="C679" s="76" t="s">
        <v>206</v>
      </c>
      <c r="D679" s="76">
        <v>2006</v>
      </c>
      <c r="E679" s="78">
        <v>2007</v>
      </c>
      <c r="F679" s="81">
        <v>325</v>
      </c>
      <c r="G679" s="78">
        <v>7</v>
      </c>
      <c r="H679" s="76">
        <v>0</v>
      </c>
      <c r="I679" s="77">
        <v>2217</v>
      </c>
      <c r="J679" s="77">
        <v>2427</v>
      </c>
      <c r="K679" s="13"/>
      <c r="L679" s="13"/>
    </row>
    <row r="680" spans="1:12" x14ac:dyDescent="0.2">
      <c r="A680" s="76">
        <v>466</v>
      </c>
      <c r="B680" s="76">
        <v>1</v>
      </c>
      <c r="C680" s="76" t="s">
        <v>206</v>
      </c>
      <c r="D680" s="82">
        <v>2007</v>
      </c>
      <c r="E680" s="83">
        <v>2008</v>
      </c>
      <c r="F680" s="78">
        <v>429.25</v>
      </c>
      <c r="G680" s="76">
        <v>7</v>
      </c>
      <c r="H680" s="77">
        <v>1</v>
      </c>
      <c r="I680" s="77">
        <v>1894</v>
      </c>
      <c r="J680" s="79">
        <v>1493</v>
      </c>
      <c r="K680" s="13"/>
      <c r="L680" s="13"/>
    </row>
    <row r="681" spans="1:12" x14ac:dyDescent="0.2">
      <c r="A681" s="76">
        <v>477</v>
      </c>
      <c r="B681" s="76">
        <v>1</v>
      </c>
      <c r="C681" s="76" t="s">
        <v>208</v>
      </c>
      <c r="D681" s="76">
        <v>1995</v>
      </c>
      <c r="E681" s="76">
        <v>1996</v>
      </c>
      <c r="F681" s="81">
        <v>374.43</v>
      </c>
      <c r="G681" s="76">
        <v>10</v>
      </c>
      <c r="H681" s="76">
        <v>0</v>
      </c>
      <c r="I681" s="79">
        <v>783</v>
      </c>
      <c r="J681" s="79">
        <v>1121</v>
      </c>
      <c r="K681" s="13"/>
      <c r="L681" s="13"/>
    </row>
    <row r="682" spans="1:12" x14ac:dyDescent="0.2">
      <c r="A682" s="76">
        <v>477</v>
      </c>
      <c r="B682" s="76">
        <v>1</v>
      </c>
      <c r="C682" s="76" t="s">
        <v>208</v>
      </c>
      <c r="D682" s="76">
        <v>1996</v>
      </c>
      <c r="E682" s="76">
        <v>1997</v>
      </c>
      <c r="F682" s="81">
        <v>315</v>
      </c>
      <c r="G682" s="76">
        <v>5</v>
      </c>
      <c r="H682" s="76">
        <v>0</v>
      </c>
      <c r="I682" s="79">
        <v>2524</v>
      </c>
      <c r="J682" s="79">
        <v>3061</v>
      </c>
      <c r="K682" s="13"/>
      <c r="L682" s="13"/>
    </row>
    <row r="683" spans="1:12" x14ac:dyDescent="0.2">
      <c r="A683" s="76">
        <v>477</v>
      </c>
      <c r="B683" s="76">
        <v>1</v>
      </c>
      <c r="C683" s="76" t="s">
        <v>208</v>
      </c>
      <c r="D683" s="76">
        <v>1997</v>
      </c>
      <c r="E683" s="76">
        <v>1998</v>
      </c>
      <c r="F683" s="81">
        <v>315</v>
      </c>
      <c r="G683" s="76">
        <v>10</v>
      </c>
      <c r="H683" s="76">
        <v>1</v>
      </c>
      <c r="I683" s="79">
        <v>1838</v>
      </c>
      <c r="J683" s="79">
        <v>1266</v>
      </c>
      <c r="K683" s="13"/>
      <c r="L683" s="13"/>
    </row>
    <row r="684" spans="1:12" x14ac:dyDescent="0.2">
      <c r="A684" s="76">
        <v>477</v>
      </c>
      <c r="B684" s="76">
        <v>1</v>
      </c>
      <c r="C684" s="76" t="s">
        <v>208</v>
      </c>
      <c r="D684" s="76">
        <v>2003</v>
      </c>
      <c r="E684" s="76">
        <v>2004</v>
      </c>
      <c r="F684" s="81">
        <v>500</v>
      </c>
      <c r="G684" s="76">
        <v>10</v>
      </c>
      <c r="H684" s="76">
        <v>0</v>
      </c>
      <c r="I684" s="79">
        <v>1032</v>
      </c>
      <c r="J684" s="79">
        <v>1633</v>
      </c>
      <c r="K684" s="13"/>
      <c r="L684" s="13"/>
    </row>
    <row r="685" spans="1:12" x14ac:dyDescent="0.2">
      <c r="A685" s="76">
        <v>477</v>
      </c>
      <c r="B685" s="76">
        <v>1</v>
      </c>
      <c r="C685" s="76" t="s">
        <v>208</v>
      </c>
      <c r="D685" s="76">
        <v>2004</v>
      </c>
      <c r="E685" s="76">
        <v>2005</v>
      </c>
      <c r="F685" s="81">
        <v>290</v>
      </c>
      <c r="G685" s="76">
        <v>10</v>
      </c>
      <c r="H685" s="76">
        <v>0</v>
      </c>
      <c r="I685" s="79">
        <v>3380</v>
      </c>
      <c r="J685" s="79">
        <v>6505</v>
      </c>
      <c r="K685" s="13"/>
      <c r="L685" s="13"/>
    </row>
    <row r="686" spans="1:12" x14ac:dyDescent="0.2">
      <c r="A686" s="76">
        <v>477</v>
      </c>
      <c r="B686" s="76">
        <v>1</v>
      </c>
      <c r="C686" s="76" t="s">
        <v>208</v>
      </c>
      <c r="D686" s="76">
        <v>2004</v>
      </c>
      <c r="E686" s="76">
        <v>2005</v>
      </c>
      <c r="F686" s="81">
        <v>500</v>
      </c>
      <c r="G686" s="76">
        <v>10</v>
      </c>
      <c r="H686" s="76">
        <v>0</v>
      </c>
      <c r="I686" s="79">
        <v>4321</v>
      </c>
      <c r="J686" s="79">
        <v>5629</v>
      </c>
      <c r="K686" s="13"/>
      <c r="L686" s="13"/>
    </row>
    <row r="687" spans="1:12" x14ac:dyDescent="0.2">
      <c r="A687" s="76">
        <v>477</v>
      </c>
      <c r="B687" s="76">
        <v>1</v>
      </c>
      <c r="C687" s="76" t="s">
        <v>1007</v>
      </c>
      <c r="D687" s="76">
        <v>2005</v>
      </c>
      <c r="E687" s="76">
        <v>2006</v>
      </c>
      <c r="F687" s="81">
        <v>325</v>
      </c>
      <c r="G687" s="76">
        <v>6</v>
      </c>
      <c r="H687" s="78">
        <v>1</v>
      </c>
      <c r="I687" s="77">
        <v>2164</v>
      </c>
      <c r="J687" s="77">
        <v>1718</v>
      </c>
      <c r="K687" s="13"/>
      <c r="L687" s="13"/>
    </row>
    <row r="688" spans="1:12" x14ac:dyDescent="0.2">
      <c r="A688" s="76">
        <v>477</v>
      </c>
      <c r="B688" s="76">
        <v>1</v>
      </c>
      <c r="C688" s="76" t="s">
        <v>208</v>
      </c>
      <c r="D688" s="82">
        <v>2007</v>
      </c>
      <c r="E688" s="83">
        <v>2008</v>
      </c>
      <c r="F688" s="78">
        <v>147</v>
      </c>
      <c r="G688" s="76">
        <v>6</v>
      </c>
      <c r="H688" s="77">
        <v>0</v>
      </c>
      <c r="I688" s="77">
        <v>1576</v>
      </c>
      <c r="J688" s="79">
        <v>2727</v>
      </c>
      <c r="K688" s="13"/>
      <c r="L688" s="13"/>
    </row>
    <row r="689" spans="1:12" x14ac:dyDescent="0.2">
      <c r="A689" s="76">
        <v>480</v>
      </c>
      <c r="B689" s="76">
        <v>1</v>
      </c>
      <c r="C689" s="76" t="s">
        <v>209</v>
      </c>
      <c r="D689" s="76">
        <v>2000</v>
      </c>
      <c r="E689" s="76">
        <v>2001</v>
      </c>
      <c r="F689" s="81">
        <v>415</v>
      </c>
      <c r="G689" s="76">
        <v>10</v>
      </c>
      <c r="H689" s="76">
        <v>0</v>
      </c>
      <c r="I689" s="79">
        <v>334</v>
      </c>
      <c r="J689" s="79">
        <v>656</v>
      </c>
      <c r="K689" s="13"/>
      <c r="L689" s="13"/>
    </row>
    <row r="690" spans="1:12" x14ac:dyDescent="0.2">
      <c r="A690" s="76">
        <v>480</v>
      </c>
      <c r="B690" s="76">
        <v>1</v>
      </c>
      <c r="C690" s="76" t="s">
        <v>209</v>
      </c>
      <c r="D690" s="76">
        <v>2001</v>
      </c>
      <c r="E690" s="76">
        <v>2002</v>
      </c>
      <c r="F690" s="81">
        <v>1</v>
      </c>
      <c r="G690" s="76">
        <v>10</v>
      </c>
      <c r="H690" s="76">
        <v>1</v>
      </c>
      <c r="I690" s="79">
        <v>565</v>
      </c>
      <c r="J690" s="79">
        <v>200</v>
      </c>
      <c r="K690" s="13"/>
      <c r="L690" s="13"/>
    </row>
    <row r="691" spans="1:12" x14ac:dyDescent="0.2">
      <c r="A691" s="76">
        <v>480</v>
      </c>
      <c r="B691" s="76">
        <v>1</v>
      </c>
      <c r="C691" s="76" t="s">
        <v>209</v>
      </c>
      <c r="D691" s="76">
        <v>2005</v>
      </c>
      <c r="E691" s="76">
        <v>2006</v>
      </c>
      <c r="F691" s="81">
        <v>450</v>
      </c>
      <c r="G691" s="76">
        <v>10</v>
      </c>
      <c r="H691" s="78">
        <v>0</v>
      </c>
      <c r="I691" s="77">
        <v>369</v>
      </c>
      <c r="J691" s="77">
        <v>410</v>
      </c>
      <c r="K691" s="13"/>
      <c r="L691" s="13"/>
    </row>
    <row r="692" spans="1:12" x14ac:dyDescent="0.2">
      <c r="A692" s="76">
        <v>480</v>
      </c>
      <c r="B692" s="76">
        <v>1</v>
      </c>
      <c r="C692" s="76" t="s">
        <v>209</v>
      </c>
      <c r="D692" s="76">
        <v>2006</v>
      </c>
      <c r="E692" s="78">
        <v>2007</v>
      </c>
      <c r="F692" s="81">
        <v>550</v>
      </c>
      <c r="G692" s="78">
        <v>10</v>
      </c>
      <c r="H692" s="76">
        <v>0</v>
      </c>
      <c r="I692" s="77">
        <v>982</v>
      </c>
      <c r="J692" s="77">
        <v>1253</v>
      </c>
      <c r="K692" s="13"/>
      <c r="L692" s="13"/>
    </row>
    <row r="693" spans="1:12" x14ac:dyDescent="0.2">
      <c r="A693" s="76">
        <v>480</v>
      </c>
      <c r="B693" s="76">
        <v>1</v>
      </c>
      <c r="C693" s="76" t="s">
        <v>209</v>
      </c>
      <c r="D693" s="82">
        <v>2007</v>
      </c>
      <c r="E693" s="83">
        <v>2008</v>
      </c>
      <c r="F693" s="78">
        <v>650</v>
      </c>
      <c r="G693" s="76">
        <v>10</v>
      </c>
      <c r="H693" s="77">
        <v>1</v>
      </c>
      <c r="I693" s="77">
        <v>844</v>
      </c>
      <c r="J693" s="79">
        <v>675</v>
      </c>
      <c r="K693" s="13"/>
      <c r="L693" s="13"/>
    </row>
    <row r="694" spans="1:12" x14ac:dyDescent="0.2">
      <c r="A694" s="76">
        <v>482</v>
      </c>
      <c r="B694" s="76">
        <v>1</v>
      </c>
      <c r="C694" s="76" t="s">
        <v>210</v>
      </c>
      <c r="D694" s="76">
        <v>1994</v>
      </c>
      <c r="E694" s="76">
        <v>1995</v>
      </c>
      <c r="F694" s="81">
        <v>428.9</v>
      </c>
      <c r="G694" s="76">
        <v>10</v>
      </c>
      <c r="H694" s="76">
        <v>1</v>
      </c>
      <c r="I694" s="79">
        <v>3791</v>
      </c>
      <c r="J694" s="79">
        <v>2352</v>
      </c>
      <c r="K694" s="13"/>
      <c r="L694" s="13"/>
    </row>
    <row r="695" spans="1:12" x14ac:dyDescent="0.2">
      <c r="A695" s="76">
        <v>482</v>
      </c>
      <c r="B695" s="76">
        <v>1</v>
      </c>
      <c r="C695" s="76" t="s">
        <v>210</v>
      </c>
      <c r="D695" s="76">
        <v>2000</v>
      </c>
      <c r="E695" s="76">
        <v>2001</v>
      </c>
      <c r="F695" s="81">
        <v>108.05</v>
      </c>
      <c r="G695" s="76">
        <v>4</v>
      </c>
      <c r="H695" s="76">
        <v>0</v>
      </c>
      <c r="I695" s="79">
        <v>2373</v>
      </c>
      <c r="J695" s="79">
        <v>4875</v>
      </c>
      <c r="K695" s="13"/>
      <c r="L695" s="13"/>
    </row>
    <row r="696" spans="1:12" x14ac:dyDescent="0.2">
      <c r="A696" s="76">
        <v>482</v>
      </c>
      <c r="B696" s="76">
        <v>1</v>
      </c>
      <c r="C696" s="76" t="s">
        <v>210</v>
      </c>
      <c r="D696" s="76">
        <v>2001</v>
      </c>
      <c r="E696" s="76">
        <v>2002</v>
      </c>
      <c r="F696" s="81">
        <v>600</v>
      </c>
      <c r="G696" s="76">
        <v>10</v>
      </c>
      <c r="H696" s="76">
        <v>0</v>
      </c>
      <c r="I696" s="79">
        <v>1848</v>
      </c>
      <c r="J696" s="79">
        <v>2902</v>
      </c>
      <c r="K696" s="13"/>
      <c r="L696" s="13"/>
    </row>
    <row r="697" spans="1:12" x14ac:dyDescent="0.2">
      <c r="A697" s="76">
        <v>482</v>
      </c>
      <c r="B697" s="76">
        <v>1</v>
      </c>
      <c r="C697" s="76" t="s">
        <v>210</v>
      </c>
      <c r="D697" s="76">
        <v>2002</v>
      </c>
      <c r="E697" s="76">
        <v>2003</v>
      </c>
      <c r="F697" s="81">
        <v>400</v>
      </c>
      <c r="G697" s="76">
        <v>10</v>
      </c>
      <c r="H697" s="76">
        <v>0</v>
      </c>
      <c r="I697" s="79">
        <v>1662</v>
      </c>
      <c r="J697" s="79">
        <v>2623</v>
      </c>
      <c r="K697" s="13"/>
      <c r="L697" s="13"/>
    </row>
    <row r="698" spans="1:12" x14ac:dyDescent="0.2">
      <c r="A698" s="76">
        <v>482</v>
      </c>
      <c r="B698" s="76">
        <v>1</v>
      </c>
      <c r="C698" s="76" t="s">
        <v>210</v>
      </c>
      <c r="D698" s="76">
        <v>2003</v>
      </c>
      <c r="E698" s="76">
        <v>2004</v>
      </c>
      <c r="F698" s="81">
        <v>600</v>
      </c>
      <c r="G698" s="76">
        <v>5</v>
      </c>
      <c r="H698" s="76">
        <v>0</v>
      </c>
      <c r="I698" s="79">
        <v>2446</v>
      </c>
      <c r="J698" s="79">
        <v>2494</v>
      </c>
      <c r="K698" s="13"/>
      <c r="L698" s="13"/>
    </row>
    <row r="699" spans="1:12" x14ac:dyDescent="0.2">
      <c r="A699" s="76">
        <v>482</v>
      </c>
      <c r="B699" s="76">
        <v>1</v>
      </c>
      <c r="C699" s="76" t="s">
        <v>210</v>
      </c>
      <c r="D699" s="76">
        <v>2004</v>
      </c>
      <c r="E699" s="76">
        <v>2005</v>
      </c>
      <c r="F699" s="81">
        <v>67.790000000000006</v>
      </c>
      <c r="G699" s="76">
        <v>10</v>
      </c>
      <c r="H699" s="76">
        <v>1</v>
      </c>
      <c r="I699" s="79">
        <v>4055</v>
      </c>
      <c r="J699" s="79">
        <v>2843</v>
      </c>
      <c r="K699" s="13"/>
      <c r="L699" s="13"/>
    </row>
    <row r="700" spans="1:12" x14ac:dyDescent="0.2">
      <c r="A700" s="76">
        <v>482</v>
      </c>
      <c r="B700" s="76">
        <v>1</v>
      </c>
      <c r="C700" s="76" t="s">
        <v>210</v>
      </c>
      <c r="D700" s="76">
        <v>2004</v>
      </c>
      <c r="E700" s="76">
        <v>2005</v>
      </c>
      <c r="F700" s="81">
        <v>155</v>
      </c>
      <c r="G700" s="76">
        <v>10</v>
      </c>
      <c r="H700" s="76">
        <v>1</v>
      </c>
      <c r="I700" s="79">
        <v>4169</v>
      </c>
      <c r="J700" s="79">
        <v>2742</v>
      </c>
      <c r="K700" s="13"/>
      <c r="L700" s="13"/>
    </row>
    <row r="701" spans="1:12" x14ac:dyDescent="0.2">
      <c r="A701" s="76">
        <v>482</v>
      </c>
      <c r="B701" s="76">
        <v>1</v>
      </c>
      <c r="C701" s="76" t="s">
        <v>210</v>
      </c>
      <c r="D701" s="76">
        <v>2004</v>
      </c>
      <c r="E701" s="76">
        <v>2005</v>
      </c>
      <c r="F701" s="81">
        <v>633</v>
      </c>
      <c r="G701" s="76">
        <v>10</v>
      </c>
      <c r="H701" s="76">
        <v>1</v>
      </c>
      <c r="I701" s="79">
        <v>4267</v>
      </c>
      <c r="J701" s="79">
        <v>2674</v>
      </c>
      <c r="K701" s="13"/>
      <c r="L701" s="13"/>
    </row>
    <row r="702" spans="1:12" x14ac:dyDescent="0.2">
      <c r="A702" s="76">
        <v>483</v>
      </c>
      <c r="B702" s="76">
        <v>1</v>
      </c>
      <c r="C702" s="76" t="s">
        <v>655</v>
      </c>
      <c r="D702" s="76">
        <v>1993</v>
      </c>
      <c r="E702" s="76">
        <v>1994</v>
      </c>
      <c r="F702" s="81">
        <v>318.08999999999997</v>
      </c>
      <c r="G702" s="76">
        <v>4</v>
      </c>
      <c r="H702" s="76">
        <v>1</v>
      </c>
      <c r="I702" s="79" t="s">
        <v>840</v>
      </c>
      <c r="J702" s="79" t="s">
        <v>840</v>
      </c>
      <c r="K702" s="13"/>
      <c r="L702" s="13"/>
    </row>
    <row r="703" spans="1:12" x14ac:dyDescent="0.2">
      <c r="A703" s="76">
        <v>483</v>
      </c>
      <c r="B703" s="76">
        <v>1</v>
      </c>
      <c r="C703" s="76" t="s">
        <v>750</v>
      </c>
      <c r="D703" s="76">
        <v>1993</v>
      </c>
      <c r="E703" s="76">
        <v>1994</v>
      </c>
      <c r="F703" s="81">
        <v>361.54</v>
      </c>
      <c r="G703" s="76">
        <v>3</v>
      </c>
      <c r="H703" s="76">
        <v>0</v>
      </c>
      <c r="I703" s="79" t="s">
        <v>840</v>
      </c>
      <c r="J703" s="79" t="s">
        <v>840</v>
      </c>
      <c r="K703" s="13"/>
      <c r="L703" s="13"/>
    </row>
    <row r="704" spans="1:12" x14ac:dyDescent="0.2">
      <c r="A704" s="76">
        <v>484</v>
      </c>
      <c r="B704" s="76">
        <v>1</v>
      </c>
      <c r="C704" s="76" t="s">
        <v>211</v>
      </c>
      <c r="D704" s="76">
        <v>1995</v>
      </c>
      <c r="E704" s="76">
        <v>1996</v>
      </c>
      <c r="F704" s="81">
        <v>440.79</v>
      </c>
      <c r="G704" s="76">
        <v>10</v>
      </c>
      <c r="H704" s="76">
        <v>1</v>
      </c>
      <c r="I704" s="79">
        <v>605</v>
      </c>
      <c r="J704" s="79">
        <v>123</v>
      </c>
      <c r="K704" s="13"/>
      <c r="L704" s="13"/>
    </row>
    <row r="705" spans="1:12" x14ac:dyDescent="0.2">
      <c r="A705" s="76">
        <v>484</v>
      </c>
      <c r="B705" s="76">
        <v>1</v>
      </c>
      <c r="C705" s="76" t="s">
        <v>211</v>
      </c>
      <c r="D705" s="76">
        <v>2000</v>
      </c>
      <c r="E705" s="76">
        <v>2001</v>
      </c>
      <c r="F705" s="81">
        <v>103.48</v>
      </c>
      <c r="G705" s="76">
        <v>10</v>
      </c>
      <c r="H705" s="76">
        <v>0</v>
      </c>
      <c r="I705" s="79">
        <v>871</v>
      </c>
      <c r="J705" s="79">
        <v>1437</v>
      </c>
      <c r="K705" s="13"/>
      <c r="L705" s="13"/>
    </row>
    <row r="706" spans="1:12" x14ac:dyDescent="0.2">
      <c r="A706" s="76">
        <v>484</v>
      </c>
      <c r="B706" s="76">
        <v>1</v>
      </c>
      <c r="C706" s="76" t="s">
        <v>211</v>
      </c>
      <c r="D706" s="76">
        <v>2001</v>
      </c>
      <c r="E706" s="76">
        <v>2002</v>
      </c>
      <c r="F706" s="81">
        <v>103.48</v>
      </c>
      <c r="G706" s="76">
        <v>10</v>
      </c>
      <c r="H706" s="76">
        <v>0</v>
      </c>
      <c r="I706" s="79">
        <v>664</v>
      </c>
      <c r="J706" s="79">
        <v>901</v>
      </c>
      <c r="K706" s="13"/>
      <c r="L706" s="13"/>
    </row>
    <row r="707" spans="1:12" x14ac:dyDescent="0.2">
      <c r="A707" s="76">
        <v>484</v>
      </c>
      <c r="B707" s="76">
        <v>1</v>
      </c>
      <c r="C707" s="76" t="s">
        <v>211</v>
      </c>
      <c r="D707" s="76">
        <v>2002</v>
      </c>
      <c r="E707" s="76">
        <v>2003</v>
      </c>
      <c r="F707" s="81">
        <v>200</v>
      </c>
      <c r="G707" s="76">
        <v>10</v>
      </c>
      <c r="H707" s="76">
        <v>1</v>
      </c>
      <c r="I707" s="79">
        <v>1242</v>
      </c>
      <c r="J707" s="79">
        <v>843</v>
      </c>
      <c r="K707" s="13"/>
      <c r="L707" s="13"/>
    </row>
    <row r="708" spans="1:12" x14ac:dyDescent="0.2">
      <c r="A708" s="76">
        <v>484</v>
      </c>
      <c r="B708" s="76">
        <v>1</v>
      </c>
      <c r="C708" s="76" t="s">
        <v>211</v>
      </c>
      <c r="D708" s="76">
        <v>2004</v>
      </c>
      <c r="E708" s="76">
        <v>2005</v>
      </c>
      <c r="F708" s="81">
        <v>300</v>
      </c>
      <c r="G708" s="76">
        <v>10</v>
      </c>
      <c r="H708" s="76">
        <v>1</v>
      </c>
      <c r="I708" s="79">
        <v>1036</v>
      </c>
      <c r="J708" s="79">
        <v>683</v>
      </c>
      <c r="K708" s="13"/>
      <c r="L708" s="13"/>
    </row>
    <row r="709" spans="1:12" x14ac:dyDescent="0.2">
      <c r="A709" s="76">
        <v>484</v>
      </c>
      <c r="B709" s="76">
        <v>1</v>
      </c>
      <c r="C709" s="76" t="s">
        <v>211</v>
      </c>
      <c r="D709" s="82">
        <v>2007</v>
      </c>
      <c r="E709" s="83">
        <v>2008</v>
      </c>
      <c r="F709" s="78">
        <v>200</v>
      </c>
      <c r="G709" s="76">
        <v>7</v>
      </c>
      <c r="H709" s="77">
        <v>1</v>
      </c>
      <c r="I709" s="77">
        <v>521</v>
      </c>
      <c r="J709" s="79">
        <v>140</v>
      </c>
      <c r="K709" s="13"/>
      <c r="L709" s="13"/>
    </row>
    <row r="710" spans="1:12" x14ac:dyDescent="0.2">
      <c r="A710" s="76">
        <v>485</v>
      </c>
      <c r="B710" s="76">
        <v>1</v>
      </c>
      <c r="C710" s="76" t="s">
        <v>212</v>
      </c>
      <c r="D710" s="76">
        <v>1998</v>
      </c>
      <c r="E710" s="76">
        <v>1999</v>
      </c>
      <c r="F710" s="81">
        <v>350</v>
      </c>
      <c r="G710" s="76">
        <v>10</v>
      </c>
      <c r="H710" s="76">
        <v>0</v>
      </c>
      <c r="I710" s="79">
        <v>568</v>
      </c>
      <c r="J710" s="79">
        <v>713</v>
      </c>
      <c r="K710" s="13"/>
      <c r="L710" s="13"/>
    </row>
    <row r="711" spans="1:12" x14ac:dyDescent="0.2">
      <c r="A711" s="76">
        <v>485</v>
      </c>
      <c r="B711" s="76">
        <v>1</v>
      </c>
      <c r="C711" s="76" t="s">
        <v>212</v>
      </c>
      <c r="D711" s="76">
        <v>1999</v>
      </c>
      <c r="E711" s="76">
        <v>2000</v>
      </c>
      <c r="F711" s="81">
        <v>415</v>
      </c>
      <c r="G711" s="76">
        <v>10</v>
      </c>
      <c r="H711" s="76">
        <v>1</v>
      </c>
      <c r="I711" s="79">
        <v>537</v>
      </c>
      <c r="J711" s="79">
        <v>326</v>
      </c>
      <c r="K711" s="13"/>
      <c r="L711" s="13"/>
    </row>
    <row r="712" spans="1:12" x14ac:dyDescent="0.2">
      <c r="A712" s="76">
        <v>485</v>
      </c>
      <c r="B712" s="76">
        <v>1</v>
      </c>
      <c r="C712" s="76" t="s">
        <v>212</v>
      </c>
      <c r="D712" s="76">
        <v>2001</v>
      </c>
      <c r="E712" s="76">
        <v>2002</v>
      </c>
      <c r="F712" s="81">
        <v>415</v>
      </c>
      <c r="G712" s="76">
        <v>10</v>
      </c>
      <c r="H712" s="76">
        <v>0</v>
      </c>
      <c r="I712" s="79">
        <v>335</v>
      </c>
      <c r="J712" s="79">
        <v>441</v>
      </c>
      <c r="K712" s="13"/>
      <c r="L712" s="13"/>
    </row>
    <row r="713" spans="1:12" x14ac:dyDescent="0.2">
      <c r="A713" s="76">
        <v>485</v>
      </c>
      <c r="B713" s="76">
        <v>1</v>
      </c>
      <c r="C713" s="76" t="s">
        <v>212</v>
      </c>
      <c r="D713" s="76">
        <v>2004</v>
      </c>
      <c r="E713" s="76">
        <v>2005</v>
      </c>
      <c r="F713" s="81">
        <v>600</v>
      </c>
      <c r="G713" s="76">
        <v>10</v>
      </c>
      <c r="H713" s="76">
        <v>0</v>
      </c>
      <c r="I713" s="79">
        <v>792</v>
      </c>
      <c r="J713" s="79">
        <v>990</v>
      </c>
      <c r="K713" s="13"/>
      <c r="L713" s="13"/>
    </row>
    <row r="714" spans="1:12" x14ac:dyDescent="0.2">
      <c r="A714" s="76">
        <v>485</v>
      </c>
      <c r="B714" s="76">
        <v>1</v>
      </c>
      <c r="C714" s="76" t="s">
        <v>1008</v>
      </c>
      <c r="D714" s="76">
        <v>2005</v>
      </c>
      <c r="E714" s="76">
        <v>2006</v>
      </c>
      <c r="F714" s="81">
        <v>600</v>
      </c>
      <c r="G714" s="76">
        <v>10</v>
      </c>
      <c r="H714" s="78">
        <v>0</v>
      </c>
      <c r="I714" s="77">
        <v>396</v>
      </c>
      <c r="J714" s="77">
        <v>566</v>
      </c>
      <c r="K714" s="13"/>
      <c r="L714" s="13"/>
    </row>
    <row r="715" spans="1:12" x14ac:dyDescent="0.2">
      <c r="A715" s="76">
        <v>486</v>
      </c>
      <c r="B715" s="76">
        <v>1</v>
      </c>
      <c r="C715" s="76" t="s">
        <v>213</v>
      </c>
      <c r="D715" s="76">
        <v>1992</v>
      </c>
      <c r="E715" s="76">
        <v>1993</v>
      </c>
      <c r="F715" s="81">
        <v>450</v>
      </c>
      <c r="G715" s="76">
        <v>5</v>
      </c>
      <c r="H715" s="76">
        <v>1</v>
      </c>
      <c r="I715" s="79" t="s">
        <v>840</v>
      </c>
      <c r="J715" s="79" t="s">
        <v>840</v>
      </c>
      <c r="K715" s="13"/>
      <c r="L715" s="13"/>
    </row>
    <row r="716" spans="1:12" x14ac:dyDescent="0.2">
      <c r="A716" s="76">
        <v>486</v>
      </c>
      <c r="B716" s="76">
        <v>1</v>
      </c>
      <c r="C716" s="76" t="s">
        <v>213</v>
      </c>
      <c r="D716" s="76">
        <v>1996</v>
      </c>
      <c r="E716" s="76">
        <v>1997</v>
      </c>
      <c r="F716" s="81">
        <v>385.81</v>
      </c>
      <c r="G716" s="76">
        <v>5</v>
      </c>
      <c r="H716" s="76">
        <v>1</v>
      </c>
      <c r="I716" s="79">
        <v>473</v>
      </c>
      <c r="J716" s="79">
        <v>264</v>
      </c>
      <c r="K716" s="13"/>
      <c r="L716" s="13"/>
    </row>
    <row r="717" spans="1:12" x14ac:dyDescent="0.2">
      <c r="A717" s="76">
        <v>486</v>
      </c>
      <c r="B717" s="76">
        <v>1</v>
      </c>
      <c r="C717" s="76" t="s">
        <v>213</v>
      </c>
      <c r="D717" s="76">
        <v>2001</v>
      </c>
      <c r="E717" s="76">
        <v>2002</v>
      </c>
      <c r="F717" s="81">
        <v>800</v>
      </c>
      <c r="G717" s="76">
        <v>10</v>
      </c>
      <c r="H717" s="76">
        <v>1</v>
      </c>
      <c r="I717" s="79">
        <v>351</v>
      </c>
      <c r="J717" s="79">
        <v>268</v>
      </c>
      <c r="K717" s="13"/>
      <c r="L717" s="13"/>
    </row>
    <row r="718" spans="1:12" x14ac:dyDescent="0.2">
      <c r="A718" s="76">
        <v>487</v>
      </c>
      <c r="B718" s="76">
        <v>1</v>
      </c>
      <c r="C718" s="76" t="s">
        <v>214</v>
      </c>
      <c r="D718" s="76">
        <v>1992</v>
      </c>
      <c r="E718" s="76">
        <v>1993</v>
      </c>
      <c r="F718" s="81">
        <v>305</v>
      </c>
      <c r="G718" s="76">
        <v>5</v>
      </c>
      <c r="H718" s="76">
        <v>1</v>
      </c>
      <c r="I718" s="79" t="s">
        <v>840</v>
      </c>
      <c r="J718" s="79" t="s">
        <v>840</v>
      </c>
      <c r="K718" s="13"/>
      <c r="L718" s="13"/>
    </row>
    <row r="719" spans="1:12" x14ac:dyDescent="0.2">
      <c r="A719" s="76">
        <v>487</v>
      </c>
      <c r="B719" s="76">
        <v>1</v>
      </c>
      <c r="C719" s="76" t="s">
        <v>214</v>
      </c>
      <c r="D719" s="76">
        <v>1995</v>
      </c>
      <c r="E719" s="76">
        <v>1996</v>
      </c>
      <c r="F719" s="81">
        <v>305</v>
      </c>
      <c r="G719" s="76">
        <v>10</v>
      </c>
      <c r="H719" s="76">
        <v>1</v>
      </c>
      <c r="I719" s="79">
        <v>352</v>
      </c>
      <c r="J719" s="79">
        <v>152</v>
      </c>
      <c r="K719" s="13"/>
      <c r="L719" s="13"/>
    </row>
    <row r="720" spans="1:12" x14ac:dyDescent="0.2">
      <c r="A720" s="76">
        <v>487</v>
      </c>
      <c r="B720" s="76">
        <v>1</v>
      </c>
      <c r="C720" s="76" t="s">
        <v>214</v>
      </c>
      <c r="D720" s="76">
        <v>1997</v>
      </c>
      <c r="E720" s="76">
        <v>1998</v>
      </c>
      <c r="F720" s="81">
        <v>240</v>
      </c>
      <c r="G720" s="76">
        <v>8</v>
      </c>
      <c r="H720" s="76">
        <v>1</v>
      </c>
      <c r="I720" s="79">
        <v>212</v>
      </c>
      <c r="J720" s="79">
        <v>38</v>
      </c>
      <c r="K720" s="13"/>
      <c r="L720" s="13"/>
    </row>
    <row r="721" spans="1:12" x14ac:dyDescent="0.2">
      <c r="A721" s="76">
        <v>487</v>
      </c>
      <c r="B721" s="76">
        <v>1</v>
      </c>
      <c r="C721" s="76" t="s">
        <v>214</v>
      </c>
      <c r="D721" s="76">
        <v>2005</v>
      </c>
      <c r="E721" s="76">
        <v>2006</v>
      </c>
      <c r="F721" s="81">
        <v>600</v>
      </c>
      <c r="G721" s="76">
        <v>10</v>
      </c>
      <c r="H721" s="78">
        <v>0</v>
      </c>
      <c r="I721" s="77">
        <v>259</v>
      </c>
      <c r="J721" s="77">
        <v>268</v>
      </c>
      <c r="K721" s="13"/>
      <c r="L721" s="13"/>
    </row>
    <row r="722" spans="1:12" x14ac:dyDescent="0.2">
      <c r="A722" s="76">
        <v>487</v>
      </c>
      <c r="B722" s="76">
        <v>1</v>
      </c>
      <c r="C722" s="76" t="s">
        <v>214</v>
      </c>
      <c r="D722" s="76">
        <v>2006</v>
      </c>
      <c r="E722" s="78">
        <v>2007</v>
      </c>
      <c r="F722" s="81">
        <v>700</v>
      </c>
      <c r="G722" s="78">
        <v>10</v>
      </c>
      <c r="H722" s="76">
        <v>0</v>
      </c>
      <c r="I722" s="77">
        <v>424</v>
      </c>
      <c r="J722" s="77">
        <v>478</v>
      </c>
      <c r="K722" s="13"/>
      <c r="L722" s="13"/>
    </row>
    <row r="723" spans="1:12" x14ac:dyDescent="0.2">
      <c r="A723" s="76">
        <v>487</v>
      </c>
      <c r="B723" s="76">
        <v>1</v>
      </c>
      <c r="C723" s="76" t="s">
        <v>214</v>
      </c>
      <c r="D723" s="82">
        <v>2007</v>
      </c>
      <c r="E723" s="83">
        <v>2008</v>
      </c>
      <c r="F723" s="78">
        <v>500</v>
      </c>
      <c r="G723" s="76">
        <v>5</v>
      </c>
      <c r="H723" s="77">
        <v>1</v>
      </c>
      <c r="I723" s="77">
        <v>428</v>
      </c>
      <c r="J723" s="79">
        <v>299</v>
      </c>
      <c r="K723" s="13"/>
      <c r="L723" s="13"/>
    </row>
    <row r="724" spans="1:12" x14ac:dyDescent="0.2">
      <c r="A724" s="76">
        <v>492</v>
      </c>
      <c r="B724" s="76">
        <v>1</v>
      </c>
      <c r="C724" s="76" t="s">
        <v>215</v>
      </c>
      <c r="D724" s="76">
        <v>1994</v>
      </c>
      <c r="E724" s="76">
        <v>1995</v>
      </c>
      <c r="F724" s="81">
        <v>278.20999999999998</v>
      </c>
      <c r="G724" s="76">
        <v>10</v>
      </c>
      <c r="H724" s="76">
        <v>0</v>
      </c>
      <c r="I724" s="79">
        <v>5240</v>
      </c>
      <c r="J724" s="79">
        <v>5428</v>
      </c>
      <c r="K724" s="13"/>
      <c r="L724" s="13"/>
    </row>
    <row r="725" spans="1:12" x14ac:dyDescent="0.2">
      <c r="A725" s="76">
        <v>492</v>
      </c>
      <c r="B725" s="76">
        <v>1</v>
      </c>
      <c r="C725" s="76" t="s">
        <v>215</v>
      </c>
      <c r="D725" s="76">
        <v>1995</v>
      </c>
      <c r="E725" s="76">
        <v>1996</v>
      </c>
      <c r="F725" s="81">
        <v>269.12</v>
      </c>
      <c r="G725" s="76">
        <v>5</v>
      </c>
      <c r="H725" s="76">
        <v>1</v>
      </c>
      <c r="I725" s="79">
        <v>5415</v>
      </c>
      <c r="J725" s="79">
        <v>2407</v>
      </c>
      <c r="K725" s="13"/>
      <c r="L725" s="13"/>
    </row>
    <row r="726" spans="1:12" x14ac:dyDescent="0.2">
      <c r="A726" s="76">
        <v>492</v>
      </c>
      <c r="B726" s="76">
        <v>1</v>
      </c>
      <c r="C726" s="76" t="s">
        <v>215</v>
      </c>
      <c r="D726" s="76">
        <v>1999</v>
      </c>
      <c r="E726" s="76">
        <v>2001</v>
      </c>
      <c r="F726" s="81">
        <v>347.82</v>
      </c>
      <c r="G726" s="76">
        <v>10</v>
      </c>
      <c r="H726" s="76">
        <v>1</v>
      </c>
      <c r="I726" s="79">
        <v>4250</v>
      </c>
      <c r="J726" s="79">
        <v>1639</v>
      </c>
      <c r="K726" s="13"/>
      <c r="L726" s="13"/>
    </row>
    <row r="727" spans="1:12" x14ac:dyDescent="0.2">
      <c r="A727" s="76">
        <v>492</v>
      </c>
      <c r="B727" s="76">
        <v>1</v>
      </c>
      <c r="C727" s="76" t="s">
        <v>215</v>
      </c>
      <c r="D727" s="76">
        <v>2001</v>
      </c>
      <c r="E727" s="76">
        <v>2002</v>
      </c>
      <c r="F727" s="81">
        <v>246.54</v>
      </c>
      <c r="G727" s="76">
        <v>10</v>
      </c>
      <c r="H727" s="76">
        <v>1</v>
      </c>
      <c r="I727" s="79">
        <v>3493</v>
      </c>
      <c r="J727" s="79">
        <v>2156</v>
      </c>
      <c r="K727" s="13"/>
      <c r="L727" s="13"/>
    </row>
    <row r="728" spans="1:12" x14ac:dyDescent="0.2">
      <c r="A728" s="76">
        <v>492</v>
      </c>
      <c r="B728" s="76">
        <v>1</v>
      </c>
      <c r="C728" s="76" t="s">
        <v>215</v>
      </c>
      <c r="D728" s="76">
        <v>2003</v>
      </c>
      <c r="E728" s="76">
        <v>2004</v>
      </c>
      <c r="F728" s="81">
        <v>415</v>
      </c>
      <c r="G728" s="76">
        <v>10</v>
      </c>
      <c r="H728" s="76">
        <v>1</v>
      </c>
      <c r="I728" s="79">
        <v>3152</v>
      </c>
      <c r="J728" s="79">
        <v>2390</v>
      </c>
      <c r="K728" s="13"/>
      <c r="L728" s="13"/>
    </row>
    <row r="729" spans="1:12" x14ac:dyDescent="0.2">
      <c r="A729" s="76">
        <v>495</v>
      </c>
      <c r="B729" s="76">
        <v>1</v>
      </c>
      <c r="C729" s="76" t="s">
        <v>216</v>
      </c>
      <c r="D729" s="76">
        <v>2000</v>
      </c>
      <c r="E729" s="76">
        <v>2001</v>
      </c>
      <c r="F729" s="81">
        <v>601.47</v>
      </c>
      <c r="G729" s="76">
        <v>10</v>
      </c>
      <c r="H729" s="76">
        <v>1</v>
      </c>
      <c r="I729" s="79">
        <v>607</v>
      </c>
      <c r="J729" s="79">
        <v>300</v>
      </c>
      <c r="K729" s="13"/>
      <c r="L729" s="13"/>
    </row>
    <row r="730" spans="1:12" x14ac:dyDescent="0.2">
      <c r="A730" s="76">
        <v>495</v>
      </c>
      <c r="B730" s="76">
        <v>1</v>
      </c>
      <c r="C730" s="76" t="s">
        <v>216</v>
      </c>
      <c r="D730" s="76">
        <v>2001</v>
      </c>
      <c r="E730" s="76">
        <v>2002</v>
      </c>
      <c r="F730" s="81">
        <v>265</v>
      </c>
      <c r="G730" s="76">
        <v>9</v>
      </c>
      <c r="H730" s="76">
        <v>1</v>
      </c>
      <c r="I730" s="79">
        <v>303</v>
      </c>
      <c r="J730" s="79">
        <v>179</v>
      </c>
      <c r="K730" s="13"/>
      <c r="L730" s="13"/>
    </row>
    <row r="731" spans="1:12" x14ac:dyDescent="0.2">
      <c r="A731" s="76">
        <v>495</v>
      </c>
      <c r="B731" s="76">
        <v>1</v>
      </c>
      <c r="C731" s="76" t="s">
        <v>216</v>
      </c>
      <c r="D731" s="76">
        <v>2003</v>
      </c>
      <c r="E731" s="76">
        <v>2004</v>
      </c>
      <c r="F731" s="81">
        <v>400</v>
      </c>
      <c r="G731" s="76">
        <v>10</v>
      </c>
      <c r="H731" s="76">
        <v>1</v>
      </c>
      <c r="I731" s="79">
        <v>257</v>
      </c>
      <c r="J731" s="79">
        <v>252</v>
      </c>
      <c r="K731" s="13"/>
      <c r="L731" s="13"/>
    </row>
    <row r="732" spans="1:12" x14ac:dyDescent="0.2">
      <c r="A732" s="76">
        <v>495</v>
      </c>
      <c r="B732" s="76">
        <v>1</v>
      </c>
      <c r="C732" s="76" t="s">
        <v>216</v>
      </c>
      <c r="D732" s="82">
        <v>2007</v>
      </c>
      <c r="E732" s="83">
        <v>2008</v>
      </c>
      <c r="F732" s="78">
        <v>586.99</v>
      </c>
      <c r="G732" s="76">
        <v>10</v>
      </c>
      <c r="H732" s="77">
        <v>0</v>
      </c>
      <c r="I732" s="77">
        <v>281</v>
      </c>
      <c r="J732" s="79">
        <v>391</v>
      </c>
      <c r="K732" s="13"/>
      <c r="L732" s="13"/>
    </row>
    <row r="733" spans="1:12" x14ac:dyDescent="0.2">
      <c r="A733">
        <v>495</v>
      </c>
      <c r="B733">
        <v>1</v>
      </c>
      <c r="C733" t="s">
        <v>216</v>
      </c>
      <c r="D733">
        <v>2008</v>
      </c>
      <c r="E733" s="1">
        <v>2009</v>
      </c>
      <c r="F733" s="6">
        <v>346.99</v>
      </c>
      <c r="G733" s="1">
        <v>10</v>
      </c>
      <c r="H733" s="33">
        <v>1</v>
      </c>
      <c r="I733" s="33">
        <v>405</v>
      </c>
      <c r="J733" s="33">
        <v>339</v>
      </c>
      <c r="K733" s="13"/>
      <c r="L733" s="13"/>
    </row>
    <row r="734" spans="1:12" x14ac:dyDescent="0.2">
      <c r="A734">
        <v>495</v>
      </c>
      <c r="B734">
        <v>1</v>
      </c>
      <c r="C734" t="s">
        <v>216</v>
      </c>
      <c r="D734">
        <v>2008</v>
      </c>
      <c r="E734" s="1">
        <v>2009</v>
      </c>
      <c r="F734" s="6">
        <v>240</v>
      </c>
      <c r="G734" s="1">
        <v>10</v>
      </c>
      <c r="H734" s="33">
        <v>0</v>
      </c>
      <c r="I734" s="33">
        <v>337</v>
      </c>
      <c r="J734" s="33">
        <v>408</v>
      </c>
      <c r="K734" s="13"/>
      <c r="L734" s="13"/>
    </row>
    <row r="735" spans="1:12" x14ac:dyDescent="0.2">
      <c r="A735" s="76">
        <v>497</v>
      </c>
      <c r="B735" s="76">
        <v>1</v>
      </c>
      <c r="C735" s="76" t="s">
        <v>217</v>
      </c>
      <c r="D735" s="76">
        <v>1993</v>
      </c>
      <c r="E735" s="76">
        <v>1994</v>
      </c>
      <c r="F735" s="81">
        <v>430</v>
      </c>
      <c r="G735" s="76">
        <v>4</v>
      </c>
      <c r="H735" s="76">
        <v>1</v>
      </c>
      <c r="I735" s="79" t="s">
        <v>840</v>
      </c>
      <c r="J735" s="79" t="s">
        <v>840</v>
      </c>
      <c r="K735" s="13"/>
      <c r="L735" s="13"/>
    </row>
    <row r="736" spans="1:12" x14ac:dyDescent="0.2">
      <c r="A736" s="76">
        <v>497</v>
      </c>
      <c r="B736" s="76">
        <v>1</v>
      </c>
      <c r="C736" s="76" t="s">
        <v>217</v>
      </c>
      <c r="D736" s="76">
        <v>1997</v>
      </c>
      <c r="E736" s="76">
        <v>1998</v>
      </c>
      <c r="F736" s="81">
        <v>600</v>
      </c>
      <c r="G736" s="76">
        <v>4</v>
      </c>
      <c r="H736" s="76">
        <v>1</v>
      </c>
      <c r="I736" s="79">
        <v>138</v>
      </c>
      <c r="J736" s="79">
        <v>19</v>
      </c>
      <c r="K736" s="13"/>
      <c r="L736" s="13"/>
    </row>
    <row r="737" spans="1:12" x14ac:dyDescent="0.2">
      <c r="A737" s="76">
        <v>497</v>
      </c>
      <c r="B737" s="76">
        <v>1</v>
      </c>
      <c r="C737" s="76" t="s">
        <v>217</v>
      </c>
      <c r="D737" s="76">
        <v>2001</v>
      </c>
      <c r="E737" s="76">
        <v>2002</v>
      </c>
      <c r="F737" s="81">
        <v>837</v>
      </c>
      <c r="G737" s="76">
        <v>10</v>
      </c>
      <c r="H737" s="76">
        <v>1</v>
      </c>
      <c r="I737" s="79">
        <v>142</v>
      </c>
      <c r="J737" s="79">
        <v>18</v>
      </c>
      <c r="K737" s="13"/>
      <c r="L737" s="13"/>
    </row>
    <row r="738" spans="1:12" x14ac:dyDescent="0.2">
      <c r="A738" s="76">
        <v>499</v>
      </c>
      <c r="B738" s="76">
        <v>1</v>
      </c>
      <c r="C738" s="76" t="s">
        <v>751</v>
      </c>
      <c r="D738" s="76">
        <v>1991</v>
      </c>
      <c r="E738" s="76">
        <v>1993</v>
      </c>
      <c r="F738" s="81">
        <v>368</v>
      </c>
      <c r="G738" s="76">
        <v>5</v>
      </c>
      <c r="H738" s="76">
        <v>1</v>
      </c>
      <c r="I738" s="79" t="s">
        <v>840</v>
      </c>
      <c r="J738" s="79" t="s">
        <v>840</v>
      </c>
      <c r="K738" s="13"/>
      <c r="L738" s="13"/>
    </row>
    <row r="739" spans="1:12" x14ac:dyDescent="0.2">
      <c r="A739" s="76">
        <v>499</v>
      </c>
      <c r="B739" s="76">
        <v>1</v>
      </c>
      <c r="C739" s="76" t="s">
        <v>218</v>
      </c>
      <c r="D739" s="76">
        <v>1997</v>
      </c>
      <c r="E739" s="76">
        <v>1998</v>
      </c>
      <c r="F739" s="81">
        <v>289.20999999999998</v>
      </c>
      <c r="G739" s="76">
        <v>10</v>
      </c>
      <c r="H739" s="76">
        <v>1</v>
      </c>
      <c r="I739" s="79">
        <v>320</v>
      </c>
      <c r="J739" s="79">
        <v>115</v>
      </c>
      <c r="K739" s="13"/>
      <c r="L739" s="13"/>
    </row>
    <row r="740" spans="1:12" x14ac:dyDescent="0.2">
      <c r="A740" s="76">
        <v>499</v>
      </c>
      <c r="B740" s="76">
        <v>1</v>
      </c>
      <c r="C740" s="76" t="s">
        <v>751</v>
      </c>
      <c r="D740" s="76">
        <v>2000</v>
      </c>
      <c r="E740" s="76">
        <v>2001</v>
      </c>
      <c r="F740" s="81">
        <v>400</v>
      </c>
      <c r="G740" s="76">
        <v>10</v>
      </c>
      <c r="H740" s="76">
        <v>1</v>
      </c>
      <c r="I740" s="79">
        <v>409</v>
      </c>
      <c r="J740" s="79">
        <v>401</v>
      </c>
      <c r="K740" s="13"/>
      <c r="L740" s="13"/>
    </row>
    <row r="741" spans="1:12" x14ac:dyDescent="0.2">
      <c r="A741" s="76">
        <v>499</v>
      </c>
      <c r="B741" s="76">
        <v>1</v>
      </c>
      <c r="C741" s="76" t="s">
        <v>218</v>
      </c>
      <c r="D741" s="76">
        <v>2002</v>
      </c>
      <c r="E741" s="76">
        <v>2003</v>
      </c>
      <c r="F741" s="81">
        <v>300</v>
      </c>
      <c r="G741" s="76">
        <v>10</v>
      </c>
      <c r="H741" s="76">
        <v>1</v>
      </c>
      <c r="I741" s="79">
        <v>537</v>
      </c>
      <c r="J741" s="79">
        <v>479</v>
      </c>
      <c r="K741" s="13"/>
      <c r="L741" s="13"/>
    </row>
    <row r="742" spans="1:12" x14ac:dyDescent="0.2">
      <c r="A742" s="76">
        <v>499</v>
      </c>
      <c r="B742" s="76">
        <v>1</v>
      </c>
      <c r="C742" s="76" t="s">
        <v>218</v>
      </c>
      <c r="D742" s="82">
        <v>2007</v>
      </c>
      <c r="E742" s="83">
        <v>2008</v>
      </c>
      <c r="F742" s="78">
        <v>743.54</v>
      </c>
      <c r="G742" s="76">
        <v>10</v>
      </c>
      <c r="H742" s="77">
        <v>1</v>
      </c>
      <c r="I742" s="77">
        <v>351</v>
      </c>
      <c r="J742" s="79">
        <v>305</v>
      </c>
      <c r="K742" s="13"/>
      <c r="L742" s="13"/>
    </row>
    <row r="743" spans="1:12" x14ac:dyDescent="0.2">
      <c r="A743" s="76">
        <v>500</v>
      </c>
      <c r="B743" s="76">
        <v>1</v>
      </c>
      <c r="C743" s="76" t="s">
        <v>219</v>
      </c>
      <c r="D743" s="76">
        <v>2004</v>
      </c>
      <c r="E743" s="76">
        <v>2006</v>
      </c>
      <c r="F743" s="81">
        <v>847</v>
      </c>
      <c r="G743" s="76">
        <v>6</v>
      </c>
      <c r="H743" s="76">
        <v>1</v>
      </c>
      <c r="I743" s="79">
        <v>1067</v>
      </c>
      <c r="J743" s="79">
        <v>984</v>
      </c>
      <c r="K743" s="13"/>
      <c r="L743" s="13"/>
    </row>
    <row r="744" spans="1:12" x14ac:dyDescent="0.2">
      <c r="A744" s="76">
        <v>500</v>
      </c>
      <c r="B744" s="76">
        <v>1</v>
      </c>
      <c r="C744" s="76" t="s">
        <v>219</v>
      </c>
      <c r="D744" s="76">
        <v>2006</v>
      </c>
      <c r="E744" s="78">
        <v>2007</v>
      </c>
      <c r="F744" s="81">
        <v>450</v>
      </c>
      <c r="G744" s="78">
        <v>4</v>
      </c>
      <c r="H744" s="76">
        <v>0</v>
      </c>
      <c r="I744" s="77">
        <v>823</v>
      </c>
      <c r="J744" s="77">
        <v>885</v>
      </c>
      <c r="K744" s="13"/>
      <c r="L744" s="13"/>
    </row>
    <row r="745" spans="1:12" x14ac:dyDescent="0.2">
      <c r="A745" s="76">
        <v>500</v>
      </c>
      <c r="B745" s="76">
        <v>1</v>
      </c>
      <c r="C745" s="76" t="s">
        <v>219</v>
      </c>
      <c r="D745" s="82">
        <v>2007</v>
      </c>
      <c r="E745" s="83">
        <v>2008</v>
      </c>
      <c r="F745" s="78">
        <v>593</v>
      </c>
      <c r="G745" s="76">
        <v>10</v>
      </c>
      <c r="H745" s="77">
        <v>1</v>
      </c>
      <c r="I745" s="77">
        <v>703</v>
      </c>
      <c r="J745" s="79">
        <v>466</v>
      </c>
      <c r="K745" s="13"/>
      <c r="L745" s="13"/>
    </row>
    <row r="746" spans="1:12" x14ac:dyDescent="0.2">
      <c r="A746" s="76">
        <v>505</v>
      </c>
      <c r="B746" s="76">
        <v>1</v>
      </c>
      <c r="C746" s="76" t="s">
        <v>220</v>
      </c>
      <c r="D746" s="76">
        <v>2001</v>
      </c>
      <c r="E746" s="76">
        <v>2002</v>
      </c>
      <c r="F746" s="81">
        <v>900</v>
      </c>
      <c r="G746" s="76">
        <v>10</v>
      </c>
      <c r="H746" s="76">
        <v>1</v>
      </c>
      <c r="I746" s="79">
        <v>627</v>
      </c>
      <c r="J746" s="79">
        <v>313</v>
      </c>
      <c r="K746" s="13"/>
      <c r="L746" s="13"/>
    </row>
    <row r="747" spans="1:12" x14ac:dyDescent="0.2">
      <c r="A747" s="76">
        <v>505</v>
      </c>
      <c r="B747" s="76">
        <v>1</v>
      </c>
      <c r="C747" s="76" t="s">
        <v>220</v>
      </c>
      <c r="D747" s="76">
        <v>2004</v>
      </c>
      <c r="E747" s="76">
        <v>2005</v>
      </c>
      <c r="F747" s="81">
        <v>1000</v>
      </c>
      <c r="G747" s="76">
        <v>10</v>
      </c>
      <c r="H747" s="76">
        <v>1</v>
      </c>
      <c r="I747" s="79">
        <v>701</v>
      </c>
      <c r="J747" s="79">
        <v>654</v>
      </c>
      <c r="K747" s="13"/>
      <c r="L747" s="13"/>
    </row>
    <row r="748" spans="1:12" x14ac:dyDescent="0.2">
      <c r="A748" s="76">
        <v>507</v>
      </c>
      <c r="B748" s="76">
        <v>1</v>
      </c>
      <c r="C748" s="76" t="s">
        <v>221</v>
      </c>
      <c r="D748" s="76">
        <v>1993</v>
      </c>
      <c r="E748" s="76">
        <v>1994</v>
      </c>
      <c r="F748" s="81">
        <v>600</v>
      </c>
      <c r="G748" s="76">
        <v>5</v>
      </c>
      <c r="H748" s="76">
        <v>1</v>
      </c>
      <c r="I748" s="79" t="s">
        <v>840</v>
      </c>
      <c r="J748" s="79" t="s">
        <v>840</v>
      </c>
      <c r="K748" s="13"/>
      <c r="L748" s="13"/>
    </row>
    <row r="749" spans="1:12" x14ac:dyDescent="0.2">
      <c r="A749" s="76">
        <v>507</v>
      </c>
      <c r="B749" s="76">
        <v>1</v>
      </c>
      <c r="C749" s="76" t="s">
        <v>221</v>
      </c>
      <c r="D749" s="76">
        <v>1997</v>
      </c>
      <c r="E749" s="76">
        <v>1999</v>
      </c>
      <c r="F749" s="81">
        <v>600</v>
      </c>
      <c r="G749" s="76">
        <v>5</v>
      </c>
      <c r="H749" s="76">
        <v>1</v>
      </c>
      <c r="I749" s="79">
        <v>405</v>
      </c>
      <c r="J749" s="79">
        <v>89</v>
      </c>
      <c r="K749" s="13"/>
      <c r="L749" s="13"/>
    </row>
    <row r="750" spans="1:12" x14ac:dyDescent="0.2">
      <c r="A750" s="76">
        <v>507</v>
      </c>
      <c r="B750" s="76">
        <v>1</v>
      </c>
      <c r="C750" s="76" t="s">
        <v>221</v>
      </c>
      <c r="D750" s="76">
        <v>2002</v>
      </c>
      <c r="E750" s="76">
        <v>2003</v>
      </c>
      <c r="F750" s="81">
        <v>581.21</v>
      </c>
      <c r="G750" s="76">
        <v>5</v>
      </c>
      <c r="H750" s="76">
        <v>1</v>
      </c>
      <c r="I750" s="79">
        <v>847</v>
      </c>
      <c r="J750" s="79">
        <v>306</v>
      </c>
      <c r="K750" s="13"/>
      <c r="L750" s="13"/>
    </row>
    <row r="751" spans="1:12" x14ac:dyDescent="0.2">
      <c r="A751" s="76">
        <v>507</v>
      </c>
      <c r="B751" s="76">
        <v>1</v>
      </c>
      <c r="C751" s="76" t="s">
        <v>221</v>
      </c>
      <c r="D751" s="76">
        <v>2006</v>
      </c>
      <c r="E751" s="78">
        <v>2007</v>
      </c>
      <c r="F751" s="81">
        <v>218.09</v>
      </c>
      <c r="G751" s="78">
        <v>5</v>
      </c>
      <c r="H751" s="76">
        <v>1</v>
      </c>
      <c r="I751" s="77">
        <v>648</v>
      </c>
      <c r="J751" s="77">
        <v>505</v>
      </c>
      <c r="K751" s="13"/>
      <c r="L751" s="13"/>
    </row>
    <row r="752" spans="1:12" x14ac:dyDescent="0.2">
      <c r="A752" s="76">
        <v>508</v>
      </c>
      <c r="B752" s="76">
        <v>1</v>
      </c>
      <c r="C752" s="76" t="s">
        <v>222</v>
      </c>
      <c r="D752" s="76">
        <v>1997</v>
      </c>
      <c r="E752" s="76">
        <v>1998</v>
      </c>
      <c r="F752" s="81">
        <v>285</v>
      </c>
      <c r="G752" s="76">
        <v>10</v>
      </c>
      <c r="H752" s="76">
        <v>1</v>
      </c>
      <c r="I752" s="79">
        <v>2290</v>
      </c>
      <c r="J752" s="79">
        <v>1193</v>
      </c>
      <c r="K752" s="13"/>
      <c r="L752" s="13"/>
    </row>
    <row r="753" spans="1:12" x14ac:dyDescent="0.2">
      <c r="A753" s="76">
        <v>508</v>
      </c>
      <c r="B753" s="76">
        <v>1</v>
      </c>
      <c r="C753" s="76" t="s">
        <v>222</v>
      </c>
      <c r="D753" s="76">
        <v>2000</v>
      </c>
      <c r="E753" s="76">
        <v>2001</v>
      </c>
      <c r="F753" s="81">
        <v>126.62</v>
      </c>
      <c r="G753" s="76">
        <v>7</v>
      </c>
      <c r="H753" s="76">
        <v>1</v>
      </c>
      <c r="I753" s="79">
        <v>3566</v>
      </c>
      <c r="J753" s="79">
        <v>2360</v>
      </c>
      <c r="K753" s="13"/>
      <c r="L753" s="13"/>
    </row>
    <row r="754" spans="1:12" x14ac:dyDescent="0.2">
      <c r="A754" s="76">
        <v>508</v>
      </c>
      <c r="B754" s="76">
        <v>1</v>
      </c>
      <c r="C754" s="76" t="s">
        <v>222</v>
      </c>
      <c r="D754" s="76">
        <v>2002</v>
      </c>
      <c r="E754" s="76">
        <v>2003</v>
      </c>
      <c r="F754" s="81">
        <v>300</v>
      </c>
      <c r="G754" s="76">
        <v>10</v>
      </c>
      <c r="H754" s="76">
        <v>1</v>
      </c>
      <c r="I754" s="79">
        <v>3310</v>
      </c>
      <c r="J754" s="79">
        <v>1865</v>
      </c>
      <c r="K754" s="13"/>
      <c r="L754" s="13"/>
    </row>
    <row r="755" spans="1:12" x14ac:dyDescent="0.2">
      <c r="A755" s="76">
        <v>508</v>
      </c>
      <c r="B755" s="76">
        <v>1</v>
      </c>
      <c r="C755" s="76" t="s">
        <v>1009</v>
      </c>
      <c r="D755" s="76">
        <v>2005</v>
      </c>
      <c r="E755" s="76">
        <v>2006</v>
      </c>
      <c r="F755" s="81">
        <v>315</v>
      </c>
      <c r="G755" s="76">
        <v>10</v>
      </c>
      <c r="H755" s="78">
        <v>1</v>
      </c>
      <c r="I755" s="77">
        <v>1561</v>
      </c>
      <c r="J755" s="77">
        <v>911</v>
      </c>
      <c r="K755" s="13"/>
      <c r="L755" s="13"/>
    </row>
    <row r="756" spans="1:12" x14ac:dyDescent="0.2">
      <c r="A756" s="76">
        <v>511</v>
      </c>
      <c r="B756" s="76">
        <v>1</v>
      </c>
      <c r="C756" s="76" t="s">
        <v>223</v>
      </c>
      <c r="D756" s="76">
        <v>2001</v>
      </c>
      <c r="E756" s="76">
        <v>2002</v>
      </c>
      <c r="F756" s="81">
        <v>450</v>
      </c>
      <c r="G756" s="76">
        <v>10</v>
      </c>
      <c r="H756" s="76">
        <v>1</v>
      </c>
      <c r="I756" s="79">
        <v>303</v>
      </c>
      <c r="J756" s="79">
        <v>302</v>
      </c>
      <c r="K756" s="13"/>
      <c r="L756" s="13"/>
    </row>
    <row r="757" spans="1:12" x14ac:dyDescent="0.2">
      <c r="A757" s="76">
        <v>513</v>
      </c>
      <c r="B757" s="76">
        <v>1</v>
      </c>
      <c r="C757" s="76" t="s">
        <v>224</v>
      </c>
      <c r="D757" s="76">
        <v>2001</v>
      </c>
      <c r="E757" s="76">
        <v>2002</v>
      </c>
      <c r="F757" s="81">
        <v>620</v>
      </c>
      <c r="G757" s="76">
        <v>5</v>
      </c>
      <c r="H757" s="76">
        <v>1</v>
      </c>
      <c r="I757" s="79">
        <v>192</v>
      </c>
      <c r="J757" s="79">
        <v>85</v>
      </c>
      <c r="K757" s="13"/>
      <c r="L757" s="13"/>
    </row>
    <row r="758" spans="1:12" x14ac:dyDescent="0.2">
      <c r="A758" s="76">
        <v>513</v>
      </c>
      <c r="B758" s="76">
        <v>1</v>
      </c>
      <c r="C758" s="76" t="s">
        <v>1010</v>
      </c>
      <c r="D758" s="76">
        <v>2005</v>
      </c>
      <c r="E758" s="76">
        <v>2006</v>
      </c>
      <c r="F758" s="81">
        <v>1500</v>
      </c>
      <c r="G758" s="76">
        <v>10</v>
      </c>
      <c r="H758" s="78">
        <v>1</v>
      </c>
      <c r="I758" s="77">
        <v>134</v>
      </c>
      <c r="J758" s="77">
        <v>84</v>
      </c>
      <c r="K758" s="13"/>
      <c r="L758" s="13"/>
    </row>
    <row r="759" spans="1:12" x14ac:dyDescent="0.2">
      <c r="A759" s="76">
        <v>514</v>
      </c>
      <c r="B759" s="76">
        <v>1</v>
      </c>
      <c r="C759" s="76" t="s">
        <v>225</v>
      </c>
      <c r="D759" s="76">
        <v>1995</v>
      </c>
      <c r="E759" s="76">
        <v>1996</v>
      </c>
      <c r="F759" s="81">
        <v>372</v>
      </c>
      <c r="G759" s="76">
        <v>5</v>
      </c>
      <c r="H759" s="76">
        <v>1</v>
      </c>
      <c r="I759" s="79">
        <v>353</v>
      </c>
      <c r="J759" s="79">
        <v>146</v>
      </c>
      <c r="K759" s="13"/>
      <c r="L759" s="13"/>
    </row>
    <row r="760" spans="1:12" x14ac:dyDescent="0.2">
      <c r="A760" s="76">
        <v>514</v>
      </c>
      <c r="B760" s="76">
        <v>1</v>
      </c>
      <c r="C760" s="76" t="s">
        <v>225</v>
      </c>
      <c r="D760" s="76">
        <v>2000</v>
      </c>
      <c r="E760" s="76">
        <v>2001</v>
      </c>
      <c r="F760" s="81">
        <v>372</v>
      </c>
      <c r="G760" s="76">
        <v>5</v>
      </c>
      <c r="H760" s="76">
        <v>1</v>
      </c>
      <c r="I760" s="79">
        <v>357</v>
      </c>
      <c r="J760" s="79">
        <v>123</v>
      </c>
      <c r="K760" s="13"/>
      <c r="L760" s="13"/>
    </row>
    <row r="761" spans="1:12" x14ac:dyDescent="0.2">
      <c r="A761" s="76">
        <v>514</v>
      </c>
      <c r="B761" s="76">
        <v>1</v>
      </c>
      <c r="C761" s="76" t="s">
        <v>1011</v>
      </c>
      <c r="D761" s="76">
        <v>2005</v>
      </c>
      <c r="E761" s="76">
        <v>2006</v>
      </c>
      <c r="F761" s="81">
        <v>573.12</v>
      </c>
      <c r="G761" s="76">
        <v>5</v>
      </c>
      <c r="H761" s="78">
        <v>1</v>
      </c>
      <c r="I761" s="77">
        <v>352</v>
      </c>
      <c r="J761" s="77">
        <v>16</v>
      </c>
      <c r="K761" s="13"/>
      <c r="L761" s="13"/>
    </row>
    <row r="762" spans="1:12" x14ac:dyDescent="0.2">
      <c r="A762">
        <v>514</v>
      </c>
      <c r="B762">
        <v>1</v>
      </c>
      <c r="C762" t="s">
        <v>225</v>
      </c>
      <c r="D762">
        <v>2008</v>
      </c>
      <c r="E762" s="5">
        <v>2009</v>
      </c>
      <c r="F762" s="6">
        <v>409</v>
      </c>
      <c r="G762" s="5">
        <v>10</v>
      </c>
      <c r="H762" s="33">
        <v>1</v>
      </c>
      <c r="I762" s="33">
        <v>328</v>
      </c>
      <c r="J762" s="33">
        <v>143</v>
      </c>
      <c r="K762" s="13"/>
      <c r="L762" s="13"/>
    </row>
    <row r="763" spans="1:12" x14ac:dyDescent="0.2">
      <c r="A763" s="76">
        <v>516</v>
      </c>
      <c r="B763" s="76">
        <v>1</v>
      </c>
      <c r="C763" s="76" t="s">
        <v>226</v>
      </c>
      <c r="D763" s="76">
        <v>2001</v>
      </c>
      <c r="E763" s="76">
        <v>2002</v>
      </c>
      <c r="F763" s="81">
        <v>320</v>
      </c>
      <c r="G763" s="76">
        <v>5</v>
      </c>
      <c r="H763" s="76">
        <v>1</v>
      </c>
      <c r="I763" s="79">
        <v>142</v>
      </c>
      <c r="J763" s="79">
        <v>82</v>
      </c>
      <c r="K763" s="13"/>
      <c r="L763" s="13"/>
    </row>
    <row r="764" spans="1:12" x14ac:dyDescent="0.2">
      <c r="A764" s="76">
        <v>516</v>
      </c>
      <c r="B764" s="76">
        <v>1</v>
      </c>
      <c r="C764" s="76" t="s">
        <v>1012</v>
      </c>
      <c r="D764" s="76">
        <v>2005</v>
      </c>
      <c r="E764" s="76">
        <v>2006</v>
      </c>
      <c r="F764" s="81">
        <v>1500</v>
      </c>
      <c r="G764" s="76">
        <v>10</v>
      </c>
      <c r="H764" s="78">
        <v>1</v>
      </c>
      <c r="I764" s="77">
        <v>123</v>
      </c>
      <c r="J764" s="77">
        <v>66</v>
      </c>
      <c r="K764" s="13"/>
      <c r="L764" s="13"/>
    </row>
    <row r="765" spans="1:12" x14ac:dyDescent="0.2">
      <c r="A765" s="76">
        <v>518</v>
      </c>
      <c r="B765" s="76">
        <v>1</v>
      </c>
      <c r="C765" s="76" t="s">
        <v>227</v>
      </c>
      <c r="D765" s="76">
        <v>1991</v>
      </c>
      <c r="E765" s="76">
        <v>1993</v>
      </c>
      <c r="F765" s="81">
        <v>245.28</v>
      </c>
      <c r="G765" s="76">
        <v>5</v>
      </c>
      <c r="H765" s="76">
        <v>1</v>
      </c>
      <c r="I765" s="79" t="s">
        <v>840</v>
      </c>
      <c r="J765" s="79" t="s">
        <v>840</v>
      </c>
      <c r="K765" s="13"/>
      <c r="L765" s="13"/>
    </row>
    <row r="766" spans="1:12" x14ac:dyDescent="0.2">
      <c r="A766" s="76">
        <v>518</v>
      </c>
      <c r="B766" s="76">
        <v>1</v>
      </c>
      <c r="C766" s="76" t="s">
        <v>227</v>
      </c>
      <c r="D766" s="76">
        <v>1996</v>
      </c>
      <c r="E766" s="76">
        <v>1998</v>
      </c>
      <c r="F766" s="81">
        <v>89.71</v>
      </c>
      <c r="G766" s="76">
        <v>5</v>
      </c>
      <c r="H766" s="76">
        <v>0</v>
      </c>
      <c r="I766" s="79">
        <v>2787</v>
      </c>
      <c r="J766" s="79">
        <v>3241</v>
      </c>
      <c r="K766" s="13"/>
      <c r="L766" s="13"/>
    </row>
    <row r="767" spans="1:12" x14ac:dyDescent="0.2">
      <c r="A767" s="76">
        <v>518</v>
      </c>
      <c r="B767" s="76">
        <v>1</v>
      </c>
      <c r="C767" s="76" t="s">
        <v>227</v>
      </c>
      <c r="D767" s="76">
        <v>1996</v>
      </c>
      <c r="E767" s="76">
        <v>1998</v>
      </c>
      <c r="F767" s="81">
        <v>210.29</v>
      </c>
      <c r="G767" s="76">
        <v>5</v>
      </c>
      <c r="H767" s="76">
        <v>1</v>
      </c>
      <c r="I767" s="79">
        <v>3148</v>
      </c>
      <c r="J767" s="79">
        <v>2892</v>
      </c>
      <c r="K767" s="13"/>
      <c r="L767" s="13"/>
    </row>
    <row r="768" spans="1:12" x14ac:dyDescent="0.2">
      <c r="A768" s="76">
        <v>518</v>
      </c>
      <c r="B768" s="76">
        <v>1</v>
      </c>
      <c r="C768" s="76" t="s">
        <v>753</v>
      </c>
      <c r="D768" s="76">
        <v>2001</v>
      </c>
      <c r="E768" s="76">
        <v>2002</v>
      </c>
      <c r="F768" s="81">
        <v>100</v>
      </c>
      <c r="G768" s="76">
        <v>5</v>
      </c>
      <c r="H768" s="76">
        <v>0</v>
      </c>
      <c r="I768" s="79">
        <v>903</v>
      </c>
      <c r="J768" s="79">
        <v>2078</v>
      </c>
      <c r="K768" s="13"/>
      <c r="L768" s="13"/>
    </row>
    <row r="769" spans="1:12" x14ac:dyDescent="0.2">
      <c r="A769" s="76">
        <v>518</v>
      </c>
      <c r="B769" s="76">
        <v>1</v>
      </c>
      <c r="C769" s="76" t="s">
        <v>752</v>
      </c>
      <c r="D769" s="76">
        <v>2001</v>
      </c>
      <c r="E769" s="76">
        <v>2002</v>
      </c>
      <c r="F769" s="81">
        <v>250</v>
      </c>
      <c r="G769" s="76">
        <v>5</v>
      </c>
      <c r="H769" s="76">
        <v>0</v>
      </c>
      <c r="I769" s="79">
        <v>1157</v>
      </c>
      <c r="J769" s="79">
        <v>1906</v>
      </c>
      <c r="K769" s="13"/>
      <c r="L769" s="13"/>
    </row>
    <row r="770" spans="1:12" x14ac:dyDescent="0.2">
      <c r="A770" s="76">
        <v>518</v>
      </c>
      <c r="B770" s="76">
        <v>1</v>
      </c>
      <c r="C770" s="76" t="s">
        <v>227</v>
      </c>
      <c r="D770" s="76">
        <v>2002</v>
      </c>
      <c r="E770" s="76">
        <v>2003</v>
      </c>
      <c r="F770" s="81">
        <v>394.93</v>
      </c>
      <c r="G770" s="76">
        <v>4</v>
      </c>
      <c r="H770" s="76">
        <v>1</v>
      </c>
      <c r="I770" s="79">
        <v>3107</v>
      </c>
      <c r="J770" s="79">
        <v>2469</v>
      </c>
      <c r="K770" s="13"/>
      <c r="L770" s="13"/>
    </row>
    <row r="771" spans="1:12" x14ac:dyDescent="0.2">
      <c r="A771" s="76">
        <v>518</v>
      </c>
      <c r="B771" s="76">
        <v>1</v>
      </c>
      <c r="C771" s="76" t="s">
        <v>1013</v>
      </c>
      <c r="D771" s="76">
        <v>2005</v>
      </c>
      <c r="E771" s="76">
        <v>2006</v>
      </c>
      <c r="F771" s="81">
        <v>900</v>
      </c>
      <c r="G771" s="76">
        <v>5</v>
      </c>
      <c r="H771" s="78">
        <v>0</v>
      </c>
      <c r="I771" s="77">
        <v>1575</v>
      </c>
      <c r="J771" s="77">
        <v>1921</v>
      </c>
      <c r="K771" s="13"/>
      <c r="L771" s="13"/>
    </row>
    <row r="772" spans="1:12" x14ac:dyDescent="0.2">
      <c r="A772" s="76">
        <v>518</v>
      </c>
      <c r="B772" s="76">
        <v>1</v>
      </c>
      <c r="C772" s="76" t="s">
        <v>227</v>
      </c>
      <c r="D772" s="76">
        <v>2006</v>
      </c>
      <c r="E772" s="78">
        <v>2007</v>
      </c>
      <c r="F772" s="81">
        <v>1000</v>
      </c>
      <c r="G772" s="78">
        <v>8</v>
      </c>
      <c r="H772" s="76">
        <v>1</v>
      </c>
      <c r="I772" s="77">
        <v>2876</v>
      </c>
      <c r="J772" s="77">
        <v>2356</v>
      </c>
      <c r="K772" s="13"/>
      <c r="L772" s="13"/>
    </row>
    <row r="773" spans="1:12" x14ac:dyDescent="0.2">
      <c r="A773" s="76">
        <v>521</v>
      </c>
      <c r="B773" s="76">
        <v>1</v>
      </c>
      <c r="C773" s="76" t="s">
        <v>657</v>
      </c>
      <c r="D773" s="76">
        <v>1994</v>
      </c>
      <c r="E773" s="76">
        <v>1995</v>
      </c>
      <c r="F773" s="81">
        <v>433.44</v>
      </c>
      <c r="G773" s="76">
        <v>10</v>
      </c>
      <c r="H773" s="76">
        <v>0</v>
      </c>
      <c r="I773" s="79">
        <v>591</v>
      </c>
      <c r="J773" s="79">
        <v>647</v>
      </c>
      <c r="K773" s="13"/>
      <c r="L773" s="13"/>
    </row>
    <row r="774" spans="1:12" x14ac:dyDescent="0.2">
      <c r="A774" s="76">
        <v>531</v>
      </c>
      <c r="B774" s="76">
        <v>1</v>
      </c>
      <c r="C774" s="76" t="s">
        <v>228</v>
      </c>
      <c r="D774" s="76">
        <v>1994</v>
      </c>
      <c r="E774" s="76">
        <v>1995</v>
      </c>
      <c r="F774" s="81">
        <v>208.5</v>
      </c>
      <c r="G774" s="76">
        <v>10</v>
      </c>
      <c r="H774" s="76">
        <v>0</v>
      </c>
      <c r="I774" s="79">
        <v>987</v>
      </c>
      <c r="J774" s="79">
        <v>1039</v>
      </c>
      <c r="K774" s="13"/>
      <c r="L774" s="13"/>
    </row>
    <row r="775" spans="1:12" x14ac:dyDescent="0.2">
      <c r="A775" s="76">
        <v>531</v>
      </c>
      <c r="B775" s="76">
        <v>1</v>
      </c>
      <c r="C775" s="76" t="s">
        <v>228</v>
      </c>
      <c r="D775" s="76">
        <v>1995</v>
      </c>
      <c r="E775" s="76">
        <v>1996</v>
      </c>
      <c r="F775" s="81">
        <v>214.15</v>
      </c>
      <c r="G775" s="76">
        <v>10</v>
      </c>
      <c r="H775" s="76">
        <v>1</v>
      </c>
      <c r="I775" s="79">
        <v>612</v>
      </c>
      <c r="J775" s="79">
        <v>408</v>
      </c>
      <c r="K775" s="13"/>
      <c r="L775" s="13"/>
    </row>
    <row r="776" spans="1:12" x14ac:dyDescent="0.2">
      <c r="A776" s="76">
        <v>531</v>
      </c>
      <c r="B776" s="76">
        <v>1</v>
      </c>
      <c r="C776" s="76" t="s">
        <v>228</v>
      </c>
      <c r="D776" s="76">
        <v>2001</v>
      </c>
      <c r="E776" s="76">
        <v>2002</v>
      </c>
      <c r="F776" s="81">
        <v>126</v>
      </c>
      <c r="G776" s="76">
        <v>10</v>
      </c>
      <c r="H776" s="76">
        <v>1</v>
      </c>
      <c r="I776" s="79">
        <v>552</v>
      </c>
      <c r="J776" s="79">
        <v>290</v>
      </c>
      <c r="K776" s="13"/>
      <c r="L776" s="13"/>
    </row>
    <row r="777" spans="1:12" x14ac:dyDescent="0.2">
      <c r="A777" s="76">
        <v>533</v>
      </c>
      <c r="B777" s="76">
        <v>1</v>
      </c>
      <c r="C777" s="76" t="s">
        <v>229</v>
      </c>
      <c r="D777" s="76">
        <v>2001</v>
      </c>
      <c r="E777" s="76">
        <v>2002</v>
      </c>
      <c r="F777" s="81">
        <v>126</v>
      </c>
      <c r="G777" s="76">
        <v>10</v>
      </c>
      <c r="H777" s="76">
        <v>1</v>
      </c>
      <c r="I777" s="79">
        <v>451</v>
      </c>
      <c r="J777" s="79">
        <v>224</v>
      </c>
      <c r="K777" s="13"/>
      <c r="L777" s="13"/>
    </row>
    <row r="778" spans="1:12" x14ac:dyDescent="0.2">
      <c r="A778" s="76">
        <v>534</v>
      </c>
      <c r="B778" s="76">
        <v>1</v>
      </c>
      <c r="C778" s="76" t="s">
        <v>230</v>
      </c>
      <c r="D778" s="76">
        <v>1992</v>
      </c>
      <c r="E778" s="76">
        <v>1993</v>
      </c>
      <c r="F778" s="81">
        <v>171.98</v>
      </c>
      <c r="G778" s="76">
        <v>5</v>
      </c>
      <c r="H778" s="76">
        <v>1</v>
      </c>
      <c r="I778" s="79" t="s">
        <v>840</v>
      </c>
      <c r="J778" s="79" t="s">
        <v>840</v>
      </c>
      <c r="K778" s="13"/>
      <c r="L778" s="13"/>
    </row>
    <row r="779" spans="1:12" x14ac:dyDescent="0.2">
      <c r="A779" s="76">
        <v>534</v>
      </c>
      <c r="B779" s="76">
        <v>1</v>
      </c>
      <c r="C779" s="76" t="s">
        <v>230</v>
      </c>
      <c r="D779" s="76">
        <v>1995</v>
      </c>
      <c r="E779" s="76">
        <v>1996</v>
      </c>
      <c r="F779" s="81">
        <v>122.35</v>
      </c>
      <c r="G779" s="76">
        <v>10</v>
      </c>
      <c r="H779" s="76">
        <v>1</v>
      </c>
      <c r="I779" s="79">
        <v>1181</v>
      </c>
      <c r="J779" s="79">
        <v>355</v>
      </c>
      <c r="K779" s="13"/>
      <c r="L779" s="13"/>
    </row>
    <row r="780" spans="1:12" x14ac:dyDescent="0.2">
      <c r="A780" s="76">
        <v>534</v>
      </c>
      <c r="B780" s="76">
        <v>1</v>
      </c>
      <c r="C780" s="76" t="s">
        <v>230</v>
      </c>
      <c r="D780" s="76">
        <v>1996</v>
      </c>
      <c r="E780" s="76">
        <v>1998</v>
      </c>
      <c r="F780" s="81">
        <v>120.67</v>
      </c>
      <c r="G780" s="76">
        <v>10</v>
      </c>
      <c r="H780" s="76">
        <v>0</v>
      </c>
      <c r="I780" s="79">
        <v>1636</v>
      </c>
      <c r="J780" s="79">
        <v>1869</v>
      </c>
      <c r="K780" s="13"/>
      <c r="L780" s="13"/>
    </row>
    <row r="781" spans="1:12" x14ac:dyDescent="0.2">
      <c r="A781" s="76">
        <v>534</v>
      </c>
      <c r="B781" s="76">
        <v>1</v>
      </c>
      <c r="C781" s="76" t="s">
        <v>230</v>
      </c>
      <c r="D781" s="76">
        <v>1997</v>
      </c>
      <c r="E781" s="76">
        <v>1998</v>
      </c>
      <c r="F781" s="81">
        <v>192.65</v>
      </c>
      <c r="G781" s="76">
        <v>10</v>
      </c>
      <c r="H781" s="76">
        <v>0</v>
      </c>
      <c r="I781" s="79">
        <v>586</v>
      </c>
      <c r="J781" s="79">
        <v>747</v>
      </c>
      <c r="K781" s="13"/>
      <c r="L781" s="13"/>
    </row>
    <row r="782" spans="1:12" x14ac:dyDescent="0.2">
      <c r="A782" s="76">
        <v>534</v>
      </c>
      <c r="B782" s="76">
        <v>1</v>
      </c>
      <c r="C782" s="76" t="s">
        <v>230</v>
      </c>
      <c r="D782" s="76">
        <v>1998</v>
      </c>
      <c r="E782" s="76">
        <v>1999</v>
      </c>
      <c r="F782" s="81">
        <v>227.65</v>
      </c>
      <c r="G782" s="76">
        <v>10</v>
      </c>
      <c r="H782" s="76">
        <v>1</v>
      </c>
      <c r="I782" s="79">
        <v>1829</v>
      </c>
      <c r="J782" s="79">
        <v>1525</v>
      </c>
      <c r="K782" s="13"/>
      <c r="L782" s="13"/>
    </row>
    <row r="783" spans="1:12" x14ac:dyDescent="0.2">
      <c r="A783" s="76">
        <v>534</v>
      </c>
      <c r="B783" s="76">
        <v>1</v>
      </c>
      <c r="C783" s="76" t="s">
        <v>230</v>
      </c>
      <c r="D783" s="76">
        <v>2001</v>
      </c>
      <c r="E783" s="76">
        <v>2002</v>
      </c>
      <c r="F783" s="81">
        <v>200</v>
      </c>
      <c r="G783" s="76">
        <v>10</v>
      </c>
      <c r="H783" s="76">
        <v>1</v>
      </c>
      <c r="I783" s="79">
        <v>1107</v>
      </c>
      <c r="J783" s="79">
        <v>807</v>
      </c>
      <c r="K783" s="13"/>
      <c r="L783" s="13"/>
    </row>
    <row r="784" spans="1:12" x14ac:dyDescent="0.2">
      <c r="A784" s="76">
        <v>534</v>
      </c>
      <c r="B784" s="76">
        <v>1</v>
      </c>
      <c r="C784" s="76" t="s">
        <v>230</v>
      </c>
      <c r="D784" s="76">
        <v>2003</v>
      </c>
      <c r="E784" s="76">
        <v>2004</v>
      </c>
      <c r="F784" s="81">
        <v>205</v>
      </c>
      <c r="G784" s="76">
        <v>8</v>
      </c>
      <c r="H784" s="76">
        <v>0</v>
      </c>
      <c r="I784" s="79">
        <v>521</v>
      </c>
      <c r="J784" s="79">
        <v>873</v>
      </c>
      <c r="K784" s="13"/>
      <c r="L784" s="13"/>
    </row>
    <row r="785" spans="1:12" x14ac:dyDescent="0.2">
      <c r="A785" s="76">
        <v>534</v>
      </c>
      <c r="B785" s="76">
        <v>1</v>
      </c>
      <c r="C785" s="76" t="s">
        <v>230</v>
      </c>
      <c r="D785" s="76">
        <v>2004</v>
      </c>
      <c r="E785" s="76">
        <v>2005</v>
      </c>
      <c r="F785" s="81">
        <v>620</v>
      </c>
      <c r="G785" s="76">
        <v>10</v>
      </c>
      <c r="H785" s="76">
        <v>1</v>
      </c>
      <c r="I785" s="79">
        <v>2176</v>
      </c>
      <c r="J785" s="79">
        <v>1995</v>
      </c>
      <c r="K785" s="13"/>
      <c r="L785" s="13"/>
    </row>
    <row r="786" spans="1:12" x14ac:dyDescent="0.2">
      <c r="A786" s="76">
        <v>535</v>
      </c>
      <c r="B786" s="76">
        <v>1</v>
      </c>
      <c r="C786" s="76" t="s">
        <v>231</v>
      </c>
      <c r="D786" s="76">
        <v>2000</v>
      </c>
      <c r="E786" s="76">
        <v>2001</v>
      </c>
      <c r="F786" s="81">
        <v>514</v>
      </c>
      <c r="G786" s="76">
        <v>10</v>
      </c>
      <c r="H786" s="76">
        <v>0</v>
      </c>
      <c r="I786" s="79">
        <v>16311</v>
      </c>
      <c r="J786" s="79">
        <v>24813</v>
      </c>
      <c r="K786" s="13"/>
      <c r="L786" s="13"/>
    </row>
    <row r="787" spans="1:12" x14ac:dyDescent="0.2">
      <c r="A787" s="76">
        <v>535</v>
      </c>
      <c r="B787" s="76">
        <v>1</v>
      </c>
      <c r="C787" s="76" t="s">
        <v>231</v>
      </c>
      <c r="D787" s="76">
        <v>2001</v>
      </c>
      <c r="E787" s="76">
        <v>2002</v>
      </c>
      <c r="F787" s="81">
        <v>360</v>
      </c>
      <c r="G787" s="76">
        <v>6</v>
      </c>
      <c r="H787" s="76">
        <v>1</v>
      </c>
      <c r="I787" s="79">
        <v>12027</v>
      </c>
      <c r="J787" s="79">
        <v>11843</v>
      </c>
      <c r="K787" s="13"/>
      <c r="L787" s="13"/>
    </row>
    <row r="788" spans="1:12" x14ac:dyDescent="0.2">
      <c r="A788" s="76">
        <v>535</v>
      </c>
      <c r="B788" s="76">
        <v>1</v>
      </c>
      <c r="C788" s="76" t="s">
        <v>231</v>
      </c>
      <c r="D788" s="76">
        <v>2006</v>
      </c>
      <c r="E788" s="78">
        <v>2008</v>
      </c>
      <c r="F788" s="81">
        <v>440.84</v>
      </c>
      <c r="G788" s="78">
        <v>9</v>
      </c>
      <c r="H788" s="76">
        <v>1</v>
      </c>
      <c r="I788" s="77">
        <v>26638</v>
      </c>
      <c r="J788" s="77">
        <v>16870</v>
      </c>
      <c r="K788" s="13"/>
      <c r="L788" s="13"/>
    </row>
    <row r="789" spans="1:12" x14ac:dyDescent="0.2">
      <c r="A789" s="76">
        <v>535</v>
      </c>
      <c r="B789" s="76">
        <v>1</v>
      </c>
      <c r="C789" s="76" t="s">
        <v>231</v>
      </c>
      <c r="D789" s="76">
        <v>2006</v>
      </c>
      <c r="E789" s="78">
        <v>2007</v>
      </c>
      <c r="F789" s="81">
        <v>200</v>
      </c>
      <c r="G789" s="78">
        <v>10</v>
      </c>
      <c r="H789" s="76">
        <v>0</v>
      </c>
      <c r="I789" s="77">
        <v>21005</v>
      </c>
      <c r="J789" s="77">
        <v>22341</v>
      </c>
      <c r="K789" s="13"/>
      <c r="L789" s="13"/>
    </row>
    <row r="790" spans="1:12" x14ac:dyDescent="0.2">
      <c r="A790" s="76">
        <v>542</v>
      </c>
      <c r="B790" s="76">
        <v>1</v>
      </c>
      <c r="C790" s="76" t="s">
        <v>232</v>
      </c>
      <c r="D790" s="76">
        <v>1992</v>
      </c>
      <c r="E790" s="76">
        <v>1993</v>
      </c>
      <c r="F790" s="81">
        <v>297.12</v>
      </c>
      <c r="G790" s="76">
        <v>5</v>
      </c>
      <c r="H790" s="76">
        <v>1</v>
      </c>
      <c r="I790" s="79" t="s">
        <v>840</v>
      </c>
      <c r="J790" s="79" t="s">
        <v>840</v>
      </c>
      <c r="K790" s="13"/>
      <c r="L790" s="13"/>
    </row>
    <row r="791" spans="1:12" x14ac:dyDescent="0.2">
      <c r="A791" s="76">
        <v>544</v>
      </c>
      <c r="B791" s="76">
        <v>1</v>
      </c>
      <c r="C791" s="76" t="s">
        <v>233</v>
      </c>
      <c r="D791" s="76">
        <v>1996</v>
      </c>
      <c r="E791" s="76">
        <v>1997</v>
      </c>
      <c r="F791" s="81">
        <v>269.54000000000002</v>
      </c>
      <c r="G791" s="76">
        <v>10</v>
      </c>
      <c r="H791" s="76">
        <v>1</v>
      </c>
      <c r="I791" s="79">
        <v>4391</v>
      </c>
      <c r="J791" s="79">
        <v>3546</v>
      </c>
      <c r="K791" s="13"/>
      <c r="L791" s="13"/>
    </row>
    <row r="792" spans="1:12" x14ac:dyDescent="0.2">
      <c r="A792" s="76">
        <v>544</v>
      </c>
      <c r="B792" s="76">
        <v>1</v>
      </c>
      <c r="C792" s="76" t="s">
        <v>233</v>
      </c>
      <c r="D792" s="76">
        <v>1998</v>
      </c>
      <c r="E792" s="76">
        <v>1999</v>
      </c>
      <c r="F792" s="81">
        <v>80.459999999999994</v>
      </c>
      <c r="G792" s="76">
        <v>10</v>
      </c>
      <c r="H792" s="76">
        <v>0</v>
      </c>
      <c r="I792" s="79">
        <v>3226</v>
      </c>
      <c r="J792" s="79">
        <v>4866</v>
      </c>
      <c r="K792" s="13"/>
      <c r="L792" s="13"/>
    </row>
    <row r="793" spans="1:12" x14ac:dyDescent="0.2">
      <c r="A793" s="76">
        <v>544</v>
      </c>
      <c r="B793" s="76">
        <v>1</v>
      </c>
      <c r="C793" s="76" t="s">
        <v>233</v>
      </c>
      <c r="D793" s="76">
        <v>1999</v>
      </c>
      <c r="E793" s="76">
        <v>2000</v>
      </c>
      <c r="F793" s="81">
        <v>145.46</v>
      </c>
      <c r="G793" s="76">
        <v>10</v>
      </c>
      <c r="H793" s="76">
        <v>1</v>
      </c>
      <c r="I793" s="79">
        <v>3012</v>
      </c>
      <c r="J793" s="79">
        <v>1337</v>
      </c>
      <c r="K793" s="13"/>
      <c r="L793" s="13"/>
    </row>
    <row r="794" spans="1:12" x14ac:dyDescent="0.2">
      <c r="A794" s="76">
        <v>544</v>
      </c>
      <c r="B794" s="76">
        <v>1</v>
      </c>
      <c r="C794" s="76" t="s">
        <v>233</v>
      </c>
      <c r="D794" s="76">
        <v>2001</v>
      </c>
      <c r="E794" s="76">
        <v>2002</v>
      </c>
      <c r="F794" s="81">
        <v>415</v>
      </c>
      <c r="G794" s="76">
        <v>10</v>
      </c>
      <c r="H794" s="76">
        <v>1</v>
      </c>
      <c r="I794" s="79">
        <v>3096</v>
      </c>
      <c r="J794" s="79">
        <v>1576</v>
      </c>
      <c r="K794" s="13"/>
      <c r="L794" s="13"/>
    </row>
    <row r="795" spans="1:12" x14ac:dyDescent="0.2">
      <c r="A795" s="76">
        <v>545</v>
      </c>
      <c r="B795" s="76">
        <v>1</v>
      </c>
      <c r="C795" s="76" t="s">
        <v>234</v>
      </c>
      <c r="D795" s="76">
        <v>1992</v>
      </c>
      <c r="E795" s="76">
        <v>1993</v>
      </c>
      <c r="F795" s="81">
        <v>280</v>
      </c>
      <c r="G795" s="76">
        <v>5</v>
      </c>
      <c r="H795" s="76">
        <v>1</v>
      </c>
      <c r="I795" s="79" t="s">
        <v>840</v>
      </c>
      <c r="J795" s="79" t="s">
        <v>840</v>
      </c>
      <c r="K795" s="13"/>
      <c r="L795" s="13"/>
    </row>
    <row r="796" spans="1:12" x14ac:dyDescent="0.2">
      <c r="A796" s="76">
        <v>545</v>
      </c>
      <c r="B796" s="76">
        <v>1</v>
      </c>
      <c r="C796" s="76" t="s">
        <v>234</v>
      </c>
      <c r="D796" s="76">
        <v>1997</v>
      </c>
      <c r="E796" s="76">
        <v>1998</v>
      </c>
      <c r="F796" s="81">
        <v>380</v>
      </c>
      <c r="G796" s="76">
        <v>5</v>
      </c>
      <c r="H796" s="76">
        <v>0</v>
      </c>
      <c r="I796" s="79">
        <v>300</v>
      </c>
      <c r="J796" s="79">
        <v>353</v>
      </c>
      <c r="K796" s="13"/>
      <c r="L796" s="13"/>
    </row>
    <row r="797" spans="1:12" x14ac:dyDescent="0.2">
      <c r="A797" s="76">
        <v>545</v>
      </c>
      <c r="B797" s="76">
        <v>1</v>
      </c>
      <c r="C797" s="76" t="s">
        <v>234</v>
      </c>
      <c r="D797" s="76">
        <v>1998</v>
      </c>
      <c r="E797" s="76">
        <v>1999</v>
      </c>
      <c r="F797" s="81">
        <v>350</v>
      </c>
      <c r="G797" s="76">
        <v>10</v>
      </c>
      <c r="H797" s="76">
        <v>0</v>
      </c>
      <c r="I797" s="79">
        <v>652</v>
      </c>
      <c r="J797" s="79">
        <v>707</v>
      </c>
      <c r="K797" s="13"/>
      <c r="L797" s="13"/>
    </row>
    <row r="798" spans="1:12" x14ac:dyDescent="0.2">
      <c r="A798" s="76">
        <v>545</v>
      </c>
      <c r="B798" s="76">
        <v>1</v>
      </c>
      <c r="C798" s="76" t="s">
        <v>234</v>
      </c>
      <c r="D798" s="76">
        <v>1999</v>
      </c>
      <c r="E798" s="76">
        <v>2000</v>
      </c>
      <c r="F798" s="81">
        <v>415</v>
      </c>
      <c r="G798" s="76">
        <v>10</v>
      </c>
      <c r="H798" s="76">
        <v>1</v>
      </c>
      <c r="I798" s="79">
        <v>748</v>
      </c>
      <c r="J798" s="79">
        <v>319</v>
      </c>
      <c r="K798" s="13"/>
      <c r="L798" s="13"/>
    </row>
    <row r="799" spans="1:12" x14ac:dyDescent="0.2">
      <c r="A799" s="76">
        <v>545</v>
      </c>
      <c r="B799" s="76">
        <v>1</v>
      </c>
      <c r="C799" s="76" t="s">
        <v>234</v>
      </c>
      <c r="D799" s="76">
        <v>2001</v>
      </c>
      <c r="E799" s="76">
        <v>2002</v>
      </c>
      <c r="F799" s="81">
        <v>400</v>
      </c>
      <c r="G799" s="76">
        <v>10</v>
      </c>
      <c r="H799" s="76">
        <v>1</v>
      </c>
      <c r="I799" s="79">
        <v>588</v>
      </c>
      <c r="J799" s="79">
        <v>412</v>
      </c>
      <c r="K799" s="13"/>
      <c r="L799" s="13"/>
    </row>
    <row r="800" spans="1:12" x14ac:dyDescent="0.2">
      <c r="A800" s="76">
        <v>545</v>
      </c>
      <c r="B800" s="76">
        <v>1</v>
      </c>
      <c r="C800" s="76" t="s">
        <v>234</v>
      </c>
      <c r="D800" s="76">
        <v>2002</v>
      </c>
      <c r="E800" s="76">
        <v>2003</v>
      </c>
      <c r="F800" s="81">
        <v>300</v>
      </c>
      <c r="G800" s="76">
        <v>5</v>
      </c>
      <c r="H800" s="76">
        <v>0</v>
      </c>
      <c r="I800" s="79">
        <v>474</v>
      </c>
      <c r="J800" s="79">
        <v>531</v>
      </c>
      <c r="K800" s="13"/>
      <c r="L800" s="13"/>
    </row>
    <row r="801" spans="1:12" x14ac:dyDescent="0.2">
      <c r="A801" s="76">
        <v>545</v>
      </c>
      <c r="B801" s="76">
        <v>1</v>
      </c>
      <c r="C801" s="76" t="s">
        <v>234</v>
      </c>
      <c r="D801" s="76">
        <v>2002</v>
      </c>
      <c r="E801" s="76">
        <v>2003</v>
      </c>
      <c r="F801" s="81">
        <v>600</v>
      </c>
      <c r="G801" s="76">
        <v>10</v>
      </c>
      <c r="H801" s="76">
        <v>1</v>
      </c>
      <c r="I801" s="79">
        <v>933</v>
      </c>
      <c r="J801" s="79">
        <v>639</v>
      </c>
      <c r="K801" s="13"/>
      <c r="L801" s="13"/>
    </row>
    <row r="802" spans="1:12" x14ac:dyDescent="0.2">
      <c r="A802" s="76">
        <v>547</v>
      </c>
      <c r="B802" s="76">
        <v>1</v>
      </c>
      <c r="C802" s="76" t="s">
        <v>235</v>
      </c>
      <c r="D802" s="76">
        <v>1995</v>
      </c>
      <c r="E802" s="76">
        <v>1996</v>
      </c>
      <c r="F802" s="81">
        <v>425.54</v>
      </c>
      <c r="G802" s="76">
        <v>10</v>
      </c>
      <c r="H802" s="76">
        <v>1</v>
      </c>
      <c r="I802" s="79">
        <v>326</v>
      </c>
      <c r="J802" s="79">
        <v>217</v>
      </c>
      <c r="K802" s="13"/>
      <c r="L802" s="13"/>
    </row>
    <row r="803" spans="1:12" x14ac:dyDescent="0.2">
      <c r="A803" s="76">
        <v>547</v>
      </c>
      <c r="B803" s="76">
        <v>1</v>
      </c>
      <c r="C803" s="76" t="s">
        <v>235</v>
      </c>
      <c r="D803" s="76">
        <v>2001</v>
      </c>
      <c r="E803" s="76">
        <v>2002</v>
      </c>
      <c r="F803" s="81">
        <v>400</v>
      </c>
      <c r="G803" s="76">
        <v>10</v>
      </c>
      <c r="H803" s="76">
        <v>1</v>
      </c>
      <c r="I803" s="79">
        <v>431</v>
      </c>
      <c r="J803" s="79">
        <v>346</v>
      </c>
      <c r="K803" s="13"/>
      <c r="L803" s="13"/>
    </row>
    <row r="804" spans="1:12" x14ac:dyDescent="0.2">
      <c r="A804" s="76">
        <v>547</v>
      </c>
      <c r="B804" s="76">
        <v>1</v>
      </c>
      <c r="C804" s="76" t="s">
        <v>235</v>
      </c>
      <c r="D804" s="76">
        <v>2006</v>
      </c>
      <c r="E804" s="78">
        <v>2007</v>
      </c>
      <c r="F804" s="81">
        <v>447.85</v>
      </c>
      <c r="G804" s="78">
        <v>10</v>
      </c>
      <c r="H804" s="76">
        <v>0</v>
      </c>
      <c r="I804" s="77">
        <v>594</v>
      </c>
      <c r="J804" s="77">
        <v>736</v>
      </c>
      <c r="K804" s="13"/>
      <c r="L804" s="13"/>
    </row>
    <row r="805" spans="1:12" x14ac:dyDescent="0.2">
      <c r="A805" s="76">
        <v>547</v>
      </c>
      <c r="B805" s="76">
        <v>1</v>
      </c>
      <c r="C805" s="76" t="s">
        <v>235</v>
      </c>
      <c r="D805" s="82">
        <v>2007</v>
      </c>
      <c r="E805" s="83">
        <v>2008</v>
      </c>
      <c r="F805" s="78">
        <v>447.85</v>
      </c>
      <c r="G805" s="76">
        <v>10</v>
      </c>
      <c r="H805" s="77">
        <v>0</v>
      </c>
      <c r="I805" s="77">
        <v>392</v>
      </c>
      <c r="J805" s="79">
        <v>461</v>
      </c>
      <c r="K805" s="13"/>
      <c r="L805" s="13"/>
    </row>
    <row r="806" spans="1:12" x14ac:dyDescent="0.2">
      <c r="A806">
        <v>547</v>
      </c>
      <c r="B806">
        <v>1</v>
      </c>
      <c r="C806" t="s">
        <v>235</v>
      </c>
      <c r="D806">
        <v>2008</v>
      </c>
      <c r="E806" s="5">
        <v>2009</v>
      </c>
      <c r="F806" s="6">
        <v>797.85</v>
      </c>
      <c r="G806" s="5">
        <v>10</v>
      </c>
      <c r="H806" s="33">
        <v>1</v>
      </c>
      <c r="I806" s="33">
        <v>948</v>
      </c>
      <c r="J806" s="33">
        <v>799</v>
      </c>
      <c r="K806" s="13"/>
      <c r="L806" s="13"/>
    </row>
    <row r="807" spans="1:12" x14ac:dyDescent="0.2">
      <c r="A807">
        <v>548</v>
      </c>
      <c r="B807">
        <v>1</v>
      </c>
      <c r="C807" t="s">
        <v>236</v>
      </c>
      <c r="D807">
        <v>2008</v>
      </c>
      <c r="E807" s="5">
        <v>2009</v>
      </c>
      <c r="F807" s="6">
        <v>1100</v>
      </c>
      <c r="G807" s="5">
        <v>10</v>
      </c>
      <c r="H807" s="33">
        <v>0</v>
      </c>
      <c r="I807" s="33">
        <v>1932</v>
      </c>
      <c r="J807" s="33">
        <v>2076</v>
      </c>
      <c r="K807" s="13"/>
      <c r="L807" s="13"/>
    </row>
    <row r="808" spans="1:12" x14ac:dyDescent="0.2">
      <c r="A808" s="76">
        <v>549</v>
      </c>
      <c r="B808" s="76">
        <v>1</v>
      </c>
      <c r="C808" s="76" t="s">
        <v>237</v>
      </c>
      <c r="D808" s="76">
        <v>2000</v>
      </c>
      <c r="E808" s="76">
        <v>2001</v>
      </c>
      <c r="F808" s="81">
        <v>415</v>
      </c>
      <c r="G808" s="76">
        <v>10</v>
      </c>
      <c r="H808" s="76">
        <v>1</v>
      </c>
      <c r="I808" s="79">
        <v>2637</v>
      </c>
      <c r="J808" s="79">
        <v>2298</v>
      </c>
      <c r="K808" s="13"/>
      <c r="L808" s="13"/>
    </row>
    <row r="809" spans="1:12" x14ac:dyDescent="0.2">
      <c r="A809">
        <v>549</v>
      </c>
      <c r="B809">
        <v>1</v>
      </c>
      <c r="C809" t="s">
        <v>237</v>
      </c>
      <c r="D809">
        <v>2008</v>
      </c>
      <c r="E809" s="5">
        <v>2009</v>
      </c>
      <c r="F809" s="6">
        <v>668.7</v>
      </c>
      <c r="G809" s="5">
        <v>10</v>
      </c>
      <c r="H809" s="33">
        <v>0</v>
      </c>
      <c r="I809" s="33">
        <v>1911</v>
      </c>
      <c r="J809" s="33">
        <v>4054</v>
      </c>
      <c r="K809" s="13"/>
      <c r="L809" s="13"/>
    </row>
    <row r="810" spans="1:12" x14ac:dyDescent="0.2">
      <c r="A810" s="76">
        <v>550</v>
      </c>
      <c r="B810" s="76">
        <v>1</v>
      </c>
      <c r="C810" s="76" t="s">
        <v>238</v>
      </c>
      <c r="D810" s="76">
        <v>1994</v>
      </c>
      <c r="E810" s="76">
        <v>1995</v>
      </c>
      <c r="F810" s="81">
        <v>293.24</v>
      </c>
      <c r="G810" s="76">
        <v>5</v>
      </c>
      <c r="H810" s="76">
        <v>1</v>
      </c>
      <c r="I810" s="79">
        <v>547</v>
      </c>
      <c r="J810" s="79">
        <v>382</v>
      </c>
      <c r="K810" s="13"/>
      <c r="L810" s="13"/>
    </row>
    <row r="811" spans="1:12" x14ac:dyDescent="0.2">
      <c r="A811" s="76">
        <v>550</v>
      </c>
      <c r="B811" s="76">
        <v>1</v>
      </c>
      <c r="C811" s="76" t="s">
        <v>238</v>
      </c>
      <c r="D811" s="76">
        <v>1999</v>
      </c>
      <c r="E811" s="76">
        <v>2000</v>
      </c>
      <c r="F811" s="81">
        <v>193.24</v>
      </c>
      <c r="G811" s="76">
        <v>10</v>
      </c>
      <c r="H811" s="76">
        <v>1</v>
      </c>
      <c r="I811" s="79">
        <v>367</v>
      </c>
      <c r="J811" s="79">
        <v>347</v>
      </c>
      <c r="K811" s="13"/>
      <c r="L811" s="13"/>
    </row>
    <row r="812" spans="1:12" x14ac:dyDescent="0.2">
      <c r="A812" s="76">
        <v>553</v>
      </c>
      <c r="B812" s="76">
        <v>1</v>
      </c>
      <c r="C812" s="76" t="s">
        <v>239</v>
      </c>
      <c r="D812" s="76">
        <v>1995</v>
      </c>
      <c r="E812" s="76">
        <v>1996</v>
      </c>
      <c r="F812" s="81">
        <v>439.14</v>
      </c>
      <c r="G812" s="76">
        <v>10</v>
      </c>
      <c r="H812" s="76">
        <v>1</v>
      </c>
      <c r="I812" s="79">
        <v>479</v>
      </c>
      <c r="J812" s="79">
        <v>81</v>
      </c>
      <c r="K812" s="13"/>
      <c r="L812" s="13"/>
    </row>
    <row r="813" spans="1:12" x14ac:dyDescent="0.2">
      <c r="A813" s="76">
        <v>553</v>
      </c>
      <c r="B813" s="76">
        <v>1</v>
      </c>
      <c r="C813" s="76" t="s">
        <v>239</v>
      </c>
      <c r="D813" s="76">
        <v>2001</v>
      </c>
      <c r="E813" s="76">
        <v>2002</v>
      </c>
      <c r="F813" s="81">
        <v>200</v>
      </c>
      <c r="G813" s="76">
        <v>10</v>
      </c>
      <c r="H813" s="76">
        <v>1</v>
      </c>
      <c r="I813" s="79">
        <v>427</v>
      </c>
      <c r="J813" s="79">
        <v>151</v>
      </c>
      <c r="K813" s="13"/>
      <c r="L813" s="13"/>
    </row>
    <row r="814" spans="1:12" x14ac:dyDescent="0.2">
      <c r="A814" s="76">
        <v>553</v>
      </c>
      <c r="B814" s="76">
        <v>1</v>
      </c>
      <c r="C814" s="76" t="s">
        <v>239</v>
      </c>
      <c r="D814" s="76">
        <v>2004</v>
      </c>
      <c r="E814" s="76">
        <v>2005</v>
      </c>
      <c r="F814" s="81">
        <v>500</v>
      </c>
      <c r="G814" s="76">
        <v>10</v>
      </c>
      <c r="H814" s="76">
        <v>0</v>
      </c>
      <c r="I814" s="79">
        <v>686</v>
      </c>
      <c r="J814" s="79">
        <v>1129</v>
      </c>
      <c r="K814" s="13"/>
      <c r="L814" s="13"/>
    </row>
    <row r="815" spans="1:12" x14ac:dyDescent="0.2">
      <c r="A815" s="76">
        <v>561</v>
      </c>
      <c r="B815" s="76">
        <v>1</v>
      </c>
      <c r="C815" s="76" t="s">
        <v>240</v>
      </c>
      <c r="D815" s="76">
        <v>1994</v>
      </c>
      <c r="E815" s="76">
        <v>1995</v>
      </c>
      <c r="F815" s="81">
        <v>208.02</v>
      </c>
      <c r="G815" s="76">
        <v>10</v>
      </c>
      <c r="H815" s="76">
        <v>1</v>
      </c>
      <c r="I815" s="79">
        <v>195</v>
      </c>
      <c r="J815" s="79">
        <v>153</v>
      </c>
      <c r="K815" s="13"/>
      <c r="L815" s="13"/>
    </row>
    <row r="816" spans="1:12" x14ac:dyDescent="0.2">
      <c r="A816" s="76">
        <v>561</v>
      </c>
      <c r="B816" s="76">
        <v>1</v>
      </c>
      <c r="C816" s="76" t="s">
        <v>240</v>
      </c>
      <c r="D816" s="76">
        <v>2003</v>
      </c>
      <c r="E816" s="76">
        <v>2004</v>
      </c>
      <c r="F816" s="81">
        <v>1750</v>
      </c>
      <c r="G816" s="76">
        <v>7</v>
      </c>
      <c r="H816" s="76">
        <v>1</v>
      </c>
      <c r="I816" s="79">
        <v>172</v>
      </c>
      <c r="J816" s="79">
        <v>59</v>
      </c>
      <c r="K816" s="13"/>
      <c r="L816" s="13"/>
    </row>
    <row r="817" spans="1:12" x14ac:dyDescent="0.2">
      <c r="A817" s="76">
        <v>561</v>
      </c>
      <c r="B817" s="76">
        <v>1</v>
      </c>
      <c r="C817" s="76" t="s">
        <v>240</v>
      </c>
      <c r="D817" s="82">
        <v>2007</v>
      </c>
      <c r="E817" s="83">
        <v>2008</v>
      </c>
      <c r="F817" s="78">
        <v>98.46</v>
      </c>
      <c r="G817" s="76">
        <v>10</v>
      </c>
      <c r="H817" s="77">
        <v>1</v>
      </c>
      <c r="I817" s="77">
        <v>75</v>
      </c>
      <c r="J817" s="79">
        <v>8</v>
      </c>
      <c r="K817" s="13"/>
      <c r="L817" s="13"/>
    </row>
    <row r="818" spans="1:12" x14ac:dyDescent="0.2">
      <c r="A818" s="76">
        <v>564</v>
      </c>
      <c r="B818" s="76">
        <v>1</v>
      </c>
      <c r="C818" s="76" t="s">
        <v>241</v>
      </c>
      <c r="D818" s="76">
        <v>1994</v>
      </c>
      <c r="E818" s="76">
        <v>1995</v>
      </c>
      <c r="F818" s="81">
        <v>289.29000000000002</v>
      </c>
      <c r="G818" s="76">
        <v>10</v>
      </c>
      <c r="H818" s="76">
        <v>0</v>
      </c>
      <c r="I818" s="79">
        <v>1796</v>
      </c>
      <c r="J818" s="79">
        <v>2700</v>
      </c>
      <c r="K818" s="13"/>
      <c r="L818" s="13"/>
    </row>
    <row r="819" spans="1:12" x14ac:dyDescent="0.2">
      <c r="A819" s="76">
        <v>564</v>
      </c>
      <c r="B819" s="76">
        <v>1</v>
      </c>
      <c r="C819" s="76" t="s">
        <v>241</v>
      </c>
      <c r="D819" s="76">
        <v>1995</v>
      </c>
      <c r="E819" s="76">
        <v>1996</v>
      </c>
      <c r="F819" s="81">
        <v>281.24</v>
      </c>
      <c r="G819" s="76">
        <v>10</v>
      </c>
      <c r="H819" s="76">
        <v>0</v>
      </c>
      <c r="I819" s="79">
        <v>1263</v>
      </c>
      <c r="J819" s="79">
        <v>1371</v>
      </c>
      <c r="K819" s="13"/>
      <c r="L819" s="13"/>
    </row>
    <row r="820" spans="1:12" x14ac:dyDescent="0.2">
      <c r="A820" s="76">
        <v>564</v>
      </c>
      <c r="B820" s="76">
        <v>1</v>
      </c>
      <c r="C820" s="76" t="s">
        <v>241</v>
      </c>
      <c r="D820" s="76">
        <v>1996</v>
      </c>
      <c r="E820" s="76">
        <v>1997</v>
      </c>
      <c r="F820" s="81">
        <v>239.34</v>
      </c>
      <c r="G820" s="76">
        <v>10</v>
      </c>
      <c r="H820" s="76">
        <v>0</v>
      </c>
      <c r="I820" s="79">
        <v>2725</v>
      </c>
      <c r="J820" s="79">
        <v>2793</v>
      </c>
      <c r="K820" s="13"/>
      <c r="L820" s="13"/>
    </row>
    <row r="821" spans="1:12" x14ac:dyDescent="0.2">
      <c r="A821" s="76">
        <v>564</v>
      </c>
      <c r="B821" s="76">
        <v>1</v>
      </c>
      <c r="C821" s="76" t="s">
        <v>241</v>
      </c>
      <c r="D821" s="76">
        <v>1997</v>
      </c>
      <c r="E821" s="76">
        <v>1998</v>
      </c>
      <c r="F821" s="81">
        <v>234.95</v>
      </c>
      <c r="G821" s="76">
        <v>10</v>
      </c>
      <c r="H821" s="76">
        <v>1</v>
      </c>
      <c r="I821" s="79">
        <v>2013</v>
      </c>
      <c r="J821" s="79">
        <v>1693</v>
      </c>
      <c r="K821" s="13"/>
      <c r="L821" s="13"/>
    </row>
    <row r="822" spans="1:12" x14ac:dyDescent="0.2">
      <c r="A822" s="76">
        <v>564</v>
      </c>
      <c r="B822" s="76">
        <v>1</v>
      </c>
      <c r="C822" s="76" t="s">
        <v>241</v>
      </c>
      <c r="D822" s="76">
        <v>2001</v>
      </c>
      <c r="E822" s="76">
        <v>2002</v>
      </c>
      <c r="F822" s="81">
        <v>126</v>
      </c>
      <c r="G822" s="76">
        <v>10</v>
      </c>
      <c r="H822" s="76">
        <v>1</v>
      </c>
      <c r="I822" s="79">
        <v>981</v>
      </c>
      <c r="J822" s="79">
        <v>858</v>
      </c>
      <c r="K822" s="13"/>
      <c r="L822" s="13"/>
    </row>
    <row r="823" spans="1:12" x14ac:dyDescent="0.2">
      <c r="A823" s="76">
        <v>564</v>
      </c>
      <c r="B823" s="76">
        <v>1</v>
      </c>
      <c r="C823" s="76" t="s">
        <v>876</v>
      </c>
      <c r="D823" s="76">
        <v>2004</v>
      </c>
      <c r="E823" s="76">
        <v>2005</v>
      </c>
      <c r="F823" s="81">
        <v>621.96</v>
      </c>
      <c r="G823" s="76">
        <v>10</v>
      </c>
      <c r="H823" s="76">
        <v>1</v>
      </c>
      <c r="I823" s="79">
        <v>4115</v>
      </c>
      <c r="J823" s="79">
        <v>2495</v>
      </c>
      <c r="K823" s="13"/>
      <c r="L823" s="13"/>
    </row>
    <row r="824" spans="1:12" x14ac:dyDescent="0.2">
      <c r="A824" s="76">
        <v>577</v>
      </c>
      <c r="B824" s="76">
        <v>1</v>
      </c>
      <c r="C824" s="76" t="s">
        <v>242</v>
      </c>
      <c r="D824" s="76">
        <v>1995</v>
      </c>
      <c r="E824" s="76">
        <v>1996</v>
      </c>
      <c r="F824" s="81">
        <v>448.38</v>
      </c>
      <c r="G824" s="76">
        <v>5</v>
      </c>
      <c r="H824" s="76">
        <v>1</v>
      </c>
      <c r="I824" s="79">
        <v>202</v>
      </c>
      <c r="J824" s="79">
        <v>80</v>
      </c>
      <c r="K824" s="13"/>
      <c r="L824" s="13"/>
    </row>
    <row r="825" spans="1:12" x14ac:dyDescent="0.2">
      <c r="A825" s="76">
        <v>577</v>
      </c>
      <c r="B825" s="76">
        <v>1</v>
      </c>
      <c r="C825" s="76" t="s">
        <v>242</v>
      </c>
      <c r="D825" s="76">
        <v>2000</v>
      </c>
      <c r="E825" s="76">
        <v>2001</v>
      </c>
      <c r="F825" s="81">
        <v>317</v>
      </c>
      <c r="G825" s="76">
        <v>10</v>
      </c>
      <c r="H825" s="76">
        <v>1</v>
      </c>
      <c r="I825" s="79">
        <v>377</v>
      </c>
      <c r="J825" s="79">
        <v>345</v>
      </c>
      <c r="K825" s="13"/>
      <c r="L825" s="13"/>
    </row>
    <row r="826" spans="1:12" x14ac:dyDescent="0.2">
      <c r="A826" s="76">
        <v>577</v>
      </c>
      <c r="B826" s="76">
        <v>1</v>
      </c>
      <c r="C826" s="76" t="s">
        <v>242</v>
      </c>
      <c r="D826" s="76">
        <v>2001</v>
      </c>
      <c r="E826" s="76">
        <v>2002</v>
      </c>
      <c r="F826" s="81">
        <v>126</v>
      </c>
      <c r="G826" s="76">
        <v>10</v>
      </c>
      <c r="H826" s="76">
        <v>1</v>
      </c>
      <c r="I826" s="79">
        <v>173</v>
      </c>
      <c r="J826" s="79">
        <v>168</v>
      </c>
      <c r="K826" s="13"/>
      <c r="L826" s="13"/>
    </row>
    <row r="827" spans="1:12" x14ac:dyDescent="0.2">
      <c r="A827" s="76">
        <v>577</v>
      </c>
      <c r="B827" s="76">
        <v>1</v>
      </c>
      <c r="C827" s="76" t="s">
        <v>242</v>
      </c>
      <c r="D827" s="76">
        <v>2004</v>
      </c>
      <c r="E827" s="76">
        <v>2005</v>
      </c>
      <c r="F827" s="81">
        <v>635</v>
      </c>
      <c r="G827" s="76">
        <v>10</v>
      </c>
      <c r="H827" s="76">
        <v>0</v>
      </c>
      <c r="I827" s="79">
        <v>221</v>
      </c>
      <c r="J827" s="79">
        <v>560</v>
      </c>
      <c r="K827" s="13"/>
      <c r="L827" s="13"/>
    </row>
    <row r="828" spans="1:12" x14ac:dyDescent="0.2">
      <c r="A828" s="76">
        <v>577</v>
      </c>
      <c r="B828" s="76">
        <v>1</v>
      </c>
      <c r="C828" s="76" t="s">
        <v>242</v>
      </c>
      <c r="D828" s="76">
        <v>2006</v>
      </c>
      <c r="E828" s="78">
        <v>2007</v>
      </c>
      <c r="F828" s="81">
        <v>1133</v>
      </c>
      <c r="G828" s="78">
        <v>10</v>
      </c>
      <c r="H828" s="76">
        <v>0</v>
      </c>
      <c r="I828" s="77">
        <v>440</v>
      </c>
      <c r="J828" s="77">
        <v>674</v>
      </c>
      <c r="K828" s="13"/>
      <c r="L828" s="13"/>
    </row>
    <row r="829" spans="1:12" x14ac:dyDescent="0.2">
      <c r="A829" s="76">
        <v>578</v>
      </c>
      <c r="B829" s="76">
        <v>1</v>
      </c>
      <c r="C829" s="76" t="s">
        <v>243</v>
      </c>
      <c r="D829" s="76">
        <v>1999</v>
      </c>
      <c r="E829" s="76">
        <v>2000</v>
      </c>
      <c r="F829" s="81">
        <v>415</v>
      </c>
      <c r="G829" s="76">
        <v>10</v>
      </c>
      <c r="H829" s="76">
        <v>0</v>
      </c>
      <c r="I829" s="79">
        <v>1025</v>
      </c>
      <c r="J829" s="79">
        <v>1030</v>
      </c>
      <c r="K829" s="13"/>
      <c r="L829" s="13"/>
    </row>
    <row r="830" spans="1:12" x14ac:dyDescent="0.2">
      <c r="A830" s="76">
        <v>578</v>
      </c>
      <c r="B830" s="76">
        <v>1</v>
      </c>
      <c r="C830" s="76" t="s">
        <v>243</v>
      </c>
      <c r="D830" s="76">
        <v>2000</v>
      </c>
      <c r="E830" s="76">
        <v>2001</v>
      </c>
      <c r="F830" s="81">
        <v>415</v>
      </c>
      <c r="G830" s="76">
        <v>10</v>
      </c>
      <c r="H830" s="76">
        <v>1</v>
      </c>
      <c r="I830" s="79">
        <v>3036</v>
      </c>
      <c r="J830" s="79">
        <v>1762</v>
      </c>
      <c r="K830" s="13"/>
      <c r="L830" s="13"/>
    </row>
    <row r="831" spans="1:12" x14ac:dyDescent="0.2">
      <c r="A831" s="76">
        <v>578</v>
      </c>
      <c r="B831" s="76">
        <v>1</v>
      </c>
      <c r="C831" s="76" t="s">
        <v>243</v>
      </c>
      <c r="D831" s="76">
        <v>2001</v>
      </c>
      <c r="E831" s="76">
        <v>2002</v>
      </c>
      <c r="F831" s="81">
        <v>823.77</v>
      </c>
      <c r="G831" s="76">
        <v>10</v>
      </c>
      <c r="H831" s="76">
        <v>1</v>
      </c>
      <c r="I831" s="79">
        <v>1004</v>
      </c>
      <c r="J831" s="79">
        <v>490</v>
      </c>
      <c r="K831" s="13"/>
      <c r="L831" s="13"/>
    </row>
    <row r="832" spans="1:12" x14ac:dyDescent="0.2">
      <c r="A832" s="76">
        <v>581</v>
      </c>
      <c r="B832" s="76">
        <v>1</v>
      </c>
      <c r="C832" s="76" t="s">
        <v>244</v>
      </c>
      <c r="D832" s="76">
        <v>2000</v>
      </c>
      <c r="E832" s="76">
        <v>2001</v>
      </c>
      <c r="F832" s="81">
        <v>686.75</v>
      </c>
      <c r="G832" s="76">
        <v>10</v>
      </c>
      <c r="H832" s="76">
        <v>1</v>
      </c>
      <c r="I832" s="79">
        <v>697</v>
      </c>
      <c r="J832" s="79">
        <v>563</v>
      </c>
      <c r="K832" s="13"/>
      <c r="L832" s="13"/>
    </row>
    <row r="833" spans="1:12" x14ac:dyDescent="0.2">
      <c r="A833">
        <v>581</v>
      </c>
      <c r="B833">
        <v>1</v>
      </c>
      <c r="C833" t="s">
        <v>244</v>
      </c>
      <c r="D833">
        <v>2008</v>
      </c>
      <c r="E833" s="5">
        <v>2009</v>
      </c>
      <c r="F833" s="6">
        <v>386.46</v>
      </c>
      <c r="G833" s="5">
        <v>10</v>
      </c>
      <c r="H833" s="33">
        <v>0</v>
      </c>
      <c r="I833" s="33">
        <v>592</v>
      </c>
      <c r="J833" s="33">
        <v>770</v>
      </c>
      <c r="K833" s="13"/>
      <c r="L833" s="13"/>
    </row>
    <row r="834" spans="1:12" x14ac:dyDescent="0.2">
      <c r="A834">
        <v>581</v>
      </c>
      <c r="B834">
        <v>1</v>
      </c>
      <c r="C834" t="s">
        <v>244</v>
      </c>
      <c r="D834">
        <v>2008</v>
      </c>
      <c r="E834" s="5">
        <v>2009</v>
      </c>
      <c r="F834" s="6">
        <v>200</v>
      </c>
      <c r="G834" s="5">
        <v>10</v>
      </c>
      <c r="H834" s="33">
        <v>0</v>
      </c>
      <c r="I834" s="33">
        <v>470</v>
      </c>
      <c r="J834" s="33">
        <v>890</v>
      </c>
      <c r="K834" s="13"/>
      <c r="L834" s="13"/>
    </row>
    <row r="835" spans="1:12" x14ac:dyDescent="0.2">
      <c r="A835" s="76">
        <v>584</v>
      </c>
      <c r="B835" s="76">
        <v>1</v>
      </c>
      <c r="C835" s="76" t="s">
        <v>245</v>
      </c>
      <c r="D835" s="76">
        <v>1998</v>
      </c>
      <c r="E835" s="76">
        <v>1999</v>
      </c>
      <c r="F835" s="81">
        <v>350</v>
      </c>
      <c r="G835" s="76">
        <v>10</v>
      </c>
      <c r="H835" s="76">
        <v>0</v>
      </c>
      <c r="I835" s="79">
        <v>173</v>
      </c>
      <c r="J835" s="79">
        <v>202</v>
      </c>
      <c r="K835" s="13"/>
      <c r="L835" s="13"/>
    </row>
    <row r="836" spans="1:12" x14ac:dyDescent="0.2">
      <c r="A836" s="76">
        <v>584</v>
      </c>
      <c r="B836" s="76">
        <v>1</v>
      </c>
      <c r="C836" s="76" t="s">
        <v>245</v>
      </c>
      <c r="D836" s="76">
        <v>2000</v>
      </c>
      <c r="E836" s="76">
        <v>2001</v>
      </c>
      <c r="F836" s="81">
        <v>400</v>
      </c>
      <c r="G836" s="76">
        <v>10</v>
      </c>
      <c r="H836" s="76">
        <v>1</v>
      </c>
      <c r="I836" s="79">
        <v>248</v>
      </c>
      <c r="J836" s="79">
        <v>175</v>
      </c>
      <c r="K836" s="13"/>
      <c r="L836" s="13"/>
    </row>
    <row r="837" spans="1:12" x14ac:dyDescent="0.2">
      <c r="A837" s="76">
        <v>584</v>
      </c>
      <c r="B837" s="76">
        <v>1</v>
      </c>
      <c r="C837" s="76" t="s">
        <v>245</v>
      </c>
      <c r="D837" s="76">
        <v>2003</v>
      </c>
      <c r="E837" s="76">
        <v>2004</v>
      </c>
      <c r="F837" s="81">
        <v>500</v>
      </c>
      <c r="G837" s="76">
        <v>10</v>
      </c>
      <c r="H837" s="76">
        <v>1</v>
      </c>
      <c r="I837" s="79">
        <v>84</v>
      </c>
      <c r="J837" s="79">
        <v>47</v>
      </c>
      <c r="K837" s="13"/>
      <c r="L837" s="13"/>
    </row>
    <row r="838" spans="1:12" x14ac:dyDescent="0.2">
      <c r="A838" s="76">
        <v>592</v>
      </c>
      <c r="B838" s="76">
        <v>1</v>
      </c>
      <c r="C838" s="76" t="s">
        <v>246</v>
      </c>
      <c r="D838" s="76">
        <v>2002</v>
      </c>
      <c r="E838" s="76">
        <v>2003</v>
      </c>
      <c r="F838" s="81">
        <v>1931</v>
      </c>
      <c r="G838" s="76">
        <v>10</v>
      </c>
      <c r="H838" s="76">
        <v>1</v>
      </c>
      <c r="I838" s="79">
        <v>231</v>
      </c>
      <c r="J838" s="79">
        <v>137</v>
      </c>
      <c r="K838" s="13"/>
      <c r="L838" s="13"/>
    </row>
    <row r="839" spans="1:12" x14ac:dyDescent="0.2">
      <c r="A839" s="76">
        <v>593</v>
      </c>
      <c r="B839" s="76">
        <v>1</v>
      </c>
      <c r="C839" s="76" t="s">
        <v>247</v>
      </c>
      <c r="D839" s="76">
        <v>2000</v>
      </c>
      <c r="E839" s="76">
        <v>2001</v>
      </c>
      <c r="F839" s="81">
        <v>415</v>
      </c>
      <c r="G839" s="76">
        <v>10</v>
      </c>
      <c r="H839" s="76">
        <v>0</v>
      </c>
      <c r="I839" s="79">
        <v>1117</v>
      </c>
      <c r="J839" s="79">
        <v>1652</v>
      </c>
      <c r="K839" s="13"/>
      <c r="L839" s="13"/>
    </row>
    <row r="840" spans="1:12" x14ac:dyDescent="0.2">
      <c r="A840" s="76">
        <v>593</v>
      </c>
      <c r="B840" s="76">
        <v>1</v>
      </c>
      <c r="C840" s="76" t="s">
        <v>247</v>
      </c>
      <c r="D840" s="76">
        <v>2001</v>
      </c>
      <c r="E840" s="76">
        <v>2002</v>
      </c>
      <c r="F840" s="81">
        <v>350</v>
      </c>
      <c r="G840" s="76">
        <v>10</v>
      </c>
      <c r="H840" s="76">
        <v>1</v>
      </c>
      <c r="I840" s="79">
        <v>1770</v>
      </c>
      <c r="J840" s="79">
        <v>823</v>
      </c>
      <c r="K840" s="13"/>
      <c r="L840" s="13"/>
    </row>
    <row r="841" spans="1:12" x14ac:dyDescent="0.2">
      <c r="A841" s="76">
        <v>593</v>
      </c>
      <c r="B841" s="76">
        <v>1</v>
      </c>
      <c r="C841" s="76" t="s">
        <v>247</v>
      </c>
      <c r="D841" s="76">
        <v>2004</v>
      </c>
      <c r="E841" s="76">
        <v>2005</v>
      </c>
      <c r="F841" s="81">
        <v>100</v>
      </c>
      <c r="G841" s="76">
        <v>10</v>
      </c>
      <c r="H841" s="76">
        <v>1</v>
      </c>
      <c r="I841" s="79">
        <v>2191</v>
      </c>
      <c r="J841" s="79">
        <v>2096</v>
      </c>
      <c r="K841" s="13"/>
      <c r="L841" s="13"/>
    </row>
    <row r="842" spans="1:12" x14ac:dyDescent="0.2">
      <c r="A842" s="76">
        <v>593</v>
      </c>
      <c r="B842" s="76">
        <v>1</v>
      </c>
      <c r="C842" s="76" t="s">
        <v>247</v>
      </c>
      <c r="D842" s="76">
        <v>2004</v>
      </c>
      <c r="E842" s="76">
        <v>2005</v>
      </c>
      <c r="F842" s="81">
        <v>150</v>
      </c>
      <c r="G842" s="76">
        <v>10</v>
      </c>
      <c r="H842" s="76">
        <v>1</v>
      </c>
      <c r="I842" s="79">
        <v>2469</v>
      </c>
      <c r="J842" s="79">
        <v>2057</v>
      </c>
      <c r="K842" s="13"/>
      <c r="L842" s="13"/>
    </row>
    <row r="843" spans="1:12" x14ac:dyDescent="0.2">
      <c r="A843" s="76">
        <v>595</v>
      </c>
      <c r="B843" s="76">
        <v>1</v>
      </c>
      <c r="C843" s="76" t="s">
        <v>248</v>
      </c>
      <c r="D843" s="76">
        <v>1994</v>
      </c>
      <c r="E843" s="76">
        <v>1995</v>
      </c>
      <c r="F843" s="81">
        <v>439</v>
      </c>
      <c r="G843" s="76">
        <v>3</v>
      </c>
      <c r="H843" s="76">
        <v>1</v>
      </c>
      <c r="I843" s="79">
        <v>1494</v>
      </c>
      <c r="J843" s="79">
        <v>1078</v>
      </c>
      <c r="K843" s="13"/>
      <c r="L843" s="13"/>
    </row>
    <row r="844" spans="1:12" x14ac:dyDescent="0.2">
      <c r="A844" s="76">
        <v>595</v>
      </c>
      <c r="B844" s="76">
        <v>1</v>
      </c>
      <c r="C844" s="76" t="s">
        <v>248</v>
      </c>
      <c r="D844" s="76">
        <v>2000</v>
      </c>
      <c r="E844" s="76">
        <v>2001</v>
      </c>
      <c r="F844" s="81">
        <v>415</v>
      </c>
      <c r="G844" s="76">
        <v>10</v>
      </c>
      <c r="H844" s="76">
        <v>0</v>
      </c>
      <c r="I844" s="79">
        <v>988</v>
      </c>
      <c r="J844" s="79">
        <v>1103</v>
      </c>
      <c r="K844" s="13"/>
      <c r="L844" s="13"/>
    </row>
    <row r="845" spans="1:12" x14ac:dyDescent="0.2">
      <c r="A845" s="76">
        <v>595</v>
      </c>
      <c r="B845" s="76">
        <v>1</v>
      </c>
      <c r="C845" s="76" t="s">
        <v>248</v>
      </c>
      <c r="D845" s="76">
        <v>2001</v>
      </c>
      <c r="E845" s="76">
        <v>2002</v>
      </c>
      <c r="F845" s="81">
        <v>126</v>
      </c>
      <c r="G845" s="76">
        <v>10</v>
      </c>
      <c r="H845" s="76">
        <v>1</v>
      </c>
      <c r="I845" s="79">
        <v>1649</v>
      </c>
      <c r="J845" s="79">
        <v>576</v>
      </c>
      <c r="K845" s="13"/>
      <c r="L845" s="13"/>
    </row>
    <row r="846" spans="1:12" x14ac:dyDescent="0.2">
      <c r="A846" s="76">
        <v>595</v>
      </c>
      <c r="B846" s="76">
        <v>1</v>
      </c>
      <c r="C846" s="76" t="s">
        <v>248</v>
      </c>
      <c r="D846" s="76">
        <v>2006</v>
      </c>
      <c r="E846" s="78">
        <v>2007</v>
      </c>
      <c r="F846" s="81">
        <v>573.83000000000004</v>
      </c>
      <c r="G846" s="78">
        <v>10</v>
      </c>
      <c r="H846" s="76">
        <v>0</v>
      </c>
      <c r="I846" s="77">
        <v>1632</v>
      </c>
      <c r="J846" s="77">
        <v>1653</v>
      </c>
      <c r="K846" s="13"/>
      <c r="L846" s="13"/>
    </row>
    <row r="847" spans="1:12" x14ac:dyDescent="0.2">
      <c r="A847" s="76">
        <v>595</v>
      </c>
      <c r="B847" s="76">
        <v>1</v>
      </c>
      <c r="C847" s="76" t="s">
        <v>248</v>
      </c>
      <c r="D847" s="82">
        <v>2007</v>
      </c>
      <c r="E847" s="83">
        <v>2008</v>
      </c>
      <c r="F847" s="78">
        <v>100</v>
      </c>
      <c r="G847" s="76">
        <v>5</v>
      </c>
      <c r="H847" s="77">
        <v>1</v>
      </c>
      <c r="I847" s="77">
        <v>1572</v>
      </c>
      <c r="J847" s="79">
        <v>1131</v>
      </c>
      <c r="K847" s="13"/>
      <c r="L847" s="13"/>
    </row>
    <row r="848" spans="1:12" x14ac:dyDescent="0.2">
      <c r="A848" s="76">
        <v>595</v>
      </c>
      <c r="B848" s="76">
        <v>1</v>
      </c>
      <c r="C848" s="76" t="s">
        <v>248</v>
      </c>
      <c r="D848" s="82">
        <v>2007</v>
      </c>
      <c r="E848" s="83">
        <v>2008</v>
      </c>
      <c r="F848" s="78">
        <v>400</v>
      </c>
      <c r="G848" s="76">
        <v>5</v>
      </c>
      <c r="H848" s="77">
        <v>1</v>
      </c>
      <c r="I848" s="77">
        <v>1713</v>
      </c>
      <c r="J848" s="79">
        <v>1026</v>
      </c>
      <c r="K848" s="13"/>
      <c r="L848" s="13"/>
    </row>
    <row r="849" spans="1:12" x14ac:dyDescent="0.2">
      <c r="A849" s="76">
        <v>599</v>
      </c>
      <c r="B849" s="76">
        <v>1</v>
      </c>
      <c r="C849" s="76" t="s">
        <v>249</v>
      </c>
      <c r="D849" s="76">
        <v>2000</v>
      </c>
      <c r="E849" s="76">
        <v>2001</v>
      </c>
      <c r="F849" s="81">
        <v>415</v>
      </c>
      <c r="G849" s="76">
        <v>10</v>
      </c>
      <c r="H849" s="76">
        <v>1</v>
      </c>
      <c r="I849" s="79">
        <v>783</v>
      </c>
      <c r="J849" s="79">
        <v>746</v>
      </c>
      <c r="K849" s="13"/>
      <c r="L849" s="13"/>
    </row>
    <row r="850" spans="1:12" x14ac:dyDescent="0.2">
      <c r="A850" s="76">
        <v>599</v>
      </c>
      <c r="B850" s="76">
        <v>1</v>
      </c>
      <c r="C850" s="76" t="s">
        <v>249</v>
      </c>
      <c r="D850" s="76">
        <v>2002</v>
      </c>
      <c r="E850" s="76">
        <v>2003</v>
      </c>
      <c r="F850" s="81">
        <v>600</v>
      </c>
      <c r="G850" s="76">
        <v>10</v>
      </c>
      <c r="H850" s="76">
        <v>0</v>
      </c>
      <c r="I850" s="79">
        <v>593</v>
      </c>
      <c r="J850" s="79">
        <v>656</v>
      </c>
      <c r="K850" s="13"/>
      <c r="L850" s="13"/>
    </row>
    <row r="851" spans="1:12" x14ac:dyDescent="0.2">
      <c r="A851" s="76">
        <v>599</v>
      </c>
      <c r="B851" s="76">
        <v>1</v>
      </c>
      <c r="C851" s="76" t="s">
        <v>249</v>
      </c>
      <c r="D851" s="76">
        <v>2003</v>
      </c>
      <c r="E851" s="76">
        <v>2004</v>
      </c>
      <c r="F851" s="81">
        <v>1200</v>
      </c>
      <c r="G851" s="76">
        <v>10</v>
      </c>
      <c r="H851" s="76">
        <v>1</v>
      </c>
      <c r="I851" s="79">
        <v>595</v>
      </c>
      <c r="J851" s="79">
        <v>212</v>
      </c>
      <c r="K851" s="13"/>
      <c r="L851" s="13"/>
    </row>
    <row r="852" spans="1:12" x14ac:dyDescent="0.2">
      <c r="A852" s="76">
        <v>600</v>
      </c>
      <c r="B852" s="76">
        <v>1</v>
      </c>
      <c r="C852" s="76" t="s">
        <v>250</v>
      </c>
      <c r="D852" s="76">
        <v>2004</v>
      </c>
      <c r="E852" s="76">
        <v>2006</v>
      </c>
      <c r="F852" s="81">
        <v>900</v>
      </c>
      <c r="G852" s="76">
        <v>10</v>
      </c>
      <c r="H852" s="76">
        <v>1</v>
      </c>
      <c r="I852" s="79">
        <v>281</v>
      </c>
      <c r="J852" s="79">
        <v>256</v>
      </c>
      <c r="K852" s="13"/>
      <c r="L852" s="13"/>
    </row>
    <row r="853" spans="1:12" x14ac:dyDescent="0.2">
      <c r="A853" s="76">
        <v>601</v>
      </c>
      <c r="B853" s="76">
        <v>1</v>
      </c>
      <c r="C853" s="76" t="s">
        <v>251</v>
      </c>
      <c r="D853" s="76">
        <v>1992</v>
      </c>
      <c r="E853" s="76">
        <v>1993</v>
      </c>
      <c r="F853" s="81">
        <v>490.8</v>
      </c>
      <c r="G853" s="76">
        <v>5</v>
      </c>
      <c r="H853" s="76">
        <v>0</v>
      </c>
      <c r="I853" s="79" t="s">
        <v>840</v>
      </c>
      <c r="J853" s="79" t="s">
        <v>840</v>
      </c>
      <c r="K853" s="13"/>
      <c r="L853" s="13"/>
    </row>
    <row r="854" spans="1:12" x14ac:dyDescent="0.2">
      <c r="A854" s="76">
        <v>601</v>
      </c>
      <c r="B854" s="76">
        <v>1</v>
      </c>
      <c r="C854" s="76" t="s">
        <v>754</v>
      </c>
      <c r="D854" s="76">
        <v>1993</v>
      </c>
      <c r="E854" s="76">
        <v>1993</v>
      </c>
      <c r="F854" s="81">
        <v>303.57</v>
      </c>
      <c r="G854" s="76">
        <v>4</v>
      </c>
      <c r="H854" s="76">
        <v>1</v>
      </c>
      <c r="I854" s="79" t="s">
        <v>840</v>
      </c>
      <c r="J854" s="79" t="s">
        <v>840</v>
      </c>
      <c r="K854" s="13"/>
      <c r="L854" s="13"/>
    </row>
    <row r="855" spans="1:12" x14ac:dyDescent="0.2">
      <c r="A855" s="76">
        <v>601</v>
      </c>
      <c r="B855" s="76">
        <v>1</v>
      </c>
      <c r="C855" s="76" t="s">
        <v>251</v>
      </c>
      <c r="D855" s="76">
        <v>2001</v>
      </c>
      <c r="E855" s="76">
        <v>2002</v>
      </c>
      <c r="F855" s="81">
        <v>126</v>
      </c>
      <c r="G855" s="76">
        <v>10</v>
      </c>
      <c r="H855" s="76">
        <v>1</v>
      </c>
      <c r="I855" s="79">
        <v>289</v>
      </c>
      <c r="J855" s="79">
        <v>151</v>
      </c>
      <c r="K855" s="13"/>
      <c r="L855" s="13"/>
    </row>
    <row r="856" spans="1:12" x14ac:dyDescent="0.2">
      <c r="A856" s="76">
        <v>601</v>
      </c>
      <c r="B856" s="76">
        <v>1</v>
      </c>
      <c r="C856" s="76" t="s">
        <v>251</v>
      </c>
      <c r="D856" s="76">
        <v>2005</v>
      </c>
      <c r="E856" s="76">
        <v>2006</v>
      </c>
      <c r="F856" s="81">
        <v>700</v>
      </c>
      <c r="G856" s="76">
        <v>10</v>
      </c>
      <c r="H856" s="78">
        <v>1</v>
      </c>
      <c r="I856" s="77">
        <v>435</v>
      </c>
      <c r="J856" s="77">
        <v>180</v>
      </c>
      <c r="K856" s="13"/>
      <c r="L856" s="13"/>
    </row>
    <row r="857" spans="1:12" x14ac:dyDescent="0.2">
      <c r="A857" s="76">
        <v>611</v>
      </c>
      <c r="B857" s="76">
        <v>1</v>
      </c>
      <c r="C857" s="76" t="s">
        <v>252</v>
      </c>
      <c r="D857" s="76">
        <v>1993</v>
      </c>
      <c r="E857" s="76">
        <v>1994</v>
      </c>
      <c r="F857" s="81">
        <v>291.14999999999998</v>
      </c>
      <c r="G857" s="76">
        <v>5</v>
      </c>
      <c r="H857" s="76">
        <v>1</v>
      </c>
      <c r="I857" s="79" t="s">
        <v>840</v>
      </c>
      <c r="J857" s="79" t="s">
        <v>840</v>
      </c>
      <c r="K857" s="13"/>
      <c r="L857" s="13"/>
    </row>
    <row r="858" spans="1:12" x14ac:dyDescent="0.2">
      <c r="A858" s="76">
        <v>611</v>
      </c>
      <c r="B858" s="76">
        <v>1</v>
      </c>
      <c r="C858" s="76" t="s">
        <v>252</v>
      </c>
      <c r="D858" s="76">
        <v>1997</v>
      </c>
      <c r="E858" s="76">
        <v>1999</v>
      </c>
      <c r="F858" s="81">
        <v>291.14999999999998</v>
      </c>
      <c r="G858" s="76">
        <v>5</v>
      </c>
      <c r="H858" s="76">
        <v>1</v>
      </c>
      <c r="I858" s="79">
        <v>49</v>
      </c>
      <c r="J858" s="79">
        <v>26</v>
      </c>
      <c r="K858" s="13"/>
      <c r="L858" s="13"/>
    </row>
    <row r="859" spans="1:12" x14ac:dyDescent="0.2">
      <c r="A859" s="76">
        <v>611</v>
      </c>
      <c r="B859" s="76">
        <v>1</v>
      </c>
      <c r="C859" s="76" t="s">
        <v>252</v>
      </c>
      <c r="D859" s="76">
        <v>2002</v>
      </c>
      <c r="E859" s="76">
        <v>2003</v>
      </c>
      <c r="F859" s="81">
        <v>415</v>
      </c>
      <c r="G859" s="76">
        <v>7</v>
      </c>
      <c r="H859" s="76">
        <v>1</v>
      </c>
      <c r="I859" s="79">
        <v>252</v>
      </c>
      <c r="J859" s="79">
        <v>120</v>
      </c>
      <c r="K859" s="13"/>
      <c r="L859" s="13"/>
    </row>
    <row r="860" spans="1:12" x14ac:dyDescent="0.2">
      <c r="A860" s="76">
        <v>611</v>
      </c>
      <c r="B860" s="76">
        <v>1</v>
      </c>
      <c r="C860" s="76" t="s">
        <v>252</v>
      </c>
      <c r="D860" s="76">
        <v>2005</v>
      </c>
      <c r="E860" s="76">
        <v>2006</v>
      </c>
      <c r="F860" s="81">
        <v>250</v>
      </c>
      <c r="G860" s="76">
        <v>5</v>
      </c>
      <c r="H860" s="78">
        <v>1</v>
      </c>
      <c r="I860" s="77">
        <v>153</v>
      </c>
      <c r="J860" s="77">
        <v>31</v>
      </c>
      <c r="K860" s="13"/>
      <c r="L860" s="13"/>
    </row>
    <row r="861" spans="1:12" x14ac:dyDescent="0.2">
      <c r="A861" s="76">
        <v>611</v>
      </c>
      <c r="B861" s="76">
        <v>1</v>
      </c>
      <c r="C861" s="76" t="s">
        <v>252</v>
      </c>
      <c r="D861" s="76">
        <v>2005</v>
      </c>
      <c r="E861" s="76">
        <v>2006</v>
      </c>
      <c r="F861" s="81">
        <v>446.62</v>
      </c>
      <c r="G861" s="76">
        <v>10</v>
      </c>
      <c r="H861" s="78">
        <v>1</v>
      </c>
      <c r="I861" s="77">
        <v>158</v>
      </c>
      <c r="J861" s="77">
        <v>27</v>
      </c>
      <c r="K861" s="13"/>
      <c r="L861" s="13"/>
    </row>
    <row r="862" spans="1:12" x14ac:dyDescent="0.2">
      <c r="A862" s="76">
        <v>621</v>
      </c>
      <c r="B862" s="76">
        <v>1</v>
      </c>
      <c r="C862" s="76" t="s">
        <v>253</v>
      </c>
      <c r="D862" s="76">
        <v>2001</v>
      </c>
      <c r="E862" s="76">
        <v>2002</v>
      </c>
      <c r="F862" s="81">
        <v>506</v>
      </c>
      <c r="G862" s="76">
        <v>10</v>
      </c>
      <c r="H862" s="76">
        <v>0</v>
      </c>
      <c r="I862" s="79">
        <v>5450</v>
      </c>
      <c r="J862" s="79">
        <v>8512</v>
      </c>
      <c r="K862" s="13"/>
      <c r="L862" s="13"/>
    </row>
    <row r="863" spans="1:12" x14ac:dyDescent="0.2">
      <c r="A863" s="76">
        <v>621</v>
      </c>
      <c r="B863" s="76">
        <v>1</v>
      </c>
      <c r="C863" s="76" t="s">
        <v>253</v>
      </c>
      <c r="D863" s="76">
        <v>2003</v>
      </c>
      <c r="E863" s="76">
        <v>2004</v>
      </c>
      <c r="F863" s="81">
        <v>532.54</v>
      </c>
      <c r="G863" s="76">
        <v>8</v>
      </c>
      <c r="H863" s="76">
        <v>1</v>
      </c>
      <c r="I863" s="79">
        <v>11114</v>
      </c>
      <c r="J863" s="79">
        <v>7962</v>
      </c>
      <c r="K863" s="13"/>
      <c r="L863" s="13"/>
    </row>
    <row r="864" spans="1:12" x14ac:dyDescent="0.2">
      <c r="A864" s="76">
        <v>621</v>
      </c>
      <c r="B864" s="76">
        <v>1</v>
      </c>
      <c r="C864" s="76" t="s">
        <v>253</v>
      </c>
      <c r="D864" s="76">
        <v>2006</v>
      </c>
      <c r="E864" s="78">
        <v>2007</v>
      </c>
      <c r="F864" s="81">
        <v>668.61</v>
      </c>
      <c r="G864" s="78">
        <v>8</v>
      </c>
      <c r="H864" s="76">
        <v>1</v>
      </c>
      <c r="I864" s="77">
        <v>17047</v>
      </c>
      <c r="J864" s="77">
        <v>16994</v>
      </c>
      <c r="K864" s="13"/>
      <c r="L864" s="13"/>
    </row>
    <row r="865" spans="1:12" x14ac:dyDescent="0.2">
      <c r="A865" s="76">
        <v>622</v>
      </c>
      <c r="B865" s="76">
        <v>1</v>
      </c>
      <c r="C865" s="76" t="s">
        <v>254</v>
      </c>
      <c r="D865" s="76">
        <v>1991</v>
      </c>
      <c r="E865" s="76">
        <v>1992</v>
      </c>
      <c r="F865" s="81">
        <v>273.02999999999997</v>
      </c>
      <c r="G865" s="76">
        <v>5</v>
      </c>
      <c r="H865" s="76">
        <v>1</v>
      </c>
      <c r="I865" s="79" t="s">
        <v>840</v>
      </c>
      <c r="J865" s="79" t="s">
        <v>840</v>
      </c>
      <c r="K865" s="13"/>
      <c r="L865" s="13"/>
    </row>
    <row r="866" spans="1:12" x14ac:dyDescent="0.2">
      <c r="A866" s="76">
        <v>622</v>
      </c>
      <c r="B866" s="76">
        <v>1</v>
      </c>
      <c r="C866" s="76" t="s">
        <v>254</v>
      </c>
      <c r="D866" s="76">
        <v>1995</v>
      </c>
      <c r="E866" s="76">
        <v>1996</v>
      </c>
      <c r="F866" s="81">
        <v>611.54999999999995</v>
      </c>
      <c r="G866" s="76">
        <v>6</v>
      </c>
      <c r="H866" s="76">
        <v>1</v>
      </c>
      <c r="I866" s="79">
        <v>5671</v>
      </c>
      <c r="J866" s="79">
        <v>4176</v>
      </c>
      <c r="K866" s="13"/>
      <c r="L866" s="13"/>
    </row>
    <row r="867" spans="1:12" x14ac:dyDescent="0.2">
      <c r="A867" s="76">
        <v>622</v>
      </c>
      <c r="B867" s="76">
        <v>1</v>
      </c>
      <c r="C867" s="76" t="s">
        <v>755</v>
      </c>
      <c r="D867" s="76">
        <v>1999</v>
      </c>
      <c r="E867" s="76">
        <v>2000</v>
      </c>
      <c r="F867" s="81">
        <v>340</v>
      </c>
      <c r="G867" s="76">
        <v>8</v>
      </c>
      <c r="H867" s="76">
        <v>0</v>
      </c>
      <c r="I867" s="79">
        <v>6333</v>
      </c>
      <c r="J867" s="79">
        <v>6791</v>
      </c>
      <c r="K867" s="13"/>
      <c r="L867" s="13"/>
    </row>
    <row r="868" spans="1:12" x14ac:dyDescent="0.2">
      <c r="A868" s="76">
        <v>622</v>
      </c>
      <c r="B868" s="76">
        <v>1</v>
      </c>
      <c r="C868" s="76" t="s">
        <v>755</v>
      </c>
      <c r="D868" s="76">
        <v>2000</v>
      </c>
      <c r="E868" s="76">
        <v>2001</v>
      </c>
      <c r="F868" s="81">
        <v>297</v>
      </c>
      <c r="G868" s="76">
        <v>7</v>
      </c>
      <c r="H868" s="76">
        <v>1</v>
      </c>
      <c r="I868" s="79">
        <v>8477</v>
      </c>
      <c r="J868" s="79">
        <v>7470</v>
      </c>
      <c r="K868" s="13"/>
      <c r="L868" s="13"/>
    </row>
    <row r="869" spans="1:12" x14ac:dyDescent="0.2">
      <c r="A869" s="76">
        <v>622</v>
      </c>
      <c r="B869" s="76">
        <v>1</v>
      </c>
      <c r="C869" s="76" t="s">
        <v>254</v>
      </c>
      <c r="D869" s="76">
        <v>2001</v>
      </c>
      <c r="E869" s="76">
        <v>2002</v>
      </c>
      <c r="F869" s="81">
        <v>498</v>
      </c>
      <c r="G869" s="76">
        <v>6</v>
      </c>
      <c r="H869" s="76">
        <v>0</v>
      </c>
      <c r="I869" s="79">
        <v>6290</v>
      </c>
      <c r="J869" s="79">
        <v>6433</v>
      </c>
      <c r="K869" s="13"/>
      <c r="L869" s="13"/>
    </row>
    <row r="870" spans="1:12" x14ac:dyDescent="0.2">
      <c r="A870" s="76">
        <v>622</v>
      </c>
      <c r="B870" s="76">
        <v>1</v>
      </c>
      <c r="C870" s="76" t="s">
        <v>254</v>
      </c>
      <c r="D870" s="76">
        <v>2002</v>
      </c>
      <c r="E870" s="76">
        <v>2003</v>
      </c>
      <c r="F870" s="81">
        <v>225.62</v>
      </c>
      <c r="G870" s="76">
        <v>10</v>
      </c>
      <c r="H870" s="76">
        <v>1</v>
      </c>
      <c r="I870" s="79">
        <v>17909</v>
      </c>
      <c r="J870" s="79">
        <v>17191</v>
      </c>
      <c r="K870" s="13"/>
      <c r="L870" s="13"/>
    </row>
    <row r="871" spans="1:12" x14ac:dyDescent="0.2">
      <c r="A871" s="76">
        <v>622</v>
      </c>
      <c r="B871" s="76">
        <v>1</v>
      </c>
      <c r="C871" s="76" t="s">
        <v>254</v>
      </c>
      <c r="D871" s="76">
        <v>2002</v>
      </c>
      <c r="E871" s="76">
        <v>2003</v>
      </c>
      <c r="F871" s="81">
        <v>601.65</v>
      </c>
      <c r="G871" s="76">
        <v>10</v>
      </c>
      <c r="H871" s="76">
        <v>1</v>
      </c>
      <c r="I871" s="79">
        <v>19642</v>
      </c>
      <c r="J871" s="79">
        <v>15715</v>
      </c>
      <c r="K871" s="13"/>
      <c r="L871" s="13"/>
    </row>
    <row r="872" spans="1:12" x14ac:dyDescent="0.2">
      <c r="A872" s="76">
        <v>622</v>
      </c>
      <c r="B872" s="76">
        <v>1</v>
      </c>
      <c r="C872" s="76" t="s">
        <v>254</v>
      </c>
      <c r="D872" s="76">
        <v>2006</v>
      </c>
      <c r="E872" s="78">
        <v>2007</v>
      </c>
      <c r="F872" s="81">
        <v>599.98</v>
      </c>
      <c r="G872" s="78">
        <v>10</v>
      </c>
      <c r="H872" s="76">
        <v>0</v>
      </c>
      <c r="I872" s="77">
        <v>12343</v>
      </c>
      <c r="J872" s="77">
        <v>18532</v>
      </c>
      <c r="K872" s="13"/>
      <c r="L872" s="13"/>
    </row>
    <row r="873" spans="1:12" x14ac:dyDescent="0.2">
      <c r="A873" s="76">
        <v>623</v>
      </c>
      <c r="B873" s="76">
        <v>1</v>
      </c>
      <c r="C873" s="76" t="s">
        <v>255</v>
      </c>
      <c r="D873" s="76">
        <v>2002</v>
      </c>
      <c r="E873" s="76">
        <v>2003</v>
      </c>
      <c r="F873" s="81">
        <v>227.82</v>
      </c>
      <c r="G873" s="76">
        <v>5</v>
      </c>
      <c r="H873" s="76">
        <v>1</v>
      </c>
      <c r="I873" s="79">
        <v>5706</v>
      </c>
      <c r="J873" s="79">
        <v>3678</v>
      </c>
      <c r="K873" s="13"/>
      <c r="L873" s="13"/>
    </row>
    <row r="874" spans="1:12" x14ac:dyDescent="0.2">
      <c r="A874" s="76">
        <v>623</v>
      </c>
      <c r="B874" s="76">
        <v>1</v>
      </c>
      <c r="C874" s="76" t="s">
        <v>255</v>
      </c>
      <c r="D874" s="76">
        <v>2006</v>
      </c>
      <c r="E874" s="78">
        <v>2007</v>
      </c>
      <c r="F874" s="81">
        <v>386.27</v>
      </c>
      <c r="G874" s="78">
        <v>7</v>
      </c>
      <c r="H874" s="76">
        <v>1</v>
      </c>
      <c r="I874" s="77">
        <v>5220</v>
      </c>
      <c r="J874" s="77">
        <v>3497</v>
      </c>
      <c r="K874" s="13"/>
      <c r="L874" s="13"/>
    </row>
    <row r="875" spans="1:12" x14ac:dyDescent="0.2">
      <c r="A875" s="76">
        <v>624</v>
      </c>
      <c r="B875" s="76">
        <v>1</v>
      </c>
      <c r="C875" s="76" t="s">
        <v>256</v>
      </c>
      <c r="D875" s="76">
        <v>1994</v>
      </c>
      <c r="E875" s="76">
        <v>1995</v>
      </c>
      <c r="F875" s="81">
        <v>331.84</v>
      </c>
      <c r="G875" s="76">
        <v>10</v>
      </c>
      <c r="H875" s="76">
        <v>0</v>
      </c>
      <c r="I875" s="79">
        <v>8829</v>
      </c>
      <c r="J875" s="79">
        <v>12242</v>
      </c>
      <c r="K875" s="13"/>
      <c r="L875" s="13"/>
    </row>
    <row r="876" spans="1:12" x14ac:dyDescent="0.2">
      <c r="A876" s="76">
        <v>624</v>
      </c>
      <c r="B876" s="76">
        <v>1</v>
      </c>
      <c r="C876" s="76" t="s">
        <v>256</v>
      </c>
      <c r="D876" s="76">
        <v>1994</v>
      </c>
      <c r="E876" s="76">
        <v>1995</v>
      </c>
      <c r="F876" s="81">
        <v>331.84</v>
      </c>
      <c r="G876" s="76">
        <v>10</v>
      </c>
      <c r="H876" s="76">
        <v>0</v>
      </c>
      <c r="I876" s="79">
        <v>7108</v>
      </c>
      <c r="J876" s="79">
        <v>9267</v>
      </c>
      <c r="K876" s="13"/>
      <c r="L876" s="13"/>
    </row>
    <row r="877" spans="1:12" x14ac:dyDescent="0.2">
      <c r="A877" s="76">
        <v>624</v>
      </c>
      <c r="B877" s="76">
        <v>1</v>
      </c>
      <c r="C877" s="76" t="s">
        <v>256</v>
      </c>
      <c r="D877" s="76">
        <v>1997</v>
      </c>
      <c r="E877" s="76">
        <v>1998</v>
      </c>
      <c r="F877" s="81">
        <v>108.92</v>
      </c>
      <c r="G877" s="76">
        <v>4</v>
      </c>
      <c r="H877" s="76">
        <v>1</v>
      </c>
      <c r="I877" s="79">
        <v>6964</v>
      </c>
      <c r="J877" s="79">
        <v>6416</v>
      </c>
      <c r="K877" s="13"/>
      <c r="L877" s="13"/>
    </row>
    <row r="878" spans="1:12" x14ac:dyDescent="0.2">
      <c r="A878" s="76">
        <v>624</v>
      </c>
      <c r="B878" s="76">
        <v>1</v>
      </c>
      <c r="C878" s="76" t="s">
        <v>256</v>
      </c>
      <c r="D878" s="76">
        <v>1997</v>
      </c>
      <c r="E878" s="76">
        <v>1998</v>
      </c>
      <c r="F878" s="81">
        <v>292.08</v>
      </c>
      <c r="G878" s="76">
        <v>4</v>
      </c>
      <c r="H878" s="76">
        <v>1</v>
      </c>
      <c r="I878" s="79">
        <v>7574</v>
      </c>
      <c r="J878" s="79">
        <v>6031</v>
      </c>
      <c r="K878" s="13"/>
      <c r="L878" s="13"/>
    </row>
    <row r="879" spans="1:12" x14ac:dyDescent="0.2">
      <c r="A879" s="76">
        <v>624</v>
      </c>
      <c r="B879" s="76">
        <v>1</v>
      </c>
      <c r="C879" s="76" t="s">
        <v>256</v>
      </c>
      <c r="D879" s="76">
        <v>1999</v>
      </c>
      <c r="E879" s="76">
        <v>2000</v>
      </c>
      <c r="F879" s="81">
        <v>70</v>
      </c>
      <c r="G879" s="76">
        <v>10</v>
      </c>
      <c r="H879" s="76">
        <v>0</v>
      </c>
      <c r="I879" s="79">
        <v>4000</v>
      </c>
      <c r="J879" s="79">
        <v>4743</v>
      </c>
      <c r="K879" s="13"/>
      <c r="L879" s="13"/>
    </row>
    <row r="880" spans="1:12" x14ac:dyDescent="0.2">
      <c r="A880" s="76">
        <v>624</v>
      </c>
      <c r="B880" s="76">
        <v>1</v>
      </c>
      <c r="C880" s="76" t="s">
        <v>256</v>
      </c>
      <c r="D880" s="76">
        <v>1999</v>
      </c>
      <c r="E880" s="76">
        <v>2000</v>
      </c>
      <c r="F880" s="81">
        <v>115</v>
      </c>
      <c r="G880" s="76">
        <v>10</v>
      </c>
      <c r="H880" s="76">
        <v>0</v>
      </c>
      <c r="I880" s="79">
        <v>4250</v>
      </c>
      <c r="J880" s="79">
        <v>4687</v>
      </c>
      <c r="K880" s="13"/>
      <c r="L880" s="13"/>
    </row>
    <row r="881" spans="1:12" x14ac:dyDescent="0.2">
      <c r="A881" s="76">
        <v>624</v>
      </c>
      <c r="B881" s="76">
        <v>1</v>
      </c>
      <c r="C881" s="76" t="s">
        <v>256</v>
      </c>
      <c r="D881" s="76">
        <v>2000</v>
      </c>
      <c r="E881" s="76">
        <v>2002</v>
      </c>
      <c r="F881" s="81">
        <v>530</v>
      </c>
      <c r="G881" s="76">
        <v>6</v>
      </c>
      <c r="H881" s="76">
        <v>1</v>
      </c>
      <c r="I881" s="79">
        <v>15019</v>
      </c>
      <c r="J881" s="79">
        <v>11723</v>
      </c>
      <c r="K881" s="13"/>
      <c r="L881" s="13"/>
    </row>
    <row r="882" spans="1:12" x14ac:dyDescent="0.2">
      <c r="A882" s="76">
        <v>624</v>
      </c>
      <c r="B882" s="76">
        <v>1</v>
      </c>
      <c r="C882" s="76" t="s">
        <v>256</v>
      </c>
      <c r="D882" s="76">
        <v>2002</v>
      </c>
      <c r="E882" s="76">
        <v>2003</v>
      </c>
      <c r="F882" s="81">
        <v>338.58</v>
      </c>
      <c r="G882" s="76">
        <v>5</v>
      </c>
      <c r="H882" s="76">
        <v>1</v>
      </c>
      <c r="I882" s="79">
        <v>14822</v>
      </c>
      <c r="J882" s="79">
        <v>13204</v>
      </c>
      <c r="K882" s="13"/>
      <c r="L882" s="13"/>
    </row>
    <row r="883" spans="1:12" x14ac:dyDescent="0.2">
      <c r="A883" s="76">
        <v>624</v>
      </c>
      <c r="B883" s="76">
        <v>1</v>
      </c>
      <c r="C883" s="76" t="s">
        <v>256</v>
      </c>
      <c r="D883" s="76">
        <v>2006</v>
      </c>
      <c r="E883" s="78">
        <v>2007</v>
      </c>
      <c r="F883" s="81">
        <v>444.22</v>
      </c>
      <c r="G883" s="78">
        <v>8</v>
      </c>
      <c r="H883" s="76">
        <v>0</v>
      </c>
      <c r="I883" s="77">
        <v>13182</v>
      </c>
      <c r="J883" s="87">
        <v>13629</v>
      </c>
      <c r="K883" s="13"/>
      <c r="L883" s="13"/>
    </row>
    <row r="884" spans="1:12" x14ac:dyDescent="0.2">
      <c r="A884" s="76">
        <v>624</v>
      </c>
      <c r="B884" s="76">
        <v>1</v>
      </c>
      <c r="C884" s="76" t="s">
        <v>256</v>
      </c>
      <c r="D884" s="82">
        <v>2007</v>
      </c>
      <c r="E884" s="83">
        <v>2008</v>
      </c>
      <c r="F884" s="78">
        <v>1470.89</v>
      </c>
      <c r="G884" s="76">
        <v>5</v>
      </c>
      <c r="H884" s="77">
        <v>1</v>
      </c>
      <c r="I884" s="77">
        <v>10057</v>
      </c>
      <c r="J884" s="79">
        <v>5804</v>
      </c>
      <c r="K884" s="13"/>
      <c r="L884" s="13"/>
    </row>
    <row r="885" spans="1:12" x14ac:dyDescent="0.2">
      <c r="A885" s="76">
        <v>625</v>
      </c>
      <c r="B885" s="76">
        <v>1</v>
      </c>
      <c r="C885" s="76" t="s">
        <v>257</v>
      </c>
      <c r="D885" s="76">
        <v>1992</v>
      </c>
      <c r="E885" s="76">
        <v>1993</v>
      </c>
      <c r="F885" s="81">
        <v>300.26</v>
      </c>
      <c r="G885" s="76">
        <v>5</v>
      </c>
      <c r="H885" s="76">
        <v>0</v>
      </c>
      <c r="I885" s="79" t="s">
        <v>840</v>
      </c>
      <c r="J885" s="79" t="s">
        <v>840</v>
      </c>
      <c r="K885" s="13"/>
      <c r="L885" s="13"/>
    </row>
    <row r="886" spans="1:12" x14ac:dyDescent="0.2">
      <c r="A886" s="76">
        <v>625</v>
      </c>
      <c r="B886" s="76">
        <v>1</v>
      </c>
      <c r="C886" s="76" t="s">
        <v>257</v>
      </c>
      <c r="D886" s="76">
        <v>2000</v>
      </c>
      <c r="E886" s="76">
        <v>2001</v>
      </c>
      <c r="F886" s="81">
        <v>415</v>
      </c>
      <c r="G886" s="76">
        <v>5</v>
      </c>
      <c r="H886" s="76">
        <v>1</v>
      </c>
      <c r="I886" s="79">
        <v>65385</v>
      </c>
      <c r="J886" s="79">
        <v>48000</v>
      </c>
      <c r="K886" s="13"/>
      <c r="L886" s="13"/>
    </row>
    <row r="887" spans="1:12" x14ac:dyDescent="0.2">
      <c r="A887" s="76">
        <v>625</v>
      </c>
      <c r="B887" s="76">
        <v>1</v>
      </c>
      <c r="C887" s="76" t="s">
        <v>257</v>
      </c>
      <c r="D887" s="76">
        <v>2002</v>
      </c>
      <c r="E887" s="76">
        <v>2003</v>
      </c>
      <c r="F887" s="81">
        <v>319</v>
      </c>
      <c r="G887" s="76">
        <v>4</v>
      </c>
      <c r="H887" s="76">
        <v>1</v>
      </c>
      <c r="I887" s="79">
        <v>56434</v>
      </c>
      <c r="J887" s="79">
        <v>43540</v>
      </c>
      <c r="K887" s="13"/>
      <c r="L887" s="13"/>
    </row>
    <row r="888" spans="1:12" x14ac:dyDescent="0.2">
      <c r="A888" s="76">
        <v>625</v>
      </c>
      <c r="B888" s="76">
        <v>1</v>
      </c>
      <c r="C888" s="76" t="s">
        <v>257</v>
      </c>
      <c r="D888" s="76">
        <v>2006</v>
      </c>
      <c r="E888" s="78">
        <v>2007</v>
      </c>
      <c r="F888" s="81">
        <v>593</v>
      </c>
      <c r="G888" s="78">
        <v>6</v>
      </c>
      <c r="H888" s="76">
        <v>1</v>
      </c>
      <c r="I888" s="77">
        <v>56753</v>
      </c>
      <c r="J888" s="77">
        <v>34741</v>
      </c>
      <c r="K888" s="13"/>
      <c r="L888" s="13"/>
    </row>
    <row r="889" spans="1:12" x14ac:dyDescent="0.2">
      <c r="A889" s="76">
        <v>627</v>
      </c>
      <c r="B889" s="76">
        <v>1</v>
      </c>
      <c r="C889" s="76" t="s">
        <v>258</v>
      </c>
      <c r="D889" s="76">
        <v>1995</v>
      </c>
      <c r="E889" s="76">
        <v>1996</v>
      </c>
      <c r="F889" s="81">
        <v>315</v>
      </c>
      <c r="G889" s="76">
        <v>10</v>
      </c>
      <c r="H889" s="76">
        <v>1</v>
      </c>
      <c r="I889" s="79">
        <v>162</v>
      </c>
      <c r="J889" s="79">
        <v>108</v>
      </c>
      <c r="K889" s="13"/>
      <c r="L889" s="13"/>
    </row>
    <row r="890" spans="1:12" x14ac:dyDescent="0.2">
      <c r="A890" s="76">
        <v>627</v>
      </c>
      <c r="B890" s="76">
        <v>1</v>
      </c>
      <c r="C890" s="76" t="s">
        <v>258</v>
      </c>
      <c r="D890" s="76">
        <v>1999</v>
      </c>
      <c r="E890" s="76">
        <v>2000</v>
      </c>
      <c r="F890" s="81">
        <v>760.89</v>
      </c>
      <c r="G890" s="76">
        <v>5</v>
      </c>
      <c r="H890" s="76">
        <v>1</v>
      </c>
      <c r="I890" s="79">
        <v>274</v>
      </c>
      <c r="J890" s="79">
        <v>164</v>
      </c>
      <c r="K890" s="13"/>
      <c r="L890" s="13"/>
    </row>
    <row r="891" spans="1:12" x14ac:dyDescent="0.2">
      <c r="A891" s="76">
        <v>627</v>
      </c>
      <c r="B891" s="76">
        <v>1</v>
      </c>
      <c r="C891" s="76" t="s">
        <v>258</v>
      </c>
      <c r="D891" s="76">
        <v>2004</v>
      </c>
      <c r="E891" s="76">
        <v>2005</v>
      </c>
      <c r="F891" s="81">
        <v>1200</v>
      </c>
      <c r="G891" s="76">
        <v>5</v>
      </c>
      <c r="H891" s="76">
        <v>0</v>
      </c>
      <c r="I891" s="79">
        <v>318</v>
      </c>
      <c r="J891" s="79">
        <v>327</v>
      </c>
      <c r="K891" s="13"/>
      <c r="L891" s="13"/>
    </row>
    <row r="892" spans="1:12" x14ac:dyDescent="0.2">
      <c r="A892" s="76">
        <v>627</v>
      </c>
      <c r="B892" s="76">
        <v>1</v>
      </c>
      <c r="C892" s="76" t="s">
        <v>258</v>
      </c>
      <c r="D892" s="76">
        <v>2005</v>
      </c>
      <c r="E892" s="76">
        <v>2006</v>
      </c>
      <c r="F892" s="81">
        <v>1000</v>
      </c>
      <c r="G892" s="76">
        <v>10</v>
      </c>
      <c r="H892" s="78">
        <v>1</v>
      </c>
      <c r="I892" s="77">
        <v>239</v>
      </c>
      <c r="J892" s="77">
        <v>74</v>
      </c>
      <c r="K892" s="13"/>
      <c r="L892" s="13"/>
    </row>
    <row r="893" spans="1:12" x14ac:dyDescent="0.2">
      <c r="A893" s="76">
        <v>628</v>
      </c>
      <c r="B893" s="76">
        <v>1</v>
      </c>
      <c r="C893" s="76" t="s">
        <v>259</v>
      </c>
      <c r="D893" s="76">
        <v>1993</v>
      </c>
      <c r="E893" s="76">
        <v>1994</v>
      </c>
      <c r="F893" s="81">
        <v>607.57000000000005</v>
      </c>
      <c r="G893" s="76">
        <v>4</v>
      </c>
      <c r="H893" s="76">
        <v>1</v>
      </c>
      <c r="I893" s="79" t="s">
        <v>840</v>
      </c>
      <c r="J893" s="79" t="s">
        <v>840</v>
      </c>
      <c r="K893" s="13"/>
      <c r="L893" s="13"/>
    </row>
    <row r="894" spans="1:12" x14ac:dyDescent="0.2">
      <c r="A894" s="76">
        <v>628</v>
      </c>
      <c r="B894" s="76">
        <v>1</v>
      </c>
      <c r="C894" s="76" t="s">
        <v>259</v>
      </c>
      <c r="D894" s="76">
        <v>1997</v>
      </c>
      <c r="E894" s="76">
        <v>1998</v>
      </c>
      <c r="F894" s="81">
        <v>650</v>
      </c>
      <c r="G894" s="76">
        <v>10</v>
      </c>
      <c r="H894" s="76">
        <v>1</v>
      </c>
      <c r="I894" s="79">
        <v>102</v>
      </c>
      <c r="J894" s="79">
        <v>40</v>
      </c>
      <c r="K894" s="13"/>
      <c r="L894" s="13"/>
    </row>
    <row r="895" spans="1:12" x14ac:dyDescent="0.2">
      <c r="A895" s="76">
        <v>628</v>
      </c>
      <c r="B895" s="76">
        <v>1</v>
      </c>
      <c r="C895" s="76" t="s">
        <v>259</v>
      </c>
      <c r="D895" s="76">
        <v>2001</v>
      </c>
      <c r="E895" s="76">
        <v>2002</v>
      </c>
      <c r="F895" s="81">
        <v>473.7</v>
      </c>
      <c r="G895" s="76">
        <v>10</v>
      </c>
      <c r="H895" s="76">
        <v>1</v>
      </c>
      <c r="I895" s="79">
        <v>72</v>
      </c>
      <c r="J895" s="79">
        <v>37</v>
      </c>
      <c r="K895" s="13"/>
      <c r="L895" s="13"/>
    </row>
    <row r="896" spans="1:12" x14ac:dyDescent="0.2">
      <c r="A896" s="76">
        <v>628</v>
      </c>
      <c r="B896" s="76">
        <v>1</v>
      </c>
      <c r="C896" s="76" t="s">
        <v>259</v>
      </c>
      <c r="D896" s="76">
        <v>2005</v>
      </c>
      <c r="E896" s="76">
        <v>2006</v>
      </c>
      <c r="F896" s="81">
        <v>1293.24</v>
      </c>
      <c r="G896" s="76">
        <v>10</v>
      </c>
      <c r="H896" s="78">
        <v>1</v>
      </c>
      <c r="I896" s="77">
        <v>72</v>
      </c>
      <c r="J896" s="77">
        <v>31</v>
      </c>
      <c r="K896" s="13"/>
      <c r="L896" s="13"/>
    </row>
    <row r="897" spans="1:12" x14ac:dyDescent="0.2">
      <c r="A897" s="76">
        <v>630</v>
      </c>
      <c r="B897" s="76">
        <v>1</v>
      </c>
      <c r="C897" s="76" t="s">
        <v>260</v>
      </c>
      <c r="D897" s="76">
        <v>1994</v>
      </c>
      <c r="E897" s="76">
        <v>1995</v>
      </c>
      <c r="F897" s="81">
        <v>337.7</v>
      </c>
      <c r="G897" s="76">
        <v>5</v>
      </c>
      <c r="H897" s="76">
        <v>1</v>
      </c>
      <c r="I897" s="79">
        <v>447</v>
      </c>
      <c r="J897" s="79">
        <v>91</v>
      </c>
      <c r="K897" s="13"/>
      <c r="L897" s="13"/>
    </row>
    <row r="898" spans="1:12" x14ac:dyDescent="0.2">
      <c r="A898" s="76">
        <v>630</v>
      </c>
      <c r="B898" s="76">
        <v>1</v>
      </c>
      <c r="C898" s="76" t="s">
        <v>260</v>
      </c>
      <c r="D898" s="76">
        <v>1999</v>
      </c>
      <c r="E898" s="76">
        <v>2000</v>
      </c>
      <c r="F898" s="81">
        <v>415</v>
      </c>
      <c r="G898" s="76">
        <v>5</v>
      </c>
      <c r="H898" s="76">
        <v>1</v>
      </c>
      <c r="I898" s="79">
        <v>246</v>
      </c>
      <c r="J898" s="79">
        <v>60</v>
      </c>
      <c r="K898" s="13"/>
      <c r="L898" s="13"/>
    </row>
    <row r="899" spans="1:12" x14ac:dyDescent="0.2">
      <c r="A899" s="76">
        <v>630</v>
      </c>
      <c r="B899" s="76">
        <v>1</v>
      </c>
      <c r="C899" s="76" t="s">
        <v>260</v>
      </c>
      <c r="D899" s="76">
        <v>2002</v>
      </c>
      <c r="E899" s="76">
        <v>2003</v>
      </c>
      <c r="F899" s="81">
        <v>350</v>
      </c>
      <c r="G899" s="76">
        <v>5</v>
      </c>
      <c r="H899" s="76">
        <v>0</v>
      </c>
      <c r="I899" s="79">
        <v>518</v>
      </c>
      <c r="J899" s="79">
        <v>543</v>
      </c>
      <c r="K899" s="13"/>
      <c r="L899" s="13"/>
    </row>
    <row r="900" spans="1:12" x14ac:dyDescent="0.2">
      <c r="A900" s="76">
        <v>630</v>
      </c>
      <c r="B900" s="76">
        <v>1</v>
      </c>
      <c r="C900" s="76" t="s">
        <v>260</v>
      </c>
      <c r="D900" s="76">
        <v>2003</v>
      </c>
      <c r="E900" s="76">
        <v>2004</v>
      </c>
      <c r="F900" s="81">
        <v>1000</v>
      </c>
      <c r="G900" s="76">
        <v>5</v>
      </c>
      <c r="H900" s="76">
        <v>1</v>
      </c>
      <c r="I900" s="79">
        <v>381</v>
      </c>
      <c r="J900" s="79">
        <v>152</v>
      </c>
      <c r="K900" s="13"/>
      <c r="L900" s="13"/>
    </row>
    <row r="901" spans="1:12" x14ac:dyDescent="0.2">
      <c r="A901" s="76">
        <v>630</v>
      </c>
      <c r="B901" s="76">
        <v>1</v>
      </c>
      <c r="C901" s="76" t="s">
        <v>260</v>
      </c>
      <c r="D901" s="82">
        <v>2007</v>
      </c>
      <c r="E901" s="83">
        <v>2008</v>
      </c>
      <c r="F901" s="78">
        <v>300</v>
      </c>
      <c r="G901" s="76">
        <v>6</v>
      </c>
      <c r="H901" s="77">
        <v>0</v>
      </c>
      <c r="I901" s="77">
        <v>202</v>
      </c>
      <c r="J901" s="79">
        <v>206</v>
      </c>
      <c r="K901" s="13"/>
      <c r="L901" s="13"/>
    </row>
    <row r="902" spans="1:12" x14ac:dyDescent="0.2">
      <c r="A902">
        <v>630</v>
      </c>
      <c r="B902">
        <v>1</v>
      </c>
      <c r="C902" t="s">
        <v>260</v>
      </c>
      <c r="D902">
        <v>2008</v>
      </c>
      <c r="E902" s="5">
        <v>2009</v>
      </c>
      <c r="F902" s="6">
        <v>1600</v>
      </c>
      <c r="G902" s="5">
        <v>5</v>
      </c>
      <c r="H902" s="33">
        <v>1</v>
      </c>
      <c r="I902" s="33">
        <v>813</v>
      </c>
      <c r="J902" s="33">
        <v>466</v>
      </c>
      <c r="K902" s="13"/>
      <c r="L902" s="13"/>
    </row>
    <row r="903" spans="1:12" x14ac:dyDescent="0.2">
      <c r="A903" s="76">
        <v>633</v>
      </c>
      <c r="B903" s="76">
        <v>1</v>
      </c>
      <c r="C903" s="76" t="s">
        <v>544</v>
      </c>
      <c r="D903" s="76">
        <v>1994</v>
      </c>
      <c r="E903" s="76">
        <v>1995</v>
      </c>
      <c r="F903" s="81">
        <v>303</v>
      </c>
      <c r="G903" s="76">
        <v>5</v>
      </c>
      <c r="H903" s="76">
        <v>1</v>
      </c>
      <c r="I903" s="79">
        <v>348</v>
      </c>
      <c r="J903" s="79">
        <v>291</v>
      </c>
      <c r="K903" s="13"/>
      <c r="L903" s="13"/>
    </row>
    <row r="904" spans="1:12" x14ac:dyDescent="0.2">
      <c r="A904" s="76">
        <v>635</v>
      </c>
      <c r="B904" s="76">
        <v>1</v>
      </c>
      <c r="C904" s="76" t="s">
        <v>261</v>
      </c>
      <c r="D904" s="76">
        <v>1992</v>
      </c>
      <c r="E904" s="76">
        <v>1993</v>
      </c>
      <c r="F904" s="81">
        <v>605.73</v>
      </c>
      <c r="G904" s="76">
        <v>5</v>
      </c>
      <c r="H904" s="76">
        <v>1</v>
      </c>
      <c r="I904" s="79" t="s">
        <v>840</v>
      </c>
      <c r="J904" s="79" t="s">
        <v>840</v>
      </c>
      <c r="K904" s="13"/>
      <c r="L904" s="13"/>
    </row>
    <row r="905" spans="1:12" x14ac:dyDescent="0.2">
      <c r="A905" s="76">
        <v>635</v>
      </c>
      <c r="B905" s="76">
        <v>1</v>
      </c>
      <c r="C905" s="76" t="s">
        <v>261</v>
      </c>
      <c r="D905" s="76">
        <v>1997</v>
      </c>
      <c r="E905" s="76">
        <v>1998</v>
      </c>
      <c r="F905" s="81">
        <v>616.41</v>
      </c>
      <c r="G905" s="76">
        <v>5</v>
      </c>
      <c r="H905" s="76">
        <v>1</v>
      </c>
      <c r="I905" s="79">
        <v>117</v>
      </c>
      <c r="J905" s="79">
        <v>45</v>
      </c>
      <c r="K905" s="13"/>
      <c r="L905" s="13"/>
    </row>
    <row r="906" spans="1:12" x14ac:dyDescent="0.2">
      <c r="A906" s="76">
        <v>635</v>
      </c>
      <c r="B906" s="76">
        <v>1</v>
      </c>
      <c r="C906" s="76" t="s">
        <v>261</v>
      </c>
      <c r="D906" s="76">
        <v>2002</v>
      </c>
      <c r="E906" s="76">
        <v>2003</v>
      </c>
      <c r="F906" s="81">
        <v>837.38</v>
      </c>
      <c r="G906" s="76">
        <v>5</v>
      </c>
      <c r="H906" s="76">
        <v>1</v>
      </c>
      <c r="I906" s="79">
        <v>224</v>
      </c>
      <c r="J906" s="79">
        <v>124</v>
      </c>
      <c r="K906" s="13"/>
      <c r="L906" s="13"/>
    </row>
    <row r="907" spans="1:12" x14ac:dyDescent="0.2">
      <c r="A907" s="76">
        <v>635</v>
      </c>
      <c r="B907" s="76">
        <v>1</v>
      </c>
      <c r="C907" s="76" t="s">
        <v>261</v>
      </c>
      <c r="D907" s="82">
        <v>2007</v>
      </c>
      <c r="E907" s="83">
        <v>2008</v>
      </c>
      <c r="F907" s="78">
        <v>1242</v>
      </c>
      <c r="G907" s="76">
        <v>5</v>
      </c>
      <c r="H907" s="77">
        <v>1</v>
      </c>
      <c r="I907" s="77">
        <v>116</v>
      </c>
      <c r="J907" s="79">
        <v>60</v>
      </c>
      <c r="K907" s="13"/>
      <c r="L907" s="13"/>
    </row>
    <row r="908" spans="1:12" x14ac:dyDescent="0.2">
      <c r="A908" s="76">
        <v>637</v>
      </c>
      <c r="B908" s="76">
        <v>1</v>
      </c>
      <c r="C908" s="76" t="s">
        <v>756</v>
      </c>
      <c r="D908" s="76">
        <v>1992</v>
      </c>
      <c r="E908" s="76">
        <v>1993</v>
      </c>
      <c r="F908" s="81">
        <v>463</v>
      </c>
      <c r="G908" s="76">
        <v>5</v>
      </c>
      <c r="H908" s="76">
        <v>0</v>
      </c>
      <c r="I908" s="79" t="s">
        <v>840</v>
      </c>
      <c r="J908" s="79" t="s">
        <v>840</v>
      </c>
      <c r="K908" s="13"/>
      <c r="L908" s="13"/>
    </row>
    <row r="909" spans="1:12" x14ac:dyDescent="0.2">
      <c r="A909" s="76">
        <v>637</v>
      </c>
      <c r="B909" s="76">
        <v>1</v>
      </c>
      <c r="C909" s="76" t="s">
        <v>674</v>
      </c>
      <c r="D909" s="76">
        <v>1993</v>
      </c>
      <c r="E909" s="76">
        <v>1994</v>
      </c>
      <c r="F909" s="81">
        <v>286</v>
      </c>
      <c r="G909" s="76">
        <v>5</v>
      </c>
      <c r="H909" s="76">
        <v>0</v>
      </c>
      <c r="I909" s="79" t="s">
        <v>840</v>
      </c>
      <c r="J909" s="79" t="s">
        <v>840</v>
      </c>
      <c r="K909" s="13"/>
      <c r="L909" s="13"/>
    </row>
    <row r="910" spans="1:12" x14ac:dyDescent="0.2">
      <c r="A910" s="76">
        <v>638</v>
      </c>
      <c r="B910" s="76">
        <v>1</v>
      </c>
      <c r="C910" s="76" t="s">
        <v>574</v>
      </c>
      <c r="D910" s="76">
        <v>1994</v>
      </c>
      <c r="E910" s="76">
        <v>1995</v>
      </c>
      <c r="F910" s="81">
        <v>434</v>
      </c>
      <c r="G910" s="76">
        <v>5</v>
      </c>
      <c r="H910" s="76">
        <v>0</v>
      </c>
      <c r="I910" s="79">
        <v>173</v>
      </c>
      <c r="J910" s="79">
        <v>254</v>
      </c>
      <c r="K910" s="13"/>
      <c r="L910" s="13"/>
    </row>
    <row r="911" spans="1:12" x14ac:dyDescent="0.2">
      <c r="A911" s="76">
        <v>640</v>
      </c>
      <c r="B911" s="76">
        <v>1</v>
      </c>
      <c r="C911" s="76" t="s">
        <v>262</v>
      </c>
      <c r="D911" s="76">
        <v>2003</v>
      </c>
      <c r="E911" s="76">
        <v>2004</v>
      </c>
      <c r="F911" s="81">
        <v>500</v>
      </c>
      <c r="G911" s="76">
        <v>10</v>
      </c>
      <c r="H911" s="76">
        <v>1</v>
      </c>
      <c r="I911" s="79">
        <v>426</v>
      </c>
      <c r="J911" s="79">
        <v>256</v>
      </c>
      <c r="K911" s="13"/>
      <c r="L911" s="13"/>
    </row>
    <row r="912" spans="1:12" x14ac:dyDescent="0.2">
      <c r="A912" s="76">
        <v>640</v>
      </c>
      <c r="B912" s="76">
        <v>1</v>
      </c>
      <c r="C912" s="76" t="s">
        <v>262</v>
      </c>
      <c r="D912" s="76">
        <v>2006</v>
      </c>
      <c r="E912" s="78">
        <v>2007</v>
      </c>
      <c r="F912" s="81">
        <v>600</v>
      </c>
      <c r="G912" s="78">
        <v>10</v>
      </c>
      <c r="H912" s="76">
        <v>0</v>
      </c>
      <c r="I912" s="77">
        <v>528</v>
      </c>
      <c r="J912" s="87">
        <v>545</v>
      </c>
      <c r="K912" s="13"/>
      <c r="L912" s="13"/>
    </row>
    <row r="913" spans="1:12" x14ac:dyDescent="0.2">
      <c r="A913" s="76">
        <v>640</v>
      </c>
      <c r="B913" s="76">
        <v>1</v>
      </c>
      <c r="C913" s="76" t="s">
        <v>262</v>
      </c>
      <c r="D913" s="82">
        <v>2007</v>
      </c>
      <c r="E913" s="83">
        <v>2008</v>
      </c>
      <c r="F913" s="78">
        <v>500</v>
      </c>
      <c r="G913" s="76">
        <v>10</v>
      </c>
      <c r="H913" s="77">
        <v>1</v>
      </c>
      <c r="I913" s="77">
        <v>479</v>
      </c>
      <c r="J913" s="79">
        <v>261</v>
      </c>
      <c r="K913" s="13"/>
      <c r="L913" s="13"/>
    </row>
    <row r="914" spans="1:12" x14ac:dyDescent="0.2">
      <c r="A914" s="76">
        <v>656</v>
      </c>
      <c r="B914" s="76">
        <v>1</v>
      </c>
      <c r="C914" s="76" t="s">
        <v>263</v>
      </c>
      <c r="D914" s="76">
        <v>1991</v>
      </c>
      <c r="E914" s="76">
        <v>1992</v>
      </c>
      <c r="F914" s="81">
        <v>141.5</v>
      </c>
      <c r="G914" s="76">
        <v>5</v>
      </c>
      <c r="H914" s="76">
        <v>1</v>
      </c>
      <c r="I914" s="79" t="s">
        <v>840</v>
      </c>
      <c r="J914" s="79" t="s">
        <v>840</v>
      </c>
      <c r="K914" s="13"/>
      <c r="L914" s="13"/>
    </row>
    <row r="915" spans="1:12" x14ac:dyDescent="0.2">
      <c r="A915" s="76">
        <v>656</v>
      </c>
      <c r="B915" s="76">
        <v>1</v>
      </c>
      <c r="C915" s="76" t="s">
        <v>263</v>
      </c>
      <c r="D915" s="76">
        <v>1995</v>
      </c>
      <c r="E915" s="76">
        <v>1996</v>
      </c>
      <c r="F915" s="81">
        <v>442</v>
      </c>
      <c r="G915" s="76">
        <v>10</v>
      </c>
      <c r="H915" s="76">
        <v>1</v>
      </c>
      <c r="I915" s="79">
        <v>2507</v>
      </c>
      <c r="J915" s="79">
        <v>1464</v>
      </c>
      <c r="K915" s="13"/>
      <c r="L915" s="13"/>
    </row>
    <row r="916" spans="1:12" x14ac:dyDescent="0.2">
      <c r="A916" s="76">
        <v>656</v>
      </c>
      <c r="B916" s="76">
        <v>1</v>
      </c>
      <c r="C916" s="76" t="s">
        <v>263</v>
      </c>
      <c r="D916" s="76">
        <v>2002</v>
      </c>
      <c r="E916" s="76">
        <v>2003</v>
      </c>
      <c r="F916" s="81">
        <v>750</v>
      </c>
      <c r="G916" s="76">
        <v>10</v>
      </c>
      <c r="H916" s="76">
        <v>0</v>
      </c>
      <c r="I916" s="79">
        <v>3642</v>
      </c>
      <c r="J916" s="79">
        <v>7152</v>
      </c>
      <c r="K916" s="13"/>
      <c r="L916" s="13"/>
    </row>
    <row r="917" spans="1:12" x14ac:dyDescent="0.2">
      <c r="A917" s="76">
        <v>656</v>
      </c>
      <c r="B917" s="76">
        <v>1</v>
      </c>
      <c r="C917" s="76" t="s">
        <v>263</v>
      </c>
      <c r="D917" s="76">
        <v>2003</v>
      </c>
      <c r="E917" s="76">
        <v>2004</v>
      </c>
      <c r="F917" s="81">
        <v>500</v>
      </c>
      <c r="G917" s="76">
        <v>5</v>
      </c>
      <c r="H917" s="76">
        <v>0</v>
      </c>
      <c r="I917" s="79">
        <v>2404</v>
      </c>
      <c r="J917" s="79">
        <v>2839</v>
      </c>
      <c r="K917" s="13"/>
      <c r="L917" s="13"/>
    </row>
    <row r="918" spans="1:12" x14ac:dyDescent="0.2">
      <c r="A918" s="76">
        <v>656</v>
      </c>
      <c r="B918" s="76">
        <v>1</v>
      </c>
      <c r="C918" s="76" t="s">
        <v>1014</v>
      </c>
      <c r="D918" s="76">
        <v>2005</v>
      </c>
      <c r="E918" s="76">
        <v>2006</v>
      </c>
      <c r="F918" s="81">
        <v>90</v>
      </c>
      <c r="G918" s="76">
        <v>5</v>
      </c>
      <c r="H918" s="78">
        <v>0</v>
      </c>
      <c r="I918" s="77">
        <v>2402</v>
      </c>
      <c r="J918" s="77">
        <v>2549</v>
      </c>
      <c r="K918" s="13"/>
      <c r="L918" s="13"/>
    </row>
    <row r="919" spans="1:12" x14ac:dyDescent="0.2">
      <c r="A919" s="76">
        <v>656</v>
      </c>
      <c r="B919" s="76">
        <v>1</v>
      </c>
      <c r="C919" s="76" t="s">
        <v>1014</v>
      </c>
      <c r="D919" s="76">
        <v>2005</v>
      </c>
      <c r="E919" s="76">
        <v>2006</v>
      </c>
      <c r="F919" s="81">
        <v>385</v>
      </c>
      <c r="G919" s="76">
        <v>5</v>
      </c>
      <c r="H919" s="78">
        <v>1</v>
      </c>
      <c r="I919" s="77">
        <v>2660</v>
      </c>
      <c r="J919" s="77">
        <v>2321</v>
      </c>
      <c r="K919" s="13"/>
      <c r="L919" s="13"/>
    </row>
    <row r="920" spans="1:12" x14ac:dyDescent="0.2">
      <c r="A920" s="76">
        <v>659</v>
      </c>
      <c r="B920" s="76">
        <v>1</v>
      </c>
      <c r="C920" s="76" t="s">
        <v>264</v>
      </c>
      <c r="D920" s="76">
        <v>1993</v>
      </c>
      <c r="E920" s="76">
        <v>1994</v>
      </c>
      <c r="F920" s="81">
        <v>500</v>
      </c>
      <c r="G920" s="76">
        <v>5</v>
      </c>
      <c r="H920" s="76">
        <v>1</v>
      </c>
      <c r="I920" s="79" t="s">
        <v>840</v>
      </c>
      <c r="J920" s="79" t="s">
        <v>840</v>
      </c>
      <c r="K920" s="13"/>
      <c r="L920" s="13"/>
    </row>
    <row r="921" spans="1:12" x14ac:dyDescent="0.2">
      <c r="A921" s="76">
        <v>659</v>
      </c>
      <c r="B921" s="76">
        <v>1</v>
      </c>
      <c r="C921" s="76" t="s">
        <v>264</v>
      </c>
      <c r="D921" s="76">
        <v>1997</v>
      </c>
      <c r="E921" s="76">
        <v>1999</v>
      </c>
      <c r="F921" s="81">
        <v>500</v>
      </c>
      <c r="G921" s="76">
        <v>5</v>
      </c>
      <c r="H921" s="76">
        <v>1</v>
      </c>
      <c r="I921" s="79">
        <v>2365</v>
      </c>
      <c r="J921" s="79">
        <v>1994</v>
      </c>
      <c r="K921" s="13"/>
      <c r="L921" s="13"/>
    </row>
    <row r="922" spans="1:12" x14ac:dyDescent="0.2">
      <c r="A922" s="76">
        <v>659</v>
      </c>
      <c r="B922" s="76">
        <v>1</v>
      </c>
      <c r="C922" s="76" t="s">
        <v>264</v>
      </c>
      <c r="D922" s="76">
        <v>1999</v>
      </c>
      <c r="E922" s="76">
        <v>2000</v>
      </c>
      <c r="F922" s="81">
        <v>150</v>
      </c>
      <c r="G922" s="76">
        <v>8</v>
      </c>
      <c r="H922" s="76">
        <v>0</v>
      </c>
      <c r="I922" s="79">
        <v>1877</v>
      </c>
      <c r="J922" s="79">
        <v>2219</v>
      </c>
      <c r="K922" s="13"/>
      <c r="L922" s="13"/>
    </row>
    <row r="923" spans="1:12" x14ac:dyDescent="0.2">
      <c r="A923" s="76">
        <v>659</v>
      </c>
      <c r="B923" s="76">
        <v>1</v>
      </c>
      <c r="C923" s="76" t="s">
        <v>264</v>
      </c>
      <c r="D923" s="76">
        <v>2003</v>
      </c>
      <c r="E923" s="76">
        <v>2004</v>
      </c>
      <c r="F923" s="81">
        <v>685</v>
      </c>
      <c r="G923" s="76">
        <v>4</v>
      </c>
      <c r="H923" s="76">
        <v>1</v>
      </c>
      <c r="I923" s="79">
        <v>3223</v>
      </c>
      <c r="J923" s="79">
        <v>2481</v>
      </c>
      <c r="K923" s="13"/>
      <c r="L923" s="13"/>
    </row>
    <row r="924" spans="1:12" x14ac:dyDescent="0.2">
      <c r="A924" s="76">
        <v>659</v>
      </c>
      <c r="B924" s="76">
        <v>1</v>
      </c>
      <c r="C924" s="76" t="s">
        <v>264</v>
      </c>
      <c r="D924" s="76">
        <v>2006</v>
      </c>
      <c r="E924" s="78">
        <v>2007</v>
      </c>
      <c r="F924" s="81">
        <v>495</v>
      </c>
      <c r="G924" s="78">
        <v>7</v>
      </c>
      <c r="H924" s="76">
        <v>1</v>
      </c>
      <c r="I924" s="77">
        <v>6389</v>
      </c>
      <c r="J924" s="87">
        <v>5132</v>
      </c>
      <c r="K924" s="13"/>
      <c r="L924" s="13"/>
    </row>
    <row r="925" spans="1:12" x14ac:dyDescent="0.2">
      <c r="A925" s="76">
        <v>671</v>
      </c>
      <c r="B925" s="76">
        <v>1</v>
      </c>
      <c r="C925" s="76" t="s">
        <v>877</v>
      </c>
      <c r="D925" s="76">
        <v>2004</v>
      </c>
      <c r="E925" s="76">
        <v>2005</v>
      </c>
      <c r="F925" s="81">
        <v>855.79</v>
      </c>
      <c r="G925" s="76">
        <v>10</v>
      </c>
      <c r="H925" s="76">
        <v>1</v>
      </c>
      <c r="I925" s="79">
        <v>572</v>
      </c>
      <c r="J925" s="79">
        <v>447</v>
      </c>
      <c r="K925" s="13"/>
      <c r="L925" s="13"/>
    </row>
    <row r="926" spans="1:12" x14ac:dyDescent="0.2">
      <c r="A926" s="76">
        <v>676</v>
      </c>
      <c r="B926" s="76">
        <v>1</v>
      </c>
      <c r="C926" s="76" t="s">
        <v>266</v>
      </c>
      <c r="D926" s="76">
        <v>1991</v>
      </c>
      <c r="E926" s="76">
        <v>1992</v>
      </c>
      <c r="F926" s="81">
        <v>830.74</v>
      </c>
      <c r="G926" s="76">
        <v>5</v>
      </c>
      <c r="H926" s="76">
        <v>1</v>
      </c>
      <c r="I926" s="79" t="s">
        <v>840</v>
      </c>
      <c r="J926" s="79" t="s">
        <v>840</v>
      </c>
      <c r="K926" s="13"/>
      <c r="L926" s="13"/>
    </row>
    <row r="927" spans="1:12" x14ac:dyDescent="0.2">
      <c r="A927" s="76">
        <v>676</v>
      </c>
      <c r="B927" s="76">
        <v>1</v>
      </c>
      <c r="C927" s="76" t="s">
        <v>266</v>
      </c>
      <c r="D927" s="76">
        <v>1996</v>
      </c>
      <c r="E927" s="76">
        <v>1997</v>
      </c>
      <c r="F927" s="81">
        <v>793.43</v>
      </c>
      <c r="G927" s="76">
        <v>3</v>
      </c>
      <c r="H927" s="76">
        <v>1</v>
      </c>
      <c r="I927" s="79">
        <v>370</v>
      </c>
      <c r="J927" s="79">
        <v>186</v>
      </c>
      <c r="K927" s="13"/>
      <c r="L927" s="13"/>
    </row>
    <row r="928" spans="1:12" x14ac:dyDescent="0.2">
      <c r="A928" s="76">
        <v>676</v>
      </c>
      <c r="B928" s="76">
        <v>1</v>
      </c>
      <c r="C928" s="76" t="s">
        <v>266</v>
      </c>
      <c r="D928" s="76">
        <v>1999</v>
      </c>
      <c r="E928" s="76">
        <v>2000</v>
      </c>
      <c r="F928" s="81">
        <v>1251.56</v>
      </c>
      <c r="G928" s="76">
        <v>5</v>
      </c>
      <c r="H928" s="76">
        <v>1</v>
      </c>
      <c r="I928" s="79">
        <v>178</v>
      </c>
      <c r="J928" s="79">
        <v>50</v>
      </c>
      <c r="K928" s="13"/>
      <c r="L928" s="13"/>
    </row>
    <row r="929" spans="1:12" x14ac:dyDescent="0.2">
      <c r="A929" s="76">
        <v>676</v>
      </c>
      <c r="B929" s="76">
        <v>1</v>
      </c>
      <c r="C929" s="76" t="s">
        <v>266</v>
      </c>
      <c r="D929" s="76">
        <v>2003</v>
      </c>
      <c r="E929" s="76">
        <v>2004</v>
      </c>
      <c r="F929" s="81">
        <v>1500</v>
      </c>
      <c r="G929" s="76">
        <v>10</v>
      </c>
      <c r="H929" s="76">
        <v>1</v>
      </c>
      <c r="I929" s="79">
        <v>174</v>
      </c>
      <c r="J929" s="79">
        <v>53</v>
      </c>
      <c r="K929" s="13"/>
      <c r="L929" s="13"/>
    </row>
    <row r="930" spans="1:12" x14ac:dyDescent="0.2">
      <c r="A930" s="76">
        <v>678</v>
      </c>
      <c r="B930" s="76">
        <v>1</v>
      </c>
      <c r="C930" s="76" t="s">
        <v>575</v>
      </c>
      <c r="D930" s="76">
        <v>1993</v>
      </c>
      <c r="E930" s="76">
        <v>1994</v>
      </c>
      <c r="F930" s="81">
        <v>640</v>
      </c>
      <c r="G930" s="76">
        <v>4</v>
      </c>
      <c r="H930" s="76">
        <v>1</v>
      </c>
      <c r="I930" s="79" t="s">
        <v>840</v>
      </c>
      <c r="J930" s="79" t="s">
        <v>840</v>
      </c>
      <c r="K930" s="13"/>
      <c r="L930" s="13"/>
    </row>
    <row r="931" spans="1:12" x14ac:dyDescent="0.2">
      <c r="A931" s="76">
        <v>682</v>
      </c>
      <c r="B931" s="76">
        <v>1</v>
      </c>
      <c r="C931" s="76" t="s">
        <v>267</v>
      </c>
      <c r="D931" s="76">
        <v>1993</v>
      </c>
      <c r="E931" s="76">
        <v>1994</v>
      </c>
      <c r="F931" s="81">
        <v>374.43</v>
      </c>
      <c r="G931" s="76">
        <v>4</v>
      </c>
      <c r="H931" s="76">
        <v>1</v>
      </c>
      <c r="I931" s="79" t="s">
        <v>840</v>
      </c>
      <c r="J931" s="79" t="s">
        <v>840</v>
      </c>
      <c r="K931" s="13"/>
      <c r="L931" s="13"/>
    </row>
    <row r="932" spans="1:12" x14ac:dyDescent="0.2">
      <c r="A932" s="76">
        <v>682</v>
      </c>
      <c r="B932" s="76">
        <v>1</v>
      </c>
      <c r="C932" s="76" t="s">
        <v>267</v>
      </c>
      <c r="D932" s="76">
        <v>1997</v>
      </c>
      <c r="E932" s="76">
        <v>1998</v>
      </c>
      <c r="F932" s="81">
        <v>315</v>
      </c>
      <c r="G932" s="76">
        <v>10</v>
      </c>
      <c r="H932" s="76">
        <v>1</v>
      </c>
      <c r="I932" s="79">
        <v>597</v>
      </c>
      <c r="J932" s="79">
        <v>375</v>
      </c>
      <c r="K932" s="13"/>
      <c r="L932" s="13"/>
    </row>
    <row r="933" spans="1:12" x14ac:dyDescent="0.2">
      <c r="A933" s="76">
        <v>682</v>
      </c>
      <c r="B933" s="76">
        <v>1</v>
      </c>
      <c r="C933" s="76" t="s">
        <v>267</v>
      </c>
      <c r="D933" s="76">
        <v>2001</v>
      </c>
      <c r="E933" s="76">
        <v>2002</v>
      </c>
      <c r="F933" s="81">
        <v>126</v>
      </c>
      <c r="G933" s="76">
        <v>10</v>
      </c>
      <c r="H933" s="76">
        <v>1</v>
      </c>
      <c r="I933" s="79">
        <v>784</v>
      </c>
      <c r="J933" s="79">
        <v>360</v>
      </c>
      <c r="K933" s="13"/>
      <c r="L933" s="13"/>
    </row>
    <row r="934" spans="1:12" x14ac:dyDescent="0.2">
      <c r="A934" s="76">
        <v>682</v>
      </c>
      <c r="B934" s="76">
        <v>1</v>
      </c>
      <c r="C934" s="76" t="s">
        <v>267</v>
      </c>
      <c r="D934" s="76">
        <v>2005</v>
      </c>
      <c r="E934" s="76">
        <v>2006</v>
      </c>
      <c r="F934" s="81">
        <v>373.96</v>
      </c>
      <c r="G934" s="76">
        <v>10</v>
      </c>
      <c r="H934" s="78">
        <v>1</v>
      </c>
      <c r="I934" s="77">
        <v>582</v>
      </c>
      <c r="J934" s="77">
        <v>407</v>
      </c>
      <c r="K934" s="13"/>
      <c r="L934" s="13"/>
    </row>
    <row r="935" spans="1:12" x14ac:dyDescent="0.2">
      <c r="A935" s="76">
        <v>690</v>
      </c>
      <c r="B935" s="76">
        <v>1</v>
      </c>
      <c r="C935" s="76" t="s">
        <v>268</v>
      </c>
      <c r="D935" s="76">
        <v>1993</v>
      </c>
      <c r="E935" s="76">
        <v>1994</v>
      </c>
      <c r="F935" s="81">
        <v>400.94</v>
      </c>
      <c r="G935" s="76">
        <v>4</v>
      </c>
      <c r="H935" s="76">
        <v>1</v>
      </c>
      <c r="I935" s="79" t="s">
        <v>840</v>
      </c>
      <c r="J935" s="79" t="s">
        <v>840</v>
      </c>
      <c r="K935" s="13"/>
      <c r="L935" s="13"/>
    </row>
    <row r="936" spans="1:12" x14ac:dyDescent="0.2">
      <c r="A936" s="76">
        <v>690</v>
      </c>
      <c r="B936" s="76">
        <v>1</v>
      </c>
      <c r="C936" s="76" t="s">
        <v>268</v>
      </c>
      <c r="D936" s="76">
        <v>1997</v>
      </c>
      <c r="E936" s="76">
        <v>1998</v>
      </c>
      <c r="F936" s="81">
        <v>315</v>
      </c>
      <c r="G936" s="76">
        <v>10</v>
      </c>
      <c r="H936" s="76">
        <v>1</v>
      </c>
      <c r="I936" s="79">
        <v>398</v>
      </c>
      <c r="J936" s="79">
        <v>178</v>
      </c>
      <c r="K936" s="13"/>
      <c r="L936" s="13"/>
    </row>
    <row r="937" spans="1:12" x14ac:dyDescent="0.2">
      <c r="A937" s="76">
        <v>690</v>
      </c>
      <c r="B937" s="76">
        <v>1</v>
      </c>
      <c r="C937" s="76" t="s">
        <v>268</v>
      </c>
      <c r="D937" s="76">
        <v>2000</v>
      </c>
      <c r="E937" s="76">
        <v>2001</v>
      </c>
      <c r="F937" s="81">
        <v>100</v>
      </c>
      <c r="G937" s="76">
        <v>10</v>
      </c>
      <c r="H937" s="76">
        <v>0</v>
      </c>
      <c r="I937" s="79">
        <v>1058</v>
      </c>
      <c r="J937" s="79">
        <v>1285</v>
      </c>
      <c r="K937" s="13"/>
      <c r="L937" s="13"/>
    </row>
    <row r="938" spans="1:12" x14ac:dyDescent="0.2">
      <c r="A938" s="76">
        <v>690</v>
      </c>
      <c r="B938" s="76">
        <v>1</v>
      </c>
      <c r="C938" s="76" t="s">
        <v>268</v>
      </c>
      <c r="D938" s="76">
        <v>2001</v>
      </c>
      <c r="E938" s="76">
        <v>2002</v>
      </c>
      <c r="F938" s="81">
        <v>126</v>
      </c>
      <c r="G938" s="76">
        <v>10</v>
      </c>
      <c r="H938" s="76">
        <v>1</v>
      </c>
      <c r="I938" s="79">
        <v>711</v>
      </c>
      <c r="J938" s="79">
        <v>259</v>
      </c>
      <c r="K938" s="13"/>
      <c r="L938" s="13"/>
    </row>
    <row r="939" spans="1:12" x14ac:dyDescent="0.2">
      <c r="A939" s="76">
        <v>690</v>
      </c>
      <c r="B939" s="76">
        <v>1</v>
      </c>
      <c r="C939" s="76" t="s">
        <v>268</v>
      </c>
      <c r="D939" s="76">
        <v>2005</v>
      </c>
      <c r="E939" s="76">
        <v>2006</v>
      </c>
      <c r="F939" s="81">
        <v>473.26</v>
      </c>
      <c r="G939" s="76">
        <v>10</v>
      </c>
      <c r="H939" s="78">
        <v>1</v>
      </c>
      <c r="I939" s="77">
        <v>549</v>
      </c>
      <c r="J939" s="77">
        <v>423</v>
      </c>
      <c r="K939" s="13"/>
      <c r="L939" s="13"/>
    </row>
    <row r="940" spans="1:12" x14ac:dyDescent="0.2">
      <c r="A940" s="76">
        <v>695</v>
      </c>
      <c r="B940" s="76">
        <v>1</v>
      </c>
      <c r="C940" s="76" t="s">
        <v>269</v>
      </c>
      <c r="D940" s="76">
        <v>1993</v>
      </c>
      <c r="E940" s="76">
        <v>1994</v>
      </c>
      <c r="F940" s="81">
        <v>158.41</v>
      </c>
      <c r="G940" s="76">
        <v>5</v>
      </c>
      <c r="H940" s="76">
        <v>1</v>
      </c>
      <c r="I940" s="79" t="s">
        <v>840</v>
      </c>
      <c r="J940" s="79" t="s">
        <v>840</v>
      </c>
      <c r="K940" s="13"/>
      <c r="L940" s="13"/>
    </row>
    <row r="941" spans="1:12" x14ac:dyDescent="0.2">
      <c r="A941" s="76">
        <v>695</v>
      </c>
      <c r="B941" s="76">
        <v>1</v>
      </c>
      <c r="C941" s="76" t="s">
        <v>269</v>
      </c>
      <c r="D941" s="76">
        <v>1995</v>
      </c>
      <c r="E941" s="76">
        <v>1996</v>
      </c>
      <c r="F941" s="81">
        <v>105</v>
      </c>
      <c r="G941" s="76">
        <v>10</v>
      </c>
      <c r="H941" s="76">
        <v>1</v>
      </c>
      <c r="I941" s="79">
        <v>1172</v>
      </c>
      <c r="J941" s="79">
        <v>698</v>
      </c>
      <c r="K941" s="13"/>
      <c r="L941" s="13"/>
    </row>
    <row r="942" spans="1:12" x14ac:dyDescent="0.2">
      <c r="A942" s="76">
        <v>695</v>
      </c>
      <c r="B942" s="76">
        <v>1</v>
      </c>
      <c r="C942" s="76" t="s">
        <v>269</v>
      </c>
      <c r="D942" s="76">
        <v>1998</v>
      </c>
      <c r="E942" s="76">
        <v>1999</v>
      </c>
      <c r="F942" s="81">
        <v>158.41</v>
      </c>
      <c r="G942" s="76">
        <v>10</v>
      </c>
      <c r="H942" s="76">
        <v>1</v>
      </c>
      <c r="I942" s="79">
        <v>1693</v>
      </c>
      <c r="J942" s="79">
        <v>1145</v>
      </c>
      <c r="K942" s="13"/>
      <c r="L942" s="13"/>
    </row>
    <row r="943" spans="1:12" x14ac:dyDescent="0.2">
      <c r="A943" s="76">
        <v>695</v>
      </c>
      <c r="B943" s="76">
        <v>1</v>
      </c>
      <c r="C943" s="76" t="s">
        <v>269</v>
      </c>
      <c r="D943" s="76">
        <v>2003</v>
      </c>
      <c r="E943" s="76">
        <v>2004</v>
      </c>
      <c r="F943" s="81">
        <v>837.38</v>
      </c>
      <c r="G943" s="76">
        <v>10</v>
      </c>
      <c r="H943" s="76">
        <v>0</v>
      </c>
      <c r="I943" s="79">
        <v>745</v>
      </c>
      <c r="J943" s="79">
        <v>868</v>
      </c>
      <c r="K943" s="13"/>
      <c r="L943" s="13"/>
    </row>
    <row r="944" spans="1:12" x14ac:dyDescent="0.2">
      <c r="A944" s="76">
        <v>695</v>
      </c>
      <c r="B944" s="76">
        <v>1</v>
      </c>
      <c r="C944" s="76" t="s">
        <v>269</v>
      </c>
      <c r="D944" s="76">
        <v>2003</v>
      </c>
      <c r="E944" s="76">
        <v>2004</v>
      </c>
      <c r="F944" s="81">
        <v>873.36</v>
      </c>
      <c r="G944" s="76">
        <v>10</v>
      </c>
      <c r="H944" s="76">
        <v>1</v>
      </c>
      <c r="I944" s="79">
        <v>1255</v>
      </c>
      <c r="J944" s="79">
        <v>879</v>
      </c>
      <c r="K944" s="13"/>
      <c r="L944" s="13"/>
    </row>
    <row r="945" spans="1:12" x14ac:dyDescent="0.2">
      <c r="A945" s="76">
        <v>696</v>
      </c>
      <c r="B945" s="76">
        <v>1</v>
      </c>
      <c r="C945" s="76" t="s">
        <v>270</v>
      </c>
      <c r="D945" s="76">
        <v>2000</v>
      </c>
      <c r="E945" s="76">
        <v>2001</v>
      </c>
      <c r="F945" s="81">
        <v>315.93</v>
      </c>
      <c r="G945" s="76">
        <v>10</v>
      </c>
      <c r="H945" s="76">
        <v>1</v>
      </c>
      <c r="I945" s="79">
        <v>1713</v>
      </c>
      <c r="J945" s="79">
        <v>1194</v>
      </c>
      <c r="K945" s="13"/>
      <c r="L945" s="13"/>
    </row>
    <row r="946" spans="1:12" x14ac:dyDescent="0.2">
      <c r="A946" s="76">
        <v>696</v>
      </c>
      <c r="B946" s="76">
        <v>1</v>
      </c>
      <c r="C946" s="76" t="s">
        <v>270</v>
      </c>
      <c r="D946" s="76">
        <v>2005</v>
      </c>
      <c r="E946" s="76">
        <v>2006</v>
      </c>
      <c r="F946" s="81">
        <v>400</v>
      </c>
      <c r="G946" s="76">
        <v>10</v>
      </c>
      <c r="H946" s="78">
        <v>0</v>
      </c>
      <c r="I946" s="77">
        <v>682</v>
      </c>
      <c r="J946" s="77">
        <v>772</v>
      </c>
      <c r="K946" s="13"/>
      <c r="L946" s="13"/>
    </row>
    <row r="947" spans="1:12" x14ac:dyDescent="0.2">
      <c r="A947" s="76">
        <v>696</v>
      </c>
      <c r="B947" s="76">
        <v>1</v>
      </c>
      <c r="C947" s="76" t="s">
        <v>270</v>
      </c>
      <c r="D947" s="76">
        <v>2006</v>
      </c>
      <c r="E947" s="78">
        <v>2007</v>
      </c>
      <c r="F947" s="81">
        <v>900</v>
      </c>
      <c r="G947" s="78">
        <v>10</v>
      </c>
      <c r="H947" s="76">
        <v>1</v>
      </c>
      <c r="I947" s="77">
        <v>1417</v>
      </c>
      <c r="J947" s="77">
        <v>1349</v>
      </c>
      <c r="K947" s="13"/>
      <c r="L947" s="13"/>
    </row>
    <row r="948" spans="1:12" x14ac:dyDescent="0.2">
      <c r="A948" s="76">
        <v>697</v>
      </c>
      <c r="B948" s="76">
        <v>1</v>
      </c>
      <c r="C948" s="76" t="s">
        <v>690</v>
      </c>
      <c r="D948" s="76">
        <v>1993</v>
      </c>
      <c r="E948" s="76">
        <v>1994</v>
      </c>
      <c r="F948" s="81">
        <v>268.73</v>
      </c>
      <c r="G948" s="76">
        <v>5</v>
      </c>
      <c r="H948" s="76">
        <v>1</v>
      </c>
      <c r="I948" s="79" t="s">
        <v>840</v>
      </c>
      <c r="J948" s="79" t="s">
        <v>840</v>
      </c>
      <c r="K948" s="13"/>
      <c r="L948" s="13"/>
    </row>
    <row r="949" spans="1:12" x14ac:dyDescent="0.2">
      <c r="A949" s="76">
        <v>698</v>
      </c>
      <c r="B949" s="76">
        <v>1</v>
      </c>
      <c r="C949" s="76" t="s">
        <v>271</v>
      </c>
      <c r="D949" s="76">
        <v>1996</v>
      </c>
      <c r="E949" s="76">
        <v>1997</v>
      </c>
      <c r="F949" s="81">
        <v>133.46</v>
      </c>
      <c r="G949" s="76">
        <v>10</v>
      </c>
      <c r="H949" s="76">
        <v>1</v>
      </c>
      <c r="I949" s="79">
        <v>254</v>
      </c>
      <c r="J949" s="79">
        <v>207</v>
      </c>
      <c r="K949" s="13"/>
      <c r="L949" s="13"/>
    </row>
    <row r="950" spans="1:12" x14ac:dyDescent="0.2">
      <c r="A950" s="76">
        <v>700</v>
      </c>
      <c r="B950" s="76">
        <v>1</v>
      </c>
      <c r="C950" s="76" t="s">
        <v>272</v>
      </c>
      <c r="D950" s="76">
        <v>1994</v>
      </c>
      <c r="E950" s="76">
        <v>1995</v>
      </c>
      <c r="F950" s="81">
        <v>367.96</v>
      </c>
      <c r="G950" s="76">
        <v>10</v>
      </c>
      <c r="H950" s="76">
        <v>1</v>
      </c>
      <c r="I950" s="79">
        <v>1810</v>
      </c>
      <c r="J950" s="79">
        <v>1209</v>
      </c>
      <c r="K950" s="13"/>
      <c r="L950" s="13"/>
    </row>
    <row r="951" spans="1:12" x14ac:dyDescent="0.2">
      <c r="A951" s="76">
        <v>700</v>
      </c>
      <c r="B951" s="76">
        <v>1</v>
      </c>
      <c r="C951" s="76" t="s">
        <v>272</v>
      </c>
      <c r="D951" s="76">
        <v>1998</v>
      </c>
      <c r="E951" s="76">
        <v>1999</v>
      </c>
      <c r="F951" s="81">
        <v>67.239999999999995</v>
      </c>
      <c r="G951" s="76">
        <v>10</v>
      </c>
      <c r="H951" s="76">
        <v>1</v>
      </c>
      <c r="I951" s="79">
        <v>1371</v>
      </c>
      <c r="J951" s="79">
        <v>1346</v>
      </c>
      <c r="K951" s="13"/>
      <c r="L951" s="13"/>
    </row>
    <row r="952" spans="1:12" x14ac:dyDescent="0.2">
      <c r="A952" s="76">
        <v>700</v>
      </c>
      <c r="B952" s="76">
        <v>1</v>
      </c>
      <c r="C952" s="76" t="s">
        <v>272</v>
      </c>
      <c r="D952" s="76">
        <v>2001</v>
      </c>
      <c r="E952" s="76">
        <v>2002</v>
      </c>
      <c r="F952" s="81">
        <v>126</v>
      </c>
      <c r="G952" s="76">
        <v>10</v>
      </c>
      <c r="H952" s="76">
        <v>0</v>
      </c>
      <c r="I952" s="79">
        <v>686</v>
      </c>
      <c r="J952" s="79">
        <v>784</v>
      </c>
      <c r="K952" s="13"/>
      <c r="L952" s="13"/>
    </row>
    <row r="953" spans="1:12" x14ac:dyDescent="0.2">
      <c r="A953" s="76">
        <v>700</v>
      </c>
      <c r="B953" s="76">
        <v>1</v>
      </c>
      <c r="C953" s="76" t="s">
        <v>272</v>
      </c>
      <c r="D953" s="76">
        <v>2002</v>
      </c>
      <c r="E953" s="76">
        <v>2003</v>
      </c>
      <c r="F953" s="81">
        <v>1</v>
      </c>
      <c r="G953" s="76">
        <v>10</v>
      </c>
      <c r="H953" s="76">
        <v>1</v>
      </c>
      <c r="I953" s="79">
        <v>2765</v>
      </c>
      <c r="J953" s="79">
        <v>1487</v>
      </c>
      <c r="K953" s="13"/>
      <c r="L953" s="13"/>
    </row>
    <row r="954" spans="1:12" x14ac:dyDescent="0.2">
      <c r="A954" s="76">
        <v>701</v>
      </c>
      <c r="B954" s="76">
        <v>1</v>
      </c>
      <c r="C954" s="76" t="s">
        <v>273</v>
      </c>
      <c r="D954" s="76">
        <v>1993</v>
      </c>
      <c r="E954" s="76">
        <v>1994</v>
      </c>
      <c r="F954" s="81">
        <v>217.08</v>
      </c>
      <c r="G954" s="76">
        <v>5</v>
      </c>
      <c r="H954" s="76">
        <v>1</v>
      </c>
      <c r="I954" s="79" t="s">
        <v>840</v>
      </c>
      <c r="J954" s="79" t="s">
        <v>840</v>
      </c>
      <c r="K954" s="13"/>
      <c r="L954" s="13"/>
    </row>
    <row r="955" spans="1:12" x14ac:dyDescent="0.2">
      <c r="A955" s="76">
        <v>701</v>
      </c>
      <c r="B955" s="76">
        <v>1</v>
      </c>
      <c r="C955" s="76" t="s">
        <v>273</v>
      </c>
      <c r="D955" s="76">
        <v>1998</v>
      </c>
      <c r="E955" s="76">
        <v>1999</v>
      </c>
      <c r="F955" s="81">
        <v>144.91</v>
      </c>
      <c r="G955" s="76">
        <v>10</v>
      </c>
      <c r="H955" s="76">
        <v>1</v>
      </c>
      <c r="I955" s="79">
        <v>4053</v>
      </c>
      <c r="J955" s="79">
        <v>3897</v>
      </c>
      <c r="K955" s="13"/>
      <c r="L955" s="13"/>
    </row>
    <row r="956" spans="1:12" x14ac:dyDescent="0.2">
      <c r="A956" s="76">
        <v>701</v>
      </c>
      <c r="B956" s="76">
        <v>1</v>
      </c>
      <c r="C956" s="76" t="s">
        <v>273</v>
      </c>
      <c r="D956" s="76">
        <v>2003</v>
      </c>
      <c r="E956" s="76">
        <v>2004</v>
      </c>
      <c r="F956" s="81">
        <v>550</v>
      </c>
      <c r="G956" s="76">
        <v>10</v>
      </c>
      <c r="H956" s="76">
        <v>1</v>
      </c>
      <c r="I956" s="79">
        <v>2493</v>
      </c>
      <c r="J956" s="79">
        <v>1222</v>
      </c>
      <c r="K956" s="13"/>
      <c r="L956" s="13"/>
    </row>
    <row r="957" spans="1:12" x14ac:dyDescent="0.2">
      <c r="A957" s="76">
        <v>701</v>
      </c>
      <c r="B957" s="76">
        <v>1</v>
      </c>
      <c r="C957" s="76" t="s">
        <v>273</v>
      </c>
      <c r="D957" s="82">
        <v>2007</v>
      </c>
      <c r="E957" s="83">
        <v>2008</v>
      </c>
      <c r="F957" s="78">
        <v>106.13</v>
      </c>
      <c r="G957" s="76">
        <v>10</v>
      </c>
      <c r="H957" s="77">
        <v>1</v>
      </c>
      <c r="I957" s="77">
        <v>1544</v>
      </c>
      <c r="J957" s="79">
        <v>890</v>
      </c>
      <c r="K957" s="13"/>
      <c r="L957" s="13"/>
    </row>
    <row r="958" spans="1:12" x14ac:dyDescent="0.2">
      <c r="A958" s="76">
        <v>704</v>
      </c>
      <c r="B958" s="76">
        <v>1</v>
      </c>
      <c r="C958" s="76" t="s">
        <v>274</v>
      </c>
      <c r="D958" s="76">
        <v>1993</v>
      </c>
      <c r="E958" s="76">
        <v>1994</v>
      </c>
      <c r="F958" s="81">
        <v>426.88</v>
      </c>
      <c r="G958" s="76">
        <v>5</v>
      </c>
      <c r="H958" s="76">
        <v>1</v>
      </c>
      <c r="I958" s="79" t="s">
        <v>840</v>
      </c>
      <c r="J958" s="79" t="s">
        <v>840</v>
      </c>
      <c r="K958" s="13"/>
      <c r="L958" s="13"/>
    </row>
    <row r="959" spans="1:12" x14ac:dyDescent="0.2">
      <c r="A959" s="76">
        <v>704</v>
      </c>
      <c r="B959" s="76">
        <v>1</v>
      </c>
      <c r="C959" s="76" t="s">
        <v>274</v>
      </c>
      <c r="D959" s="76">
        <v>1998</v>
      </c>
      <c r="E959" s="76">
        <v>1999</v>
      </c>
      <c r="F959" s="81">
        <v>350</v>
      </c>
      <c r="G959" s="76">
        <v>10</v>
      </c>
      <c r="H959" s="76">
        <v>1</v>
      </c>
      <c r="I959" s="79">
        <v>2867</v>
      </c>
      <c r="J959" s="79">
        <v>2185</v>
      </c>
      <c r="K959" s="13"/>
      <c r="L959" s="13"/>
    </row>
    <row r="960" spans="1:12" x14ac:dyDescent="0.2">
      <c r="A960" s="76">
        <v>704</v>
      </c>
      <c r="B960" s="76">
        <v>1</v>
      </c>
      <c r="C960" s="76" t="s">
        <v>274</v>
      </c>
      <c r="D960" s="76">
        <v>2001</v>
      </c>
      <c r="E960" s="76">
        <v>2002</v>
      </c>
      <c r="F960" s="81">
        <v>1</v>
      </c>
      <c r="G960" s="76">
        <v>10</v>
      </c>
      <c r="H960" s="76">
        <v>1</v>
      </c>
      <c r="I960" s="79">
        <v>1304</v>
      </c>
      <c r="J960" s="79">
        <v>800</v>
      </c>
      <c r="K960" s="13"/>
      <c r="L960" s="13"/>
    </row>
    <row r="961" spans="1:12" x14ac:dyDescent="0.2">
      <c r="A961" s="76">
        <v>704</v>
      </c>
      <c r="B961" s="76">
        <v>1</v>
      </c>
      <c r="C961" s="76" t="s">
        <v>274</v>
      </c>
      <c r="D961" s="76">
        <v>2005</v>
      </c>
      <c r="E961" s="76">
        <v>2006</v>
      </c>
      <c r="F961" s="81">
        <v>200</v>
      </c>
      <c r="G961" s="76">
        <v>10</v>
      </c>
      <c r="H961" s="78">
        <v>0</v>
      </c>
      <c r="I961" s="77">
        <v>752</v>
      </c>
      <c r="J961" s="77">
        <v>1143</v>
      </c>
      <c r="K961" s="13"/>
      <c r="L961" s="13"/>
    </row>
    <row r="962" spans="1:12" x14ac:dyDescent="0.2">
      <c r="A962">
        <v>704</v>
      </c>
      <c r="B962">
        <v>1</v>
      </c>
      <c r="C962" t="s">
        <v>274</v>
      </c>
      <c r="D962">
        <v>2008</v>
      </c>
      <c r="E962" s="5">
        <v>2009</v>
      </c>
      <c r="F962" s="6">
        <v>400</v>
      </c>
      <c r="G962" s="1">
        <v>10</v>
      </c>
      <c r="H962" s="33">
        <v>0</v>
      </c>
      <c r="I962" s="33">
        <v>3024</v>
      </c>
      <c r="J962" s="33">
        <v>4220</v>
      </c>
      <c r="K962" s="13"/>
      <c r="L962" s="13"/>
    </row>
    <row r="963" spans="1:12" x14ac:dyDescent="0.2">
      <c r="A963" s="76">
        <v>706</v>
      </c>
      <c r="B963" s="76">
        <v>1</v>
      </c>
      <c r="C963" s="76" t="s">
        <v>275</v>
      </c>
      <c r="D963" s="76">
        <v>1993</v>
      </c>
      <c r="E963" s="76">
        <v>1994</v>
      </c>
      <c r="F963" s="81">
        <v>311.58999999999997</v>
      </c>
      <c r="G963" s="76">
        <v>5</v>
      </c>
      <c r="H963" s="76">
        <v>1</v>
      </c>
      <c r="I963" s="79" t="s">
        <v>840</v>
      </c>
      <c r="J963" s="79" t="s">
        <v>840</v>
      </c>
      <c r="K963" s="13"/>
      <c r="L963" s="13"/>
    </row>
    <row r="964" spans="1:12" x14ac:dyDescent="0.2">
      <c r="A964" s="76">
        <v>706</v>
      </c>
      <c r="B964" s="76">
        <v>1</v>
      </c>
      <c r="C964" s="76" t="s">
        <v>275</v>
      </c>
      <c r="D964" s="76">
        <v>1998</v>
      </c>
      <c r="E964" s="76">
        <v>1999</v>
      </c>
      <c r="F964" s="81">
        <v>299.25</v>
      </c>
      <c r="G964" s="76">
        <v>10</v>
      </c>
      <c r="H964" s="76">
        <v>1</v>
      </c>
      <c r="I964" s="79">
        <v>2980</v>
      </c>
      <c r="J964" s="79">
        <v>2336</v>
      </c>
      <c r="K964" s="13"/>
      <c r="L964" s="13"/>
    </row>
    <row r="965" spans="1:12" x14ac:dyDescent="0.2">
      <c r="A965" s="76">
        <v>706</v>
      </c>
      <c r="B965" s="76">
        <v>1</v>
      </c>
      <c r="C965" s="76" t="s">
        <v>275</v>
      </c>
      <c r="D965" s="76">
        <v>2000</v>
      </c>
      <c r="E965" s="76">
        <v>2001</v>
      </c>
      <c r="F965" s="81">
        <v>400</v>
      </c>
      <c r="G965" s="76">
        <v>8</v>
      </c>
      <c r="H965" s="76">
        <v>0</v>
      </c>
      <c r="I965" s="79">
        <v>1726</v>
      </c>
      <c r="J965" s="79">
        <v>3772</v>
      </c>
      <c r="K965" s="13"/>
      <c r="L965" s="13"/>
    </row>
    <row r="966" spans="1:12" x14ac:dyDescent="0.2">
      <c r="A966" s="76">
        <v>706</v>
      </c>
      <c r="B966" s="76">
        <v>1</v>
      </c>
      <c r="C966" s="76" t="s">
        <v>275</v>
      </c>
      <c r="D966" s="76">
        <v>2001</v>
      </c>
      <c r="E966" s="76">
        <v>2002</v>
      </c>
      <c r="F966" s="81">
        <v>450</v>
      </c>
      <c r="G966" s="76">
        <v>10</v>
      </c>
      <c r="H966" s="76">
        <v>0</v>
      </c>
      <c r="I966" s="79">
        <v>1668</v>
      </c>
      <c r="J966" s="79">
        <v>2260</v>
      </c>
      <c r="K966" s="13"/>
      <c r="L966" s="13"/>
    </row>
    <row r="967" spans="1:12" x14ac:dyDescent="0.2">
      <c r="A967" s="76">
        <v>706</v>
      </c>
      <c r="B967" s="76">
        <v>1</v>
      </c>
      <c r="C967" s="76" t="s">
        <v>275</v>
      </c>
      <c r="D967" s="76">
        <v>2002</v>
      </c>
      <c r="E967" s="76">
        <v>2003</v>
      </c>
      <c r="F967" s="81">
        <v>500</v>
      </c>
      <c r="G967" s="76">
        <v>5</v>
      </c>
      <c r="H967" s="76">
        <v>0</v>
      </c>
      <c r="I967" s="79">
        <v>1826</v>
      </c>
      <c r="J967" s="79">
        <v>2390</v>
      </c>
      <c r="K967" s="13"/>
      <c r="L967" s="13"/>
    </row>
    <row r="968" spans="1:12" x14ac:dyDescent="0.2">
      <c r="A968" s="76">
        <v>706</v>
      </c>
      <c r="B968" s="76">
        <v>1</v>
      </c>
      <c r="C968" s="76" t="s">
        <v>1015</v>
      </c>
      <c r="D968" s="76">
        <v>2005</v>
      </c>
      <c r="E968" s="76">
        <v>2006</v>
      </c>
      <c r="F968" s="81">
        <v>800</v>
      </c>
      <c r="G968" s="76">
        <v>7</v>
      </c>
      <c r="H968" s="78">
        <v>1</v>
      </c>
      <c r="I968" s="77">
        <v>2393</v>
      </c>
      <c r="J968" s="77">
        <v>1597</v>
      </c>
      <c r="K968" s="13"/>
      <c r="L968" s="13"/>
    </row>
    <row r="969" spans="1:12" x14ac:dyDescent="0.2">
      <c r="A969" s="76">
        <v>707</v>
      </c>
      <c r="B969" s="76">
        <v>1</v>
      </c>
      <c r="C969" s="76" t="s">
        <v>276</v>
      </c>
      <c r="D969" s="76">
        <v>1993</v>
      </c>
      <c r="E969" s="76">
        <v>1994</v>
      </c>
      <c r="F969" s="81">
        <v>332.87</v>
      </c>
      <c r="G969" s="76">
        <v>5</v>
      </c>
      <c r="H969" s="76">
        <v>1</v>
      </c>
      <c r="I969" s="79" t="s">
        <v>840</v>
      </c>
      <c r="J969" s="79" t="s">
        <v>840</v>
      </c>
      <c r="K969" s="13"/>
      <c r="L969" s="13"/>
    </row>
    <row r="970" spans="1:12" x14ac:dyDescent="0.2">
      <c r="A970" s="76">
        <v>707</v>
      </c>
      <c r="B970" s="76">
        <v>1</v>
      </c>
      <c r="C970" s="76" t="s">
        <v>276</v>
      </c>
      <c r="D970" s="76">
        <v>1998</v>
      </c>
      <c r="E970" s="76">
        <v>1999</v>
      </c>
      <c r="F970" s="81">
        <v>350</v>
      </c>
      <c r="G970" s="76">
        <v>10</v>
      </c>
      <c r="H970" s="76">
        <v>1</v>
      </c>
      <c r="I970" s="79">
        <v>57</v>
      </c>
      <c r="J970" s="79">
        <v>5</v>
      </c>
      <c r="K970" s="13"/>
      <c r="L970" s="13"/>
    </row>
    <row r="971" spans="1:12" x14ac:dyDescent="0.2">
      <c r="A971" s="76">
        <v>707</v>
      </c>
      <c r="B971" s="76">
        <v>1</v>
      </c>
      <c r="C971" s="76" t="s">
        <v>276</v>
      </c>
      <c r="D971" s="76">
        <v>1999</v>
      </c>
      <c r="E971" s="76">
        <v>2000</v>
      </c>
      <c r="F971" s="81">
        <v>65</v>
      </c>
      <c r="G971" s="76">
        <v>10</v>
      </c>
      <c r="H971" s="76">
        <v>1</v>
      </c>
      <c r="I971" s="79">
        <v>70</v>
      </c>
      <c r="J971" s="79">
        <v>15</v>
      </c>
      <c r="K971" s="13"/>
      <c r="L971" s="13"/>
    </row>
    <row r="972" spans="1:12" x14ac:dyDescent="0.2">
      <c r="A972" s="76">
        <v>707</v>
      </c>
      <c r="B972" s="76">
        <v>1</v>
      </c>
      <c r="C972" s="76" t="s">
        <v>276</v>
      </c>
      <c r="D972" s="76">
        <v>2001</v>
      </c>
      <c r="E972" s="76">
        <v>2002</v>
      </c>
      <c r="F972" s="81">
        <v>571.88</v>
      </c>
      <c r="G972" s="76">
        <v>10</v>
      </c>
      <c r="H972" s="76">
        <v>1</v>
      </c>
      <c r="I972" s="79">
        <v>132</v>
      </c>
      <c r="J972" s="79">
        <v>18</v>
      </c>
      <c r="K972" s="13"/>
      <c r="L972" s="13"/>
    </row>
    <row r="973" spans="1:12" x14ac:dyDescent="0.2">
      <c r="A973" s="76">
        <v>708</v>
      </c>
      <c r="B973" s="76">
        <v>1</v>
      </c>
      <c r="C973" s="76" t="s">
        <v>692</v>
      </c>
      <c r="D973" s="76">
        <v>1992</v>
      </c>
      <c r="E973" s="76">
        <v>1993</v>
      </c>
      <c r="F973" s="81">
        <v>889.68</v>
      </c>
      <c r="G973" s="76">
        <v>3</v>
      </c>
      <c r="H973" s="76">
        <v>0</v>
      </c>
      <c r="I973" s="79" t="s">
        <v>840</v>
      </c>
      <c r="J973" s="79" t="s">
        <v>840</v>
      </c>
      <c r="K973" s="13"/>
      <c r="L973" s="13"/>
    </row>
    <row r="974" spans="1:12" x14ac:dyDescent="0.2">
      <c r="A974" s="76">
        <v>709</v>
      </c>
      <c r="B974" s="76">
        <v>1</v>
      </c>
      <c r="C974" s="76" t="s">
        <v>277</v>
      </c>
      <c r="D974" s="76">
        <v>1993</v>
      </c>
      <c r="E974" s="76">
        <v>1994</v>
      </c>
      <c r="F974" s="81">
        <v>345.03</v>
      </c>
      <c r="G974" s="76">
        <v>4</v>
      </c>
      <c r="H974" s="76">
        <v>1</v>
      </c>
      <c r="I974" s="79" t="s">
        <v>840</v>
      </c>
      <c r="J974" s="79" t="s">
        <v>840</v>
      </c>
      <c r="K974" s="13"/>
      <c r="L974" s="13"/>
    </row>
    <row r="975" spans="1:12" x14ac:dyDescent="0.2">
      <c r="A975" s="76">
        <v>709</v>
      </c>
      <c r="B975" s="76">
        <v>1</v>
      </c>
      <c r="C975" s="76" t="s">
        <v>277</v>
      </c>
      <c r="D975" s="76">
        <v>1997</v>
      </c>
      <c r="E975" s="76">
        <v>1998</v>
      </c>
      <c r="F975" s="81">
        <v>315</v>
      </c>
      <c r="G975" s="76">
        <v>5</v>
      </c>
      <c r="H975" s="76">
        <v>1</v>
      </c>
      <c r="I975" s="79">
        <v>12347</v>
      </c>
      <c r="J975" s="79">
        <v>5468</v>
      </c>
      <c r="K975" s="13"/>
      <c r="L975" s="13"/>
    </row>
    <row r="976" spans="1:12" x14ac:dyDescent="0.2">
      <c r="A976" s="76">
        <v>709</v>
      </c>
      <c r="B976" s="76">
        <v>1</v>
      </c>
      <c r="C976" s="76" t="s">
        <v>277</v>
      </c>
      <c r="D976" s="76">
        <v>2001</v>
      </c>
      <c r="E976" s="76">
        <v>2002</v>
      </c>
      <c r="F976" s="81">
        <v>425</v>
      </c>
      <c r="G976" s="76">
        <v>5</v>
      </c>
      <c r="H976" s="76">
        <v>0</v>
      </c>
      <c r="I976" s="79">
        <v>13409</v>
      </c>
      <c r="J976" s="79">
        <v>16810</v>
      </c>
      <c r="K976" s="13"/>
      <c r="L976" s="13"/>
    </row>
    <row r="977" spans="1:12" x14ac:dyDescent="0.2">
      <c r="A977" s="76">
        <v>709</v>
      </c>
      <c r="B977" s="76">
        <v>1</v>
      </c>
      <c r="C977" s="76" t="s">
        <v>277</v>
      </c>
      <c r="D977" s="76">
        <v>2003</v>
      </c>
      <c r="E977" s="76">
        <v>2004</v>
      </c>
      <c r="F977" s="81">
        <v>365.6</v>
      </c>
      <c r="G977" s="76">
        <v>5</v>
      </c>
      <c r="H977" s="76">
        <v>1</v>
      </c>
      <c r="I977" s="79">
        <v>16285</v>
      </c>
      <c r="J977" s="79">
        <v>14021</v>
      </c>
      <c r="K977" s="13"/>
      <c r="L977" s="13"/>
    </row>
    <row r="978" spans="1:12" x14ac:dyDescent="0.2">
      <c r="A978">
        <v>709</v>
      </c>
      <c r="B978">
        <v>1</v>
      </c>
      <c r="C978" t="s">
        <v>277</v>
      </c>
      <c r="D978">
        <v>2008</v>
      </c>
      <c r="E978" s="5">
        <v>2009</v>
      </c>
      <c r="F978" s="6">
        <v>365.6</v>
      </c>
      <c r="G978" s="5">
        <v>5</v>
      </c>
      <c r="H978" s="33">
        <v>1</v>
      </c>
      <c r="I978" s="33">
        <v>35196</v>
      </c>
      <c r="J978" s="33">
        <v>17326</v>
      </c>
      <c r="K978" s="13"/>
      <c r="L978" s="13"/>
    </row>
    <row r="979" spans="1:12" x14ac:dyDescent="0.2">
      <c r="A979">
        <v>709</v>
      </c>
      <c r="B979">
        <v>1</v>
      </c>
      <c r="C979" t="s">
        <v>277</v>
      </c>
      <c r="D979">
        <v>2008</v>
      </c>
      <c r="E979" s="5">
        <v>2009</v>
      </c>
      <c r="F979" s="6">
        <v>334.4</v>
      </c>
      <c r="G979" s="5">
        <v>5</v>
      </c>
      <c r="H979" s="33">
        <v>0</v>
      </c>
      <c r="I979" s="33">
        <v>23760</v>
      </c>
      <c r="J979" s="33">
        <v>28363</v>
      </c>
      <c r="K979" s="13"/>
      <c r="L979" s="13"/>
    </row>
    <row r="980" spans="1:12" x14ac:dyDescent="0.2">
      <c r="A980">
        <v>709</v>
      </c>
      <c r="B980">
        <v>1</v>
      </c>
      <c r="C980" t="s">
        <v>277</v>
      </c>
      <c r="D980">
        <v>2008</v>
      </c>
      <c r="E980" s="5">
        <v>2009</v>
      </c>
      <c r="F980" s="6">
        <v>500</v>
      </c>
      <c r="G980" s="5">
        <v>5</v>
      </c>
      <c r="H980" s="33">
        <v>0</v>
      </c>
      <c r="I980" s="33">
        <v>15875</v>
      </c>
      <c r="J980" s="33">
        <v>35430</v>
      </c>
      <c r="K980" s="13"/>
      <c r="L980" s="13"/>
    </row>
    <row r="981" spans="1:12" x14ac:dyDescent="0.2">
      <c r="A981" s="76">
        <v>712</v>
      </c>
      <c r="B981" s="76">
        <v>1</v>
      </c>
      <c r="C981" s="76" t="s">
        <v>757</v>
      </c>
      <c r="D981" s="76">
        <v>1991</v>
      </c>
      <c r="E981" s="76">
        <v>1993</v>
      </c>
      <c r="F981" s="81">
        <v>375</v>
      </c>
      <c r="G981" s="76">
        <v>5</v>
      </c>
      <c r="H981" s="76">
        <v>0</v>
      </c>
      <c r="I981" s="79" t="s">
        <v>840</v>
      </c>
      <c r="J981" s="79" t="s">
        <v>840</v>
      </c>
      <c r="K981" s="13"/>
      <c r="L981" s="13"/>
    </row>
    <row r="982" spans="1:12" x14ac:dyDescent="0.2">
      <c r="A982" s="76">
        <v>712</v>
      </c>
      <c r="B982" s="76">
        <v>1</v>
      </c>
      <c r="C982" s="76" t="s">
        <v>758</v>
      </c>
      <c r="D982" s="76">
        <v>1992</v>
      </c>
      <c r="E982" s="76">
        <v>1993</v>
      </c>
      <c r="F982" s="81">
        <v>367.04</v>
      </c>
      <c r="G982" s="76">
        <v>5</v>
      </c>
      <c r="H982" s="76">
        <v>1</v>
      </c>
      <c r="I982" s="79" t="s">
        <v>840</v>
      </c>
      <c r="J982" s="79" t="s">
        <v>840</v>
      </c>
      <c r="K982" s="13"/>
      <c r="L982" s="13"/>
    </row>
    <row r="983" spans="1:12" x14ac:dyDescent="0.2">
      <c r="A983" s="76">
        <v>712</v>
      </c>
      <c r="B983" s="76">
        <v>1</v>
      </c>
      <c r="C983" s="76" t="s">
        <v>278</v>
      </c>
      <c r="D983" s="76">
        <v>1997</v>
      </c>
      <c r="E983" s="76">
        <v>1998</v>
      </c>
      <c r="F983" s="81">
        <v>265.35000000000002</v>
      </c>
      <c r="G983" s="76">
        <v>5</v>
      </c>
      <c r="H983" s="76">
        <v>1</v>
      </c>
      <c r="I983" s="79">
        <v>662</v>
      </c>
      <c r="J983" s="79">
        <v>537</v>
      </c>
      <c r="K983" s="13"/>
      <c r="L983" s="13"/>
    </row>
    <row r="984" spans="1:12" x14ac:dyDescent="0.2">
      <c r="A984" s="76">
        <v>712</v>
      </c>
      <c r="B984" s="76">
        <v>1</v>
      </c>
      <c r="C984" s="76" t="s">
        <v>278</v>
      </c>
      <c r="D984" s="76">
        <v>2000</v>
      </c>
      <c r="E984" s="76">
        <v>2001</v>
      </c>
      <c r="F984" s="81">
        <v>991</v>
      </c>
      <c r="G984" s="76">
        <v>10</v>
      </c>
      <c r="H984" s="76">
        <v>0</v>
      </c>
      <c r="I984" s="79">
        <v>846</v>
      </c>
      <c r="J984" s="79">
        <v>1723</v>
      </c>
      <c r="K984" s="13"/>
      <c r="L984" s="13"/>
    </row>
    <row r="985" spans="1:12" x14ac:dyDescent="0.2">
      <c r="A985" s="76">
        <v>712</v>
      </c>
      <c r="B985" s="76">
        <v>1</v>
      </c>
      <c r="C985" s="76" t="s">
        <v>1044</v>
      </c>
      <c r="D985" s="76">
        <v>2001</v>
      </c>
      <c r="E985" s="76">
        <v>2001</v>
      </c>
      <c r="F985" s="81">
        <v>561.04</v>
      </c>
      <c r="G985" s="76">
        <v>10</v>
      </c>
      <c r="H985" s="76">
        <v>1</v>
      </c>
      <c r="I985" s="79">
        <v>1099</v>
      </c>
      <c r="J985" s="79">
        <v>563</v>
      </c>
      <c r="K985" s="13"/>
      <c r="L985" s="13"/>
    </row>
    <row r="986" spans="1:12" x14ac:dyDescent="0.2">
      <c r="A986" s="76">
        <v>716</v>
      </c>
      <c r="B986" s="76">
        <v>1</v>
      </c>
      <c r="C986" s="76" t="s">
        <v>279</v>
      </c>
      <c r="D986" s="76">
        <v>2001</v>
      </c>
      <c r="E986" s="76">
        <v>2002</v>
      </c>
      <c r="F986" s="81">
        <v>250</v>
      </c>
      <c r="G986" s="76">
        <v>10</v>
      </c>
      <c r="H986" s="76">
        <v>0</v>
      </c>
      <c r="I986" s="79">
        <v>523</v>
      </c>
      <c r="J986" s="79">
        <v>702</v>
      </c>
      <c r="K986" s="13"/>
      <c r="L986" s="13"/>
    </row>
    <row r="987" spans="1:12" x14ac:dyDescent="0.2">
      <c r="A987" s="76">
        <v>716</v>
      </c>
      <c r="B987" s="76">
        <v>1</v>
      </c>
      <c r="C987" s="76" t="s">
        <v>279</v>
      </c>
      <c r="D987" s="76">
        <v>2002</v>
      </c>
      <c r="E987" s="76">
        <v>2003</v>
      </c>
      <c r="F987" s="81">
        <v>75</v>
      </c>
      <c r="G987" s="76">
        <v>10</v>
      </c>
      <c r="H987" s="76">
        <v>0</v>
      </c>
      <c r="I987" s="79">
        <v>1166</v>
      </c>
      <c r="J987" s="79">
        <v>1722</v>
      </c>
      <c r="K987" s="13"/>
      <c r="L987" s="13"/>
    </row>
    <row r="988" spans="1:12" x14ac:dyDescent="0.2">
      <c r="A988" s="76">
        <v>716</v>
      </c>
      <c r="B988" s="76">
        <v>1</v>
      </c>
      <c r="C988" s="76" t="s">
        <v>279</v>
      </c>
      <c r="D988" s="76">
        <v>2002</v>
      </c>
      <c r="E988" s="76">
        <v>2003</v>
      </c>
      <c r="F988" s="81">
        <v>112</v>
      </c>
      <c r="G988" s="76">
        <v>10</v>
      </c>
      <c r="H988" s="76">
        <v>0</v>
      </c>
      <c r="I988" s="79">
        <v>1352</v>
      </c>
      <c r="J988" s="79">
        <v>1614</v>
      </c>
      <c r="K988" s="13"/>
      <c r="L988" s="13"/>
    </row>
    <row r="989" spans="1:12" x14ac:dyDescent="0.2">
      <c r="A989" s="76">
        <v>716</v>
      </c>
      <c r="B989" s="76">
        <v>1</v>
      </c>
      <c r="C989" s="76" t="s">
        <v>279</v>
      </c>
      <c r="D989" s="76">
        <v>2006</v>
      </c>
      <c r="E989" s="78">
        <v>2007</v>
      </c>
      <c r="F989" s="81">
        <v>600</v>
      </c>
      <c r="G989" s="78">
        <v>10</v>
      </c>
      <c r="H989" s="76">
        <v>0</v>
      </c>
      <c r="I989" s="77">
        <v>1195</v>
      </c>
      <c r="J989" s="77">
        <v>2144</v>
      </c>
      <c r="K989" s="13"/>
      <c r="L989" s="13"/>
    </row>
    <row r="990" spans="1:12" x14ac:dyDescent="0.2">
      <c r="A990" s="76">
        <v>716</v>
      </c>
      <c r="B990" s="76">
        <v>1</v>
      </c>
      <c r="C990" s="76" t="s">
        <v>279</v>
      </c>
      <c r="D990" s="82">
        <v>2007</v>
      </c>
      <c r="E990" s="83">
        <v>2008</v>
      </c>
      <c r="F990" s="78">
        <v>300</v>
      </c>
      <c r="G990" s="76">
        <v>10</v>
      </c>
      <c r="H990" s="77">
        <v>1</v>
      </c>
      <c r="I990" s="77">
        <v>1165</v>
      </c>
      <c r="J990" s="79">
        <v>1015</v>
      </c>
      <c r="K990" s="13"/>
      <c r="L990" s="13"/>
    </row>
    <row r="991" spans="1:12" x14ac:dyDescent="0.2">
      <c r="A991" s="76">
        <v>717</v>
      </c>
      <c r="B991" s="76">
        <v>1</v>
      </c>
      <c r="C991" s="76" t="s">
        <v>280</v>
      </c>
      <c r="D991" s="76">
        <v>1993</v>
      </c>
      <c r="E991" s="76">
        <v>1994</v>
      </c>
      <c r="F991" s="81">
        <v>282</v>
      </c>
      <c r="G991" s="76">
        <v>5</v>
      </c>
      <c r="H991" s="76">
        <v>0</v>
      </c>
      <c r="I991" s="79" t="s">
        <v>840</v>
      </c>
      <c r="J991" s="79" t="s">
        <v>840</v>
      </c>
      <c r="K991" s="13"/>
      <c r="L991" s="13"/>
    </row>
    <row r="992" spans="1:12" x14ac:dyDescent="0.2">
      <c r="A992" s="76">
        <v>717</v>
      </c>
      <c r="B992" s="76">
        <v>1</v>
      </c>
      <c r="C992" s="76" t="s">
        <v>280</v>
      </c>
      <c r="D992" s="76">
        <v>1994</v>
      </c>
      <c r="E992" s="76">
        <v>1995</v>
      </c>
      <c r="F992" s="81">
        <v>649.54</v>
      </c>
      <c r="G992" s="76">
        <v>5</v>
      </c>
      <c r="H992" s="76">
        <v>0</v>
      </c>
      <c r="I992" s="79">
        <v>783</v>
      </c>
      <c r="J992" s="79">
        <v>1299</v>
      </c>
      <c r="K992" s="13"/>
      <c r="L992" s="13"/>
    </row>
    <row r="993" spans="1:12" x14ac:dyDescent="0.2">
      <c r="A993" s="76">
        <v>717</v>
      </c>
      <c r="B993" s="76">
        <v>1</v>
      </c>
      <c r="C993" s="76" t="s">
        <v>280</v>
      </c>
      <c r="D993" s="76">
        <v>1995</v>
      </c>
      <c r="E993" s="76">
        <v>1996</v>
      </c>
      <c r="F993" s="81">
        <v>322</v>
      </c>
      <c r="G993" s="76">
        <v>5</v>
      </c>
      <c r="H993" s="76">
        <v>1</v>
      </c>
      <c r="I993" s="79">
        <v>541</v>
      </c>
      <c r="J993" s="79">
        <v>396</v>
      </c>
      <c r="K993" s="13"/>
      <c r="L993" s="13"/>
    </row>
    <row r="994" spans="1:12" x14ac:dyDescent="0.2">
      <c r="A994" s="76">
        <v>717</v>
      </c>
      <c r="B994" s="76">
        <v>1</v>
      </c>
      <c r="C994" s="76" t="s">
        <v>280</v>
      </c>
      <c r="D994" s="76">
        <v>2000</v>
      </c>
      <c r="E994" s="76">
        <v>2001</v>
      </c>
      <c r="F994" s="81">
        <v>276</v>
      </c>
      <c r="G994" s="76">
        <v>5</v>
      </c>
      <c r="H994" s="76">
        <v>1</v>
      </c>
      <c r="I994" s="79">
        <v>1613</v>
      </c>
      <c r="J994" s="79">
        <v>1367</v>
      </c>
      <c r="K994" s="13"/>
      <c r="L994" s="13"/>
    </row>
    <row r="995" spans="1:12" x14ac:dyDescent="0.2">
      <c r="A995" s="76">
        <v>717</v>
      </c>
      <c r="B995" s="76">
        <v>1</v>
      </c>
      <c r="C995" s="76" t="s">
        <v>280</v>
      </c>
      <c r="D995" s="76">
        <v>2002</v>
      </c>
      <c r="E995" s="76">
        <v>2003</v>
      </c>
      <c r="F995" s="81">
        <v>1</v>
      </c>
      <c r="G995" s="76">
        <v>10</v>
      </c>
      <c r="H995" s="76">
        <v>1</v>
      </c>
      <c r="I995" s="79">
        <v>1909</v>
      </c>
      <c r="J995" s="79">
        <v>937</v>
      </c>
      <c r="K995" s="13"/>
      <c r="L995" s="13"/>
    </row>
    <row r="996" spans="1:12" x14ac:dyDescent="0.2">
      <c r="A996" s="76">
        <v>717</v>
      </c>
      <c r="B996" s="76">
        <v>1</v>
      </c>
      <c r="C996" s="76" t="s">
        <v>280</v>
      </c>
      <c r="D996" s="76">
        <v>2005</v>
      </c>
      <c r="E996" s="76">
        <v>2006</v>
      </c>
      <c r="F996" s="81">
        <v>350</v>
      </c>
      <c r="G996" s="76">
        <v>5</v>
      </c>
      <c r="H996" s="78">
        <v>0</v>
      </c>
      <c r="I996" s="77">
        <v>372</v>
      </c>
      <c r="J996" s="77">
        <v>583</v>
      </c>
      <c r="K996" s="13"/>
      <c r="L996" s="13"/>
    </row>
    <row r="997" spans="1:12" x14ac:dyDescent="0.2">
      <c r="A997" s="76">
        <v>717</v>
      </c>
      <c r="B997" s="76">
        <v>1</v>
      </c>
      <c r="C997" s="76" t="s">
        <v>280</v>
      </c>
      <c r="D997" s="76">
        <v>2006</v>
      </c>
      <c r="E997" s="78">
        <v>2007</v>
      </c>
      <c r="F997" s="81">
        <v>425</v>
      </c>
      <c r="G997" s="78">
        <v>10</v>
      </c>
      <c r="H997" s="76">
        <v>0</v>
      </c>
      <c r="I997" s="77">
        <v>1306</v>
      </c>
      <c r="J997" s="77">
        <v>1908</v>
      </c>
      <c r="K997" s="13"/>
      <c r="L997" s="13"/>
    </row>
    <row r="998" spans="1:12" x14ac:dyDescent="0.2">
      <c r="A998">
        <v>717</v>
      </c>
      <c r="B998">
        <v>1</v>
      </c>
      <c r="C998" t="s">
        <v>280</v>
      </c>
      <c r="D998">
        <v>2008</v>
      </c>
      <c r="E998" s="5">
        <v>2009</v>
      </c>
      <c r="F998" s="6">
        <v>425</v>
      </c>
      <c r="G998" s="1">
        <v>10</v>
      </c>
      <c r="H998" s="33">
        <v>0</v>
      </c>
      <c r="I998" s="33">
        <v>1791</v>
      </c>
      <c r="J998" s="33">
        <v>2687</v>
      </c>
      <c r="K998" s="13"/>
      <c r="L998" s="13"/>
    </row>
    <row r="999" spans="1:12" x14ac:dyDescent="0.2">
      <c r="A999" s="76">
        <v>719</v>
      </c>
      <c r="B999" s="76">
        <v>1</v>
      </c>
      <c r="C999" s="76" t="s">
        <v>281</v>
      </c>
      <c r="D999" s="76">
        <v>1991</v>
      </c>
      <c r="E999" s="76">
        <v>1992</v>
      </c>
      <c r="F999" s="81">
        <v>499.53</v>
      </c>
      <c r="G999" s="76">
        <v>5</v>
      </c>
      <c r="H999" s="76">
        <v>0</v>
      </c>
      <c r="I999" s="79" t="s">
        <v>840</v>
      </c>
      <c r="J999" s="79" t="s">
        <v>840</v>
      </c>
      <c r="K999" s="13"/>
      <c r="L999" s="13"/>
    </row>
    <row r="1000" spans="1:12" x14ac:dyDescent="0.2">
      <c r="A1000" s="76">
        <v>719</v>
      </c>
      <c r="B1000" s="76">
        <v>1</v>
      </c>
      <c r="C1000" s="76" t="s">
        <v>281</v>
      </c>
      <c r="D1000" s="76">
        <v>1992</v>
      </c>
      <c r="E1000" s="76">
        <v>1993</v>
      </c>
      <c r="F1000" s="81">
        <v>585</v>
      </c>
      <c r="G1000" s="76">
        <v>5</v>
      </c>
      <c r="H1000" s="76">
        <v>0</v>
      </c>
      <c r="I1000" s="79" t="s">
        <v>840</v>
      </c>
      <c r="J1000" s="79" t="s">
        <v>840</v>
      </c>
      <c r="K1000" s="13"/>
      <c r="L1000" s="13"/>
    </row>
    <row r="1001" spans="1:12" x14ac:dyDescent="0.2">
      <c r="A1001" s="76">
        <v>719</v>
      </c>
      <c r="B1001" s="76">
        <v>1</v>
      </c>
      <c r="C1001" s="76" t="s">
        <v>281</v>
      </c>
      <c r="D1001" s="76">
        <v>1993</v>
      </c>
      <c r="E1001" s="76">
        <v>1994</v>
      </c>
      <c r="F1001" s="81">
        <v>374.43</v>
      </c>
      <c r="G1001" s="76">
        <v>5</v>
      </c>
      <c r="H1001" s="76">
        <v>1</v>
      </c>
      <c r="I1001" s="79" t="s">
        <v>840</v>
      </c>
      <c r="J1001" s="79" t="s">
        <v>840</v>
      </c>
      <c r="K1001" s="13"/>
      <c r="L1001" s="13"/>
    </row>
    <row r="1002" spans="1:12" x14ac:dyDescent="0.2">
      <c r="A1002" s="76">
        <v>719</v>
      </c>
      <c r="B1002" s="76">
        <v>1</v>
      </c>
      <c r="C1002" s="76" t="s">
        <v>281</v>
      </c>
      <c r="D1002" s="76">
        <v>1997</v>
      </c>
      <c r="E1002" s="76">
        <v>1999</v>
      </c>
      <c r="F1002" s="81">
        <v>321</v>
      </c>
      <c r="G1002" s="76">
        <v>10</v>
      </c>
      <c r="H1002" s="76">
        <v>0</v>
      </c>
      <c r="I1002" s="79">
        <v>2595</v>
      </c>
      <c r="J1002" s="79">
        <v>2679</v>
      </c>
      <c r="K1002" s="13"/>
      <c r="L1002" s="13"/>
    </row>
    <row r="1003" spans="1:12" x14ac:dyDescent="0.2">
      <c r="A1003" s="76">
        <v>719</v>
      </c>
      <c r="B1003" s="76">
        <v>1</v>
      </c>
      <c r="C1003" s="76" t="s">
        <v>281</v>
      </c>
      <c r="D1003" s="76">
        <v>1997</v>
      </c>
      <c r="E1003" s="76">
        <v>1998</v>
      </c>
      <c r="F1003" s="81">
        <v>200</v>
      </c>
      <c r="G1003" s="76">
        <v>10</v>
      </c>
      <c r="H1003" s="76">
        <v>0</v>
      </c>
      <c r="I1003" s="79">
        <v>2091</v>
      </c>
      <c r="J1003" s="79">
        <v>3156</v>
      </c>
      <c r="K1003" s="13"/>
      <c r="L1003" s="13"/>
    </row>
    <row r="1004" spans="1:12" x14ac:dyDescent="0.2">
      <c r="A1004" s="76">
        <v>719</v>
      </c>
      <c r="B1004" s="76">
        <v>1</v>
      </c>
      <c r="C1004" s="76" t="s">
        <v>281</v>
      </c>
      <c r="D1004" s="76">
        <v>1998</v>
      </c>
      <c r="E1004" s="76">
        <v>1999</v>
      </c>
      <c r="F1004" s="81">
        <v>698</v>
      </c>
      <c r="G1004" s="76">
        <v>10</v>
      </c>
      <c r="H1004" s="76">
        <v>1</v>
      </c>
      <c r="I1004" s="79">
        <v>5726</v>
      </c>
      <c r="J1004" s="79">
        <v>5149</v>
      </c>
      <c r="K1004" s="13"/>
      <c r="L1004" s="13"/>
    </row>
    <row r="1005" spans="1:12" x14ac:dyDescent="0.2">
      <c r="A1005" s="76">
        <v>719</v>
      </c>
      <c r="B1005" s="76">
        <v>1</v>
      </c>
      <c r="C1005" s="76" t="s">
        <v>281</v>
      </c>
      <c r="D1005" s="76">
        <v>2002</v>
      </c>
      <c r="E1005" s="76">
        <v>2003</v>
      </c>
      <c r="F1005" s="81">
        <v>554.38</v>
      </c>
      <c r="G1005" s="76">
        <v>6</v>
      </c>
      <c r="H1005" s="76">
        <v>1</v>
      </c>
      <c r="I1005" s="79">
        <v>7533</v>
      </c>
      <c r="J1005" s="79">
        <v>6424</v>
      </c>
      <c r="K1005" s="13"/>
      <c r="L1005" s="13"/>
    </row>
    <row r="1006" spans="1:12" x14ac:dyDescent="0.2">
      <c r="A1006" s="76">
        <v>719</v>
      </c>
      <c r="B1006" s="76">
        <v>1</v>
      </c>
      <c r="C1006" s="76" t="s">
        <v>281</v>
      </c>
      <c r="D1006" s="82">
        <v>2007</v>
      </c>
      <c r="E1006" s="83">
        <v>2008</v>
      </c>
      <c r="F1006" s="78">
        <v>589.78</v>
      </c>
      <c r="G1006" s="76">
        <v>10</v>
      </c>
      <c r="H1006" s="77">
        <v>0</v>
      </c>
      <c r="I1006" s="77">
        <v>3609</v>
      </c>
      <c r="J1006" s="79">
        <v>5434</v>
      </c>
      <c r="K1006" s="13"/>
      <c r="L1006" s="13"/>
    </row>
    <row r="1007" spans="1:12" x14ac:dyDescent="0.2">
      <c r="A1007">
        <v>719</v>
      </c>
      <c r="B1007">
        <v>1</v>
      </c>
      <c r="C1007" t="s">
        <v>281</v>
      </c>
      <c r="D1007">
        <v>2008</v>
      </c>
      <c r="E1007" s="5">
        <v>2009</v>
      </c>
      <c r="F1007" s="6">
        <v>1051.22</v>
      </c>
      <c r="G1007" s="1">
        <v>10</v>
      </c>
      <c r="H1007" s="33">
        <v>1</v>
      </c>
      <c r="I1007" s="33">
        <v>11551</v>
      </c>
      <c r="J1007" s="33">
        <v>9396</v>
      </c>
      <c r="K1007" s="13"/>
      <c r="L1007" s="13"/>
    </row>
    <row r="1008" spans="1:12" x14ac:dyDescent="0.2">
      <c r="A1008">
        <v>719</v>
      </c>
      <c r="B1008">
        <v>1</v>
      </c>
      <c r="C1008" t="s">
        <v>281</v>
      </c>
      <c r="D1008">
        <v>2008</v>
      </c>
      <c r="E1008" s="5">
        <v>2009</v>
      </c>
      <c r="F1008" s="6">
        <v>90</v>
      </c>
      <c r="G1008" s="1">
        <v>10</v>
      </c>
      <c r="H1008" s="33">
        <v>0</v>
      </c>
      <c r="I1008" s="33">
        <v>9926</v>
      </c>
      <c r="J1008" s="33">
        <v>10372</v>
      </c>
      <c r="K1008" s="13"/>
      <c r="L1008" s="13"/>
    </row>
    <row r="1009" spans="1:12" x14ac:dyDescent="0.2">
      <c r="A1009" s="76">
        <v>720</v>
      </c>
      <c r="B1009" s="76">
        <v>1</v>
      </c>
      <c r="C1009" s="76" t="s">
        <v>759</v>
      </c>
      <c r="D1009" s="76">
        <v>1991</v>
      </c>
      <c r="E1009" s="76">
        <v>1993</v>
      </c>
      <c r="F1009" s="81">
        <v>794</v>
      </c>
      <c r="G1009" s="76">
        <v>5</v>
      </c>
      <c r="H1009" s="76">
        <v>1</v>
      </c>
      <c r="I1009" s="79" t="s">
        <v>840</v>
      </c>
      <c r="J1009" s="79" t="s">
        <v>840</v>
      </c>
      <c r="K1009" s="13"/>
      <c r="L1009" s="13"/>
    </row>
    <row r="1010" spans="1:12" x14ac:dyDescent="0.2">
      <c r="A1010" s="76">
        <v>720</v>
      </c>
      <c r="B1010" s="76">
        <v>1</v>
      </c>
      <c r="C1010" s="76" t="s">
        <v>282</v>
      </c>
      <c r="D1010" s="76">
        <v>1997</v>
      </c>
      <c r="E1010" s="76">
        <v>1998</v>
      </c>
      <c r="F1010" s="81">
        <v>675</v>
      </c>
      <c r="G1010" s="76">
        <v>5</v>
      </c>
      <c r="H1010" s="76">
        <v>1</v>
      </c>
      <c r="I1010" s="79">
        <v>2409</v>
      </c>
      <c r="J1010" s="79">
        <v>1229</v>
      </c>
      <c r="K1010" s="13"/>
      <c r="L1010" s="13"/>
    </row>
    <row r="1011" spans="1:12" x14ac:dyDescent="0.2">
      <c r="A1011" s="76">
        <v>720</v>
      </c>
      <c r="B1011" s="76">
        <v>1</v>
      </c>
      <c r="C1011" s="76" t="s">
        <v>282</v>
      </c>
      <c r="D1011" s="76">
        <v>2001</v>
      </c>
      <c r="E1011" s="76">
        <v>2002</v>
      </c>
      <c r="F1011" s="81">
        <v>579</v>
      </c>
      <c r="G1011" s="76">
        <v>6</v>
      </c>
      <c r="H1011" s="76">
        <v>0</v>
      </c>
      <c r="I1011" s="79">
        <v>1988</v>
      </c>
      <c r="J1011" s="79">
        <v>2555</v>
      </c>
      <c r="K1011" s="13"/>
      <c r="L1011" s="13"/>
    </row>
    <row r="1012" spans="1:12" x14ac:dyDescent="0.2">
      <c r="A1012" s="76">
        <v>720</v>
      </c>
      <c r="B1012" s="76">
        <v>1</v>
      </c>
      <c r="C1012" s="76" t="s">
        <v>282</v>
      </c>
      <c r="D1012" s="76">
        <v>2002</v>
      </c>
      <c r="E1012" s="76">
        <v>2003</v>
      </c>
      <c r="F1012" s="81">
        <v>540</v>
      </c>
      <c r="G1012" s="76">
        <v>7</v>
      </c>
      <c r="H1012" s="76">
        <v>1</v>
      </c>
      <c r="I1012" s="79">
        <v>5884</v>
      </c>
      <c r="J1012" s="79">
        <v>4668</v>
      </c>
      <c r="K1012" s="13"/>
      <c r="L1012" s="13"/>
    </row>
    <row r="1013" spans="1:12" x14ac:dyDescent="0.2">
      <c r="A1013" s="76">
        <v>721</v>
      </c>
      <c r="B1013" s="76">
        <v>1</v>
      </c>
      <c r="C1013" s="76" t="s">
        <v>283</v>
      </c>
      <c r="D1013" s="76">
        <v>1995</v>
      </c>
      <c r="E1013" s="76">
        <v>1996</v>
      </c>
      <c r="F1013" s="81">
        <v>367.41</v>
      </c>
      <c r="G1013" s="76">
        <v>5</v>
      </c>
      <c r="H1013" s="76">
        <v>1</v>
      </c>
      <c r="I1013" s="79">
        <v>1569</v>
      </c>
      <c r="J1013" s="79">
        <v>1167</v>
      </c>
      <c r="K1013" s="13"/>
      <c r="L1013" s="13"/>
    </row>
    <row r="1014" spans="1:12" x14ac:dyDescent="0.2">
      <c r="A1014" s="76">
        <v>721</v>
      </c>
      <c r="B1014" s="76">
        <v>1</v>
      </c>
      <c r="C1014" s="76" t="s">
        <v>283</v>
      </c>
      <c r="D1014" s="76">
        <v>2000</v>
      </c>
      <c r="E1014" s="76">
        <v>2001</v>
      </c>
      <c r="F1014" s="81">
        <v>415</v>
      </c>
      <c r="G1014" s="76">
        <v>5</v>
      </c>
      <c r="H1014" s="76">
        <v>1</v>
      </c>
      <c r="I1014" s="79">
        <v>3774</v>
      </c>
      <c r="J1014" s="79">
        <v>2140</v>
      </c>
      <c r="K1014" s="13"/>
      <c r="L1014" s="13"/>
    </row>
    <row r="1015" spans="1:12" x14ac:dyDescent="0.2">
      <c r="A1015" s="76">
        <v>721</v>
      </c>
      <c r="B1015" s="76">
        <v>1</v>
      </c>
      <c r="C1015" s="76" t="s">
        <v>283</v>
      </c>
      <c r="D1015" s="76">
        <v>2002</v>
      </c>
      <c r="E1015" s="76">
        <v>2003</v>
      </c>
      <c r="F1015" s="81">
        <v>550</v>
      </c>
      <c r="G1015" s="76">
        <v>10</v>
      </c>
      <c r="H1015" s="76">
        <v>0</v>
      </c>
      <c r="I1015" s="79">
        <v>2196</v>
      </c>
      <c r="J1015" s="79">
        <v>3627</v>
      </c>
      <c r="K1015" s="13"/>
      <c r="L1015" s="13"/>
    </row>
    <row r="1016" spans="1:12" x14ac:dyDescent="0.2">
      <c r="A1016" s="76">
        <v>721</v>
      </c>
      <c r="B1016" s="76">
        <v>1</v>
      </c>
      <c r="C1016" s="76" t="s">
        <v>850</v>
      </c>
      <c r="D1016" s="76">
        <v>2003</v>
      </c>
      <c r="E1016" s="76">
        <v>2004</v>
      </c>
      <c r="F1016" s="81">
        <v>145</v>
      </c>
      <c r="G1016" s="76">
        <v>4</v>
      </c>
      <c r="H1016" s="76">
        <v>0</v>
      </c>
      <c r="I1016" s="79">
        <v>1822</v>
      </c>
      <c r="J1016" s="79">
        <v>1888</v>
      </c>
      <c r="K1016" s="13"/>
      <c r="L1016" s="13"/>
    </row>
    <row r="1017" spans="1:12" x14ac:dyDescent="0.2">
      <c r="A1017" s="76">
        <v>721</v>
      </c>
      <c r="B1017" s="76">
        <v>1</v>
      </c>
      <c r="C1017" s="76" t="s">
        <v>850</v>
      </c>
      <c r="D1017" s="76">
        <v>2003</v>
      </c>
      <c r="E1017" s="76">
        <v>2004</v>
      </c>
      <c r="F1017" s="81">
        <v>453</v>
      </c>
      <c r="G1017" s="76">
        <v>4</v>
      </c>
      <c r="H1017" s="76">
        <v>1</v>
      </c>
      <c r="I1017" s="79">
        <v>2190</v>
      </c>
      <c r="J1017" s="79">
        <v>1527</v>
      </c>
      <c r="K1017" s="13"/>
      <c r="L1017" s="13"/>
    </row>
    <row r="1018" spans="1:12" x14ac:dyDescent="0.2">
      <c r="A1018" s="76">
        <v>721</v>
      </c>
      <c r="B1018" s="76">
        <v>1</v>
      </c>
      <c r="C1018" s="76" t="s">
        <v>283</v>
      </c>
      <c r="D1018" s="82">
        <v>2007</v>
      </c>
      <c r="E1018" s="83">
        <v>2008</v>
      </c>
      <c r="F1018" s="78">
        <v>757</v>
      </c>
      <c r="G1018" s="76">
        <v>5</v>
      </c>
      <c r="H1018" s="77">
        <v>1</v>
      </c>
      <c r="I1018" s="77">
        <v>2413</v>
      </c>
      <c r="J1018" s="79">
        <v>1942</v>
      </c>
      <c r="K1018" s="13"/>
      <c r="L1018" s="13"/>
    </row>
    <row r="1019" spans="1:12" x14ac:dyDescent="0.2">
      <c r="A1019" s="76">
        <v>726</v>
      </c>
      <c r="B1019" s="76">
        <v>1</v>
      </c>
      <c r="C1019" s="76" t="s">
        <v>284</v>
      </c>
      <c r="D1019" s="76">
        <v>1999</v>
      </c>
      <c r="E1019" s="76">
        <v>2000</v>
      </c>
      <c r="F1019" s="81">
        <v>315</v>
      </c>
      <c r="G1019" s="76">
        <v>10</v>
      </c>
      <c r="H1019" s="76">
        <v>1</v>
      </c>
      <c r="I1019" s="79">
        <v>721</v>
      </c>
      <c r="J1019" s="79">
        <v>560</v>
      </c>
      <c r="K1019" s="13"/>
      <c r="L1019" s="13"/>
    </row>
    <row r="1020" spans="1:12" x14ac:dyDescent="0.2">
      <c r="A1020" s="76">
        <v>727</v>
      </c>
      <c r="B1020" s="76">
        <v>1</v>
      </c>
      <c r="C1020" s="76" t="s">
        <v>285</v>
      </c>
      <c r="D1020" s="76">
        <v>1991</v>
      </c>
      <c r="E1020" s="76">
        <v>1993</v>
      </c>
      <c r="F1020" s="81">
        <v>235.38</v>
      </c>
      <c r="G1020" s="76">
        <v>5</v>
      </c>
      <c r="H1020" s="76">
        <v>0</v>
      </c>
      <c r="I1020" s="79" t="s">
        <v>840</v>
      </c>
      <c r="J1020" s="79" t="s">
        <v>840</v>
      </c>
      <c r="K1020" s="13"/>
      <c r="L1020" s="13"/>
    </row>
    <row r="1021" spans="1:12" x14ac:dyDescent="0.2">
      <c r="A1021" s="76">
        <v>727</v>
      </c>
      <c r="B1021" s="76">
        <v>1</v>
      </c>
      <c r="C1021" s="76" t="s">
        <v>285</v>
      </c>
      <c r="D1021" s="76">
        <v>1993</v>
      </c>
      <c r="E1021" s="76">
        <v>1994</v>
      </c>
      <c r="F1021" s="81">
        <v>427.75</v>
      </c>
      <c r="G1021" s="76">
        <v>5</v>
      </c>
      <c r="H1021" s="76">
        <v>1</v>
      </c>
      <c r="I1021" s="79" t="s">
        <v>840</v>
      </c>
      <c r="J1021" s="79" t="s">
        <v>840</v>
      </c>
      <c r="K1021" s="13"/>
      <c r="L1021" s="13"/>
    </row>
    <row r="1022" spans="1:12" x14ac:dyDescent="0.2">
      <c r="A1022" s="76">
        <v>727</v>
      </c>
      <c r="B1022" s="76">
        <v>1</v>
      </c>
      <c r="C1022" s="76" t="s">
        <v>285</v>
      </c>
      <c r="D1022" s="76">
        <v>1997</v>
      </c>
      <c r="E1022" s="76">
        <v>1999</v>
      </c>
      <c r="F1022" s="81">
        <v>310.3</v>
      </c>
      <c r="G1022" s="76">
        <v>5</v>
      </c>
      <c r="H1022" s="76">
        <v>0</v>
      </c>
      <c r="I1022" s="79">
        <v>304</v>
      </c>
      <c r="J1022" s="79">
        <v>367</v>
      </c>
      <c r="K1022" s="13"/>
      <c r="L1022" s="13"/>
    </row>
    <row r="1023" spans="1:12" x14ac:dyDescent="0.2">
      <c r="A1023" s="76">
        <v>727</v>
      </c>
      <c r="B1023" s="76">
        <v>1</v>
      </c>
      <c r="C1023" s="76" t="s">
        <v>285</v>
      </c>
      <c r="D1023" s="76">
        <v>1998</v>
      </c>
      <c r="E1023" s="76">
        <v>1999</v>
      </c>
      <c r="F1023" s="81">
        <v>310.3</v>
      </c>
      <c r="G1023" s="76">
        <v>5</v>
      </c>
      <c r="H1023" s="76">
        <v>0</v>
      </c>
      <c r="I1023" s="79">
        <v>750</v>
      </c>
      <c r="J1023" s="79">
        <v>900</v>
      </c>
      <c r="K1023" s="13"/>
      <c r="L1023" s="13"/>
    </row>
    <row r="1024" spans="1:12" x14ac:dyDescent="0.2">
      <c r="A1024" s="76">
        <v>727</v>
      </c>
      <c r="B1024" s="76">
        <v>1</v>
      </c>
      <c r="C1024" s="76" t="s">
        <v>285</v>
      </c>
      <c r="D1024" s="76">
        <v>1999</v>
      </c>
      <c r="E1024" s="76">
        <v>2000</v>
      </c>
      <c r="F1024" s="81">
        <v>415</v>
      </c>
      <c r="G1024" s="76">
        <v>10</v>
      </c>
      <c r="H1024" s="76">
        <v>1</v>
      </c>
      <c r="I1024" s="79">
        <v>1361</v>
      </c>
      <c r="J1024" s="79">
        <v>537</v>
      </c>
      <c r="K1024" s="13"/>
      <c r="L1024" s="13"/>
    </row>
    <row r="1025" spans="1:12" x14ac:dyDescent="0.2">
      <c r="A1025" s="76">
        <v>727</v>
      </c>
      <c r="B1025" s="76">
        <v>1</v>
      </c>
      <c r="C1025" s="76" t="s">
        <v>285</v>
      </c>
      <c r="D1025" s="76">
        <v>2001</v>
      </c>
      <c r="E1025" s="76">
        <v>2002</v>
      </c>
      <c r="F1025" s="81">
        <v>831.04</v>
      </c>
      <c r="G1025" s="76">
        <v>10</v>
      </c>
      <c r="H1025" s="76">
        <v>0</v>
      </c>
      <c r="I1025" s="79">
        <v>528</v>
      </c>
      <c r="J1025" s="79">
        <v>1527</v>
      </c>
      <c r="K1025" s="13"/>
      <c r="L1025" s="13"/>
    </row>
    <row r="1026" spans="1:12" x14ac:dyDescent="0.2">
      <c r="A1026" s="76">
        <v>727</v>
      </c>
      <c r="B1026" s="76">
        <v>1</v>
      </c>
      <c r="C1026" s="76" t="s">
        <v>285</v>
      </c>
      <c r="D1026" s="76">
        <v>2004</v>
      </c>
      <c r="E1026" s="76">
        <v>2005</v>
      </c>
      <c r="F1026" s="81">
        <v>50</v>
      </c>
      <c r="G1026" s="76">
        <v>10</v>
      </c>
      <c r="H1026" s="76">
        <v>0</v>
      </c>
      <c r="I1026" s="79">
        <v>2211</v>
      </c>
      <c r="J1026" s="79">
        <v>3610</v>
      </c>
      <c r="K1026" s="13"/>
      <c r="L1026" s="13"/>
    </row>
    <row r="1027" spans="1:12" x14ac:dyDescent="0.2">
      <c r="A1027" s="76">
        <v>727</v>
      </c>
      <c r="B1027" s="76">
        <v>1</v>
      </c>
      <c r="C1027" s="76" t="s">
        <v>285</v>
      </c>
      <c r="D1027" s="76">
        <v>2004</v>
      </c>
      <c r="E1027" s="76">
        <v>2005</v>
      </c>
      <c r="F1027" s="81">
        <v>100</v>
      </c>
      <c r="G1027" s="76">
        <v>10</v>
      </c>
      <c r="H1027" s="76">
        <v>0</v>
      </c>
      <c r="I1027" s="79">
        <v>2271</v>
      </c>
      <c r="J1027" s="79">
        <v>3640</v>
      </c>
      <c r="K1027" s="13"/>
      <c r="L1027" s="13"/>
    </row>
    <row r="1028" spans="1:12" x14ac:dyDescent="0.2">
      <c r="A1028" s="76">
        <v>727</v>
      </c>
      <c r="B1028" s="76">
        <v>1</v>
      </c>
      <c r="C1028" s="76" t="s">
        <v>285</v>
      </c>
      <c r="D1028" s="76">
        <v>2004</v>
      </c>
      <c r="E1028" s="76">
        <v>2005</v>
      </c>
      <c r="F1028" s="81">
        <v>600</v>
      </c>
      <c r="G1028" s="76">
        <v>10</v>
      </c>
      <c r="H1028" s="76">
        <v>0</v>
      </c>
      <c r="I1028" s="79">
        <v>2401</v>
      </c>
      <c r="J1028" s="79">
        <v>3578</v>
      </c>
      <c r="K1028" s="13"/>
      <c r="L1028" s="13"/>
    </row>
    <row r="1029" spans="1:12" x14ac:dyDescent="0.2">
      <c r="A1029" s="76">
        <v>727</v>
      </c>
      <c r="B1029" s="76">
        <v>1</v>
      </c>
      <c r="C1029" s="76" t="s">
        <v>285</v>
      </c>
      <c r="D1029" s="82">
        <v>2007</v>
      </c>
      <c r="E1029" s="83">
        <v>2008</v>
      </c>
      <c r="F1029" s="78">
        <v>138</v>
      </c>
      <c r="G1029" s="76">
        <v>10</v>
      </c>
      <c r="H1029" s="77">
        <v>0</v>
      </c>
      <c r="I1029" s="77">
        <v>878</v>
      </c>
      <c r="J1029" s="79">
        <v>1608</v>
      </c>
      <c r="K1029" s="13"/>
      <c r="L1029" s="13"/>
    </row>
    <row r="1030" spans="1:12" x14ac:dyDescent="0.2">
      <c r="A1030" s="76">
        <v>727</v>
      </c>
      <c r="B1030" s="76">
        <v>1</v>
      </c>
      <c r="C1030" s="76" t="s">
        <v>285</v>
      </c>
      <c r="D1030" s="82">
        <v>2007</v>
      </c>
      <c r="E1030" s="83">
        <v>2008</v>
      </c>
      <c r="F1030" s="78">
        <v>138</v>
      </c>
      <c r="G1030" s="76">
        <v>10</v>
      </c>
      <c r="H1030" s="77">
        <v>0</v>
      </c>
      <c r="I1030" s="77">
        <v>804</v>
      </c>
      <c r="J1030" s="79">
        <v>1673</v>
      </c>
      <c r="K1030" s="13"/>
      <c r="L1030" s="13"/>
    </row>
    <row r="1031" spans="1:12" x14ac:dyDescent="0.2">
      <c r="A1031" s="76">
        <v>727</v>
      </c>
      <c r="B1031" s="76">
        <v>1</v>
      </c>
      <c r="C1031" s="76" t="s">
        <v>285</v>
      </c>
      <c r="D1031" s="82">
        <v>2007</v>
      </c>
      <c r="E1031" s="83">
        <v>2008</v>
      </c>
      <c r="F1031" s="78">
        <v>318</v>
      </c>
      <c r="G1031" s="76">
        <v>10</v>
      </c>
      <c r="H1031" s="77">
        <v>0</v>
      </c>
      <c r="I1031" s="77">
        <v>1008</v>
      </c>
      <c r="J1031" s="79">
        <v>1490</v>
      </c>
      <c r="K1031" s="13"/>
      <c r="L1031" s="13"/>
    </row>
    <row r="1032" spans="1:12" x14ac:dyDescent="0.2">
      <c r="A1032" s="76">
        <v>728</v>
      </c>
      <c r="B1032" s="76">
        <v>1</v>
      </c>
      <c r="C1032" s="76" t="s">
        <v>286</v>
      </c>
      <c r="D1032" s="76">
        <v>1993</v>
      </c>
      <c r="E1032" s="76">
        <v>1994</v>
      </c>
      <c r="F1032" s="81">
        <v>332.83</v>
      </c>
      <c r="G1032" s="76">
        <v>5</v>
      </c>
      <c r="H1032" s="76">
        <v>1</v>
      </c>
      <c r="I1032" s="79" t="s">
        <v>840</v>
      </c>
      <c r="J1032" s="79" t="s">
        <v>840</v>
      </c>
      <c r="K1032" s="13"/>
      <c r="L1032" s="13"/>
    </row>
    <row r="1033" spans="1:12" x14ac:dyDescent="0.2">
      <c r="A1033" s="76">
        <v>728</v>
      </c>
      <c r="B1033" s="76">
        <v>1</v>
      </c>
      <c r="C1033" s="76" t="s">
        <v>286</v>
      </c>
      <c r="D1033" s="76">
        <v>1997</v>
      </c>
      <c r="E1033" s="76">
        <v>1999</v>
      </c>
      <c r="F1033" s="81">
        <v>81.22</v>
      </c>
      <c r="G1033" s="76">
        <v>10</v>
      </c>
      <c r="H1033" s="76">
        <v>1</v>
      </c>
      <c r="I1033" s="79">
        <v>3113</v>
      </c>
      <c r="J1033" s="79">
        <v>2686</v>
      </c>
      <c r="K1033" s="13"/>
      <c r="L1033" s="13"/>
    </row>
    <row r="1034" spans="1:12" x14ac:dyDescent="0.2">
      <c r="A1034" s="76">
        <v>728</v>
      </c>
      <c r="B1034" s="76">
        <v>1</v>
      </c>
      <c r="C1034" s="76" t="s">
        <v>286</v>
      </c>
      <c r="D1034" s="76">
        <v>1997</v>
      </c>
      <c r="E1034" s="76">
        <v>1999</v>
      </c>
      <c r="F1034" s="81">
        <v>407.18</v>
      </c>
      <c r="G1034" s="76">
        <v>10</v>
      </c>
      <c r="H1034" s="76">
        <v>1</v>
      </c>
      <c r="I1034" s="79">
        <v>3375</v>
      </c>
      <c r="J1034" s="79">
        <v>2445</v>
      </c>
      <c r="K1034" s="13"/>
      <c r="L1034" s="13"/>
    </row>
    <row r="1035" spans="1:12" x14ac:dyDescent="0.2">
      <c r="A1035" s="76">
        <v>728</v>
      </c>
      <c r="B1035" s="76">
        <v>1</v>
      </c>
      <c r="C1035" s="76" t="s">
        <v>286</v>
      </c>
      <c r="D1035" s="76">
        <v>1999</v>
      </c>
      <c r="E1035" s="76">
        <v>2000</v>
      </c>
      <c r="F1035" s="81">
        <v>285.23</v>
      </c>
      <c r="G1035" s="76">
        <v>10</v>
      </c>
      <c r="H1035" s="76">
        <v>0</v>
      </c>
      <c r="I1035" s="79">
        <v>3719</v>
      </c>
      <c r="J1035" s="79">
        <v>4285</v>
      </c>
      <c r="K1035" s="13"/>
      <c r="L1035" s="13"/>
    </row>
    <row r="1036" spans="1:12" x14ac:dyDescent="0.2">
      <c r="A1036" s="76">
        <v>728</v>
      </c>
      <c r="B1036" s="76">
        <v>1</v>
      </c>
      <c r="C1036" s="76" t="s">
        <v>286</v>
      </c>
      <c r="D1036" s="76">
        <v>2000</v>
      </c>
      <c r="E1036" s="76">
        <v>2001</v>
      </c>
      <c r="F1036" s="81">
        <v>195</v>
      </c>
      <c r="G1036" s="76">
        <v>10</v>
      </c>
      <c r="H1036" s="76">
        <v>1</v>
      </c>
      <c r="I1036" s="79">
        <v>11003</v>
      </c>
      <c r="J1036" s="79">
        <v>9530</v>
      </c>
      <c r="K1036" s="13"/>
      <c r="L1036" s="13"/>
    </row>
    <row r="1037" spans="1:12" x14ac:dyDescent="0.2">
      <c r="A1037" s="76">
        <v>728</v>
      </c>
      <c r="B1037" s="76">
        <v>1</v>
      </c>
      <c r="C1037" s="76" t="s">
        <v>286</v>
      </c>
      <c r="D1037" s="76">
        <v>2001</v>
      </c>
      <c r="E1037" s="76">
        <v>2002</v>
      </c>
      <c r="F1037" s="81">
        <v>526.75</v>
      </c>
      <c r="G1037" s="76">
        <v>10</v>
      </c>
      <c r="H1037" s="76">
        <v>0</v>
      </c>
      <c r="I1037" s="79">
        <v>3750</v>
      </c>
      <c r="J1037" s="79">
        <v>6478</v>
      </c>
      <c r="K1037" s="13"/>
      <c r="L1037" s="13"/>
    </row>
    <row r="1038" spans="1:12" x14ac:dyDescent="0.2">
      <c r="A1038" s="76">
        <v>728</v>
      </c>
      <c r="B1038" s="76">
        <v>1</v>
      </c>
      <c r="C1038" s="76" t="s">
        <v>286</v>
      </c>
      <c r="D1038" s="76">
        <v>2003</v>
      </c>
      <c r="E1038" s="76">
        <v>2004</v>
      </c>
      <c r="F1038" s="81">
        <v>157</v>
      </c>
      <c r="G1038" s="76">
        <v>10</v>
      </c>
      <c r="H1038" s="76">
        <v>0</v>
      </c>
      <c r="I1038" s="79">
        <v>4711</v>
      </c>
      <c r="J1038" s="79">
        <v>4716</v>
      </c>
      <c r="K1038" s="13"/>
      <c r="L1038" s="13"/>
    </row>
    <row r="1039" spans="1:12" x14ac:dyDescent="0.2">
      <c r="A1039" s="76">
        <v>728</v>
      </c>
      <c r="B1039" s="76">
        <v>1</v>
      </c>
      <c r="C1039" s="76" t="s">
        <v>286</v>
      </c>
      <c r="D1039" s="76">
        <v>2003</v>
      </c>
      <c r="E1039" s="76">
        <v>2004</v>
      </c>
      <c r="F1039" s="81">
        <v>184</v>
      </c>
      <c r="G1039" s="76">
        <v>10</v>
      </c>
      <c r="H1039" s="76">
        <v>1</v>
      </c>
      <c r="I1039" s="79">
        <v>4931</v>
      </c>
      <c r="J1039" s="79">
        <v>4512</v>
      </c>
      <c r="K1039" s="13"/>
      <c r="L1039" s="13"/>
    </row>
    <row r="1040" spans="1:12" x14ac:dyDescent="0.2">
      <c r="A1040" s="76">
        <v>728</v>
      </c>
      <c r="B1040" s="76">
        <v>1</v>
      </c>
      <c r="C1040" s="76" t="s">
        <v>286</v>
      </c>
      <c r="D1040" s="76">
        <v>2004</v>
      </c>
      <c r="E1040" s="76">
        <v>2005</v>
      </c>
      <c r="F1040" s="81">
        <v>250</v>
      </c>
      <c r="G1040" s="76">
        <v>10</v>
      </c>
      <c r="H1040" s="76">
        <v>0</v>
      </c>
      <c r="I1040" s="79">
        <v>12604</v>
      </c>
      <c r="J1040" s="79">
        <v>16364</v>
      </c>
      <c r="K1040" s="13"/>
      <c r="L1040" s="13"/>
    </row>
    <row r="1041" spans="1:12" x14ac:dyDescent="0.2">
      <c r="A1041" s="76">
        <v>728</v>
      </c>
      <c r="B1041" s="76">
        <v>1</v>
      </c>
      <c r="C1041" s="76" t="s">
        <v>286</v>
      </c>
      <c r="D1041" s="76">
        <v>2006</v>
      </c>
      <c r="E1041" s="78">
        <v>2007</v>
      </c>
      <c r="F1041" s="81">
        <v>206</v>
      </c>
      <c r="G1041" s="78">
        <v>10</v>
      </c>
      <c r="H1041" s="76">
        <v>0</v>
      </c>
      <c r="I1041" s="77">
        <v>8902</v>
      </c>
      <c r="J1041" s="77">
        <v>15770</v>
      </c>
      <c r="K1041" s="13"/>
      <c r="L1041" s="13"/>
    </row>
    <row r="1042" spans="1:12" x14ac:dyDescent="0.2">
      <c r="A1042" s="76">
        <v>728</v>
      </c>
      <c r="B1042" s="76">
        <v>1</v>
      </c>
      <c r="C1042" s="76" t="s">
        <v>286</v>
      </c>
      <c r="D1042" s="82">
        <v>2007</v>
      </c>
      <c r="E1042" s="83">
        <v>2008</v>
      </c>
      <c r="F1042" s="78">
        <v>350.19</v>
      </c>
      <c r="G1042" s="76">
        <v>10</v>
      </c>
      <c r="H1042" s="77">
        <v>0</v>
      </c>
      <c r="I1042" s="77">
        <v>4624</v>
      </c>
      <c r="J1042" s="79">
        <v>7915</v>
      </c>
      <c r="K1042" s="13"/>
      <c r="L1042" s="13"/>
    </row>
    <row r="1043" spans="1:12" x14ac:dyDescent="0.2">
      <c r="A1043">
        <v>728</v>
      </c>
      <c r="B1043">
        <v>1</v>
      </c>
      <c r="C1043" t="s">
        <v>286</v>
      </c>
      <c r="D1043">
        <v>2008</v>
      </c>
      <c r="E1043" s="5">
        <v>2009</v>
      </c>
      <c r="F1043" s="6">
        <v>115.9</v>
      </c>
      <c r="G1043" s="5">
        <v>10</v>
      </c>
      <c r="H1043" s="33">
        <v>1</v>
      </c>
      <c r="I1043" s="33">
        <v>18033</v>
      </c>
      <c r="J1043" s="33">
        <v>14783</v>
      </c>
      <c r="K1043" s="13"/>
      <c r="L1043" s="13"/>
    </row>
    <row r="1044" spans="1:12" x14ac:dyDescent="0.2">
      <c r="A1044" s="76">
        <v>731</v>
      </c>
      <c r="B1044" s="76">
        <v>1</v>
      </c>
      <c r="C1044" s="76" t="s">
        <v>760</v>
      </c>
      <c r="D1044" s="76">
        <v>1992</v>
      </c>
      <c r="E1044" s="76">
        <v>1993</v>
      </c>
      <c r="F1044" s="81">
        <v>289.02</v>
      </c>
      <c r="G1044" s="76">
        <v>5</v>
      </c>
      <c r="H1044" s="76">
        <v>1</v>
      </c>
      <c r="I1044" s="79" t="s">
        <v>840</v>
      </c>
      <c r="J1044" s="79" t="s">
        <v>840</v>
      </c>
      <c r="K1044" s="13"/>
      <c r="L1044" s="13"/>
    </row>
    <row r="1045" spans="1:12" x14ac:dyDescent="0.2">
      <c r="A1045" s="76">
        <v>731</v>
      </c>
      <c r="B1045" s="76">
        <v>1</v>
      </c>
      <c r="C1045" s="76" t="s">
        <v>694</v>
      </c>
      <c r="D1045" s="76">
        <v>1994</v>
      </c>
      <c r="E1045" s="76">
        <v>1995</v>
      </c>
      <c r="F1045" s="81">
        <v>498</v>
      </c>
      <c r="G1045" s="76">
        <v>1</v>
      </c>
      <c r="H1045" s="76">
        <v>0</v>
      </c>
      <c r="I1045" s="79">
        <v>470</v>
      </c>
      <c r="J1045" s="79">
        <v>1055</v>
      </c>
      <c r="K1045" s="13"/>
      <c r="L1045" s="13"/>
    </row>
    <row r="1046" spans="1:12" x14ac:dyDescent="0.2">
      <c r="A1046" s="76">
        <v>736</v>
      </c>
      <c r="B1046" s="76">
        <v>1</v>
      </c>
      <c r="C1046" s="76" t="s">
        <v>761</v>
      </c>
      <c r="D1046" s="76">
        <v>1994</v>
      </c>
      <c r="E1046" s="76">
        <v>1995</v>
      </c>
      <c r="F1046" s="81">
        <v>215.04</v>
      </c>
      <c r="G1046" s="76">
        <v>10</v>
      </c>
      <c r="H1046" s="76">
        <v>1</v>
      </c>
      <c r="I1046" s="79">
        <v>594</v>
      </c>
      <c r="J1046" s="79">
        <v>318</v>
      </c>
      <c r="K1046" s="13"/>
      <c r="L1046" s="13"/>
    </row>
    <row r="1047" spans="1:12" x14ac:dyDescent="0.2">
      <c r="A1047" s="76">
        <v>737</v>
      </c>
      <c r="B1047" s="76">
        <v>1</v>
      </c>
      <c r="C1047" s="76" t="s">
        <v>550</v>
      </c>
      <c r="D1047" s="76">
        <v>1994</v>
      </c>
      <c r="E1047" s="76">
        <v>1995</v>
      </c>
      <c r="F1047" s="81">
        <v>346.53</v>
      </c>
      <c r="G1047" s="76">
        <v>10</v>
      </c>
      <c r="H1047" s="76">
        <v>1</v>
      </c>
      <c r="I1047" s="79">
        <v>558</v>
      </c>
      <c r="J1047" s="79">
        <v>256</v>
      </c>
      <c r="K1047" s="13"/>
      <c r="L1047" s="13"/>
    </row>
    <row r="1048" spans="1:12" x14ac:dyDescent="0.2">
      <c r="A1048" s="76">
        <v>738</v>
      </c>
      <c r="B1048" s="76">
        <v>1</v>
      </c>
      <c r="C1048" s="76" t="s">
        <v>287</v>
      </c>
      <c r="D1048" s="76">
        <v>1991</v>
      </c>
      <c r="E1048" s="76">
        <v>1992</v>
      </c>
      <c r="F1048" s="81">
        <v>98.62</v>
      </c>
      <c r="G1048" s="76">
        <v>5</v>
      </c>
      <c r="H1048" s="76">
        <v>0</v>
      </c>
      <c r="I1048" s="79" t="s">
        <v>840</v>
      </c>
      <c r="J1048" s="79" t="s">
        <v>840</v>
      </c>
      <c r="K1048" s="13"/>
      <c r="L1048" s="13"/>
    </row>
    <row r="1049" spans="1:12" x14ac:dyDescent="0.2">
      <c r="A1049" s="76">
        <v>738</v>
      </c>
      <c r="B1049" s="76">
        <v>1</v>
      </c>
      <c r="C1049" s="76" t="s">
        <v>287</v>
      </c>
      <c r="D1049" s="76">
        <v>1992</v>
      </c>
      <c r="E1049" s="76">
        <v>1993</v>
      </c>
      <c r="F1049" s="81">
        <v>150</v>
      </c>
      <c r="G1049" s="76">
        <v>5</v>
      </c>
      <c r="H1049" s="76">
        <v>1</v>
      </c>
      <c r="I1049" s="79" t="s">
        <v>840</v>
      </c>
      <c r="J1049" s="79" t="s">
        <v>840</v>
      </c>
      <c r="K1049" s="13"/>
      <c r="L1049" s="13"/>
    </row>
    <row r="1050" spans="1:12" x14ac:dyDescent="0.2">
      <c r="A1050" s="76">
        <v>738</v>
      </c>
      <c r="B1050" s="76">
        <v>1</v>
      </c>
      <c r="C1050" s="76" t="s">
        <v>287</v>
      </c>
      <c r="D1050" s="76">
        <v>1996</v>
      </c>
      <c r="E1050" s="76">
        <v>1998</v>
      </c>
      <c r="F1050" s="81">
        <v>150</v>
      </c>
      <c r="G1050" s="76">
        <v>3</v>
      </c>
      <c r="H1050" s="76">
        <v>0</v>
      </c>
      <c r="I1050" s="79">
        <v>936</v>
      </c>
      <c r="J1050" s="79">
        <v>963</v>
      </c>
      <c r="K1050" s="13"/>
      <c r="L1050" s="13"/>
    </row>
    <row r="1051" spans="1:12" x14ac:dyDescent="0.2">
      <c r="A1051" s="76">
        <v>738</v>
      </c>
      <c r="B1051" s="76">
        <v>1</v>
      </c>
      <c r="C1051" s="76" t="s">
        <v>287</v>
      </c>
      <c r="D1051" s="76">
        <v>1997</v>
      </c>
      <c r="E1051" s="76">
        <v>1998</v>
      </c>
      <c r="F1051" s="81">
        <v>125</v>
      </c>
      <c r="G1051" s="76">
        <v>5</v>
      </c>
      <c r="H1051" s="76">
        <v>1</v>
      </c>
      <c r="I1051" s="79">
        <v>381</v>
      </c>
      <c r="J1051" s="79">
        <v>210</v>
      </c>
      <c r="K1051" s="13"/>
      <c r="L1051" s="13"/>
    </row>
    <row r="1052" spans="1:12" x14ac:dyDescent="0.2">
      <c r="A1052" s="76">
        <v>738</v>
      </c>
      <c r="B1052" s="76">
        <v>1</v>
      </c>
      <c r="C1052" s="76" t="s">
        <v>762</v>
      </c>
      <c r="D1052" s="76">
        <v>1999</v>
      </c>
      <c r="E1052" s="76">
        <v>2000</v>
      </c>
      <c r="F1052" s="81">
        <v>240</v>
      </c>
      <c r="G1052" s="76">
        <v>5</v>
      </c>
      <c r="H1052" s="76">
        <v>1</v>
      </c>
      <c r="I1052" s="79">
        <v>369</v>
      </c>
      <c r="J1052" s="79">
        <v>335</v>
      </c>
      <c r="K1052" s="13"/>
      <c r="L1052" s="13"/>
    </row>
    <row r="1053" spans="1:12" x14ac:dyDescent="0.2">
      <c r="A1053" s="76">
        <v>738</v>
      </c>
      <c r="B1053" s="76">
        <v>1</v>
      </c>
      <c r="C1053" s="76" t="s">
        <v>287</v>
      </c>
      <c r="D1053" s="76">
        <v>2001</v>
      </c>
      <c r="E1053" s="76">
        <v>2002</v>
      </c>
      <c r="F1053" s="81">
        <v>300</v>
      </c>
      <c r="G1053" s="76">
        <v>5</v>
      </c>
      <c r="H1053" s="76">
        <v>1</v>
      </c>
      <c r="I1053" s="79">
        <v>449</v>
      </c>
      <c r="J1053" s="79">
        <v>433</v>
      </c>
      <c r="K1053" s="13"/>
      <c r="L1053" s="13"/>
    </row>
    <row r="1054" spans="1:12" x14ac:dyDescent="0.2">
      <c r="A1054" s="76">
        <v>738</v>
      </c>
      <c r="B1054" s="76">
        <v>1</v>
      </c>
      <c r="C1054" s="76" t="s">
        <v>287</v>
      </c>
      <c r="D1054" s="76">
        <v>2004</v>
      </c>
      <c r="E1054" s="76">
        <v>2005</v>
      </c>
      <c r="F1054" s="81">
        <v>500</v>
      </c>
      <c r="G1054" s="76">
        <v>5</v>
      </c>
      <c r="H1054" s="76">
        <v>0</v>
      </c>
      <c r="I1054" s="79">
        <v>1008</v>
      </c>
      <c r="J1054" s="79">
        <v>1473</v>
      </c>
      <c r="K1054" s="13"/>
      <c r="L1054" s="13"/>
    </row>
    <row r="1055" spans="1:12" x14ac:dyDescent="0.2">
      <c r="A1055" s="76">
        <v>738</v>
      </c>
      <c r="B1055" s="76">
        <v>1</v>
      </c>
      <c r="C1055" s="76" t="s">
        <v>1016</v>
      </c>
      <c r="D1055" s="76">
        <v>2005</v>
      </c>
      <c r="E1055" s="76">
        <v>2006</v>
      </c>
      <c r="F1055" s="81">
        <v>500</v>
      </c>
      <c r="G1055" s="76">
        <v>5</v>
      </c>
      <c r="H1055" s="78">
        <v>1</v>
      </c>
      <c r="I1055" s="77">
        <v>589</v>
      </c>
      <c r="J1055" s="77">
        <v>442</v>
      </c>
      <c r="K1055" s="13"/>
      <c r="L1055" s="13"/>
    </row>
    <row r="1056" spans="1:12" x14ac:dyDescent="0.2">
      <c r="A1056" s="76">
        <v>738</v>
      </c>
      <c r="B1056" s="76">
        <v>1</v>
      </c>
      <c r="C1056" s="76" t="s">
        <v>287</v>
      </c>
      <c r="D1056" s="82">
        <v>2007</v>
      </c>
      <c r="E1056" s="83">
        <v>2008</v>
      </c>
      <c r="F1056" s="78">
        <v>200</v>
      </c>
      <c r="G1056" s="76">
        <v>3</v>
      </c>
      <c r="H1056" s="77">
        <v>0</v>
      </c>
      <c r="I1056" s="77">
        <v>434</v>
      </c>
      <c r="J1056" s="79">
        <v>543</v>
      </c>
      <c r="K1056" s="13"/>
      <c r="L1056" s="13"/>
    </row>
    <row r="1057" spans="1:12" x14ac:dyDescent="0.2">
      <c r="A1057" s="76">
        <v>739</v>
      </c>
      <c r="B1057" s="76">
        <v>1</v>
      </c>
      <c r="C1057" s="76" t="s">
        <v>288</v>
      </c>
      <c r="D1057" s="76">
        <v>1994</v>
      </c>
      <c r="E1057" s="76">
        <v>1995</v>
      </c>
      <c r="F1057" s="81">
        <v>325.24</v>
      </c>
      <c r="G1057" s="76">
        <v>5</v>
      </c>
      <c r="H1057" s="76">
        <v>1</v>
      </c>
      <c r="I1057" s="79">
        <v>787</v>
      </c>
      <c r="J1057" s="79">
        <v>654</v>
      </c>
      <c r="K1057" s="13"/>
      <c r="L1057" s="13"/>
    </row>
    <row r="1058" spans="1:12" x14ac:dyDescent="0.2">
      <c r="A1058" s="76">
        <v>739</v>
      </c>
      <c r="B1058" s="76">
        <v>1</v>
      </c>
      <c r="C1058" s="76" t="s">
        <v>288</v>
      </c>
      <c r="D1058" s="76">
        <v>1999</v>
      </c>
      <c r="E1058" s="76">
        <v>2000</v>
      </c>
      <c r="F1058" s="81">
        <v>235.98</v>
      </c>
      <c r="G1058" s="76">
        <v>10</v>
      </c>
      <c r="H1058" s="76">
        <v>1</v>
      </c>
      <c r="I1058" s="79">
        <v>353</v>
      </c>
      <c r="J1058" s="79">
        <v>171</v>
      </c>
      <c r="K1058" s="13"/>
      <c r="L1058" s="13"/>
    </row>
    <row r="1059" spans="1:12" x14ac:dyDescent="0.2">
      <c r="A1059" s="76">
        <v>739</v>
      </c>
      <c r="B1059" s="76">
        <v>1</v>
      </c>
      <c r="C1059" s="76" t="s">
        <v>288</v>
      </c>
      <c r="D1059" s="76">
        <v>2004</v>
      </c>
      <c r="E1059" s="76">
        <v>2005</v>
      </c>
      <c r="F1059" s="81">
        <v>450</v>
      </c>
      <c r="G1059" s="76">
        <v>5</v>
      </c>
      <c r="H1059" s="76">
        <v>0</v>
      </c>
      <c r="I1059" s="79">
        <v>931</v>
      </c>
      <c r="J1059" s="79">
        <v>1495</v>
      </c>
      <c r="K1059" s="13"/>
      <c r="L1059" s="13"/>
    </row>
    <row r="1060" spans="1:12" x14ac:dyDescent="0.2">
      <c r="A1060" s="76">
        <v>739</v>
      </c>
      <c r="B1060" s="76">
        <v>1</v>
      </c>
      <c r="C1060" s="76" t="s">
        <v>288</v>
      </c>
      <c r="D1060" s="76">
        <v>2005</v>
      </c>
      <c r="E1060" s="76">
        <v>2006</v>
      </c>
      <c r="F1060" s="81">
        <v>275</v>
      </c>
      <c r="G1060" s="76">
        <v>6</v>
      </c>
      <c r="H1060" s="78">
        <v>1</v>
      </c>
      <c r="I1060" s="77">
        <v>783</v>
      </c>
      <c r="J1060" s="77">
        <v>462</v>
      </c>
      <c r="K1060" s="13"/>
      <c r="L1060" s="13"/>
    </row>
    <row r="1061" spans="1:12" x14ac:dyDescent="0.2">
      <c r="A1061" s="76">
        <v>740</v>
      </c>
      <c r="B1061" s="76">
        <v>1</v>
      </c>
      <c r="C1061" s="76" t="s">
        <v>289</v>
      </c>
      <c r="D1061" s="76">
        <v>1994</v>
      </c>
      <c r="E1061" s="76">
        <v>1995</v>
      </c>
      <c r="F1061" s="81">
        <v>404</v>
      </c>
      <c r="G1061" s="76">
        <v>3</v>
      </c>
      <c r="H1061" s="76">
        <v>1</v>
      </c>
      <c r="I1061" s="79">
        <v>1705</v>
      </c>
      <c r="J1061" s="79">
        <v>1356</v>
      </c>
      <c r="K1061" s="13"/>
      <c r="L1061" s="13"/>
    </row>
    <row r="1062" spans="1:12" x14ac:dyDescent="0.2">
      <c r="A1062" s="76">
        <v>740</v>
      </c>
      <c r="B1062" s="76">
        <v>1</v>
      </c>
      <c r="C1062" s="76" t="s">
        <v>289</v>
      </c>
      <c r="D1062" s="76">
        <v>1997</v>
      </c>
      <c r="E1062" s="76">
        <v>1998</v>
      </c>
      <c r="F1062" s="81">
        <v>276.07</v>
      </c>
      <c r="G1062" s="76">
        <v>5</v>
      </c>
      <c r="H1062" s="76">
        <v>1</v>
      </c>
      <c r="I1062" s="79">
        <v>798</v>
      </c>
      <c r="J1062" s="79">
        <v>285</v>
      </c>
      <c r="K1062" s="13"/>
      <c r="L1062" s="13"/>
    </row>
    <row r="1063" spans="1:12" x14ac:dyDescent="0.2">
      <c r="A1063" s="76">
        <v>740</v>
      </c>
      <c r="B1063" s="76">
        <v>1</v>
      </c>
      <c r="C1063" s="76" t="s">
        <v>289</v>
      </c>
      <c r="D1063" s="76">
        <v>2001</v>
      </c>
      <c r="E1063" s="76">
        <v>2003</v>
      </c>
      <c r="F1063" s="81">
        <v>444.44</v>
      </c>
      <c r="G1063" s="76">
        <v>3</v>
      </c>
      <c r="H1063" s="76">
        <v>1</v>
      </c>
      <c r="I1063" s="79">
        <v>765</v>
      </c>
      <c r="J1063" s="79">
        <v>450</v>
      </c>
      <c r="K1063" s="13"/>
      <c r="L1063" s="13"/>
    </row>
    <row r="1064" spans="1:12" x14ac:dyDescent="0.2">
      <c r="A1064" s="76">
        <v>740</v>
      </c>
      <c r="B1064" s="76">
        <v>1</v>
      </c>
      <c r="C1064" s="76" t="s">
        <v>289</v>
      </c>
      <c r="D1064" s="76">
        <v>2005</v>
      </c>
      <c r="E1064" s="76">
        <v>2006</v>
      </c>
      <c r="F1064" s="81">
        <v>700</v>
      </c>
      <c r="G1064" s="76">
        <v>3</v>
      </c>
      <c r="H1064" s="78">
        <v>1</v>
      </c>
      <c r="I1064" s="77">
        <v>914</v>
      </c>
      <c r="J1064" s="77">
        <v>678</v>
      </c>
      <c r="K1064" s="13"/>
      <c r="L1064" s="13"/>
    </row>
    <row r="1065" spans="1:12" x14ac:dyDescent="0.2">
      <c r="A1065">
        <v>740</v>
      </c>
      <c r="B1065">
        <v>1</v>
      </c>
      <c r="C1065" t="s">
        <v>289</v>
      </c>
      <c r="D1065">
        <v>2008</v>
      </c>
      <c r="E1065" s="5">
        <v>2009</v>
      </c>
      <c r="F1065" s="6">
        <v>700</v>
      </c>
      <c r="G1065" s="5">
        <v>3</v>
      </c>
      <c r="H1065" s="33">
        <v>1</v>
      </c>
      <c r="I1065" s="33">
        <v>2364</v>
      </c>
      <c r="J1065" s="33">
        <v>1466</v>
      </c>
      <c r="K1065" s="13"/>
      <c r="L1065" s="13"/>
    </row>
    <row r="1066" spans="1:12" x14ac:dyDescent="0.2">
      <c r="A1066">
        <v>740</v>
      </c>
      <c r="B1066">
        <v>1</v>
      </c>
      <c r="C1066" t="s">
        <v>289</v>
      </c>
      <c r="D1066">
        <v>2008</v>
      </c>
      <c r="E1066" s="5">
        <v>2009</v>
      </c>
      <c r="F1066" s="6">
        <v>200</v>
      </c>
      <c r="G1066" s="5">
        <v>3</v>
      </c>
      <c r="H1066" s="33">
        <v>0</v>
      </c>
      <c r="I1066" s="33">
        <v>1683</v>
      </c>
      <c r="J1066" s="33">
        <v>2109</v>
      </c>
      <c r="K1066" s="13"/>
      <c r="L1066" s="13"/>
    </row>
    <row r="1067" spans="1:12" x14ac:dyDescent="0.2">
      <c r="A1067" s="76">
        <v>741</v>
      </c>
      <c r="B1067" s="76">
        <v>1</v>
      </c>
      <c r="C1067" s="76" t="s">
        <v>290</v>
      </c>
      <c r="D1067" s="76">
        <v>1993</v>
      </c>
      <c r="E1067" s="76">
        <v>1994</v>
      </c>
      <c r="F1067" s="81">
        <v>339.5</v>
      </c>
      <c r="G1067" s="76">
        <v>5</v>
      </c>
      <c r="H1067" s="76">
        <v>1</v>
      </c>
      <c r="I1067" s="79" t="s">
        <v>840</v>
      </c>
      <c r="J1067" s="79" t="s">
        <v>840</v>
      </c>
      <c r="K1067" s="13"/>
      <c r="L1067" s="13"/>
    </row>
    <row r="1068" spans="1:12" x14ac:dyDescent="0.2">
      <c r="A1068" s="76">
        <v>741</v>
      </c>
      <c r="B1068" s="76">
        <v>1</v>
      </c>
      <c r="C1068" s="76" t="s">
        <v>290</v>
      </c>
      <c r="D1068" s="76">
        <v>1997</v>
      </c>
      <c r="E1068" s="76">
        <v>1999</v>
      </c>
      <c r="F1068" s="81">
        <v>315</v>
      </c>
      <c r="G1068" s="76">
        <v>10</v>
      </c>
      <c r="H1068" s="76">
        <v>1</v>
      </c>
      <c r="I1068" s="79">
        <v>529</v>
      </c>
      <c r="J1068" s="79">
        <v>337</v>
      </c>
      <c r="K1068" s="13"/>
      <c r="L1068" s="13"/>
    </row>
    <row r="1069" spans="1:12" x14ac:dyDescent="0.2">
      <c r="A1069" s="76">
        <v>741</v>
      </c>
      <c r="B1069" s="76">
        <v>1</v>
      </c>
      <c r="C1069" s="76" t="s">
        <v>290</v>
      </c>
      <c r="D1069" s="76">
        <v>2001</v>
      </c>
      <c r="E1069" s="76">
        <v>2002</v>
      </c>
      <c r="F1069" s="81">
        <v>315</v>
      </c>
      <c r="G1069" s="76">
        <v>10</v>
      </c>
      <c r="H1069" s="76">
        <v>0</v>
      </c>
      <c r="I1069" s="79">
        <v>1142</v>
      </c>
      <c r="J1069" s="79">
        <v>873</v>
      </c>
      <c r="K1069" s="13"/>
      <c r="L1069" s="13"/>
    </row>
    <row r="1070" spans="1:12" x14ac:dyDescent="0.2">
      <c r="A1070" s="76">
        <v>741</v>
      </c>
      <c r="B1070" s="76">
        <v>1</v>
      </c>
      <c r="C1070" s="76" t="s">
        <v>290</v>
      </c>
      <c r="D1070" s="76">
        <v>2002</v>
      </c>
      <c r="E1070" s="76">
        <v>2003</v>
      </c>
      <c r="F1070" s="81">
        <v>415</v>
      </c>
      <c r="G1070" s="76">
        <v>10</v>
      </c>
      <c r="H1070" s="76">
        <v>1</v>
      </c>
      <c r="I1070" s="79">
        <v>1142</v>
      </c>
      <c r="J1070" s="79">
        <v>873</v>
      </c>
      <c r="K1070" s="13"/>
      <c r="L1070" s="13"/>
    </row>
    <row r="1071" spans="1:12" x14ac:dyDescent="0.2">
      <c r="A1071" s="76">
        <v>742</v>
      </c>
      <c r="B1071" s="76">
        <v>1</v>
      </c>
      <c r="C1071" s="76" t="s">
        <v>291</v>
      </c>
      <c r="D1071" s="76">
        <v>1993</v>
      </c>
      <c r="E1071" s="76">
        <v>1994</v>
      </c>
      <c r="F1071" s="81">
        <v>295.33999999999997</v>
      </c>
      <c r="G1071" s="76">
        <v>5</v>
      </c>
      <c r="H1071" s="76">
        <v>0</v>
      </c>
      <c r="I1071" s="79" t="s">
        <v>840</v>
      </c>
      <c r="J1071" s="79" t="s">
        <v>840</v>
      </c>
      <c r="K1071" s="13"/>
      <c r="L1071" s="13"/>
    </row>
    <row r="1072" spans="1:12" x14ac:dyDescent="0.2">
      <c r="A1072" s="76">
        <v>742</v>
      </c>
      <c r="B1072" s="76">
        <v>1</v>
      </c>
      <c r="C1072" s="76" t="s">
        <v>291</v>
      </c>
      <c r="D1072" s="76">
        <v>1994</v>
      </c>
      <c r="E1072" s="76">
        <v>1995</v>
      </c>
      <c r="F1072" s="81">
        <v>303.43</v>
      </c>
      <c r="G1072" s="76">
        <v>4</v>
      </c>
      <c r="H1072" s="76">
        <v>1</v>
      </c>
      <c r="I1072" s="79">
        <v>14518</v>
      </c>
      <c r="J1072" s="79">
        <v>12481</v>
      </c>
      <c r="K1072" s="13"/>
      <c r="L1072" s="13"/>
    </row>
    <row r="1073" spans="1:12" x14ac:dyDescent="0.2">
      <c r="A1073" s="76">
        <v>742</v>
      </c>
      <c r="B1073" s="76">
        <v>1</v>
      </c>
      <c r="C1073" s="76" t="s">
        <v>291</v>
      </c>
      <c r="D1073" s="76">
        <v>1998</v>
      </c>
      <c r="E1073" s="76">
        <v>1999</v>
      </c>
      <c r="F1073" s="81">
        <v>332.07</v>
      </c>
      <c r="G1073" s="76">
        <v>10</v>
      </c>
      <c r="H1073" s="76">
        <v>1</v>
      </c>
      <c r="I1073" s="79">
        <v>16215</v>
      </c>
      <c r="J1073" s="79">
        <v>15830</v>
      </c>
      <c r="K1073" s="13"/>
      <c r="L1073" s="13"/>
    </row>
    <row r="1074" spans="1:12" x14ac:dyDescent="0.2">
      <c r="A1074" s="76">
        <v>742</v>
      </c>
      <c r="B1074" s="76">
        <v>1</v>
      </c>
      <c r="C1074" s="76" t="s">
        <v>291</v>
      </c>
      <c r="D1074" s="76">
        <v>2001</v>
      </c>
      <c r="E1074" s="76">
        <v>2002</v>
      </c>
      <c r="F1074" s="81">
        <v>550</v>
      </c>
      <c r="G1074" s="76">
        <v>10</v>
      </c>
      <c r="H1074" s="76">
        <v>0</v>
      </c>
      <c r="I1074" s="79">
        <v>7187</v>
      </c>
      <c r="J1074" s="79">
        <v>11836</v>
      </c>
      <c r="K1074" s="13"/>
      <c r="L1074" s="13"/>
    </row>
    <row r="1075" spans="1:12" x14ac:dyDescent="0.2">
      <c r="A1075" s="76">
        <v>742</v>
      </c>
      <c r="B1075" s="76">
        <v>1</v>
      </c>
      <c r="C1075" s="76" t="s">
        <v>291</v>
      </c>
      <c r="D1075" s="76">
        <v>2002</v>
      </c>
      <c r="E1075" s="76">
        <v>2003</v>
      </c>
      <c r="F1075" s="81">
        <v>375</v>
      </c>
      <c r="G1075" s="76">
        <v>4</v>
      </c>
      <c r="H1075" s="76">
        <v>0</v>
      </c>
      <c r="I1075" s="79">
        <v>13844</v>
      </c>
      <c r="J1075" s="79">
        <v>15020</v>
      </c>
      <c r="K1075" s="13"/>
      <c r="L1075" s="13"/>
    </row>
    <row r="1076" spans="1:12" x14ac:dyDescent="0.2">
      <c r="A1076" s="76">
        <v>742</v>
      </c>
      <c r="B1076" s="76">
        <v>1</v>
      </c>
      <c r="C1076" s="76" t="s">
        <v>291</v>
      </c>
      <c r="D1076" s="76">
        <v>2003</v>
      </c>
      <c r="E1076" s="76">
        <v>2004</v>
      </c>
      <c r="F1076" s="81">
        <v>25</v>
      </c>
      <c r="G1076" s="76">
        <v>4</v>
      </c>
      <c r="H1076" s="76">
        <v>0</v>
      </c>
      <c r="I1076" s="79">
        <v>8914</v>
      </c>
      <c r="J1076" s="79">
        <v>8959</v>
      </c>
      <c r="K1076" s="13"/>
      <c r="L1076" s="13"/>
    </row>
    <row r="1077" spans="1:12" x14ac:dyDescent="0.2">
      <c r="A1077" s="76">
        <v>742</v>
      </c>
      <c r="B1077" s="76">
        <v>1</v>
      </c>
      <c r="C1077" s="76" t="s">
        <v>291</v>
      </c>
      <c r="D1077" s="76">
        <v>2003</v>
      </c>
      <c r="E1077" s="76">
        <v>2004</v>
      </c>
      <c r="F1077" s="81">
        <v>33</v>
      </c>
      <c r="G1077" s="76">
        <v>4</v>
      </c>
      <c r="H1077" s="76">
        <v>1</v>
      </c>
      <c r="I1077" s="79">
        <v>8988</v>
      </c>
      <c r="J1077" s="79">
        <v>8914</v>
      </c>
      <c r="K1077" s="13"/>
      <c r="L1077" s="13"/>
    </row>
    <row r="1078" spans="1:12" x14ac:dyDescent="0.2">
      <c r="A1078" s="76">
        <v>742</v>
      </c>
      <c r="B1078" s="76">
        <v>1</v>
      </c>
      <c r="C1078" s="76" t="s">
        <v>291</v>
      </c>
      <c r="D1078" s="76">
        <v>2003</v>
      </c>
      <c r="E1078" s="76">
        <v>2004</v>
      </c>
      <c r="F1078" s="81">
        <v>41</v>
      </c>
      <c r="G1078" s="76">
        <v>4</v>
      </c>
      <c r="H1078" s="76">
        <v>1</v>
      </c>
      <c r="I1078" s="79">
        <v>9085</v>
      </c>
      <c r="J1078" s="79">
        <v>8833</v>
      </c>
      <c r="K1078" s="13"/>
      <c r="L1078" s="13"/>
    </row>
    <row r="1079" spans="1:12" x14ac:dyDescent="0.2">
      <c r="A1079" s="76">
        <v>742</v>
      </c>
      <c r="B1079" s="76">
        <v>1</v>
      </c>
      <c r="C1079" s="76" t="s">
        <v>291</v>
      </c>
      <c r="D1079" s="76">
        <v>2003</v>
      </c>
      <c r="E1079" s="76">
        <v>2004</v>
      </c>
      <c r="F1079" s="81">
        <v>170</v>
      </c>
      <c r="G1079" s="76">
        <v>4</v>
      </c>
      <c r="H1079" s="76">
        <v>1</v>
      </c>
      <c r="I1079" s="79">
        <v>9616</v>
      </c>
      <c r="J1079" s="79">
        <v>8385</v>
      </c>
      <c r="K1079" s="13"/>
      <c r="L1079" s="13"/>
    </row>
    <row r="1080" spans="1:12" x14ac:dyDescent="0.2">
      <c r="A1080" s="76">
        <v>742</v>
      </c>
      <c r="B1080" s="76">
        <v>1</v>
      </c>
      <c r="C1080" s="76" t="s">
        <v>291</v>
      </c>
      <c r="D1080" s="76">
        <v>2003</v>
      </c>
      <c r="E1080" s="76">
        <v>2004</v>
      </c>
      <c r="F1080" s="81">
        <v>210</v>
      </c>
      <c r="G1080" s="76">
        <v>4</v>
      </c>
      <c r="H1080" s="76">
        <v>1</v>
      </c>
      <c r="I1080" s="79">
        <v>9737</v>
      </c>
      <c r="J1080" s="79">
        <v>8967</v>
      </c>
      <c r="K1080" s="13"/>
      <c r="L1080" s="13"/>
    </row>
    <row r="1081" spans="1:12" x14ac:dyDescent="0.2">
      <c r="A1081" s="76">
        <v>742</v>
      </c>
      <c r="B1081" s="76">
        <v>1</v>
      </c>
      <c r="C1081" s="76" t="s">
        <v>291</v>
      </c>
      <c r="D1081" s="82">
        <v>2007</v>
      </c>
      <c r="E1081" s="83">
        <v>2008</v>
      </c>
      <c r="F1081" s="78">
        <v>30</v>
      </c>
      <c r="G1081" s="76">
        <v>5</v>
      </c>
      <c r="H1081" s="77">
        <v>0</v>
      </c>
      <c r="I1081" s="77">
        <v>6764</v>
      </c>
      <c r="J1081" s="79">
        <v>7655</v>
      </c>
      <c r="K1081" s="13"/>
      <c r="L1081" s="13"/>
    </row>
    <row r="1082" spans="1:12" x14ac:dyDescent="0.2">
      <c r="A1082" s="76">
        <v>742</v>
      </c>
      <c r="B1082" s="76">
        <v>1</v>
      </c>
      <c r="C1082" s="76" t="s">
        <v>291</v>
      </c>
      <c r="D1082" s="82">
        <v>2007</v>
      </c>
      <c r="E1082" s="83">
        <v>2008</v>
      </c>
      <c r="F1082" s="78">
        <v>522.77</v>
      </c>
      <c r="G1082" s="76">
        <v>5</v>
      </c>
      <c r="H1082" s="77">
        <v>0</v>
      </c>
      <c r="I1082" s="77">
        <v>7172</v>
      </c>
      <c r="J1082" s="79">
        <v>7332</v>
      </c>
      <c r="K1082" s="13"/>
      <c r="L1082" s="13"/>
    </row>
    <row r="1083" spans="1:12" x14ac:dyDescent="0.2">
      <c r="A1083">
        <v>742</v>
      </c>
      <c r="B1083">
        <v>1</v>
      </c>
      <c r="C1083" t="s">
        <v>291</v>
      </c>
      <c r="D1083">
        <v>2008</v>
      </c>
      <c r="E1083" s="5">
        <v>2009</v>
      </c>
      <c r="F1083" s="6">
        <v>555</v>
      </c>
      <c r="G1083" s="5">
        <v>6</v>
      </c>
      <c r="H1083" s="33">
        <v>1</v>
      </c>
      <c r="I1083" s="33">
        <v>24299</v>
      </c>
      <c r="J1083" s="33">
        <v>22177</v>
      </c>
      <c r="K1083" s="13"/>
      <c r="L1083" s="13"/>
    </row>
    <row r="1084" spans="1:12" x14ac:dyDescent="0.2">
      <c r="A1084">
        <v>742</v>
      </c>
      <c r="B1084">
        <v>1</v>
      </c>
      <c r="C1084" t="s">
        <v>291</v>
      </c>
      <c r="D1084">
        <v>2008</v>
      </c>
      <c r="E1084" s="5">
        <v>2009</v>
      </c>
      <c r="F1084" s="6">
        <v>160</v>
      </c>
      <c r="G1084" s="5">
        <v>6</v>
      </c>
      <c r="H1084" s="33">
        <v>0</v>
      </c>
      <c r="I1084" s="33">
        <v>21855</v>
      </c>
      <c r="J1084" s="33">
        <v>24025</v>
      </c>
      <c r="K1084" s="13"/>
      <c r="L1084" s="13"/>
    </row>
    <row r="1085" spans="1:12" x14ac:dyDescent="0.2">
      <c r="A1085">
        <v>742</v>
      </c>
      <c r="B1085">
        <v>1</v>
      </c>
      <c r="C1085" t="s">
        <v>291</v>
      </c>
      <c r="D1085">
        <v>2008</v>
      </c>
      <c r="E1085" s="5">
        <v>2009</v>
      </c>
      <c r="F1085" s="6">
        <v>255</v>
      </c>
      <c r="G1085" s="5">
        <v>6</v>
      </c>
      <c r="H1085" s="33">
        <v>0</v>
      </c>
      <c r="I1085" s="33">
        <v>19940</v>
      </c>
      <c r="J1085" s="33">
        <v>25662</v>
      </c>
      <c r="K1085" s="13"/>
      <c r="L1085" s="13"/>
    </row>
    <row r="1086" spans="1:12" x14ac:dyDescent="0.2">
      <c r="A1086" s="76">
        <v>743</v>
      </c>
      <c r="B1086" s="76">
        <v>1</v>
      </c>
      <c r="C1086" s="76" t="s">
        <v>292</v>
      </c>
      <c r="D1086" s="76">
        <v>1996</v>
      </c>
      <c r="E1086" s="76">
        <v>1997</v>
      </c>
      <c r="F1086" s="81">
        <v>210.26</v>
      </c>
      <c r="G1086" s="76">
        <v>5</v>
      </c>
      <c r="H1086" s="76">
        <v>0</v>
      </c>
      <c r="I1086" s="79">
        <v>1326</v>
      </c>
      <c r="J1086" s="79">
        <v>1565</v>
      </c>
      <c r="K1086" s="13"/>
      <c r="L1086" s="13"/>
    </row>
    <row r="1087" spans="1:12" x14ac:dyDescent="0.2">
      <c r="A1087" s="76">
        <v>743</v>
      </c>
      <c r="B1087" s="76">
        <v>1</v>
      </c>
      <c r="C1087" s="76" t="s">
        <v>292</v>
      </c>
      <c r="D1087" s="76">
        <v>1997</v>
      </c>
      <c r="E1087" s="76">
        <v>1998</v>
      </c>
      <c r="F1087" s="81">
        <v>214.47</v>
      </c>
      <c r="G1087" s="76">
        <v>5</v>
      </c>
      <c r="H1087" s="76">
        <v>1</v>
      </c>
      <c r="I1087" s="79">
        <v>1002</v>
      </c>
      <c r="J1087" s="79">
        <v>686</v>
      </c>
      <c r="K1087" s="13"/>
      <c r="L1087" s="13"/>
    </row>
    <row r="1088" spans="1:12" x14ac:dyDescent="0.2">
      <c r="A1088" s="76">
        <v>743</v>
      </c>
      <c r="B1088" s="76">
        <v>1</v>
      </c>
      <c r="C1088" s="76" t="s">
        <v>292</v>
      </c>
      <c r="D1088" s="76">
        <v>2001</v>
      </c>
      <c r="E1088" s="76">
        <v>2002</v>
      </c>
      <c r="F1088" s="81">
        <v>250</v>
      </c>
      <c r="G1088" s="76">
        <v>10</v>
      </c>
      <c r="H1088" s="76">
        <v>0</v>
      </c>
      <c r="I1088" s="79">
        <v>439</v>
      </c>
      <c r="J1088" s="79">
        <v>638</v>
      </c>
      <c r="K1088" s="13"/>
      <c r="L1088" s="13"/>
    </row>
    <row r="1089" spans="1:12" x14ac:dyDescent="0.2">
      <c r="A1089" s="76">
        <v>743</v>
      </c>
      <c r="B1089" s="76">
        <v>1</v>
      </c>
      <c r="C1089" s="76" t="s">
        <v>292</v>
      </c>
      <c r="D1089" s="76">
        <v>2002</v>
      </c>
      <c r="E1089" s="76">
        <v>2003</v>
      </c>
      <c r="F1089" s="81">
        <v>600</v>
      </c>
      <c r="G1089" s="76">
        <v>8</v>
      </c>
      <c r="H1089" s="76">
        <v>0</v>
      </c>
      <c r="I1089" s="79">
        <v>1322</v>
      </c>
      <c r="J1089" s="79">
        <v>1426</v>
      </c>
      <c r="K1089" s="13"/>
      <c r="L1089" s="13"/>
    </row>
    <row r="1090" spans="1:12" x14ac:dyDescent="0.2">
      <c r="A1090" s="76">
        <v>743</v>
      </c>
      <c r="B1090" s="76">
        <v>1</v>
      </c>
      <c r="C1090" s="76" t="s">
        <v>292</v>
      </c>
      <c r="D1090" s="76">
        <v>2003</v>
      </c>
      <c r="E1090" s="76">
        <v>2004</v>
      </c>
      <c r="F1090" s="81">
        <v>650</v>
      </c>
      <c r="G1090" s="76">
        <v>6</v>
      </c>
      <c r="H1090" s="76">
        <v>1</v>
      </c>
      <c r="I1090" s="79">
        <v>1010</v>
      </c>
      <c r="J1090" s="79">
        <v>835</v>
      </c>
      <c r="K1090" s="13"/>
      <c r="L1090" s="13"/>
    </row>
    <row r="1091" spans="1:12" x14ac:dyDescent="0.2">
      <c r="A1091" s="76">
        <v>743</v>
      </c>
      <c r="B1091" s="76">
        <v>1</v>
      </c>
      <c r="C1091" s="76" t="s">
        <v>292</v>
      </c>
      <c r="D1091" s="82">
        <v>2007</v>
      </c>
      <c r="E1091" s="83">
        <v>2008</v>
      </c>
      <c r="F1091" s="78">
        <v>110</v>
      </c>
      <c r="G1091" s="76">
        <v>6</v>
      </c>
      <c r="H1091" s="77">
        <v>0</v>
      </c>
      <c r="I1091" s="77">
        <v>506</v>
      </c>
      <c r="J1091" s="79">
        <v>1055</v>
      </c>
      <c r="K1091" s="13"/>
      <c r="L1091" s="13"/>
    </row>
    <row r="1092" spans="1:12" x14ac:dyDescent="0.2">
      <c r="A1092" s="76">
        <v>743</v>
      </c>
      <c r="B1092" s="76">
        <v>1</v>
      </c>
      <c r="C1092" s="76" t="s">
        <v>292</v>
      </c>
      <c r="D1092" s="82">
        <v>2007</v>
      </c>
      <c r="E1092" s="83">
        <v>2008</v>
      </c>
      <c r="F1092" s="78">
        <v>230</v>
      </c>
      <c r="G1092" s="76">
        <v>6</v>
      </c>
      <c r="H1092" s="77">
        <v>0</v>
      </c>
      <c r="I1092" s="77">
        <v>580</v>
      </c>
      <c r="J1092" s="79">
        <v>898</v>
      </c>
      <c r="K1092" s="13"/>
      <c r="L1092" s="13"/>
    </row>
    <row r="1093" spans="1:12" x14ac:dyDescent="0.2">
      <c r="A1093">
        <v>743</v>
      </c>
      <c r="B1093">
        <v>1</v>
      </c>
      <c r="C1093" t="s">
        <v>292</v>
      </c>
      <c r="D1093">
        <v>2008</v>
      </c>
      <c r="E1093" s="1">
        <v>2009</v>
      </c>
      <c r="F1093" s="6">
        <v>350</v>
      </c>
      <c r="G1093" s="1">
        <v>6</v>
      </c>
      <c r="H1093" s="33">
        <v>1</v>
      </c>
      <c r="I1093" s="33">
        <v>1362</v>
      </c>
      <c r="J1093" s="33">
        <v>905</v>
      </c>
      <c r="K1093" s="13"/>
      <c r="L1093" s="13"/>
    </row>
    <row r="1094" spans="1:12" x14ac:dyDescent="0.2">
      <c r="A1094" s="76">
        <v>745</v>
      </c>
      <c r="B1094" s="76">
        <v>1</v>
      </c>
      <c r="C1094" s="76" t="s">
        <v>293</v>
      </c>
      <c r="D1094" s="76">
        <v>1997</v>
      </c>
      <c r="E1094" s="76">
        <v>1998</v>
      </c>
      <c r="F1094" s="81">
        <v>311.69</v>
      </c>
      <c r="G1094" s="76">
        <v>10</v>
      </c>
      <c r="H1094" s="76">
        <v>0</v>
      </c>
      <c r="I1094" s="79">
        <v>459</v>
      </c>
      <c r="J1094" s="79">
        <v>962</v>
      </c>
      <c r="K1094" s="13"/>
      <c r="L1094" s="13"/>
    </row>
    <row r="1095" spans="1:12" x14ac:dyDescent="0.2">
      <c r="A1095" s="76">
        <v>745</v>
      </c>
      <c r="B1095" s="76">
        <v>1</v>
      </c>
      <c r="C1095" s="76" t="s">
        <v>293</v>
      </c>
      <c r="D1095" s="76">
        <v>1998</v>
      </c>
      <c r="E1095" s="76">
        <v>1999</v>
      </c>
      <c r="F1095" s="81">
        <v>315</v>
      </c>
      <c r="G1095" s="76">
        <v>10</v>
      </c>
      <c r="H1095" s="76">
        <v>1</v>
      </c>
      <c r="I1095" s="79">
        <v>1754</v>
      </c>
      <c r="J1095" s="79">
        <v>1652</v>
      </c>
      <c r="K1095" s="13"/>
      <c r="L1095" s="13"/>
    </row>
    <row r="1096" spans="1:12" x14ac:dyDescent="0.2">
      <c r="A1096" s="76">
        <v>745</v>
      </c>
      <c r="B1096" s="76">
        <v>1</v>
      </c>
      <c r="C1096" s="76" t="s">
        <v>293</v>
      </c>
      <c r="D1096" s="76">
        <v>2002</v>
      </c>
      <c r="E1096" s="76">
        <v>2003</v>
      </c>
      <c r="F1096" s="81">
        <v>315</v>
      </c>
      <c r="G1096" s="76">
        <v>5</v>
      </c>
      <c r="H1096" s="76">
        <v>0</v>
      </c>
      <c r="I1096" s="79">
        <v>1607</v>
      </c>
      <c r="J1096" s="79">
        <v>1612</v>
      </c>
      <c r="K1096" s="13"/>
      <c r="L1096" s="13"/>
    </row>
    <row r="1097" spans="1:12" x14ac:dyDescent="0.2">
      <c r="A1097" s="76">
        <v>745</v>
      </c>
      <c r="B1097" s="76">
        <v>1</v>
      </c>
      <c r="C1097" s="76" t="s">
        <v>293</v>
      </c>
      <c r="D1097" s="76">
        <v>2003</v>
      </c>
      <c r="E1097" s="76">
        <v>2004</v>
      </c>
      <c r="F1097" s="81">
        <v>405</v>
      </c>
      <c r="G1097" s="76">
        <v>10</v>
      </c>
      <c r="H1097" s="76">
        <v>1</v>
      </c>
      <c r="I1097" s="79">
        <v>1383</v>
      </c>
      <c r="J1097" s="79">
        <v>1026</v>
      </c>
      <c r="K1097" s="13"/>
      <c r="L1097" s="13"/>
    </row>
    <row r="1098" spans="1:12" x14ac:dyDescent="0.2">
      <c r="A1098" s="76">
        <v>745</v>
      </c>
      <c r="B1098" s="76">
        <v>1</v>
      </c>
      <c r="C1098" s="76" t="s">
        <v>293</v>
      </c>
      <c r="D1098" s="82">
        <v>2007</v>
      </c>
      <c r="E1098" s="83">
        <v>2008</v>
      </c>
      <c r="F1098" s="78">
        <v>295</v>
      </c>
      <c r="G1098" s="76">
        <v>10</v>
      </c>
      <c r="H1098" s="77">
        <v>0</v>
      </c>
      <c r="I1098" s="77">
        <v>1154</v>
      </c>
      <c r="J1098" s="79">
        <v>1245</v>
      </c>
      <c r="K1098" s="13"/>
      <c r="L1098" s="13"/>
    </row>
    <row r="1099" spans="1:12" x14ac:dyDescent="0.2">
      <c r="A1099" s="76">
        <v>748</v>
      </c>
      <c r="B1099" s="76">
        <v>1</v>
      </c>
      <c r="C1099" s="76" t="s">
        <v>294</v>
      </c>
      <c r="D1099" s="76">
        <v>1995</v>
      </c>
      <c r="E1099" s="76">
        <v>1996</v>
      </c>
      <c r="F1099" s="81">
        <v>430.25</v>
      </c>
      <c r="G1099" s="76">
        <v>10</v>
      </c>
      <c r="H1099" s="76">
        <v>1</v>
      </c>
      <c r="I1099" s="79">
        <v>935</v>
      </c>
      <c r="J1099" s="79">
        <v>532</v>
      </c>
      <c r="K1099" s="13"/>
      <c r="L1099" s="13"/>
    </row>
    <row r="1100" spans="1:12" x14ac:dyDescent="0.2">
      <c r="A1100" s="76">
        <v>748</v>
      </c>
      <c r="B1100" s="76">
        <v>1</v>
      </c>
      <c r="C1100" s="76" t="s">
        <v>294</v>
      </c>
      <c r="D1100" s="76">
        <v>2001</v>
      </c>
      <c r="E1100" s="76">
        <v>2002</v>
      </c>
      <c r="F1100" s="81">
        <v>300</v>
      </c>
      <c r="G1100" s="76">
        <v>10</v>
      </c>
      <c r="H1100" s="76">
        <v>1</v>
      </c>
      <c r="I1100" s="79">
        <v>1780</v>
      </c>
      <c r="J1100" s="79">
        <v>1450</v>
      </c>
      <c r="K1100" s="13"/>
      <c r="L1100" s="13"/>
    </row>
    <row r="1101" spans="1:12" x14ac:dyDescent="0.2">
      <c r="A1101" s="76">
        <v>750</v>
      </c>
      <c r="B1101" s="76">
        <v>1</v>
      </c>
      <c r="C1101" s="76" t="s">
        <v>295</v>
      </c>
      <c r="D1101" s="76">
        <v>1993</v>
      </c>
      <c r="E1101" s="76">
        <v>1994</v>
      </c>
      <c r="F1101" s="81">
        <v>353.12</v>
      </c>
      <c r="G1101" s="76">
        <v>5</v>
      </c>
      <c r="H1101" s="76">
        <v>1</v>
      </c>
      <c r="I1101" s="79" t="s">
        <v>840</v>
      </c>
      <c r="J1101" s="79" t="s">
        <v>840</v>
      </c>
      <c r="K1101" s="13"/>
      <c r="L1101" s="13"/>
    </row>
    <row r="1102" spans="1:12" x14ac:dyDescent="0.2">
      <c r="A1102" s="76">
        <v>750</v>
      </c>
      <c r="B1102" s="76">
        <v>1</v>
      </c>
      <c r="C1102" s="76" t="s">
        <v>295</v>
      </c>
      <c r="D1102" s="76">
        <v>1998</v>
      </c>
      <c r="E1102" s="76">
        <v>1999</v>
      </c>
      <c r="F1102" s="81">
        <v>350</v>
      </c>
      <c r="G1102" s="76">
        <v>10</v>
      </c>
      <c r="H1102" s="76">
        <v>1</v>
      </c>
      <c r="I1102" s="79">
        <v>2779</v>
      </c>
      <c r="J1102" s="79">
        <v>2544</v>
      </c>
      <c r="K1102" s="13"/>
      <c r="L1102" s="13"/>
    </row>
    <row r="1103" spans="1:12" x14ac:dyDescent="0.2">
      <c r="A1103" s="76">
        <v>750</v>
      </c>
      <c r="B1103" s="76">
        <v>1</v>
      </c>
      <c r="C1103" s="76" t="s">
        <v>295</v>
      </c>
      <c r="D1103" s="76">
        <v>2001</v>
      </c>
      <c r="E1103" s="76">
        <v>2002</v>
      </c>
      <c r="F1103" s="81">
        <v>126</v>
      </c>
      <c r="G1103" s="76">
        <v>10</v>
      </c>
      <c r="H1103" s="76">
        <v>1</v>
      </c>
      <c r="I1103" s="79">
        <v>1363</v>
      </c>
      <c r="J1103" s="79">
        <v>1089</v>
      </c>
      <c r="K1103" s="13"/>
      <c r="L1103" s="13"/>
    </row>
    <row r="1104" spans="1:12" x14ac:dyDescent="0.2">
      <c r="A1104" s="76">
        <v>750</v>
      </c>
      <c r="B1104" s="76">
        <v>1</v>
      </c>
      <c r="C1104" s="76" t="s">
        <v>878</v>
      </c>
      <c r="D1104" s="76">
        <v>2004</v>
      </c>
      <c r="E1104" s="76">
        <v>2005</v>
      </c>
      <c r="F1104" s="81">
        <v>373.22</v>
      </c>
      <c r="G1104" s="76">
        <v>10</v>
      </c>
      <c r="H1104" s="76">
        <v>0</v>
      </c>
      <c r="I1104" s="79">
        <v>3049</v>
      </c>
      <c r="J1104" s="79">
        <v>3930</v>
      </c>
      <c r="K1104" s="13"/>
      <c r="L1104" s="13"/>
    </row>
    <row r="1105" spans="1:12" x14ac:dyDescent="0.2">
      <c r="A1105" s="76">
        <v>750</v>
      </c>
      <c r="B1105" s="76">
        <v>1</v>
      </c>
      <c r="C1105" s="76" t="s">
        <v>878</v>
      </c>
      <c r="D1105" s="76">
        <v>2005</v>
      </c>
      <c r="E1105" s="76">
        <v>2006</v>
      </c>
      <c r="F1105" s="81">
        <v>105</v>
      </c>
      <c r="G1105" s="76">
        <v>5</v>
      </c>
      <c r="H1105" s="78">
        <v>0</v>
      </c>
      <c r="I1105" s="77">
        <v>1312</v>
      </c>
      <c r="J1105" s="77">
        <v>1731</v>
      </c>
      <c r="K1105" s="13"/>
      <c r="L1105" s="13"/>
    </row>
    <row r="1106" spans="1:12" x14ac:dyDescent="0.2">
      <c r="A1106" s="76">
        <v>750</v>
      </c>
      <c r="B1106" s="76">
        <v>1</v>
      </c>
      <c r="C1106" s="76" t="s">
        <v>878</v>
      </c>
      <c r="D1106" s="76">
        <v>2005</v>
      </c>
      <c r="E1106" s="76">
        <v>2006</v>
      </c>
      <c r="F1106" s="81">
        <v>121.37</v>
      </c>
      <c r="G1106" s="76">
        <v>5</v>
      </c>
      <c r="H1106" s="78">
        <v>0</v>
      </c>
      <c r="I1106" s="77">
        <v>1315</v>
      </c>
      <c r="J1106" s="77">
        <v>1729</v>
      </c>
      <c r="K1106" s="13"/>
      <c r="L1106" s="13"/>
    </row>
    <row r="1107" spans="1:12" x14ac:dyDescent="0.2">
      <c r="A1107" s="76">
        <v>750</v>
      </c>
      <c r="B1107" s="76">
        <v>1</v>
      </c>
      <c r="C1107" s="76" t="s">
        <v>878</v>
      </c>
      <c r="D1107" s="76">
        <v>2005</v>
      </c>
      <c r="E1107" s="76">
        <v>2006</v>
      </c>
      <c r="F1107" s="81">
        <v>145</v>
      </c>
      <c r="G1107" s="76">
        <v>5</v>
      </c>
      <c r="H1107" s="78">
        <v>0</v>
      </c>
      <c r="I1107" s="77">
        <v>1211</v>
      </c>
      <c r="J1107" s="77">
        <v>1764</v>
      </c>
      <c r="K1107" s="13"/>
      <c r="L1107" s="13"/>
    </row>
    <row r="1108" spans="1:12" x14ac:dyDescent="0.2">
      <c r="A1108" s="76">
        <v>750</v>
      </c>
      <c r="B1108" s="76">
        <v>1</v>
      </c>
      <c r="C1108" s="76" t="s">
        <v>295</v>
      </c>
      <c r="D1108" s="82">
        <v>2007</v>
      </c>
      <c r="E1108" s="83">
        <v>2008</v>
      </c>
      <c r="F1108" s="78">
        <v>344</v>
      </c>
      <c r="G1108" s="76">
        <v>6</v>
      </c>
      <c r="H1108" s="77">
        <v>1</v>
      </c>
      <c r="I1108" s="77">
        <v>2369</v>
      </c>
      <c r="J1108" s="79">
        <v>1503</v>
      </c>
      <c r="K1108" s="13"/>
      <c r="L1108" s="13"/>
    </row>
    <row r="1109" spans="1:12" x14ac:dyDescent="0.2">
      <c r="A1109" s="76">
        <v>756</v>
      </c>
      <c r="B1109" s="76">
        <v>1</v>
      </c>
      <c r="C1109" s="76" t="s">
        <v>296</v>
      </c>
      <c r="D1109" s="76">
        <v>1997</v>
      </c>
      <c r="E1109" s="76">
        <v>1998</v>
      </c>
      <c r="F1109" s="81">
        <v>267.25</v>
      </c>
      <c r="G1109" s="76">
        <v>10</v>
      </c>
      <c r="H1109" s="76">
        <v>1</v>
      </c>
      <c r="I1109" s="79">
        <v>696</v>
      </c>
      <c r="J1109" s="79">
        <v>273</v>
      </c>
      <c r="K1109" s="13"/>
      <c r="L1109" s="13"/>
    </row>
    <row r="1110" spans="1:12" x14ac:dyDescent="0.2">
      <c r="A1110" s="76">
        <v>756</v>
      </c>
      <c r="B1110" s="76">
        <v>1</v>
      </c>
      <c r="C1110" s="76" t="s">
        <v>296</v>
      </c>
      <c r="D1110" s="76">
        <v>2000</v>
      </c>
      <c r="E1110" s="76">
        <v>2001</v>
      </c>
      <c r="F1110" s="81">
        <v>350</v>
      </c>
      <c r="G1110" s="76">
        <v>10</v>
      </c>
      <c r="H1110" s="76">
        <v>0</v>
      </c>
      <c r="I1110" s="79">
        <v>871</v>
      </c>
      <c r="J1110" s="79">
        <v>1242</v>
      </c>
      <c r="K1110" s="13"/>
      <c r="L1110" s="13"/>
    </row>
    <row r="1111" spans="1:12" x14ac:dyDescent="0.2">
      <c r="A1111" s="76">
        <v>756</v>
      </c>
      <c r="B1111" s="76">
        <v>1</v>
      </c>
      <c r="C1111" s="76" t="s">
        <v>296</v>
      </c>
      <c r="D1111" s="76">
        <v>2001</v>
      </c>
      <c r="E1111" s="76">
        <v>2002</v>
      </c>
      <c r="F1111" s="81">
        <v>350</v>
      </c>
      <c r="G1111" s="76">
        <v>10</v>
      </c>
      <c r="H1111" s="76">
        <v>1</v>
      </c>
      <c r="I1111" s="79">
        <v>980</v>
      </c>
      <c r="J1111" s="79">
        <v>286</v>
      </c>
      <c r="K1111" s="13"/>
      <c r="L1111" s="13"/>
    </row>
    <row r="1112" spans="1:12" x14ac:dyDescent="0.2">
      <c r="A1112" s="76">
        <v>756</v>
      </c>
      <c r="B1112" s="76">
        <v>1</v>
      </c>
      <c r="C1112" s="76" t="s">
        <v>296</v>
      </c>
      <c r="D1112" s="82">
        <v>2007</v>
      </c>
      <c r="E1112" s="83">
        <v>2008</v>
      </c>
      <c r="F1112" s="78">
        <v>349.55</v>
      </c>
      <c r="G1112" s="76">
        <v>10</v>
      </c>
      <c r="H1112" s="77">
        <v>0</v>
      </c>
      <c r="I1112" s="77">
        <v>417</v>
      </c>
      <c r="J1112" s="79">
        <v>529</v>
      </c>
      <c r="K1112" s="13"/>
      <c r="L1112" s="13"/>
    </row>
    <row r="1113" spans="1:12" x14ac:dyDescent="0.2">
      <c r="A1113">
        <v>756</v>
      </c>
      <c r="B1113">
        <v>1</v>
      </c>
      <c r="C1113" t="s">
        <v>296</v>
      </c>
      <c r="D1113">
        <v>2008</v>
      </c>
      <c r="E1113" s="5">
        <v>2009</v>
      </c>
      <c r="F1113" s="6">
        <v>349.55</v>
      </c>
      <c r="G1113" s="5">
        <v>7</v>
      </c>
      <c r="H1113" s="33">
        <v>0</v>
      </c>
      <c r="I1113" s="33">
        <v>806</v>
      </c>
      <c r="J1113" s="33">
        <v>1491</v>
      </c>
      <c r="K1113" s="13"/>
      <c r="L1113" s="13"/>
    </row>
    <row r="1114" spans="1:12" x14ac:dyDescent="0.2">
      <c r="A1114">
        <v>756</v>
      </c>
      <c r="B1114">
        <v>1</v>
      </c>
      <c r="C1114" t="s">
        <v>296</v>
      </c>
      <c r="D1114">
        <v>2008</v>
      </c>
      <c r="E1114" s="5">
        <v>2009</v>
      </c>
      <c r="F1114" s="6">
        <v>200</v>
      </c>
      <c r="G1114" s="5">
        <v>3</v>
      </c>
      <c r="H1114" s="33">
        <v>0</v>
      </c>
      <c r="I1114" s="33">
        <v>658</v>
      </c>
      <c r="J1114" s="33">
        <v>1625</v>
      </c>
      <c r="K1114" s="13"/>
      <c r="L1114" s="13"/>
    </row>
    <row r="1115" spans="1:12" x14ac:dyDescent="0.2">
      <c r="A1115" s="76">
        <v>761</v>
      </c>
      <c r="B1115" s="76">
        <v>1</v>
      </c>
      <c r="C1115" s="76" t="s">
        <v>297</v>
      </c>
      <c r="D1115" s="76">
        <v>1992</v>
      </c>
      <c r="E1115" s="76">
        <v>1993</v>
      </c>
      <c r="F1115" s="81">
        <v>295.62</v>
      </c>
      <c r="G1115" s="76">
        <v>5</v>
      </c>
      <c r="H1115" s="76">
        <v>0</v>
      </c>
      <c r="I1115" s="79" t="s">
        <v>840</v>
      </c>
      <c r="J1115" s="79" t="s">
        <v>840</v>
      </c>
      <c r="K1115" s="13"/>
      <c r="L1115" s="13"/>
    </row>
    <row r="1116" spans="1:12" x14ac:dyDescent="0.2">
      <c r="A1116" s="76">
        <v>761</v>
      </c>
      <c r="B1116" s="76">
        <v>1</v>
      </c>
      <c r="C1116" s="76" t="s">
        <v>297</v>
      </c>
      <c r="D1116" s="76">
        <v>1993</v>
      </c>
      <c r="E1116" s="76">
        <v>1994</v>
      </c>
      <c r="F1116" s="81">
        <v>185.05</v>
      </c>
      <c r="G1116" s="76">
        <v>5</v>
      </c>
      <c r="H1116" s="76">
        <v>0</v>
      </c>
      <c r="I1116" s="79" t="s">
        <v>840</v>
      </c>
      <c r="J1116" s="79" t="s">
        <v>840</v>
      </c>
      <c r="K1116" s="13"/>
      <c r="L1116" s="13"/>
    </row>
    <row r="1117" spans="1:12" x14ac:dyDescent="0.2">
      <c r="A1117" s="76">
        <v>761</v>
      </c>
      <c r="B1117" s="76">
        <v>1</v>
      </c>
      <c r="C1117" s="76" t="s">
        <v>297</v>
      </c>
      <c r="D1117" s="76">
        <v>1994</v>
      </c>
      <c r="E1117" s="76">
        <v>1995</v>
      </c>
      <c r="F1117" s="81">
        <v>247.11</v>
      </c>
      <c r="G1117" s="76">
        <v>10</v>
      </c>
      <c r="H1117" s="76">
        <v>1</v>
      </c>
      <c r="I1117" s="79">
        <v>7806</v>
      </c>
      <c r="J1117" s="79">
        <v>3300</v>
      </c>
      <c r="K1117" s="13"/>
      <c r="L1117" s="13"/>
    </row>
    <row r="1118" spans="1:12" x14ac:dyDescent="0.2">
      <c r="A1118" s="76">
        <v>761</v>
      </c>
      <c r="B1118" s="76">
        <v>1</v>
      </c>
      <c r="C1118" s="76" t="s">
        <v>297</v>
      </c>
      <c r="D1118" s="76">
        <v>2002</v>
      </c>
      <c r="E1118" s="76">
        <v>2003</v>
      </c>
      <c r="F1118" s="81">
        <v>70</v>
      </c>
      <c r="G1118" s="76">
        <v>10</v>
      </c>
      <c r="H1118" s="76">
        <v>0</v>
      </c>
      <c r="I1118" s="79">
        <v>6171</v>
      </c>
      <c r="J1118" s="79">
        <v>5770</v>
      </c>
      <c r="K1118" s="13"/>
      <c r="L1118" s="13"/>
    </row>
    <row r="1119" spans="1:12" x14ac:dyDescent="0.2">
      <c r="A1119" s="76">
        <v>761</v>
      </c>
      <c r="B1119" s="76">
        <v>1</v>
      </c>
      <c r="C1119" s="76" t="s">
        <v>297</v>
      </c>
      <c r="D1119" s="76">
        <v>2002</v>
      </c>
      <c r="E1119" s="76">
        <v>2003</v>
      </c>
      <c r="F1119" s="81">
        <v>680</v>
      </c>
      <c r="G1119" s="76">
        <v>10</v>
      </c>
      <c r="H1119" s="76">
        <v>1</v>
      </c>
      <c r="I1119" s="79">
        <v>5330</v>
      </c>
      <c r="J1119" s="79">
        <v>6504</v>
      </c>
      <c r="K1119" s="13"/>
      <c r="L1119" s="13"/>
    </row>
    <row r="1120" spans="1:12" x14ac:dyDescent="0.2">
      <c r="A1120" s="76">
        <v>761</v>
      </c>
      <c r="B1120" s="76">
        <v>1</v>
      </c>
      <c r="C1120" s="76" t="s">
        <v>297</v>
      </c>
      <c r="D1120" s="82">
        <v>2007</v>
      </c>
      <c r="E1120" s="83">
        <v>2008</v>
      </c>
      <c r="F1120" s="78">
        <v>42.64</v>
      </c>
      <c r="G1120" s="76">
        <v>6</v>
      </c>
      <c r="H1120" s="77">
        <v>0</v>
      </c>
      <c r="I1120" s="77">
        <v>2235</v>
      </c>
      <c r="J1120" s="79">
        <v>3491</v>
      </c>
      <c r="K1120" s="13"/>
      <c r="L1120" s="13"/>
    </row>
    <row r="1121" spans="1:12" x14ac:dyDescent="0.2">
      <c r="A1121" s="76">
        <v>761</v>
      </c>
      <c r="B1121" s="76">
        <v>1</v>
      </c>
      <c r="C1121" s="76" t="s">
        <v>297</v>
      </c>
      <c r="D1121" s="82">
        <v>2007</v>
      </c>
      <c r="E1121" s="83">
        <v>2008</v>
      </c>
      <c r="F1121" s="78">
        <v>102.33</v>
      </c>
      <c r="G1121" s="76">
        <v>6</v>
      </c>
      <c r="H1121" s="77">
        <v>0</v>
      </c>
      <c r="I1121" s="77">
        <v>2652</v>
      </c>
      <c r="J1121" s="79">
        <v>3065</v>
      </c>
      <c r="K1121" s="13"/>
      <c r="L1121" s="13"/>
    </row>
    <row r="1122" spans="1:12" x14ac:dyDescent="0.2">
      <c r="A1122" s="76">
        <v>761</v>
      </c>
      <c r="B1122" s="76">
        <v>1</v>
      </c>
      <c r="C1122" s="76" t="s">
        <v>297</v>
      </c>
      <c r="D1122" s="82">
        <v>2007</v>
      </c>
      <c r="E1122" s="83">
        <v>2008</v>
      </c>
      <c r="F1122" s="78">
        <v>119.39</v>
      </c>
      <c r="G1122" s="76">
        <v>6</v>
      </c>
      <c r="H1122" s="77">
        <v>0</v>
      </c>
      <c r="I1122" s="77">
        <v>2180</v>
      </c>
      <c r="J1122" s="79">
        <v>3547</v>
      </c>
      <c r="K1122" s="13"/>
      <c r="L1122" s="13"/>
    </row>
    <row r="1123" spans="1:12" x14ac:dyDescent="0.2">
      <c r="A1123" s="76">
        <v>763</v>
      </c>
      <c r="B1123" s="76">
        <v>1</v>
      </c>
      <c r="C1123" s="76" t="s">
        <v>298</v>
      </c>
      <c r="D1123" s="76">
        <v>1995</v>
      </c>
      <c r="E1123" s="76">
        <v>1996</v>
      </c>
      <c r="F1123" s="81">
        <v>405.29</v>
      </c>
      <c r="G1123" s="76">
        <v>10</v>
      </c>
      <c r="H1123" s="76">
        <v>1</v>
      </c>
      <c r="I1123" s="79">
        <v>589</v>
      </c>
      <c r="J1123" s="79">
        <v>119</v>
      </c>
      <c r="K1123" s="13"/>
      <c r="L1123" s="13"/>
    </row>
    <row r="1124" spans="1:12" x14ac:dyDescent="0.2">
      <c r="A1124" s="76">
        <v>768</v>
      </c>
      <c r="B1124" s="76">
        <v>1</v>
      </c>
      <c r="C1124" s="76" t="s">
        <v>299</v>
      </c>
      <c r="D1124" s="76">
        <v>2002</v>
      </c>
      <c r="E1124" s="76">
        <v>2003</v>
      </c>
      <c r="F1124" s="81">
        <v>800</v>
      </c>
      <c r="G1124" s="76">
        <v>10</v>
      </c>
      <c r="H1124" s="76">
        <v>1</v>
      </c>
      <c r="I1124" s="79">
        <v>340</v>
      </c>
      <c r="J1124" s="79">
        <v>271</v>
      </c>
      <c r="K1124" s="13"/>
      <c r="L1124" s="13"/>
    </row>
    <row r="1125" spans="1:12" x14ac:dyDescent="0.2">
      <c r="A1125" s="76">
        <v>768</v>
      </c>
      <c r="B1125" s="76">
        <v>1</v>
      </c>
      <c r="C1125" s="76" t="s">
        <v>299</v>
      </c>
      <c r="D1125" s="82">
        <v>2007</v>
      </c>
      <c r="E1125" s="83">
        <v>2008</v>
      </c>
      <c r="F1125" s="78">
        <v>350</v>
      </c>
      <c r="G1125" s="76">
        <v>10</v>
      </c>
      <c r="H1125" s="77">
        <v>1</v>
      </c>
      <c r="I1125" s="77">
        <v>130</v>
      </c>
      <c r="J1125" s="79">
        <v>44</v>
      </c>
      <c r="K1125" s="13"/>
      <c r="L1125" s="13"/>
    </row>
    <row r="1126" spans="1:12" x14ac:dyDescent="0.2">
      <c r="A1126" s="76">
        <v>769</v>
      </c>
      <c r="B1126" s="76">
        <v>1</v>
      </c>
      <c r="C1126" s="76" t="s">
        <v>300</v>
      </c>
      <c r="D1126" s="76">
        <v>1992</v>
      </c>
      <c r="E1126" s="76">
        <v>1993</v>
      </c>
      <c r="F1126" s="81">
        <v>305</v>
      </c>
      <c r="G1126" s="76">
        <v>5</v>
      </c>
      <c r="H1126" s="76">
        <v>1</v>
      </c>
      <c r="I1126" s="79" t="s">
        <v>840</v>
      </c>
      <c r="J1126" s="79" t="s">
        <v>840</v>
      </c>
      <c r="K1126" s="13"/>
      <c r="L1126" s="13"/>
    </row>
    <row r="1127" spans="1:12" x14ac:dyDescent="0.2">
      <c r="A1127" s="76">
        <v>769</v>
      </c>
      <c r="B1127" s="76">
        <v>1</v>
      </c>
      <c r="C1127" s="76" t="s">
        <v>300</v>
      </c>
      <c r="D1127" s="76">
        <v>1997</v>
      </c>
      <c r="E1127" s="76">
        <v>1998</v>
      </c>
      <c r="F1127" s="81">
        <v>315</v>
      </c>
      <c r="G1127" s="76">
        <v>10</v>
      </c>
      <c r="H1127" s="76">
        <v>1</v>
      </c>
      <c r="I1127" s="79">
        <v>1941</v>
      </c>
      <c r="J1127" s="79">
        <v>510</v>
      </c>
      <c r="K1127" s="13"/>
      <c r="L1127" s="13"/>
    </row>
    <row r="1128" spans="1:12" x14ac:dyDescent="0.2">
      <c r="A1128" s="76">
        <v>769</v>
      </c>
      <c r="B1128" s="76">
        <v>1</v>
      </c>
      <c r="C1128" s="76" t="s">
        <v>300</v>
      </c>
      <c r="D1128" s="76">
        <v>2000</v>
      </c>
      <c r="E1128" s="76">
        <v>2001</v>
      </c>
      <c r="F1128" s="81">
        <v>400</v>
      </c>
      <c r="G1128" s="76">
        <v>10</v>
      </c>
      <c r="H1128" s="76">
        <v>1</v>
      </c>
      <c r="I1128" s="79">
        <v>1986</v>
      </c>
      <c r="J1128" s="79">
        <v>1531</v>
      </c>
      <c r="K1128" s="13"/>
      <c r="L1128" s="13"/>
    </row>
    <row r="1129" spans="1:12" x14ac:dyDescent="0.2">
      <c r="A1129" s="76">
        <v>769</v>
      </c>
      <c r="B1129" s="76">
        <v>1</v>
      </c>
      <c r="C1129" s="76" t="s">
        <v>300</v>
      </c>
      <c r="D1129" s="76">
        <v>2005</v>
      </c>
      <c r="E1129" s="76">
        <v>2006</v>
      </c>
      <c r="F1129" s="81">
        <v>385</v>
      </c>
      <c r="G1129" s="76">
        <v>10</v>
      </c>
      <c r="H1129" s="78">
        <v>1</v>
      </c>
      <c r="I1129" s="77">
        <v>1294</v>
      </c>
      <c r="J1129" s="77">
        <v>936</v>
      </c>
      <c r="K1129" s="13"/>
      <c r="L1129" s="13"/>
    </row>
    <row r="1130" spans="1:12" x14ac:dyDescent="0.2">
      <c r="A1130" s="76">
        <v>771</v>
      </c>
      <c r="B1130" s="76">
        <v>1</v>
      </c>
      <c r="C1130" s="76" t="s">
        <v>301</v>
      </c>
      <c r="D1130" s="76">
        <v>1997</v>
      </c>
      <c r="E1130" s="76">
        <v>1998</v>
      </c>
      <c r="F1130" s="81">
        <v>289.08999999999997</v>
      </c>
      <c r="G1130" s="76">
        <v>10</v>
      </c>
      <c r="H1130" s="76">
        <v>1</v>
      </c>
      <c r="I1130" s="79">
        <v>196</v>
      </c>
      <c r="J1130" s="79">
        <v>75</v>
      </c>
      <c r="K1130" s="13"/>
      <c r="L1130" s="13"/>
    </row>
    <row r="1131" spans="1:12" x14ac:dyDescent="0.2">
      <c r="A1131" s="76">
        <v>771</v>
      </c>
      <c r="B1131" s="76">
        <v>1</v>
      </c>
      <c r="C1131" s="76" t="s">
        <v>301</v>
      </c>
      <c r="D1131" s="76">
        <v>2001</v>
      </c>
      <c r="E1131" s="76">
        <v>2002</v>
      </c>
      <c r="F1131" s="81">
        <v>320</v>
      </c>
      <c r="G1131" s="76">
        <v>5</v>
      </c>
      <c r="H1131" s="76">
        <v>1</v>
      </c>
      <c r="I1131" s="79">
        <v>357</v>
      </c>
      <c r="J1131" s="79">
        <v>86</v>
      </c>
      <c r="K1131" s="13"/>
      <c r="L1131" s="13"/>
    </row>
    <row r="1132" spans="1:12" x14ac:dyDescent="0.2">
      <c r="A1132" s="76">
        <v>771</v>
      </c>
      <c r="B1132" s="76">
        <v>1</v>
      </c>
      <c r="C1132" s="76" t="s">
        <v>301</v>
      </c>
      <c r="D1132" s="76">
        <v>2004</v>
      </c>
      <c r="E1132" s="76">
        <v>2005</v>
      </c>
      <c r="F1132" s="81">
        <v>1750</v>
      </c>
      <c r="G1132" s="76">
        <v>10</v>
      </c>
      <c r="H1132" s="76">
        <v>1</v>
      </c>
      <c r="I1132" s="79">
        <v>517</v>
      </c>
      <c r="J1132" s="79">
        <v>308</v>
      </c>
      <c r="K1132" s="13"/>
      <c r="L1132" s="13"/>
    </row>
    <row r="1133" spans="1:12" x14ac:dyDescent="0.2">
      <c r="A1133" s="76">
        <v>771</v>
      </c>
      <c r="B1133" s="76">
        <v>1</v>
      </c>
      <c r="C1133" s="76" t="s">
        <v>301</v>
      </c>
      <c r="D1133" s="82">
        <v>2007</v>
      </c>
      <c r="E1133" s="83">
        <v>2008</v>
      </c>
      <c r="F1133" s="78">
        <v>750</v>
      </c>
      <c r="G1133" s="76">
        <v>10</v>
      </c>
      <c r="H1133" s="77">
        <v>1</v>
      </c>
      <c r="I1133" s="77">
        <v>289</v>
      </c>
      <c r="J1133" s="79">
        <v>76</v>
      </c>
      <c r="K1133" s="13"/>
      <c r="L1133" s="13"/>
    </row>
    <row r="1134" spans="1:12" x14ac:dyDescent="0.2">
      <c r="A1134" s="76">
        <v>775</v>
      </c>
      <c r="B1134" s="76">
        <v>1</v>
      </c>
      <c r="C1134" s="76" t="s">
        <v>302</v>
      </c>
      <c r="D1134" s="76">
        <v>1996</v>
      </c>
      <c r="E1134" s="76">
        <v>1997</v>
      </c>
      <c r="F1134" s="81">
        <v>200</v>
      </c>
      <c r="G1134" s="76">
        <v>10</v>
      </c>
      <c r="H1134" s="76">
        <v>0</v>
      </c>
      <c r="I1134" s="79">
        <v>715</v>
      </c>
      <c r="J1134" s="79">
        <v>798</v>
      </c>
      <c r="K1134" s="13"/>
      <c r="L1134" s="13"/>
    </row>
    <row r="1135" spans="1:12" x14ac:dyDescent="0.2">
      <c r="A1135" s="76">
        <v>775</v>
      </c>
      <c r="B1135" s="76">
        <v>1</v>
      </c>
      <c r="C1135" s="76" t="s">
        <v>302</v>
      </c>
      <c r="D1135" s="76">
        <v>1997</v>
      </c>
      <c r="E1135" s="76">
        <v>1998</v>
      </c>
      <c r="F1135" s="81">
        <v>200</v>
      </c>
      <c r="G1135" s="76">
        <v>10</v>
      </c>
      <c r="H1135" s="76">
        <v>1</v>
      </c>
      <c r="I1135" s="79">
        <v>543</v>
      </c>
      <c r="J1135" s="79">
        <v>391</v>
      </c>
      <c r="K1135" s="13"/>
      <c r="L1135" s="13"/>
    </row>
    <row r="1136" spans="1:12" x14ac:dyDescent="0.2">
      <c r="A1136" s="76">
        <v>775</v>
      </c>
      <c r="B1136" s="76">
        <v>1</v>
      </c>
      <c r="C1136" s="76" t="s">
        <v>843</v>
      </c>
      <c r="D1136" s="76">
        <v>2003</v>
      </c>
      <c r="E1136" s="76">
        <v>2004</v>
      </c>
      <c r="F1136" s="81">
        <v>400</v>
      </c>
      <c r="G1136" s="76">
        <v>10</v>
      </c>
      <c r="H1136" s="76">
        <v>1</v>
      </c>
      <c r="I1136" s="79">
        <v>531</v>
      </c>
      <c r="J1136" s="79">
        <v>467</v>
      </c>
      <c r="K1136" s="13"/>
      <c r="L1136" s="13"/>
    </row>
    <row r="1137" spans="1:12" x14ac:dyDescent="0.2">
      <c r="A1137" s="76">
        <v>775</v>
      </c>
      <c r="B1137" s="76">
        <v>1</v>
      </c>
      <c r="C1137" s="76" t="s">
        <v>302</v>
      </c>
      <c r="D1137" s="76">
        <v>2006</v>
      </c>
      <c r="E1137" s="78">
        <v>2007</v>
      </c>
      <c r="F1137" s="81">
        <v>95.19</v>
      </c>
      <c r="G1137" s="78">
        <v>10</v>
      </c>
      <c r="H1137" s="76">
        <v>1</v>
      </c>
      <c r="I1137" s="77">
        <v>815</v>
      </c>
      <c r="J1137" s="77">
        <v>616</v>
      </c>
      <c r="K1137" s="13"/>
      <c r="L1137" s="13"/>
    </row>
    <row r="1138" spans="1:12" x14ac:dyDescent="0.2">
      <c r="A1138" s="76">
        <v>777</v>
      </c>
      <c r="B1138" s="76">
        <v>1</v>
      </c>
      <c r="C1138" s="76" t="s">
        <v>303</v>
      </c>
      <c r="D1138" s="76">
        <v>1992</v>
      </c>
      <c r="E1138" s="76">
        <v>1993</v>
      </c>
      <c r="F1138" s="81">
        <v>120.12</v>
      </c>
      <c r="G1138" s="76">
        <v>5</v>
      </c>
      <c r="H1138" s="76">
        <v>1</v>
      </c>
      <c r="I1138" s="79" t="s">
        <v>840</v>
      </c>
      <c r="J1138" s="79" t="s">
        <v>840</v>
      </c>
      <c r="K1138" s="13"/>
      <c r="L1138" s="13"/>
    </row>
    <row r="1139" spans="1:12" x14ac:dyDescent="0.2">
      <c r="A1139" s="76">
        <v>777</v>
      </c>
      <c r="B1139" s="76">
        <v>1</v>
      </c>
      <c r="C1139" s="76" t="s">
        <v>303</v>
      </c>
      <c r="D1139" s="76">
        <v>1997</v>
      </c>
      <c r="E1139" s="76">
        <v>1998</v>
      </c>
      <c r="F1139" s="81">
        <v>315</v>
      </c>
      <c r="G1139" s="76">
        <v>5</v>
      </c>
      <c r="H1139" s="76">
        <v>1</v>
      </c>
      <c r="I1139" s="79">
        <v>561</v>
      </c>
      <c r="J1139" s="79">
        <v>405</v>
      </c>
      <c r="K1139" s="13"/>
      <c r="L1139" s="13"/>
    </row>
    <row r="1140" spans="1:12" x14ac:dyDescent="0.2">
      <c r="A1140" s="76">
        <v>777</v>
      </c>
      <c r="B1140" s="76">
        <v>1</v>
      </c>
      <c r="C1140" s="76" t="s">
        <v>303</v>
      </c>
      <c r="D1140" s="76">
        <v>2001</v>
      </c>
      <c r="E1140" s="76">
        <v>2002</v>
      </c>
      <c r="F1140" s="81">
        <v>315</v>
      </c>
      <c r="G1140" s="76">
        <v>5</v>
      </c>
      <c r="H1140" s="76">
        <v>1</v>
      </c>
      <c r="I1140" s="79">
        <v>1077</v>
      </c>
      <c r="J1140" s="79">
        <v>671</v>
      </c>
      <c r="K1140" s="13"/>
      <c r="L1140" s="13"/>
    </row>
    <row r="1141" spans="1:12" x14ac:dyDescent="0.2">
      <c r="A1141" s="76">
        <v>777</v>
      </c>
      <c r="B1141" s="76">
        <v>1</v>
      </c>
      <c r="C1141" s="76" t="s">
        <v>303</v>
      </c>
      <c r="D1141" s="76">
        <v>2006</v>
      </c>
      <c r="E1141" s="78">
        <v>2007</v>
      </c>
      <c r="F1141" s="81">
        <v>515</v>
      </c>
      <c r="G1141" s="78">
        <v>5</v>
      </c>
      <c r="H1141" s="76">
        <v>1</v>
      </c>
      <c r="I1141" s="77">
        <v>1599</v>
      </c>
      <c r="J1141" s="77">
        <v>994</v>
      </c>
      <c r="K1141" s="13"/>
      <c r="L1141" s="13"/>
    </row>
    <row r="1142" spans="1:12" x14ac:dyDescent="0.2">
      <c r="A1142" s="76">
        <v>784</v>
      </c>
      <c r="B1142" s="76">
        <v>1</v>
      </c>
      <c r="C1142" s="76" t="s">
        <v>700</v>
      </c>
      <c r="D1142" s="76">
        <v>1992</v>
      </c>
      <c r="E1142" s="76">
        <v>1993</v>
      </c>
      <c r="F1142" s="81">
        <v>443.97</v>
      </c>
      <c r="G1142" s="76">
        <v>5</v>
      </c>
      <c r="H1142" s="76">
        <v>0</v>
      </c>
      <c r="I1142" s="79" t="s">
        <v>840</v>
      </c>
      <c r="J1142" s="79" t="s">
        <v>840</v>
      </c>
      <c r="K1142" s="13"/>
      <c r="L1142" s="13"/>
    </row>
    <row r="1143" spans="1:12" x14ac:dyDescent="0.2">
      <c r="A1143" s="76">
        <v>784</v>
      </c>
      <c r="B1143" s="76">
        <v>1</v>
      </c>
      <c r="C1143" s="76" t="s">
        <v>763</v>
      </c>
      <c r="D1143" s="76">
        <v>1993</v>
      </c>
      <c r="E1143" s="76">
        <v>1994</v>
      </c>
      <c r="F1143" s="81">
        <v>374.43</v>
      </c>
      <c r="G1143" s="76">
        <v>4</v>
      </c>
      <c r="H1143" s="76">
        <v>1</v>
      </c>
      <c r="I1143" s="79" t="s">
        <v>840</v>
      </c>
      <c r="J1143" s="79" t="s">
        <v>840</v>
      </c>
      <c r="K1143" s="13"/>
      <c r="L1143" s="13"/>
    </row>
    <row r="1144" spans="1:12" x14ac:dyDescent="0.2">
      <c r="A1144" s="76">
        <v>784</v>
      </c>
      <c r="B1144" s="76">
        <v>1</v>
      </c>
      <c r="C1144" s="76" t="s">
        <v>700</v>
      </c>
      <c r="D1144" s="76">
        <v>1995</v>
      </c>
      <c r="E1144" s="76">
        <v>1997</v>
      </c>
      <c r="F1144" s="81">
        <v>422.03</v>
      </c>
      <c r="G1144" s="76">
        <v>5</v>
      </c>
      <c r="H1144" s="76">
        <v>1</v>
      </c>
      <c r="I1144" s="79">
        <v>564</v>
      </c>
      <c r="J1144" s="79">
        <v>160</v>
      </c>
      <c r="K1144" s="13"/>
      <c r="L1144" s="13"/>
    </row>
    <row r="1145" spans="1:12" x14ac:dyDescent="0.2">
      <c r="A1145" s="76">
        <v>786</v>
      </c>
      <c r="B1145" s="76">
        <v>1</v>
      </c>
      <c r="C1145" s="76" t="s">
        <v>764</v>
      </c>
      <c r="D1145" s="76">
        <v>1992</v>
      </c>
      <c r="E1145" s="76">
        <v>1993</v>
      </c>
      <c r="F1145" s="81">
        <v>225</v>
      </c>
      <c r="G1145" s="76">
        <v>5</v>
      </c>
      <c r="H1145" s="76">
        <v>1</v>
      </c>
      <c r="I1145" s="79" t="s">
        <v>840</v>
      </c>
      <c r="J1145" s="79" t="s">
        <v>840</v>
      </c>
      <c r="K1145" s="13"/>
      <c r="L1145" s="13"/>
    </row>
    <row r="1146" spans="1:12" x14ac:dyDescent="0.2">
      <c r="A1146" s="76">
        <v>786</v>
      </c>
      <c r="B1146" s="76">
        <v>1</v>
      </c>
      <c r="C1146" s="76" t="s">
        <v>304</v>
      </c>
      <c r="D1146" s="76">
        <v>1997</v>
      </c>
      <c r="E1146" s="76">
        <v>1998</v>
      </c>
      <c r="F1146" s="81">
        <v>315</v>
      </c>
      <c r="G1146" s="76">
        <v>5</v>
      </c>
      <c r="H1146" s="76">
        <v>1</v>
      </c>
      <c r="I1146" s="79">
        <v>451</v>
      </c>
      <c r="J1146" s="79">
        <v>253</v>
      </c>
      <c r="K1146" s="13"/>
      <c r="L1146" s="13"/>
    </row>
    <row r="1147" spans="1:12" x14ac:dyDescent="0.2">
      <c r="A1147" s="76">
        <v>786</v>
      </c>
      <c r="B1147" s="76">
        <v>1</v>
      </c>
      <c r="C1147" s="76" t="s">
        <v>304</v>
      </c>
      <c r="D1147" s="76">
        <v>2001</v>
      </c>
      <c r="E1147" s="76">
        <v>2002</v>
      </c>
      <c r="F1147" s="81">
        <v>126</v>
      </c>
      <c r="G1147" s="76">
        <v>10</v>
      </c>
      <c r="H1147" s="76">
        <v>1</v>
      </c>
      <c r="I1147" s="79">
        <v>182</v>
      </c>
      <c r="J1147" s="79">
        <v>179</v>
      </c>
      <c r="K1147" s="13"/>
      <c r="L1147" s="13"/>
    </row>
    <row r="1148" spans="1:12" x14ac:dyDescent="0.2">
      <c r="A1148" s="76">
        <v>786</v>
      </c>
      <c r="B1148" s="76">
        <v>1</v>
      </c>
      <c r="C1148" s="76" t="s">
        <v>1017</v>
      </c>
      <c r="D1148" s="76">
        <v>2005</v>
      </c>
      <c r="E1148" s="76">
        <v>2006</v>
      </c>
      <c r="F1148" s="81">
        <v>500</v>
      </c>
      <c r="G1148" s="76">
        <v>10</v>
      </c>
      <c r="H1148" s="78">
        <v>0</v>
      </c>
      <c r="I1148" s="77">
        <v>278</v>
      </c>
      <c r="J1148" s="77">
        <v>333</v>
      </c>
      <c r="K1148" s="13"/>
      <c r="L1148" s="13"/>
    </row>
    <row r="1149" spans="1:12" x14ac:dyDescent="0.2">
      <c r="A1149" s="76">
        <v>786</v>
      </c>
      <c r="B1149" s="76">
        <v>1</v>
      </c>
      <c r="C1149" s="76" t="s">
        <v>304</v>
      </c>
      <c r="D1149" s="76">
        <v>2006</v>
      </c>
      <c r="E1149" s="78">
        <v>2007</v>
      </c>
      <c r="F1149" s="81">
        <v>573.01</v>
      </c>
      <c r="G1149" s="78">
        <v>10</v>
      </c>
      <c r="H1149" s="76">
        <v>1</v>
      </c>
      <c r="I1149" s="77">
        <v>490</v>
      </c>
      <c r="J1149" s="87">
        <v>478</v>
      </c>
      <c r="K1149" s="13"/>
      <c r="L1149" s="13"/>
    </row>
    <row r="1150" spans="1:12" x14ac:dyDescent="0.2">
      <c r="A1150" s="76">
        <v>787</v>
      </c>
      <c r="B1150" s="76">
        <v>1</v>
      </c>
      <c r="C1150" s="76" t="s">
        <v>305</v>
      </c>
      <c r="D1150" s="76">
        <v>1999</v>
      </c>
      <c r="E1150" s="76">
        <v>2000</v>
      </c>
      <c r="F1150" s="81">
        <v>415</v>
      </c>
      <c r="G1150" s="76">
        <v>10</v>
      </c>
      <c r="H1150" s="76">
        <v>1</v>
      </c>
      <c r="I1150" s="79">
        <v>269</v>
      </c>
      <c r="J1150" s="79">
        <v>130</v>
      </c>
      <c r="K1150" s="13"/>
      <c r="L1150" s="13"/>
    </row>
    <row r="1151" spans="1:12" x14ac:dyDescent="0.2">
      <c r="A1151" s="76">
        <v>787</v>
      </c>
      <c r="B1151" s="76">
        <v>1</v>
      </c>
      <c r="C1151" s="76" t="s">
        <v>305</v>
      </c>
      <c r="D1151" s="76">
        <v>2001</v>
      </c>
      <c r="E1151" s="76">
        <v>2002</v>
      </c>
      <c r="F1151" s="81">
        <v>126</v>
      </c>
      <c r="G1151" s="76">
        <v>10</v>
      </c>
      <c r="H1151" s="76">
        <v>1</v>
      </c>
      <c r="I1151" s="79">
        <v>224</v>
      </c>
      <c r="J1151" s="79">
        <v>158</v>
      </c>
      <c r="K1151" s="13"/>
      <c r="L1151" s="13"/>
    </row>
    <row r="1152" spans="1:12" x14ac:dyDescent="0.2">
      <c r="A1152" s="76">
        <v>791</v>
      </c>
      <c r="B1152" s="76">
        <v>1</v>
      </c>
      <c r="C1152" s="76" t="s">
        <v>702</v>
      </c>
      <c r="D1152" s="76">
        <v>1992</v>
      </c>
      <c r="E1152" s="76">
        <v>1993</v>
      </c>
      <c r="F1152" s="81">
        <v>305</v>
      </c>
      <c r="G1152" s="76">
        <v>5</v>
      </c>
      <c r="H1152" s="76">
        <v>1</v>
      </c>
      <c r="I1152" s="79" t="s">
        <v>840</v>
      </c>
      <c r="J1152" s="79" t="s">
        <v>840</v>
      </c>
      <c r="K1152" s="13"/>
      <c r="L1152" s="13"/>
    </row>
    <row r="1153" spans="1:13" x14ac:dyDescent="0.2">
      <c r="A1153" s="76">
        <v>793</v>
      </c>
      <c r="B1153" s="76">
        <v>1</v>
      </c>
      <c r="C1153" s="76" t="s">
        <v>704</v>
      </c>
      <c r="D1153" s="76">
        <v>1993</v>
      </c>
      <c r="E1153" s="76">
        <v>1994</v>
      </c>
      <c r="F1153" s="81">
        <v>381.39</v>
      </c>
      <c r="G1153" s="76">
        <v>4</v>
      </c>
      <c r="H1153" s="76">
        <v>1</v>
      </c>
      <c r="I1153" s="79" t="s">
        <v>840</v>
      </c>
      <c r="J1153" s="79" t="s">
        <v>840</v>
      </c>
      <c r="K1153" s="13"/>
      <c r="L1153" s="13"/>
    </row>
    <row r="1154" spans="1:13" x14ac:dyDescent="0.2">
      <c r="A1154" s="76">
        <v>801</v>
      </c>
      <c r="B1154" s="76">
        <v>1</v>
      </c>
      <c r="C1154" s="76" t="s">
        <v>306</v>
      </c>
      <c r="D1154" s="76">
        <v>1996</v>
      </c>
      <c r="E1154" s="76">
        <v>1997</v>
      </c>
      <c r="F1154" s="81">
        <v>534.84</v>
      </c>
      <c r="G1154" s="76">
        <v>10</v>
      </c>
      <c r="H1154" s="76">
        <v>0</v>
      </c>
      <c r="I1154" s="79">
        <v>172</v>
      </c>
      <c r="J1154" s="79">
        <v>284</v>
      </c>
      <c r="K1154" s="13"/>
      <c r="L1154" s="13"/>
    </row>
    <row r="1155" spans="1:13" x14ac:dyDescent="0.2">
      <c r="A1155" s="76">
        <v>801</v>
      </c>
      <c r="B1155" s="76">
        <v>1</v>
      </c>
      <c r="C1155" s="76" t="s">
        <v>306</v>
      </c>
      <c r="D1155" s="76">
        <v>1998</v>
      </c>
      <c r="E1155" s="76">
        <v>1999</v>
      </c>
      <c r="F1155" s="81">
        <v>1318.3</v>
      </c>
      <c r="G1155" s="76">
        <v>10</v>
      </c>
      <c r="H1155" s="76">
        <v>1</v>
      </c>
      <c r="I1155" s="79">
        <v>258</v>
      </c>
      <c r="J1155" s="79">
        <v>205</v>
      </c>
      <c r="K1155" s="13"/>
      <c r="L1155" s="13"/>
    </row>
    <row r="1156" spans="1:13" x14ac:dyDescent="0.2">
      <c r="A1156">
        <v>801</v>
      </c>
      <c r="B1156">
        <v>1</v>
      </c>
      <c r="C1156" t="s">
        <v>306</v>
      </c>
      <c r="D1156">
        <v>2008</v>
      </c>
      <c r="E1156" s="5">
        <v>2009</v>
      </c>
      <c r="F1156" s="6">
        <v>1318.53</v>
      </c>
      <c r="G1156" s="5">
        <v>10</v>
      </c>
      <c r="H1156" s="33">
        <v>1</v>
      </c>
      <c r="I1156" s="33">
        <v>270</v>
      </c>
      <c r="J1156" s="33">
        <v>94</v>
      </c>
      <c r="K1156" s="13"/>
      <c r="L1156" s="13"/>
    </row>
    <row r="1157" spans="1:13" x14ac:dyDescent="0.2">
      <c r="A1157" s="76">
        <v>803</v>
      </c>
      <c r="B1157" s="76">
        <v>1</v>
      </c>
      <c r="C1157" s="76" t="s">
        <v>851</v>
      </c>
      <c r="D1157" s="76">
        <v>2003</v>
      </c>
      <c r="E1157" s="76">
        <v>2004</v>
      </c>
      <c r="F1157" s="81">
        <v>600</v>
      </c>
      <c r="G1157" s="76">
        <v>10</v>
      </c>
      <c r="H1157" s="76">
        <v>1</v>
      </c>
      <c r="I1157" s="79">
        <v>439</v>
      </c>
      <c r="J1157" s="79">
        <v>156</v>
      </c>
      <c r="K1157" s="13"/>
      <c r="L1157" s="13"/>
    </row>
    <row r="1158" spans="1:13" x14ac:dyDescent="0.2">
      <c r="A1158" s="76">
        <v>806</v>
      </c>
      <c r="B1158" s="76">
        <v>1</v>
      </c>
      <c r="C1158" s="76" t="s">
        <v>765</v>
      </c>
      <c r="D1158" s="76">
        <v>1992</v>
      </c>
      <c r="E1158" s="76">
        <v>1993</v>
      </c>
      <c r="F1158" s="81">
        <v>164.47</v>
      </c>
      <c r="G1158" s="76">
        <v>5</v>
      </c>
      <c r="H1158" s="76">
        <v>0</v>
      </c>
      <c r="I1158" s="79" t="s">
        <v>840</v>
      </c>
      <c r="J1158" s="79" t="s">
        <v>840</v>
      </c>
      <c r="K1158" s="13"/>
      <c r="L1158" s="13"/>
    </row>
    <row r="1159" spans="1:13" x14ac:dyDescent="0.2">
      <c r="A1159" s="76">
        <v>806</v>
      </c>
      <c r="B1159" s="76">
        <v>1</v>
      </c>
      <c r="C1159" s="76" t="s">
        <v>308</v>
      </c>
      <c r="D1159" s="76">
        <v>1998</v>
      </c>
      <c r="E1159" s="76">
        <v>1999</v>
      </c>
      <c r="F1159" s="81">
        <v>350</v>
      </c>
      <c r="G1159" s="76">
        <v>5</v>
      </c>
      <c r="H1159" s="76">
        <v>1</v>
      </c>
      <c r="I1159" s="79">
        <v>655</v>
      </c>
      <c r="J1159" s="79">
        <v>395</v>
      </c>
      <c r="K1159" s="13"/>
      <c r="L1159" s="13"/>
    </row>
    <row r="1160" spans="1:13" x14ac:dyDescent="0.2">
      <c r="A1160" s="76">
        <v>806</v>
      </c>
      <c r="B1160" s="76">
        <v>1</v>
      </c>
      <c r="C1160" s="76" t="s">
        <v>308</v>
      </c>
      <c r="D1160" s="76">
        <v>2001</v>
      </c>
      <c r="E1160" s="76">
        <v>2002</v>
      </c>
      <c r="F1160" s="81">
        <v>350</v>
      </c>
      <c r="G1160" s="76">
        <v>5</v>
      </c>
      <c r="H1160" s="76">
        <v>1</v>
      </c>
      <c r="I1160" s="79">
        <v>338</v>
      </c>
      <c r="J1160" s="79">
        <v>195</v>
      </c>
      <c r="K1160" s="13"/>
      <c r="L1160" s="13"/>
    </row>
    <row r="1161" spans="1:13" x14ac:dyDescent="0.2">
      <c r="A1161" s="76">
        <v>806</v>
      </c>
      <c r="B1161" s="76">
        <v>1</v>
      </c>
      <c r="C1161" s="76" t="s">
        <v>308</v>
      </c>
      <c r="D1161" s="76">
        <v>2002</v>
      </c>
      <c r="E1161" s="76">
        <v>2003</v>
      </c>
      <c r="F1161" s="81">
        <v>250</v>
      </c>
      <c r="G1161" s="76">
        <v>10</v>
      </c>
      <c r="H1161" s="76">
        <v>1</v>
      </c>
      <c r="I1161" s="79">
        <v>531</v>
      </c>
      <c r="J1161" s="79">
        <v>493</v>
      </c>
      <c r="K1161" s="13"/>
      <c r="L1161" s="13"/>
    </row>
    <row r="1162" spans="1:13" x14ac:dyDescent="0.2">
      <c r="A1162" s="76">
        <v>810</v>
      </c>
      <c r="B1162" s="76">
        <v>1</v>
      </c>
      <c r="C1162" s="76" t="s">
        <v>309</v>
      </c>
      <c r="D1162" s="76">
        <v>2001</v>
      </c>
      <c r="E1162" s="76">
        <v>2002</v>
      </c>
      <c r="F1162" s="81">
        <v>126</v>
      </c>
      <c r="G1162" s="76">
        <v>10</v>
      </c>
      <c r="H1162" s="76">
        <v>1</v>
      </c>
      <c r="I1162" s="79">
        <v>432</v>
      </c>
      <c r="J1162" s="79">
        <v>326</v>
      </c>
      <c r="K1162" s="13"/>
      <c r="L1162" s="13"/>
    </row>
    <row r="1163" spans="1:13" x14ac:dyDescent="0.2">
      <c r="A1163" s="76">
        <v>811</v>
      </c>
      <c r="B1163" s="76">
        <v>1</v>
      </c>
      <c r="C1163" s="76" t="s">
        <v>766</v>
      </c>
      <c r="D1163" s="76">
        <v>1999</v>
      </c>
      <c r="E1163" s="76">
        <v>2000</v>
      </c>
      <c r="F1163" s="81">
        <v>415</v>
      </c>
      <c r="G1163" s="76">
        <v>5</v>
      </c>
      <c r="H1163" s="76">
        <v>0</v>
      </c>
      <c r="I1163" s="79">
        <v>681</v>
      </c>
      <c r="J1163" s="79">
        <v>822</v>
      </c>
      <c r="M1163" s="1"/>
    </row>
    <row r="1164" spans="1:13" x14ac:dyDescent="0.2">
      <c r="A1164" s="76">
        <v>811</v>
      </c>
      <c r="B1164" s="76">
        <v>1</v>
      </c>
      <c r="C1164" s="76" t="s">
        <v>766</v>
      </c>
      <c r="D1164" s="76">
        <v>2000</v>
      </c>
      <c r="E1164" s="76">
        <v>2001</v>
      </c>
      <c r="F1164" s="81">
        <v>415</v>
      </c>
      <c r="G1164" s="76">
        <v>5</v>
      </c>
      <c r="H1164" s="76">
        <v>1</v>
      </c>
      <c r="I1164" s="79">
        <v>1727</v>
      </c>
      <c r="J1164" s="79">
        <v>1111</v>
      </c>
    </row>
    <row r="1165" spans="1:13" x14ac:dyDescent="0.2">
      <c r="A1165" s="76">
        <v>811</v>
      </c>
      <c r="B1165" s="76">
        <v>1</v>
      </c>
      <c r="C1165" s="76" t="s">
        <v>310</v>
      </c>
      <c r="D1165" s="76">
        <v>2001</v>
      </c>
      <c r="E1165" s="76">
        <v>2002</v>
      </c>
      <c r="F1165" s="81">
        <v>126</v>
      </c>
      <c r="G1165" s="76">
        <v>10</v>
      </c>
      <c r="H1165" s="76">
        <v>1</v>
      </c>
      <c r="I1165" s="79">
        <v>625</v>
      </c>
      <c r="J1165" s="79">
        <v>364</v>
      </c>
    </row>
    <row r="1166" spans="1:13" x14ac:dyDescent="0.2">
      <c r="A1166" s="76">
        <v>811</v>
      </c>
      <c r="B1166" s="76">
        <v>1</v>
      </c>
      <c r="C1166" s="76" t="s">
        <v>310</v>
      </c>
      <c r="D1166" s="76">
        <v>2005</v>
      </c>
      <c r="E1166" s="76">
        <v>2006</v>
      </c>
      <c r="F1166" s="81">
        <v>989</v>
      </c>
      <c r="G1166" s="76">
        <v>10</v>
      </c>
      <c r="H1166" s="78">
        <v>1</v>
      </c>
      <c r="I1166" s="77">
        <v>1011</v>
      </c>
      <c r="J1166" s="77">
        <v>906</v>
      </c>
    </row>
    <row r="1167" spans="1:13" x14ac:dyDescent="0.2">
      <c r="A1167" s="76">
        <v>813</v>
      </c>
      <c r="B1167" s="76">
        <v>1</v>
      </c>
      <c r="C1167" s="76" t="s">
        <v>311</v>
      </c>
      <c r="D1167" s="76">
        <v>1993</v>
      </c>
      <c r="E1167" s="76">
        <v>1994</v>
      </c>
      <c r="F1167" s="81">
        <v>200</v>
      </c>
      <c r="G1167" s="76">
        <v>3</v>
      </c>
      <c r="H1167" s="76">
        <v>1</v>
      </c>
      <c r="I1167" s="79" t="s">
        <v>840</v>
      </c>
      <c r="J1167" s="79" t="s">
        <v>840</v>
      </c>
    </row>
    <row r="1168" spans="1:13" x14ac:dyDescent="0.2">
      <c r="A1168" s="76">
        <v>813</v>
      </c>
      <c r="B1168" s="76">
        <v>1</v>
      </c>
      <c r="C1168" s="76" t="s">
        <v>311</v>
      </c>
      <c r="D1168" s="76">
        <v>1996</v>
      </c>
      <c r="E1168" s="76">
        <v>1997</v>
      </c>
      <c r="F1168" s="81">
        <v>200</v>
      </c>
      <c r="G1168" s="76">
        <v>5</v>
      </c>
      <c r="H1168" s="76">
        <v>0</v>
      </c>
      <c r="I1168" s="79">
        <v>1823</v>
      </c>
      <c r="J1168" s="79">
        <v>2013</v>
      </c>
    </row>
    <row r="1169" spans="1:10" x14ac:dyDescent="0.2">
      <c r="A1169" s="76">
        <v>813</v>
      </c>
      <c r="B1169" s="76">
        <v>1</v>
      </c>
      <c r="C1169" s="76" t="s">
        <v>311</v>
      </c>
      <c r="D1169" s="76">
        <v>2003</v>
      </c>
      <c r="E1169" s="76">
        <v>2004</v>
      </c>
      <c r="F1169" s="81">
        <v>600</v>
      </c>
      <c r="G1169" s="76">
        <v>4</v>
      </c>
      <c r="H1169" s="76">
        <v>1</v>
      </c>
      <c r="I1169" s="79">
        <v>1301</v>
      </c>
      <c r="J1169" s="79">
        <v>998</v>
      </c>
    </row>
    <row r="1170" spans="1:10" x14ac:dyDescent="0.2">
      <c r="A1170" s="76">
        <v>813</v>
      </c>
      <c r="B1170" s="76">
        <v>1</v>
      </c>
      <c r="C1170" s="76" t="s">
        <v>311</v>
      </c>
      <c r="D1170" s="82">
        <v>2007</v>
      </c>
      <c r="E1170" s="83">
        <v>2008</v>
      </c>
      <c r="F1170" s="78">
        <v>200</v>
      </c>
      <c r="G1170" s="76">
        <v>8</v>
      </c>
      <c r="H1170" s="77">
        <v>1</v>
      </c>
      <c r="I1170" s="77">
        <v>1280</v>
      </c>
      <c r="J1170" s="79">
        <v>1133</v>
      </c>
    </row>
    <row r="1171" spans="1:10" x14ac:dyDescent="0.2">
      <c r="A1171" s="76">
        <v>813</v>
      </c>
      <c r="B1171" s="76">
        <v>1</v>
      </c>
      <c r="C1171" s="76" t="s">
        <v>311</v>
      </c>
      <c r="D1171" s="82">
        <v>2007</v>
      </c>
      <c r="E1171" s="83">
        <v>2008</v>
      </c>
      <c r="F1171" s="78">
        <v>600</v>
      </c>
      <c r="G1171" s="76">
        <v>8</v>
      </c>
      <c r="H1171" s="77">
        <v>1</v>
      </c>
      <c r="I1171" s="77">
        <v>1578</v>
      </c>
      <c r="J1171" s="79">
        <v>884</v>
      </c>
    </row>
    <row r="1172" spans="1:10" x14ac:dyDescent="0.2">
      <c r="A1172" s="76">
        <v>815</v>
      </c>
      <c r="B1172" s="76">
        <v>1</v>
      </c>
      <c r="C1172" s="76" t="s">
        <v>312</v>
      </c>
      <c r="D1172" s="76">
        <v>1992</v>
      </c>
      <c r="E1172" s="76">
        <v>1993</v>
      </c>
      <c r="F1172" s="81">
        <v>915</v>
      </c>
      <c r="G1172" s="76">
        <v>5</v>
      </c>
      <c r="H1172" s="76">
        <v>0</v>
      </c>
      <c r="I1172" s="79" t="s">
        <v>840</v>
      </c>
      <c r="J1172" s="79" t="s">
        <v>840</v>
      </c>
    </row>
    <row r="1173" spans="1:10" x14ac:dyDescent="0.2">
      <c r="A1173" s="76">
        <v>815</v>
      </c>
      <c r="B1173" s="76">
        <v>2</v>
      </c>
      <c r="C1173" s="76" t="s">
        <v>312</v>
      </c>
      <c r="D1173" s="76">
        <v>2004</v>
      </c>
      <c r="E1173" s="76">
        <v>2005</v>
      </c>
      <c r="F1173" s="81">
        <v>1100</v>
      </c>
      <c r="G1173" s="76">
        <v>4</v>
      </c>
      <c r="H1173" s="76">
        <v>1</v>
      </c>
      <c r="I1173" s="79">
        <v>408</v>
      </c>
      <c r="J1173" s="79">
        <v>85</v>
      </c>
    </row>
    <row r="1174" spans="1:10" x14ac:dyDescent="0.2">
      <c r="A1174" s="76">
        <v>815</v>
      </c>
      <c r="B1174" s="76">
        <v>2</v>
      </c>
      <c r="C1174" s="76" t="s">
        <v>312</v>
      </c>
      <c r="D1174" s="76">
        <v>2004</v>
      </c>
      <c r="E1174" s="76">
        <v>2005</v>
      </c>
      <c r="F1174" s="81">
        <v>3000</v>
      </c>
      <c r="G1174" s="76">
        <v>3</v>
      </c>
      <c r="H1174" s="76">
        <v>1</v>
      </c>
      <c r="I1174" s="79">
        <v>407</v>
      </c>
      <c r="J1174" s="79">
        <v>85</v>
      </c>
    </row>
    <row r="1175" spans="1:10" x14ac:dyDescent="0.2">
      <c r="A1175" s="76">
        <v>818</v>
      </c>
      <c r="B1175" s="76">
        <v>1</v>
      </c>
      <c r="C1175" s="76" t="s">
        <v>313</v>
      </c>
      <c r="D1175" s="76">
        <v>1998</v>
      </c>
      <c r="E1175" s="76">
        <v>1999</v>
      </c>
      <c r="F1175" s="81">
        <v>350</v>
      </c>
      <c r="G1175" s="76">
        <v>5</v>
      </c>
      <c r="H1175" s="76">
        <v>0</v>
      </c>
      <c r="I1175" s="79">
        <v>400</v>
      </c>
      <c r="J1175" s="79">
        <v>403</v>
      </c>
    </row>
    <row r="1176" spans="1:10" x14ac:dyDescent="0.2">
      <c r="A1176" s="76">
        <v>818</v>
      </c>
      <c r="B1176" s="76">
        <v>1</v>
      </c>
      <c r="C1176" s="76" t="s">
        <v>313</v>
      </c>
      <c r="D1176" s="76">
        <v>1999</v>
      </c>
      <c r="E1176" s="76">
        <v>2000</v>
      </c>
      <c r="F1176" s="81">
        <v>350</v>
      </c>
      <c r="G1176" s="76">
        <v>5</v>
      </c>
      <c r="H1176" s="76">
        <v>1</v>
      </c>
      <c r="I1176" s="79">
        <v>282</v>
      </c>
      <c r="J1176" s="79">
        <v>205</v>
      </c>
    </row>
    <row r="1177" spans="1:10" x14ac:dyDescent="0.2">
      <c r="A1177" s="76">
        <v>820</v>
      </c>
      <c r="B1177" s="76">
        <v>1</v>
      </c>
      <c r="C1177" s="76" t="s">
        <v>314</v>
      </c>
      <c r="D1177" s="76">
        <v>1993</v>
      </c>
      <c r="E1177" s="76">
        <v>1994</v>
      </c>
      <c r="F1177" s="81">
        <v>374.43</v>
      </c>
      <c r="G1177" s="76">
        <v>5</v>
      </c>
      <c r="H1177" s="76">
        <v>1</v>
      </c>
      <c r="I1177" s="79" t="s">
        <v>840</v>
      </c>
      <c r="J1177" s="79" t="s">
        <v>840</v>
      </c>
    </row>
    <row r="1178" spans="1:10" x14ac:dyDescent="0.2">
      <c r="A1178" s="76">
        <v>820</v>
      </c>
      <c r="B1178" s="76">
        <v>1</v>
      </c>
      <c r="C1178" s="76" t="s">
        <v>314</v>
      </c>
      <c r="D1178" s="76">
        <v>1998</v>
      </c>
      <c r="E1178" s="76">
        <v>1999</v>
      </c>
      <c r="F1178" s="81">
        <v>350</v>
      </c>
      <c r="G1178" s="76">
        <v>10</v>
      </c>
      <c r="H1178" s="76">
        <v>1</v>
      </c>
      <c r="I1178" s="79">
        <v>753</v>
      </c>
      <c r="J1178" s="79">
        <v>535</v>
      </c>
    </row>
    <row r="1179" spans="1:10" x14ac:dyDescent="0.2">
      <c r="A1179" s="76">
        <v>820</v>
      </c>
      <c r="B1179" s="76">
        <v>1</v>
      </c>
      <c r="C1179" s="76" t="s">
        <v>314</v>
      </c>
      <c r="D1179" s="76">
        <v>2003</v>
      </c>
      <c r="E1179" s="76">
        <v>2004</v>
      </c>
      <c r="F1179" s="81">
        <v>600</v>
      </c>
      <c r="G1179" s="76">
        <v>10</v>
      </c>
      <c r="H1179" s="76">
        <v>0</v>
      </c>
      <c r="I1179" s="79">
        <v>270</v>
      </c>
      <c r="J1179" s="79">
        <v>389</v>
      </c>
    </row>
    <row r="1180" spans="1:10" x14ac:dyDescent="0.2">
      <c r="A1180" s="76">
        <v>820</v>
      </c>
      <c r="B1180" s="76">
        <v>1</v>
      </c>
      <c r="C1180" s="76" t="s">
        <v>314</v>
      </c>
      <c r="D1180" s="76">
        <v>2004</v>
      </c>
      <c r="E1180" s="76">
        <v>2005</v>
      </c>
      <c r="F1180" s="81">
        <v>800</v>
      </c>
      <c r="G1180" s="76">
        <v>10</v>
      </c>
      <c r="H1180" s="76">
        <v>1</v>
      </c>
      <c r="I1180" s="79">
        <v>952</v>
      </c>
      <c r="J1180" s="79">
        <v>688</v>
      </c>
    </row>
    <row r="1181" spans="1:10" x14ac:dyDescent="0.2">
      <c r="A1181" s="76">
        <v>829</v>
      </c>
      <c r="B1181" s="76">
        <v>1</v>
      </c>
      <c r="C1181" s="76" t="s">
        <v>316</v>
      </c>
      <c r="D1181" s="76">
        <v>1995</v>
      </c>
      <c r="E1181" s="76">
        <v>1996</v>
      </c>
      <c r="F1181" s="81">
        <v>367.41</v>
      </c>
      <c r="G1181" s="76">
        <v>6</v>
      </c>
      <c r="H1181" s="76">
        <v>1</v>
      </c>
      <c r="I1181" s="79">
        <v>2153</v>
      </c>
      <c r="J1181" s="79">
        <v>649</v>
      </c>
    </row>
    <row r="1182" spans="1:10" x14ac:dyDescent="0.2">
      <c r="A1182" s="76">
        <v>829</v>
      </c>
      <c r="B1182" s="76">
        <v>1</v>
      </c>
      <c r="C1182" s="76" t="s">
        <v>316</v>
      </c>
      <c r="D1182" s="76">
        <v>2000</v>
      </c>
      <c r="E1182" s="76">
        <v>2001</v>
      </c>
      <c r="F1182" s="81">
        <v>465</v>
      </c>
      <c r="G1182" s="76">
        <v>6</v>
      </c>
      <c r="H1182" s="76">
        <v>0</v>
      </c>
      <c r="I1182" s="79">
        <v>2484</v>
      </c>
      <c r="J1182" s="79">
        <v>2856</v>
      </c>
    </row>
    <row r="1183" spans="1:10" x14ac:dyDescent="0.2">
      <c r="A1183" s="76">
        <v>829</v>
      </c>
      <c r="B1183" s="76">
        <v>1</v>
      </c>
      <c r="C1183" s="76" t="s">
        <v>316</v>
      </c>
      <c r="D1183" s="76">
        <v>2002</v>
      </c>
      <c r="E1183" s="76">
        <v>2003</v>
      </c>
      <c r="F1183" s="81">
        <v>535</v>
      </c>
      <c r="G1183" s="76">
        <v>5</v>
      </c>
      <c r="H1183" s="76">
        <v>0</v>
      </c>
      <c r="I1183" s="79">
        <v>2185</v>
      </c>
      <c r="J1183" s="79">
        <v>2801</v>
      </c>
    </row>
    <row r="1184" spans="1:10" x14ac:dyDescent="0.2">
      <c r="A1184" s="76">
        <v>829</v>
      </c>
      <c r="B1184" s="76">
        <v>1</v>
      </c>
      <c r="C1184" s="76" t="s">
        <v>316</v>
      </c>
      <c r="D1184" s="76">
        <v>2003</v>
      </c>
      <c r="E1184" s="76">
        <v>2004</v>
      </c>
      <c r="F1184" s="81">
        <v>255</v>
      </c>
      <c r="G1184" s="76">
        <v>6</v>
      </c>
      <c r="H1184" s="76">
        <v>1</v>
      </c>
      <c r="I1184" s="79">
        <v>2306</v>
      </c>
      <c r="J1184" s="79">
        <v>1487</v>
      </c>
    </row>
    <row r="1185" spans="1:10" x14ac:dyDescent="0.2">
      <c r="A1185" s="76">
        <v>829</v>
      </c>
      <c r="B1185" s="76">
        <v>1</v>
      </c>
      <c r="C1185" s="76" t="s">
        <v>316</v>
      </c>
      <c r="D1185" s="76">
        <v>2003</v>
      </c>
      <c r="E1185" s="76">
        <v>2004</v>
      </c>
      <c r="F1185" s="81">
        <v>355</v>
      </c>
      <c r="G1185" s="76">
        <v>6</v>
      </c>
      <c r="H1185" s="76">
        <v>1</v>
      </c>
      <c r="I1185" s="79">
        <v>2782</v>
      </c>
      <c r="J1185" s="79">
        <v>1056</v>
      </c>
    </row>
    <row r="1186" spans="1:10" x14ac:dyDescent="0.2">
      <c r="A1186">
        <v>829</v>
      </c>
      <c r="B1186">
        <v>1</v>
      </c>
      <c r="C1186" t="s">
        <v>316</v>
      </c>
      <c r="D1186">
        <v>2008</v>
      </c>
      <c r="E1186" s="5">
        <v>2009</v>
      </c>
      <c r="F1186" s="6">
        <v>540</v>
      </c>
      <c r="G1186" s="5">
        <v>5</v>
      </c>
      <c r="H1186" s="33">
        <v>0</v>
      </c>
      <c r="I1186" s="33">
        <v>2489</v>
      </c>
      <c r="J1186" s="33">
        <v>3592</v>
      </c>
    </row>
    <row r="1187" spans="1:10" x14ac:dyDescent="0.2">
      <c r="A1187">
        <v>829</v>
      </c>
      <c r="B1187">
        <v>1</v>
      </c>
      <c r="C1187" t="s">
        <v>316</v>
      </c>
      <c r="D1187">
        <v>2008</v>
      </c>
      <c r="E1187" s="5">
        <v>2009</v>
      </c>
      <c r="F1187" s="6">
        <v>150</v>
      </c>
      <c r="G1187" s="5">
        <v>5</v>
      </c>
      <c r="H1187" s="33">
        <v>0</v>
      </c>
      <c r="I1187" s="33">
        <v>2175</v>
      </c>
      <c r="J1187" s="33">
        <v>3851</v>
      </c>
    </row>
    <row r="1188" spans="1:10" x14ac:dyDescent="0.2">
      <c r="A1188" s="76">
        <v>831</v>
      </c>
      <c r="B1188" s="76">
        <v>1</v>
      </c>
      <c r="C1188" s="76" t="s">
        <v>317</v>
      </c>
      <c r="D1188" s="76">
        <v>1993</v>
      </c>
      <c r="E1188" s="76">
        <v>1994</v>
      </c>
      <c r="F1188" s="81">
        <v>427.46</v>
      </c>
      <c r="G1188" s="76">
        <v>3</v>
      </c>
      <c r="H1188" s="76">
        <v>1</v>
      </c>
      <c r="I1188" s="79" t="s">
        <v>840</v>
      </c>
      <c r="J1188" s="79" t="s">
        <v>840</v>
      </c>
    </row>
    <row r="1189" spans="1:10" x14ac:dyDescent="0.2">
      <c r="A1189" s="76">
        <v>831</v>
      </c>
      <c r="B1189" s="76">
        <v>1</v>
      </c>
      <c r="C1189" s="76" t="s">
        <v>317</v>
      </c>
      <c r="D1189" s="76">
        <v>1995</v>
      </c>
      <c r="E1189" s="76">
        <v>1997</v>
      </c>
      <c r="F1189" s="81">
        <v>438.57</v>
      </c>
      <c r="G1189" s="76">
        <v>5</v>
      </c>
      <c r="H1189" s="76">
        <v>1</v>
      </c>
      <c r="I1189" s="79">
        <v>3166</v>
      </c>
      <c r="J1189" s="79">
        <v>2148</v>
      </c>
    </row>
    <row r="1190" spans="1:10" x14ac:dyDescent="0.2">
      <c r="A1190" s="76">
        <v>831</v>
      </c>
      <c r="B1190" s="76">
        <v>1</v>
      </c>
      <c r="C1190" s="76" t="s">
        <v>317</v>
      </c>
      <c r="D1190" s="76">
        <v>2000</v>
      </c>
      <c r="E1190" s="76">
        <v>2001</v>
      </c>
      <c r="F1190" s="81">
        <v>251.81</v>
      </c>
      <c r="G1190" s="76">
        <v>10</v>
      </c>
      <c r="H1190" s="76">
        <v>0</v>
      </c>
      <c r="I1190" s="79">
        <v>7302</v>
      </c>
      <c r="J1190" s="79">
        <v>12220</v>
      </c>
    </row>
    <row r="1191" spans="1:10" x14ac:dyDescent="0.2">
      <c r="A1191" s="76">
        <v>831</v>
      </c>
      <c r="B1191" s="76">
        <v>1</v>
      </c>
      <c r="C1191" s="76" t="s">
        <v>317</v>
      </c>
      <c r="D1191" s="76">
        <v>2001</v>
      </c>
      <c r="E1191" s="76">
        <v>2002</v>
      </c>
      <c r="F1191" s="81">
        <v>650</v>
      </c>
      <c r="G1191" s="76">
        <v>5</v>
      </c>
      <c r="H1191" s="76">
        <v>1</v>
      </c>
      <c r="I1191" s="79">
        <v>6558</v>
      </c>
      <c r="J1191" s="79">
        <v>5280</v>
      </c>
    </row>
    <row r="1192" spans="1:10" x14ac:dyDescent="0.2">
      <c r="A1192" s="76">
        <v>831</v>
      </c>
      <c r="B1192" s="76">
        <v>1</v>
      </c>
      <c r="C1192" s="76" t="s">
        <v>317</v>
      </c>
      <c r="D1192" s="76">
        <v>2003</v>
      </c>
      <c r="E1192" s="76">
        <v>2004</v>
      </c>
      <c r="F1192" s="81">
        <v>223</v>
      </c>
      <c r="G1192" s="76">
        <v>5</v>
      </c>
      <c r="H1192" s="76">
        <v>0</v>
      </c>
      <c r="I1192" s="79">
        <v>3662</v>
      </c>
      <c r="J1192" s="79">
        <v>5121</v>
      </c>
    </row>
    <row r="1193" spans="1:10" x14ac:dyDescent="0.2">
      <c r="A1193" s="76">
        <v>831</v>
      </c>
      <c r="B1193" s="76">
        <v>1</v>
      </c>
      <c r="C1193" s="76" t="s">
        <v>1018</v>
      </c>
      <c r="D1193" s="76">
        <v>2005</v>
      </c>
      <c r="E1193" s="76">
        <v>2006</v>
      </c>
      <c r="F1193" s="81">
        <v>875</v>
      </c>
      <c r="G1193" s="76">
        <v>5</v>
      </c>
      <c r="H1193" s="78">
        <v>0</v>
      </c>
      <c r="I1193" s="77">
        <v>3576</v>
      </c>
      <c r="J1193" s="77">
        <v>5266</v>
      </c>
    </row>
    <row r="1194" spans="1:10" x14ac:dyDescent="0.2">
      <c r="A1194" s="76">
        <v>831</v>
      </c>
      <c r="B1194" s="76">
        <v>1</v>
      </c>
      <c r="C1194" s="76" t="s">
        <v>317</v>
      </c>
      <c r="D1194" s="76">
        <v>2006</v>
      </c>
      <c r="E1194" s="78">
        <v>2007</v>
      </c>
      <c r="F1194" s="81">
        <v>175</v>
      </c>
      <c r="G1194" s="78">
        <v>5</v>
      </c>
      <c r="H1194" s="76">
        <v>0</v>
      </c>
      <c r="I1194" s="77">
        <v>8798</v>
      </c>
      <c r="J1194" s="77">
        <v>11874</v>
      </c>
    </row>
    <row r="1195" spans="1:10" x14ac:dyDescent="0.2">
      <c r="A1195" s="76">
        <v>831</v>
      </c>
      <c r="B1195" s="76">
        <v>1</v>
      </c>
      <c r="C1195" s="76" t="s">
        <v>317</v>
      </c>
      <c r="D1195" s="76">
        <v>2006</v>
      </c>
      <c r="E1195" s="78">
        <v>2007</v>
      </c>
      <c r="F1195" s="81">
        <v>725</v>
      </c>
      <c r="G1195" s="78">
        <v>5</v>
      </c>
      <c r="H1195" s="76">
        <v>1</v>
      </c>
      <c r="I1195" s="77">
        <v>11270</v>
      </c>
      <c r="J1195" s="77">
        <v>9558</v>
      </c>
    </row>
    <row r="1196" spans="1:10" x14ac:dyDescent="0.2">
      <c r="A1196" s="76">
        <v>832</v>
      </c>
      <c r="B1196" s="76">
        <v>1</v>
      </c>
      <c r="C1196" s="76" t="s">
        <v>318</v>
      </c>
      <c r="D1196" s="76">
        <v>1991</v>
      </c>
      <c r="E1196" s="76">
        <v>1992</v>
      </c>
      <c r="F1196" s="81">
        <v>164.9</v>
      </c>
      <c r="G1196" s="76">
        <v>5</v>
      </c>
      <c r="H1196" s="76">
        <v>1</v>
      </c>
      <c r="I1196" s="79" t="s">
        <v>840</v>
      </c>
      <c r="J1196" s="79" t="s">
        <v>840</v>
      </c>
    </row>
    <row r="1197" spans="1:10" x14ac:dyDescent="0.2">
      <c r="A1197" s="76">
        <v>832</v>
      </c>
      <c r="B1197" s="76">
        <v>1</v>
      </c>
      <c r="C1197" s="76" t="s">
        <v>318</v>
      </c>
      <c r="D1197" s="76">
        <v>1994</v>
      </c>
      <c r="E1197" s="76">
        <v>1995</v>
      </c>
      <c r="F1197" s="81">
        <v>75</v>
      </c>
      <c r="G1197" s="76">
        <v>10</v>
      </c>
      <c r="H1197" s="76">
        <v>1</v>
      </c>
      <c r="I1197" s="79">
        <v>1556</v>
      </c>
      <c r="J1197" s="79">
        <v>1523</v>
      </c>
    </row>
    <row r="1198" spans="1:10" x14ac:dyDescent="0.2">
      <c r="A1198" s="76">
        <v>832</v>
      </c>
      <c r="B1198" s="76">
        <v>1</v>
      </c>
      <c r="C1198" s="76" t="s">
        <v>318</v>
      </c>
      <c r="D1198" s="76">
        <v>1994</v>
      </c>
      <c r="E1198" s="76">
        <v>1995</v>
      </c>
      <c r="F1198" s="81">
        <v>105</v>
      </c>
      <c r="G1198" s="76">
        <v>10</v>
      </c>
      <c r="H1198" s="76">
        <v>1</v>
      </c>
      <c r="I1198" s="79">
        <v>1717</v>
      </c>
      <c r="J1198" s="79">
        <v>1312</v>
      </c>
    </row>
    <row r="1199" spans="1:10" x14ac:dyDescent="0.2">
      <c r="A1199" s="76">
        <v>832</v>
      </c>
      <c r="B1199" s="76">
        <v>1</v>
      </c>
      <c r="C1199" s="76" t="s">
        <v>318</v>
      </c>
      <c r="D1199" s="76">
        <v>1996</v>
      </c>
      <c r="E1199" s="76">
        <v>1997</v>
      </c>
      <c r="F1199" s="81">
        <v>164.9</v>
      </c>
      <c r="G1199" s="76">
        <v>5</v>
      </c>
      <c r="H1199" s="76">
        <v>1</v>
      </c>
      <c r="I1199" s="79">
        <v>3433</v>
      </c>
      <c r="J1199" s="79">
        <v>2218</v>
      </c>
    </row>
    <row r="1200" spans="1:10" x14ac:dyDescent="0.2">
      <c r="A1200" s="76">
        <v>832</v>
      </c>
      <c r="B1200" s="76">
        <v>1</v>
      </c>
      <c r="C1200" s="76" t="s">
        <v>318</v>
      </c>
      <c r="D1200" s="76">
        <v>2001</v>
      </c>
      <c r="E1200" s="76">
        <v>2002</v>
      </c>
      <c r="F1200" s="81">
        <v>397</v>
      </c>
      <c r="G1200" s="76">
        <v>10</v>
      </c>
      <c r="H1200" s="76">
        <v>1</v>
      </c>
      <c r="I1200" s="79">
        <v>2334</v>
      </c>
      <c r="J1200" s="79">
        <v>1378</v>
      </c>
    </row>
    <row r="1201" spans="1:10" x14ac:dyDescent="0.2">
      <c r="A1201" s="76">
        <v>832</v>
      </c>
      <c r="B1201" s="76">
        <v>1</v>
      </c>
      <c r="C1201" s="76" t="s">
        <v>318</v>
      </c>
      <c r="D1201" s="76">
        <v>2004</v>
      </c>
      <c r="E1201" s="76">
        <v>2005</v>
      </c>
      <c r="F1201" s="81">
        <v>1100.2</v>
      </c>
      <c r="G1201" s="76">
        <v>10</v>
      </c>
      <c r="H1201" s="76">
        <v>1</v>
      </c>
      <c r="I1201" s="79">
        <v>4391</v>
      </c>
      <c r="J1201" s="79">
        <v>3873</v>
      </c>
    </row>
    <row r="1202" spans="1:10" x14ac:dyDescent="0.2">
      <c r="A1202" s="76">
        <v>833</v>
      </c>
      <c r="B1202" s="76">
        <v>1</v>
      </c>
      <c r="C1202" s="76" t="s">
        <v>319</v>
      </c>
      <c r="D1202" s="76">
        <v>1993</v>
      </c>
      <c r="E1202" s="76">
        <v>1994</v>
      </c>
      <c r="F1202" s="81">
        <v>231.13</v>
      </c>
      <c r="G1202" s="76">
        <v>5</v>
      </c>
      <c r="H1202" s="76">
        <v>0</v>
      </c>
      <c r="I1202" s="79" t="s">
        <v>840</v>
      </c>
      <c r="J1202" s="79" t="s">
        <v>840</v>
      </c>
    </row>
    <row r="1203" spans="1:10" x14ac:dyDescent="0.2">
      <c r="A1203" s="76">
        <v>833</v>
      </c>
      <c r="B1203" s="76">
        <v>1</v>
      </c>
      <c r="C1203" s="76" t="s">
        <v>319</v>
      </c>
      <c r="D1203" s="76">
        <v>1994</v>
      </c>
      <c r="E1203" s="76">
        <v>1995</v>
      </c>
      <c r="F1203" s="81">
        <v>205.8</v>
      </c>
      <c r="G1203" s="76">
        <v>10</v>
      </c>
      <c r="H1203" s="76">
        <v>0</v>
      </c>
      <c r="I1203" s="79">
        <v>11312</v>
      </c>
      <c r="J1203" s="79">
        <v>12197</v>
      </c>
    </row>
    <row r="1204" spans="1:10" x14ac:dyDescent="0.2">
      <c r="A1204" s="76">
        <v>833</v>
      </c>
      <c r="B1204" s="76">
        <v>1</v>
      </c>
      <c r="C1204" s="76" t="s">
        <v>767</v>
      </c>
      <c r="D1204" s="76">
        <v>1996</v>
      </c>
      <c r="E1204" s="76">
        <v>1997</v>
      </c>
      <c r="F1204" s="81">
        <v>295</v>
      </c>
      <c r="G1204" s="76">
        <v>10</v>
      </c>
      <c r="H1204" s="76">
        <v>0</v>
      </c>
      <c r="I1204" s="79">
        <v>6688</v>
      </c>
      <c r="J1204" s="79">
        <v>9616</v>
      </c>
    </row>
    <row r="1205" spans="1:10" x14ac:dyDescent="0.2">
      <c r="A1205" s="76">
        <v>833</v>
      </c>
      <c r="B1205" s="76">
        <v>1</v>
      </c>
      <c r="C1205" s="76" t="s">
        <v>319</v>
      </c>
      <c r="D1205" s="76">
        <v>1998</v>
      </c>
      <c r="E1205" s="76">
        <v>1999</v>
      </c>
      <c r="F1205" s="81">
        <v>100</v>
      </c>
      <c r="G1205" s="76">
        <v>5</v>
      </c>
      <c r="H1205" s="76">
        <v>1</v>
      </c>
      <c r="I1205" s="79">
        <v>17347</v>
      </c>
      <c r="J1205" s="79">
        <v>14059</v>
      </c>
    </row>
    <row r="1206" spans="1:10" x14ac:dyDescent="0.2">
      <c r="A1206" s="76">
        <v>833</v>
      </c>
      <c r="B1206" s="76">
        <v>1</v>
      </c>
      <c r="C1206" s="76" t="s">
        <v>319</v>
      </c>
      <c r="D1206" s="76">
        <v>1998</v>
      </c>
      <c r="E1206" s="76">
        <v>1999</v>
      </c>
      <c r="F1206" s="81">
        <v>300</v>
      </c>
      <c r="G1206" s="76">
        <v>5</v>
      </c>
      <c r="H1206" s="76">
        <v>1</v>
      </c>
      <c r="I1206" s="79">
        <v>19344</v>
      </c>
      <c r="J1206" s="79">
        <v>13123</v>
      </c>
    </row>
    <row r="1207" spans="1:10" x14ac:dyDescent="0.2">
      <c r="A1207" s="76">
        <v>833</v>
      </c>
      <c r="B1207" s="76">
        <v>1</v>
      </c>
      <c r="C1207" s="76" t="s">
        <v>769</v>
      </c>
      <c r="D1207" s="76">
        <v>2001</v>
      </c>
      <c r="E1207" s="76">
        <v>2002</v>
      </c>
      <c r="F1207" s="81">
        <v>126</v>
      </c>
      <c r="G1207" s="76">
        <v>8</v>
      </c>
      <c r="H1207" s="76">
        <v>0</v>
      </c>
      <c r="I1207" s="79">
        <v>7535</v>
      </c>
      <c r="J1207" s="79">
        <v>7935</v>
      </c>
    </row>
    <row r="1208" spans="1:10" x14ac:dyDescent="0.2">
      <c r="A1208" s="76">
        <v>833</v>
      </c>
      <c r="B1208" s="76">
        <v>1</v>
      </c>
      <c r="C1208" s="76" t="s">
        <v>768</v>
      </c>
      <c r="D1208" s="76">
        <v>2001</v>
      </c>
      <c r="E1208" s="76">
        <v>2002</v>
      </c>
      <c r="F1208" s="81">
        <v>378</v>
      </c>
      <c r="G1208" s="76">
        <v>8</v>
      </c>
      <c r="H1208" s="76">
        <v>1</v>
      </c>
      <c r="I1208" s="79">
        <v>8088</v>
      </c>
      <c r="J1208" s="79">
        <v>7410</v>
      </c>
    </row>
    <row r="1209" spans="1:10" x14ac:dyDescent="0.2">
      <c r="A1209" s="76">
        <v>833</v>
      </c>
      <c r="B1209" s="76">
        <v>1</v>
      </c>
      <c r="C1209" s="76" t="s">
        <v>852</v>
      </c>
      <c r="D1209" s="76">
        <v>2003</v>
      </c>
      <c r="E1209" s="76">
        <v>2005</v>
      </c>
      <c r="F1209" s="81">
        <v>57</v>
      </c>
      <c r="G1209" s="76">
        <v>10</v>
      </c>
      <c r="H1209" s="76">
        <v>1</v>
      </c>
      <c r="I1209" s="79">
        <v>7043</v>
      </c>
      <c r="J1209" s="79">
        <v>5479</v>
      </c>
    </row>
    <row r="1210" spans="1:10" x14ac:dyDescent="0.2">
      <c r="A1210" s="76">
        <v>833</v>
      </c>
      <c r="B1210" s="76">
        <v>1</v>
      </c>
      <c r="C1210" s="76" t="s">
        <v>852</v>
      </c>
      <c r="D1210" s="76">
        <v>2003</v>
      </c>
      <c r="E1210" s="76">
        <v>2004</v>
      </c>
      <c r="F1210" s="81">
        <v>164.38</v>
      </c>
      <c r="G1210" s="76">
        <v>10</v>
      </c>
      <c r="H1210" s="76">
        <v>1</v>
      </c>
      <c r="I1210" s="79">
        <v>7382</v>
      </c>
      <c r="J1210" s="79">
        <v>5193</v>
      </c>
    </row>
    <row r="1211" spans="1:10" x14ac:dyDescent="0.2">
      <c r="A1211" s="76">
        <v>833</v>
      </c>
      <c r="B1211" s="76">
        <v>1</v>
      </c>
      <c r="C1211" s="76" t="s">
        <v>319</v>
      </c>
      <c r="D1211" s="82">
        <v>2007</v>
      </c>
      <c r="E1211" s="83">
        <v>2008</v>
      </c>
      <c r="F1211" s="78">
        <v>327.87</v>
      </c>
      <c r="G1211" s="76">
        <v>10</v>
      </c>
      <c r="H1211" s="77">
        <v>1</v>
      </c>
      <c r="I1211" s="77">
        <v>5255</v>
      </c>
      <c r="J1211" s="79">
        <v>4424</v>
      </c>
    </row>
    <row r="1212" spans="1:10" x14ac:dyDescent="0.2">
      <c r="A1212" s="76">
        <v>834</v>
      </c>
      <c r="B1212" s="76">
        <v>1</v>
      </c>
      <c r="C1212" s="76" t="s">
        <v>320</v>
      </c>
      <c r="D1212" s="76">
        <v>2001</v>
      </c>
      <c r="E1212" s="76">
        <v>2002</v>
      </c>
      <c r="F1212" s="81">
        <v>613.80999999999995</v>
      </c>
      <c r="G1212" s="76">
        <v>10</v>
      </c>
      <c r="H1212" s="76">
        <v>0</v>
      </c>
      <c r="I1212" s="79">
        <v>4305</v>
      </c>
      <c r="J1212" s="79">
        <v>5754</v>
      </c>
    </row>
    <row r="1213" spans="1:10" x14ac:dyDescent="0.2">
      <c r="A1213" s="76">
        <v>834</v>
      </c>
      <c r="B1213" s="76">
        <v>1</v>
      </c>
      <c r="C1213" s="76" t="s">
        <v>320</v>
      </c>
      <c r="D1213" s="76">
        <v>2002</v>
      </c>
      <c r="E1213" s="76">
        <v>2003</v>
      </c>
      <c r="F1213" s="81">
        <v>600</v>
      </c>
      <c r="G1213" s="76">
        <v>5</v>
      </c>
      <c r="H1213" s="76">
        <v>1</v>
      </c>
      <c r="I1213" s="79">
        <v>14582</v>
      </c>
      <c r="J1213" s="79">
        <v>12891</v>
      </c>
    </row>
    <row r="1214" spans="1:10" x14ac:dyDescent="0.2">
      <c r="A1214" s="76">
        <v>834</v>
      </c>
      <c r="B1214" s="76">
        <v>1</v>
      </c>
      <c r="C1214" s="76" t="s">
        <v>320</v>
      </c>
      <c r="D1214" s="76">
        <v>2006</v>
      </c>
      <c r="E1214" s="78">
        <v>2007</v>
      </c>
      <c r="F1214" s="81">
        <v>615.41</v>
      </c>
      <c r="G1214" s="78">
        <v>5</v>
      </c>
      <c r="H1214" s="76">
        <v>0</v>
      </c>
      <c r="I1214" s="77">
        <v>10705</v>
      </c>
      <c r="J1214" s="77">
        <v>16941</v>
      </c>
    </row>
    <row r="1215" spans="1:10" x14ac:dyDescent="0.2">
      <c r="A1215" s="76">
        <v>834</v>
      </c>
      <c r="B1215" s="76">
        <v>1</v>
      </c>
      <c r="C1215" s="76" t="s">
        <v>320</v>
      </c>
      <c r="D1215" s="82">
        <v>2007</v>
      </c>
      <c r="E1215" s="83">
        <v>2008</v>
      </c>
      <c r="F1215" s="78">
        <v>94</v>
      </c>
      <c r="G1215" s="76">
        <v>6</v>
      </c>
      <c r="H1215" s="77">
        <v>0</v>
      </c>
      <c r="I1215" s="77">
        <v>6834</v>
      </c>
      <c r="J1215" s="79">
        <v>9416</v>
      </c>
    </row>
    <row r="1216" spans="1:10" x14ac:dyDescent="0.2">
      <c r="A1216" s="76">
        <v>834</v>
      </c>
      <c r="B1216" s="76">
        <v>1</v>
      </c>
      <c r="C1216" s="76" t="s">
        <v>320</v>
      </c>
      <c r="D1216" s="82">
        <v>2007</v>
      </c>
      <c r="E1216" s="83">
        <v>2008</v>
      </c>
      <c r="F1216" s="78">
        <v>290</v>
      </c>
      <c r="G1216" s="76">
        <v>6</v>
      </c>
      <c r="H1216" s="77">
        <v>0</v>
      </c>
      <c r="I1216" s="77">
        <v>7246</v>
      </c>
      <c r="J1216" s="79">
        <v>9037</v>
      </c>
    </row>
    <row r="1217" spans="1:10" x14ac:dyDescent="0.2">
      <c r="A1217" s="76">
        <v>834</v>
      </c>
      <c r="B1217" s="76">
        <v>1</v>
      </c>
      <c r="C1217" s="76" t="s">
        <v>320</v>
      </c>
      <c r="D1217" s="82">
        <v>2007</v>
      </c>
      <c r="E1217" s="83">
        <v>2008</v>
      </c>
      <c r="F1217" s="78">
        <v>927</v>
      </c>
      <c r="G1217" s="76">
        <v>6</v>
      </c>
      <c r="H1217" s="77">
        <v>1</v>
      </c>
      <c r="I1217" s="77">
        <v>8704</v>
      </c>
      <c r="J1217" s="79">
        <v>7653</v>
      </c>
    </row>
    <row r="1218" spans="1:10" x14ac:dyDescent="0.2">
      <c r="A1218" s="76">
        <v>836</v>
      </c>
      <c r="B1218" s="76">
        <v>1</v>
      </c>
      <c r="C1218" s="76" t="s">
        <v>321</v>
      </c>
      <c r="D1218" s="76">
        <v>1992</v>
      </c>
      <c r="E1218" s="76">
        <v>1993</v>
      </c>
      <c r="F1218" s="81">
        <v>1000</v>
      </c>
      <c r="G1218" s="76">
        <v>5</v>
      </c>
      <c r="H1218" s="76">
        <v>1</v>
      </c>
      <c r="I1218" s="79" t="s">
        <v>840</v>
      </c>
      <c r="J1218" s="79" t="s">
        <v>840</v>
      </c>
    </row>
    <row r="1219" spans="1:10" x14ac:dyDescent="0.2">
      <c r="A1219" s="76">
        <v>836</v>
      </c>
      <c r="B1219" s="76">
        <v>1</v>
      </c>
      <c r="C1219" s="76" t="s">
        <v>321</v>
      </c>
      <c r="D1219" s="76">
        <v>1997</v>
      </c>
      <c r="E1219" s="76">
        <v>1998</v>
      </c>
      <c r="F1219" s="81">
        <v>1000</v>
      </c>
      <c r="G1219" s="76">
        <v>10</v>
      </c>
      <c r="H1219" s="76">
        <v>1</v>
      </c>
      <c r="I1219" s="79">
        <v>253</v>
      </c>
      <c r="J1219" s="79">
        <v>65</v>
      </c>
    </row>
    <row r="1220" spans="1:10" x14ac:dyDescent="0.2">
      <c r="A1220" s="76">
        <v>836</v>
      </c>
      <c r="B1220" s="76">
        <v>1</v>
      </c>
      <c r="C1220" s="76" t="s">
        <v>321</v>
      </c>
      <c r="D1220" s="76">
        <v>2001</v>
      </c>
      <c r="E1220" s="76">
        <v>2002</v>
      </c>
      <c r="F1220" s="81">
        <v>218.74</v>
      </c>
      <c r="G1220" s="76">
        <v>10</v>
      </c>
      <c r="H1220" s="76">
        <v>1</v>
      </c>
      <c r="I1220" s="79">
        <v>260</v>
      </c>
      <c r="J1220" s="79">
        <v>101</v>
      </c>
    </row>
    <row r="1221" spans="1:10" x14ac:dyDescent="0.2">
      <c r="A1221" s="76">
        <v>836</v>
      </c>
      <c r="B1221" s="76">
        <v>1</v>
      </c>
      <c r="C1221" s="76" t="s">
        <v>1019</v>
      </c>
      <c r="D1221" s="76">
        <v>2005</v>
      </c>
      <c r="E1221" s="76">
        <v>2006</v>
      </c>
      <c r="F1221" s="81">
        <v>1296.68</v>
      </c>
      <c r="G1221" s="76">
        <v>10</v>
      </c>
      <c r="H1221" s="78">
        <v>1</v>
      </c>
      <c r="I1221" s="77">
        <v>176</v>
      </c>
      <c r="J1221" s="77">
        <v>77</v>
      </c>
    </row>
    <row r="1222" spans="1:10" x14ac:dyDescent="0.2">
      <c r="A1222" s="76">
        <v>837</v>
      </c>
      <c r="B1222" s="76">
        <v>1</v>
      </c>
      <c r="C1222" s="76" t="s">
        <v>322</v>
      </c>
      <c r="D1222" s="76">
        <v>1991</v>
      </c>
      <c r="E1222" s="76">
        <v>1992</v>
      </c>
      <c r="F1222" s="81">
        <v>217.13</v>
      </c>
      <c r="G1222" s="76">
        <v>5</v>
      </c>
      <c r="H1222" s="76">
        <v>1</v>
      </c>
      <c r="I1222" s="79" t="s">
        <v>840</v>
      </c>
      <c r="J1222" s="79" t="s">
        <v>840</v>
      </c>
    </row>
    <row r="1223" spans="1:10" x14ac:dyDescent="0.2">
      <c r="A1223" s="76">
        <v>837</v>
      </c>
      <c r="B1223" s="76">
        <v>1</v>
      </c>
      <c r="C1223" s="76" t="s">
        <v>322</v>
      </c>
      <c r="D1223" s="76">
        <v>1996</v>
      </c>
      <c r="E1223" s="76">
        <v>1997</v>
      </c>
      <c r="F1223" s="81">
        <v>217.13</v>
      </c>
      <c r="G1223" s="76">
        <v>10</v>
      </c>
      <c r="H1223" s="76">
        <v>1</v>
      </c>
      <c r="I1223" s="79">
        <v>897</v>
      </c>
      <c r="J1223" s="79">
        <v>576</v>
      </c>
    </row>
    <row r="1224" spans="1:10" x14ac:dyDescent="0.2">
      <c r="A1224" s="76">
        <v>837</v>
      </c>
      <c r="B1224" s="76">
        <v>1</v>
      </c>
      <c r="C1224" s="76" t="s">
        <v>322</v>
      </c>
      <c r="D1224" s="76">
        <v>1998</v>
      </c>
      <c r="E1224" s="76">
        <v>1999</v>
      </c>
      <c r="F1224" s="81">
        <v>182.79</v>
      </c>
      <c r="G1224" s="76">
        <v>10</v>
      </c>
      <c r="H1224" s="76">
        <v>0</v>
      </c>
      <c r="I1224" s="79">
        <v>685</v>
      </c>
      <c r="J1224" s="79">
        <v>726</v>
      </c>
    </row>
    <row r="1225" spans="1:10" x14ac:dyDescent="0.2">
      <c r="A1225" s="76">
        <v>837</v>
      </c>
      <c r="B1225" s="76">
        <v>1</v>
      </c>
      <c r="C1225" s="76" t="s">
        <v>322</v>
      </c>
      <c r="D1225" s="76">
        <v>2005</v>
      </c>
      <c r="E1225" s="76">
        <v>2006</v>
      </c>
      <c r="F1225" s="81">
        <v>700</v>
      </c>
      <c r="G1225" s="76">
        <v>10</v>
      </c>
      <c r="H1225" s="78">
        <v>1</v>
      </c>
      <c r="I1225" s="77">
        <v>482</v>
      </c>
      <c r="J1225" s="77">
        <v>334</v>
      </c>
    </row>
    <row r="1226" spans="1:10" x14ac:dyDescent="0.2">
      <c r="A1226" s="76">
        <v>840</v>
      </c>
      <c r="B1226" s="76">
        <v>1</v>
      </c>
      <c r="C1226" s="76" t="s">
        <v>323</v>
      </c>
      <c r="D1226" s="76">
        <v>1994</v>
      </c>
      <c r="E1226" s="76">
        <v>1995</v>
      </c>
      <c r="F1226" s="81">
        <v>167</v>
      </c>
      <c r="G1226" s="76">
        <v>10</v>
      </c>
      <c r="H1226" s="76">
        <v>0</v>
      </c>
      <c r="I1226" s="79">
        <v>1249</v>
      </c>
      <c r="J1226" s="79">
        <v>1296</v>
      </c>
    </row>
    <row r="1227" spans="1:10" x14ac:dyDescent="0.2">
      <c r="A1227" s="76">
        <v>840</v>
      </c>
      <c r="B1227" s="76">
        <v>1</v>
      </c>
      <c r="C1227" s="76" t="s">
        <v>323</v>
      </c>
      <c r="D1227" s="76">
        <v>1996</v>
      </c>
      <c r="E1227" s="76">
        <v>1997</v>
      </c>
      <c r="F1227" s="81">
        <v>314.11</v>
      </c>
      <c r="G1227" s="76">
        <v>10</v>
      </c>
      <c r="H1227" s="76">
        <v>1</v>
      </c>
      <c r="I1227" s="79">
        <v>1649</v>
      </c>
      <c r="J1227" s="79">
        <v>1421</v>
      </c>
    </row>
    <row r="1228" spans="1:10" x14ac:dyDescent="0.2">
      <c r="A1228" s="76">
        <v>840</v>
      </c>
      <c r="B1228" s="76">
        <v>1</v>
      </c>
      <c r="C1228" s="76" t="s">
        <v>323</v>
      </c>
      <c r="D1228" s="76">
        <v>2001</v>
      </c>
      <c r="E1228" s="76">
        <v>2002</v>
      </c>
      <c r="F1228" s="81">
        <v>568.69000000000005</v>
      </c>
      <c r="G1228" s="76">
        <v>10</v>
      </c>
      <c r="H1228" s="76">
        <v>1</v>
      </c>
      <c r="I1228" s="79">
        <v>1438</v>
      </c>
      <c r="J1228" s="79">
        <v>850</v>
      </c>
    </row>
    <row r="1229" spans="1:10" x14ac:dyDescent="0.2">
      <c r="A1229" s="76">
        <v>846</v>
      </c>
      <c r="B1229" s="76">
        <v>1</v>
      </c>
      <c r="C1229" s="76" t="s">
        <v>324</v>
      </c>
      <c r="D1229" s="76">
        <v>2006</v>
      </c>
      <c r="E1229" s="78">
        <v>2007</v>
      </c>
      <c r="F1229" s="81">
        <v>525</v>
      </c>
      <c r="G1229" s="78">
        <v>5</v>
      </c>
      <c r="H1229" s="76">
        <v>0</v>
      </c>
      <c r="I1229" s="77">
        <v>869</v>
      </c>
      <c r="J1229" s="77">
        <v>1102</v>
      </c>
    </row>
    <row r="1230" spans="1:10" x14ac:dyDescent="0.2">
      <c r="A1230" s="76">
        <v>846</v>
      </c>
      <c r="B1230" s="76">
        <v>1</v>
      </c>
      <c r="C1230" s="76" t="s">
        <v>324</v>
      </c>
      <c r="D1230" s="82">
        <v>2007</v>
      </c>
      <c r="E1230" s="83">
        <v>2008</v>
      </c>
      <c r="F1230" s="78">
        <v>700</v>
      </c>
      <c r="G1230" s="76">
        <v>7</v>
      </c>
      <c r="H1230" s="77">
        <v>1</v>
      </c>
      <c r="I1230" s="77">
        <v>1458</v>
      </c>
      <c r="J1230" s="79">
        <v>330</v>
      </c>
    </row>
    <row r="1231" spans="1:10" x14ac:dyDescent="0.2">
      <c r="A1231" s="76">
        <v>850</v>
      </c>
      <c r="B1231" s="76">
        <v>1</v>
      </c>
      <c r="C1231" s="76" t="s">
        <v>325</v>
      </c>
      <c r="D1231" s="76">
        <v>1995</v>
      </c>
      <c r="E1231" s="76">
        <v>1996</v>
      </c>
      <c r="F1231" s="81">
        <v>532.49</v>
      </c>
      <c r="G1231" s="76">
        <v>5</v>
      </c>
      <c r="H1231" s="76">
        <v>0</v>
      </c>
      <c r="I1231" s="79">
        <v>198</v>
      </c>
      <c r="J1231" s="79">
        <v>268</v>
      </c>
    </row>
    <row r="1232" spans="1:10" x14ac:dyDescent="0.2">
      <c r="A1232" s="76">
        <v>850</v>
      </c>
      <c r="B1232" s="76">
        <v>1</v>
      </c>
      <c r="C1232" s="76" t="s">
        <v>325</v>
      </c>
      <c r="D1232" s="76">
        <v>1996</v>
      </c>
      <c r="E1232" s="76">
        <v>1997</v>
      </c>
      <c r="F1232" s="81">
        <v>628.62</v>
      </c>
      <c r="G1232" s="76">
        <v>5</v>
      </c>
      <c r="H1232" s="76">
        <v>1</v>
      </c>
      <c r="I1232" s="79">
        <v>380</v>
      </c>
      <c r="J1232" s="79">
        <v>114</v>
      </c>
    </row>
    <row r="1233" spans="1:10" x14ac:dyDescent="0.2">
      <c r="A1233" s="76">
        <v>850</v>
      </c>
      <c r="B1233" s="76">
        <v>1</v>
      </c>
      <c r="C1233" s="76" t="s">
        <v>325</v>
      </c>
      <c r="D1233" s="76">
        <v>2001</v>
      </c>
      <c r="E1233" s="76">
        <v>2002</v>
      </c>
      <c r="F1233" s="81">
        <v>500</v>
      </c>
      <c r="G1233" s="76">
        <v>5</v>
      </c>
      <c r="H1233" s="76">
        <v>1</v>
      </c>
      <c r="I1233" s="79">
        <v>121</v>
      </c>
      <c r="J1233" s="79">
        <v>77</v>
      </c>
    </row>
    <row r="1234" spans="1:10" x14ac:dyDescent="0.2">
      <c r="A1234" s="76">
        <v>850</v>
      </c>
      <c r="B1234" s="76">
        <v>1</v>
      </c>
      <c r="C1234" s="76" t="s">
        <v>325</v>
      </c>
      <c r="D1234" s="76">
        <v>2004</v>
      </c>
      <c r="E1234" s="76">
        <v>2005</v>
      </c>
      <c r="F1234" s="81">
        <v>1500</v>
      </c>
      <c r="G1234" s="76">
        <v>10</v>
      </c>
      <c r="H1234" s="76">
        <v>1</v>
      </c>
      <c r="I1234" s="79">
        <v>205</v>
      </c>
      <c r="J1234" s="79">
        <v>199</v>
      </c>
    </row>
    <row r="1235" spans="1:10" x14ac:dyDescent="0.2">
      <c r="A1235" s="76">
        <v>850</v>
      </c>
      <c r="B1235" s="76">
        <v>1</v>
      </c>
      <c r="C1235" s="76" t="s">
        <v>325</v>
      </c>
      <c r="D1235" s="76">
        <v>2006</v>
      </c>
      <c r="E1235" s="78">
        <v>2007</v>
      </c>
      <c r="F1235" s="81">
        <v>609.88</v>
      </c>
      <c r="G1235" s="78">
        <v>10</v>
      </c>
      <c r="H1235" s="76">
        <v>1</v>
      </c>
      <c r="I1235" s="87">
        <v>288</v>
      </c>
      <c r="J1235" s="87">
        <v>197</v>
      </c>
    </row>
    <row r="1236" spans="1:10" x14ac:dyDescent="0.2">
      <c r="A1236" s="76">
        <v>852</v>
      </c>
      <c r="B1236" s="76">
        <v>1</v>
      </c>
      <c r="C1236" s="76" t="s">
        <v>326</v>
      </c>
      <c r="D1236" s="76">
        <v>1991</v>
      </c>
      <c r="E1236" s="76">
        <v>1994</v>
      </c>
      <c r="F1236" s="81">
        <v>800</v>
      </c>
      <c r="G1236" s="76">
        <v>5</v>
      </c>
      <c r="H1236" s="76">
        <v>1</v>
      </c>
      <c r="I1236" s="79" t="s">
        <v>840</v>
      </c>
      <c r="J1236" s="79" t="s">
        <v>840</v>
      </c>
    </row>
    <row r="1237" spans="1:10" x14ac:dyDescent="0.2">
      <c r="A1237" s="76">
        <v>852</v>
      </c>
      <c r="B1237" s="76">
        <v>1</v>
      </c>
      <c r="C1237" s="76" t="s">
        <v>326</v>
      </c>
      <c r="D1237" s="76">
        <v>1998</v>
      </c>
      <c r="E1237" s="76">
        <v>1999</v>
      </c>
      <c r="F1237" s="81">
        <v>800</v>
      </c>
      <c r="G1237" s="76">
        <v>10</v>
      </c>
      <c r="H1237" s="76">
        <v>1</v>
      </c>
      <c r="I1237" s="79">
        <v>241</v>
      </c>
      <c r="J1237" s="79">
        <v>169</v>
      </c>
    </row>
    <row r="1238" spans="1:10" x14ac:dyDescent="0.2">
      <c r="A1238" s="76">
        <v>852</v>
      </c>
      <c r="B1238" s="76">
        <v>1</v>
      </c>
      <c r="C1238" s="76" t="s">
        <v>326</v>
      </c>
      <c r="D1238" s="76">
        <v>2004</v>
      </c>
      <c r="E1238" s="76">
        <v>2005</v>
      </c>
      <c r="F1238" s="81">
        <v>2000</v>
      </c>
      <c r="G1238" s="76">
        <v>10</v>
      </c>
      <c r="H1238" s="76">
        <v>1</v>
      </c>
      <c r="I1238" s="79">
        <v>254</v>
      </c>
      <c r="J1238" s="79">
        <v>222</v>
      </c>
    </row>
    <row r="1239" spans="1:10" x14ac:dyDescent="0.2">
      <c r="A1239">
        <v>852</v>
      </c>
      <c r="B1239">
        <v>1</v>
      </c>
      <c r="C1239" t="s">
        <v>326</v>
      </c>
      <c r="D1239">
        <v>2008</v>
      </c>
      <c r="E1239" s="5">
        <v>2009</v>
      </c>
      <c r="F1239" s="6">
        <v>1450</v>
      </c>
      <c r="G1239" s="5">
        <v>10</v>
      </c>
      <c r="H1239" s="33">
        <v>1</v>
      </c>
      <c r="I1239" s="33">
        <v>237</v>
      </c>
      <c r="J1239" s="33">
        <v>204</v>
      </c>
    </row>
    <row r="1240" spans="1:10" x14ac:dyDescent="0.2">
      <c r="A1240" s="76">
        <v>857</v>
      </c>
      <c r="B1240" s="76">
        <v>1</v>
      </c>
      <c r="C1240" s="76" t="s">
        <v>327</v>
      </c>
      <c r="D1240" s="76">
        <v>2000</v>
      </c>
      <c r="E1240" s="76">
        <v>2001</v>
      </c>
      <c r="F1240" s="81">
        <v>415</v>
      </c>
      <c r="G1240" s="76">
        <v>10</v>
      </c>
      <c r="H1240" s="76">
        <v>0</v>
      </c>
      <c r="I1240" s="79">
        <v>924</v>
      </c>
      <c r="J1240" s="79">
        <v>954</v>
      </c>
    </row>
    <row r="1241" spans="1:10" x14ac:dyDescent="0.2">
      <c r="A1241" s="76">
        <v>857</v>
      </c>
      <c r="B1241" s="76">
        <v>1</v>
      </c>
      <c r="C1241" s="76" t="s">
        <v>327</v>
      </c>
      <c r="D1241" s="76">
        <v>2001</v>
      </c>
      <c r="E1241" s="76">
        <v>2002</v>
      </c>
      <c r="F1241" s="81">
        <v>500</v>
      </c>
      <c r="G1241" s="76">
        <v>10</v>
      </c>
      <c r="H1241" s="76">
        <v>1</v>
      </c>
      <c r="I1241" s="79">
        <v>542</v>
      </c>
      <c r="J1241" s="79">
        <v>307</v>
      </c>
    </row>
    <row r="1242" spans="1:10" x14ac:dyDescent="0.2">
      <c r="A1242" s="76">
        <v>857</v>
      </c>
      <c r="B1242" s="76">
        <v>1</v>
      </c>
      <c r="C1242" s="76" t="s">
        <v>1020</v>
      </c>
      <c r="D1242" s="76">
        <v>2005</v>
      </c>
      <c r="E1242" s="76">
        <v>2006</v>
      </c>
      <c r="F1242" s="81">
        <v>315</v>
      </c>
      <c r="G1242" s="76">
        <v>10</v>
      </c>
      <c r="H1242" s="78">
        <v>1</v>
      </c>
      <c r="I1242" s="77">
        <v>396</v>
      </c>
      <c r="J1242" s="77">
        <v>390</v>
      </c>
    </row>
    <row r="1243" spans="1:10" x14ac:dyDescent="0.2">
      <c r="A1243" s="76">
        <v>861</v>
      </c>
      <c r="B1243" s="76">
        <v>1</v>
      </c>
      <c r="C1243" s="76" t="s">
        <v>329</v>
      </c>
      <c r="D1243" s="76">
        <v>1999</v>
      </c>
      <c r="E1243" s="76">
        <v>2000</v>
      </c>
      <c r="F1243" s="81">
        <v>268</v>
      </c>
      <c r="G1243" s="76">
        <v>2</v>
      </c>
      <c r="H1243" s="76">
        <v>0</v>
      </c>
      <c r="I1243" s="79">
        <v>2094</v>
      </c>
      <c r="J1243" s="79">
        <v>3470</v>
      </c>
    </row>
    <row r="1244" spans="1:10" x14ac:dyDescent="0.2">
      <c r="A1244" s="76">
        <v>861</v>
      </c>
      <c r="B1244" s="76">
        <v>1</v>
      </c>
      <c r="C1244" s="76" t="s">
        <v>771</v>
      </c>
      <c r="D1244" s="76">
        <v>2001</v>
      </c>
      <c r="E1244" s="76">
        <v>2002</v>
      </c>
      <c r="F1244" s="81">
        <v>150</v>
      </c>
      <c r="G1244" s="76">
        <v>5</v>
      </c>
      <c r="H1244" s="76">
        <v>0</v>
      </c>
      <c r="I1244" s="79">
        <v>5901</v>
      </c>
      <c r="J1244" s="79">
        <v>5901</v>
      </c>
    </row>
    <row r="1245" spans="1:10" x14ac:dyDescent="0.2">
      <c r="A1245" s="76">
        <v>861</v>
      </c>
      <c r="B1245" s="76">
        <v>1</v>
      </c>
      <c r="C1245" s="76" t="s">
        <v>770</v>
      </c>
      <c r="D1245" s="76">
        <v>2001</v>
      </c>
      <c r="E1245" s="76">
        <v>2002</v>
      </c>
      <c r="F1245" s="81">
        <v>480</v>
      </c>
      <c r="G1245" s="76">
        <v>5</v>
      </c>
      <c r="H1245" s="76">
        <v>1</v>
      </c>
      <c r="I1245" s="79">
        <v>6453</v>
      </c>
      <c r="J1245" s="79">
        <v>5418</v>
      </c>
    </row>
    <row r="1246" spans="1:10" x14ac:dyDescent="0.2">
      <c r="A1246" s="76">
        <v>861</v>
      </c>
      <c r="B1246" s="76">
        <v>1</v>
      </c>
      <c r="C1246" s="76" t="s">
        <v>879</v>
      </c>
      <c r="D1246" s="76">
        <v>2004</v>
      </c>
      <c r="E1246" s="76">
        <v>2006</v>
      </c>
      <c r="F1246" s="81">
        <v>895</v>
      </c>
      <c r="G1246" s="76">
        <v>6</v>
      </c>
      <c r="H1246" s="76">
        <v>0</v>
      </c>
      <c r="I1246" s="79">
        <v>8268</v>
      </c>
      <c r="J1246" s="79">
        <v>10511</v>
      </c>
    </row>
    <row r="1247" spans="1:10" x14ac:dyDescent="0.2">
      <c r="A1247" s="76">
        <v>861</v>
      </c>
      <c r="B1247" s="76">
        <v>1</v>
      </c>
      <c r="C1247" s="76" t="s">
        <v>329</v>
      </c>
      <c r="D1247" s="76">
        <v>2005</v>
      </c>
      <c r="E1247" s="76">
        <v>2006</v>
      </c>
      <c r="F1247" s="81">
        <v>1550</v>
      </c>
      <c r="G1247" s="76">
        <v>6</v>
      </c>
      <c r="H1247" s="78">
        <v>1</v>
      </c>
      <c r="I1247" s="77">
        <v>6587</v>
      </c>
      <c r="J1247" s="77">
        <v>5756</v>
      </c>
    </row>
    <row r="1248" spans="1:10" x14ac:dyDescent="0.2">
      <c r="A1248" s="76">
        <v>876</v>
      </c>
      <c r="B1248" s="76">
        <v>1</v>
      </c>
      <c r="C1248" s="76" t="s">
        <v>330</v>
      </c>
      <c r="D1248" s="76">
        <v>1993</v>
      </c>
      <c r="E1248" s="76">
        <v>1994</v>
      </c>
      <c r="F1248" s="81">
        <v>238.77</v>
      </c>
      <c r="G1248" s="76">
        <v>3</v>
      </c>
      <c r="H1248" s="76">
        <v>1</v>
      </c>
      <c r="I1248" s="79" t="s">
        <v>840</v>
      </c>
      <c r="J1248" s="79" t="s">
        <v>840</v>
      </c>
    </row>
    <row r="1249" spans="1:10" x14ac:dyDescent="0.2">
      <c r="A1249" s="76">
        <v>876</v>
      </c>
      <c r="B1249" s="76">
        <v>1</v>
      </c>
      <c r="C1249" s="76" t="s">
        <v>330</v>
      </c>
      <c r="D1249" s="76">
        <v>1995</v>
      </c>
      <c r="E1249" s="76">
        <v>1997</v>
      </c>
      <c r="F1249" s="81">
        <v>238.77</v>
      </c>
      <c r="G1249" s="76">
        <v>5</v>
      </c>
      <c r="H1249" s="76">
        <v>1</v>
      </c>
      <c r="I1249" s="79">
        <v>344</v>
      </c>
      <c r="J1249" s="79">
        <v>211</v>
      </c>
    </row>
    <row r="1250" spans="1:10" x14ac:dyDescent="0.2">
      <c r="A1250" s="76">
        <v>876</v>
      </c>
      <c r="B1250" s="76">
        <v>1</v>
      </c>
      <c r="C1250" s="76" t="s">
        <v>330</v>
      </c>
      <c r="D1250" s="76">
        <v>2000</v>
      </c>
      <c r="E1250" s="76">
        <v>2001</v>
      </c>
      <c r="F1250" s="81">
        <v>500</v>
      </c>
      <c r="G1250" s="76">
        <v>10</v>
      </c>
      <c r="H1250" s="76">
        <v>1</v>
      </c>
      <c r="I1250" s="79">
        <v>2209</v>
      </c>
      <c r="J1250" s="79">
        <v>1882</v>
      </c>
    </row>
    <row r="1251" spans="1:10" x14ac:dyDescent="0.2">
      <c r="A1251" s="76">
        <v>876</v>
      </c>
      <c r="B1251" s="76">
        <v>1</v>
      </c>
      <c r="C1251" s="76" t="s">
        <v>330</v>
      </c>
      <c r="D1251" s="76">
        <v>2002</v>
      </c>
      <c r="E1251" s="76">
        <v>2003</v>
      </c>
      <c r="F1251" s="81">
        <v>350</v>
      </c>
      <c r="G1251" s="76">
        <v>5</v>
      </c>
      <c r="H1251" s="76">
        <v>1</v>
      </c>
      <c r="I1251" s="79">
        <v>2310</v>
      </c>
      <c r="J1251" s="79">
        <v>2156</v>
      </c>
    </row>
    <row r="1252" spans="1:10" x14ac:dyDescent="0.2">
      <c r="A1252" s="76">
        <v>876</v>
      </c>
      <c r="B1252" s="76">
        <v>1</v>
      </c>
      <c r="C1252" s="76" t="s">
        <v>330</v>
      </c>
      <c r="D1252" s="76">
        <v>2006</v>
      </c>
      <c r="E1252" s="78">
        <v>2007</v>
      </c>
      <c r="F1252" s="81">
        <v>192.31</v>
      </c>
      <c r="G1252" s="78">
        <v>7</v>
      </c>
      <c r="H1252" s="76">
        <v>1</v>
      </c>
      <c r="I1252" s="77">
        <v>2295</v>
      </c>
      <c r="J1252" s="77">
        <v>2146</v>
      </c>
    </row>
    <row r="1253" spans="1:10" x14ac:dyDescent="0.2">
      <c r="A1253" s="76">
        <v>877</v>
      </c>
      <c r="B1253" s="76">
        <v>1</v>
      </c>
      <c r="C1253" s="76" t="s">
        <v>331</v>
      </c>
      <c r="D1253" s="76">
        <v>1991</v>
      </c>
      <c r="E1253" s="76">
        <v>1993</v>
      </c>
      <c r="F1253" s="81">
        <v>197</v>
      </c>
      <c r="G1253" s="76">
        <v>5</v>
      </c>
      <c r="H1253" s="76">
        <v>1</v>
      </c>
      <c r="I1253" s="79" t="s">
        <v>840</v>
      </c>
      <c r="J1253" s="79" t="s">
        <v>840</v>
      </c>
    </row>
    <row r="1254" spans="1:10" x14ac:dyDescent="0.2">
      <c r="A1254" s="76">
        <v>877</v>
      </c>
      <c r="B1254" s="76">
        <v>1</v>
      </c>
      <c r="C1254" s="76" t="s">
        <v>331</v>
      </c>
      <c r="D1254" s="76">
        <v>1994</v>
      </c>
      <c r="E1254" s="76">
        <v>1995</v>
      </c>
      <c r="F1254" s="81">
        <v>237.09</v>
      </c>
      <c r="G1254" s="76">
        <v>10</v>
      </c>
      <c r="H1254" s="76">
        <v>0</v>
      </c>
      <c r="I1254" s="79">
        <v>3532</v>
      </c>
      <c r="J1254" s="79">
        <v>3603</v>
      </c>
    </row>
    <row r="1255" spans="1:10" x14ac:dyDescent="0.2">
      <c r="A1255" s="76">
        <v>877</v>
      </c>
      <c r="B1255" s="76">
        <v>1</v>
      </c>
      <c r="C1255" s="76" t="s">
        <v>331</v>
      </c>
      <c r="D1255" s="76">
        <v>1995</v>
      </c>
      <c r="E1255" s="76">
        <v>1996</v>
      </c>
      <c r="F1255" s="81">
        <v>235.84</v>
      </c>
      <c r="G1255" s="76">
        <v>10</v>
      </c>
      <c r="H1255" s="76">
        <v>1</v>
      </c>
      <c r="I1255" s="79">
        <v>2942</v>
      </c>
      <c r="J1255" s="79">
        <v>2244</v>
      </c>
    </row>
    <row r="1256" spans="1:10" x14ac:dyDescent="0.2">
      <c r="A1256" s="76">
        <v>877</v>
      </c>
      <c r="B1256" s="76">
        <v>1</v>
      </c>
      <c r="C1256" s="76" t="s">
        <v>331</v>
      </c>
      <c r="D1256" s="76">
        <v>1997</v>
      </c>
      <c r="E1256" s="76">
        <v>1998</v>
      </c>
      <c r="F1256" s="81">
        <v>97</v>
      </c>
      <c r="G1256" s="76">
        <v>10</v>
      </c>
      <c r="H1256" s="76">
        <v>1</v>
      </c>
      <c r="I1256" s="79">
        <v>1389</v>
      </c>
      <c r="J1256" s="79">
        <v>573</v>
      </c>
    </row>
    <row r="1257" spans="1:10" x14ac:dyDescent="0.2">
      <c r="A1257" s="76">
        <v>877</v>
      </c>
      <c r="B1257" s="76">
        <v>1</v>
      </c>
      <c r="C1257" s="76" t="s">
        <v>331</v>
      </c>
      <c r="D1257" s="76">
        <v>1998</v>
      </c>
      <c r="E1257" s="76">
        <v>1999</v>
      </c>
      <c r="F1257" s="81">
        <v>217.16</v>
      </c>
      <c r="G1257" s="76">
        <v>10</v>
      </c>
      <c r="H1257" s="76">
        <v>0</v>
      </c>
      <c r="I1257" s="79">
        <v>3292</v>
      </c>
      <c r="J1257" s="79">
        <v>6302</v>
      </c>
    </row>
    <row r="1258" spans="1:10" x14ac:dyDescent="0.2">
      <c r="A1258" s="76">
        <v>877</v>
      </c>
      <c r="B1258" s="76">
        <v>1</v>
      </c>
      <c r="C1258" s="76" t="s">
        <v>331</v>
      </c>
      <c r="D1258" s="76">
        <v>2000</v>
      </c>
      <c r="E1258" s="76">
        <v>2001</v>
      </c>
      <c r="F1258" s="81">
        <v>171</v>
      </c>
      <c r="G1258" s="76">
        <v>10</v>
      </c>
      <c r="H1258" s="76">
        <v>1</v>
      </c>
      <c r="I1258" s="79">
        <v>5286</v>
      </c>
      <c r="J1258" s="79">
        <v>4867</v>
      </c>
    </row>
    <row r="1259" spans="1:10" x14ac:dyDescent="0.2">
      <c r="A1259" s="76">
        <v>877</v>
      </c>
      <c r="B1259" s="76">
        <v>1</v>
      </c>
      <c r="C1259" s="76" t="s">
        <v>331</v>
      </c>
      <c r="D1259" s="76">
        <v>2001</v>
      </c>
      <c r="E1259" s="76">
        <v>2002</v>
      </c>
      <c r="F1259" s="81">
        <v>200</v>
      </c>
      <c r="G1259" s="76">
        <v>10</v>
      </c>
      <c r="H1259" s="76">
        <v>0</v>
      </c>
      <c r="I1259" s="79">
        <v>2071</v>
      </c>
      <c r="J1259" s="79">
        <v>2735</v>
      </c>
    </row>
    <row r="1260" spans="1:10" x14ac:dyDescent="0.2">
      <c r="A1260" s="76">
        <v>877</v>
      </c>
      <c r="B1260" s="76">
        <v>1</v>
      </c>
      <c r="C1260" s="76" t="s">
        <v>331</v>
      </c>
      <c r="D1260" s="76">
        <v>2002</v>
      </c>
      <c r="E1260" s="76">
        <v>2003</v>
      </c>
      <c r="F1260" s="81">
        <v>378</v>
      </c>
      <c r="G1260" s="76">
        <v>10</v>
      </c>
      <c r="H1260" s="76">
        <v>1</v>
      </c>
      <c r="I1260" s="79">
        <v>5873</v>
      </c>
      <c r="J1260" s="79">
        <v>5496</v>
      </c>
    </row>
    <row r="1261" spans="1:10" x14ac:dyDescent="0.2">
      <c r="A1261" s="76">
        <v>877</v>
      </c>
      <c r="B1261" s="76">
        <v>1</v>
      </c>
      <c r="C1261" s="76" t="s">
        <v>331</v>
      </c>
      <c r="D1261" s="82">
        <v>2007</v>
      </c>
      <c r="E1261" s="83">
        <v>2008</v>
      </c>
      <c r="F1261" s="78">
        <v>90</v>
      </c>
      <c r="G1261" s="76">
        <v>10</v>
      </c>
      <c r="H1261" s="77">
        <v>0</v>
      </c>
      <c r="I1261" s="77">
        <v>2459</v>
      </c>
      <c r="J1261" s="79">
        <v>3431</v>
      </c>
    </row>
    <row r="1262" spans="1:10" x14ac:dyDescent="0.2">
      <c r="A1262" s="76">
        <v>877</v>
      </c>
      <c r="B1262" s="76">
        <v>1</v>
      </c>
      <c r="C1262" s="76" t="s">
        <v>331</v>
      </c>
      <c r="D1262" s="82">
        <v>2007</v>
      </c>
      <c r="E1262" s="83">
        <v>2008</v>
      </c>
      <c r="F1262" s="78">
        <v>100</v>
      </c>
      <c r="G1262" s="76">
        <v>10</v>
      </c>
      <c r="H1262" s="77">
        <v>0</v>
      </c>
      <c r="I1262" s="77">
        <v>2545</v>
      </c>
      <c r="J1262" s="79">
        <v>3344</v>
      </c>
    </row>
    <row r="1263" spans="1:10" x14ac:dyDescent="0.2">
      <c r="A1263" s="76">
        <v>877</v>
      </c>
      <c r="B1263" s="76">
        <v>1</v>
      </c>
      <c r="C1263" s="76" t="s">
        <v>331</v>
      </c>
      <c r="D1263" s="82">
        <v>2007</v>
      </c>
      <c r="E1263" s="83">
        <v>2008</v>
      </c>
      <c r="F1263" s="78">
        <v>495</v>
      </c>
      <c r="G1263" s="76">
        <v>10</v>
      </c>
      <c r="H1263" s="77">
        <v>0</v>
      </c>
      <c r="I1263" s="77">
        <v>2892</v>
      </c>
      <c r="J1263" s="79">
        <v>3031</v>
      </c>
    </row>
    <row r="1264" spans="1:10" x14ac:dyDescent="0.2">
      <c r="A1264">
        <v>877</v>
      </c>
      <c r="B1264">
        <v>1</v>
      </c>
      <c r="C1264" t="s">
        <v>331</v>
      </c>
      <c r="D1264">
        <v>2008</v>
      </c>
      <c r="E1264" s="5">
        <v>2009</v>
      </c>
      <c r="F1264" s="6">
        <v>339</v>
      </c>
      <c r="G1264" s="5">
        <v>10</v>
      </c>
      <c r="H1264" s="33">
        <v>0</v>
      </c>
      <c r="I1264" s="33">
        <v>8042</v>
      </c>
      <c r="J1264" s="33">
        <v>8754</v>
      </c>
    </row>
    <row r="1265" spans="1:10" x14ac:dyDescent="0.2">
      <c r="A1265" s="76">
        <v>879</v>
      </c>
      <c r="B1265" s="76">
        <v>1</v>
      </c>
      <c r="C1265" s="76" t="s">
        <v>332</v>
      </c>
      <c r="D1265" s="76">
        <v>1993</v>
      </c>
      <c r="E1265" s="76">
        <v>1994</v>
      </c>
      <c r="F1265" s="81">
        <v>302</v>
      </c>
      <c r="G1265" s="76">
        <v>5</v>
      </c>
      <c r="H1265" s="76">
        <v>0</v>
      </c>
      <c r="I1265" s="79" t="s">
        <v>840</v>
      </c>
      <c r="J1265" s="79" t="s">
        <v>840</v>
      </c>
    </row>
    <row r="1266" spans="1:10" x14ac:dyDescent="0.2">
      <c r="A1266" s="76">
        <v>879</v>
      </c>
      <c r="B1266" s="76">
        <v>1</v>
      </c>
      <c r="C1266" s="76" t="s">
        <v>332</v>
      </c>
      <c r="D1266" s="76">
        <v>1994</v>
      </c>
      <c r="E1266" s="76">
        <v>1995</v>
      </c>
      <c r="F1266" s="81">
        <v>304.47000000000003</v>
      </c>
      <c r="G1266" s="76">
        <v>3</v>
      </c>
      <c r="H1266" s="76">
        <v>1</v>
      </c>
      <c r="I1266" s="79">
        <v>1307</v>
      </c>
      <c r="J1266" s="79">
        <v>995</v>
      </c>
    </row>
    <row r="1267" spans="1:10" x14ac:dyDescent="0.2">
      <c r="A1267" s="76">
        <v>879</v>
      </c>
      <c r="B1267" s="76">
        <v>1</v>
      </c>
      <c r="C1267" s="76" t="s">
        <v>332</v>
      </c>
      <c r="D1267" s="76">
        <v>1997</v>
      </c>
      <c r="E1267" s="76">
        <v>1998</v>
      </c>
      <c r="F1267" s="81">
        <v>138.87</v>
      </c>
      <c r="G1267" s="76">
        <v>5</v>
      </c>
      <c r="H1267" s="76">
        <v>1</v>
      </c>
      <c r="I1267" s="79">
        <v>1149</v>
      </c>
      <c r="J1267" s="79">
        <v>261</v>
      </c>
    </row>
    <row r="1268" spans="1:10" x14ac:dyDescent="0.2">
      <c r="A1268" s="76">
        <v>879</v>
      </c>
      <c r="B1268" s="76">
        <v>1</v>
      </c>
      <c r="C1268" s="76" t="s">
        <v>332</v>
      </c>
      <c r="D1268" s="76">
        <v>2001</v>
      </c>
      <c r="E1268" s="76">
        <v>2002</v>
      </c>
      <c r="F1268" s="81">
        <v>390</v>
      </c>
      <c r="G1268" s="76">
        <v>10</v>
      </c>
      <c r="H1268" s="76">
        <v>0</v>
      </c>
      <c r="I1268" s="79">
        <v>907</v>
      </c>
      <c r="J1268" s="79">
        <v>1370</v>
      </c>
    </row>
    <row r="1269" spans="1:10" x14ac:dyDescent="0.2">
      <c r="A1269" s="76">
        <v>879</v>
      </c>
      <c r="B1269" s="76">
        <v>1</v>
      </c>
      <c r="C1269" s="76" t="s">
        <v>332</v>
      </c>
      <c r="D1269" s="76">
        <v>2002</v>
      </c>
      <c r="E1269" s="76">
        <v>2003</v>
      </c>
      <c r="F1269" s="81">
        <v>100</v>
      </c>
      <c r="G1269" s="76">
        <v>10</v>
      </c>
      <c r="H1269" s="76">
        <v>0</v>
      </c>
      <c r="I1269" s="79">
        <v>2149</v>
      </c>
      <c r="J1269" s="79">
        <v>2269</v>
      </c>
    </row>
    <row r="1270" spans="1:10" x14ac:dyDescent="0.2">
      <c r="A1270" s="76">
        <v>879</v>
      </c>
      <c r="B1270" s="76">
        <v>1</v>
      </c>
      <c r="C1270" s="76" t="s">
        <v>332</v>
      </c>
      <c r="D1270" s="76">
        <v>2002</v>
      </c>
      <c r="E1270" s="76">
        <v>2003</v>
      </c>
      <c r="F1270" s="81">
        <v>425</v>
      </c>
      <c r="G1270" s="76">
        <v>10</v>
      </c>
      <c r="H1270" s="76">
        <v>1</v>
      </c>
      <c r="I1270" s="79">
        <v>2473</v>
      </c>
      <c r="J1270" s="79">
        <v>2196</v>
      </c>
    </row>
    <row r="1271" spans="1:10" x14ac:dyDescent="0.2">
      <c r="A1271" s="76">
        <v>879</v>
      </c>
      <c r="B1271" s="76">
        <v>1</v>
      </c>
      <c r="C1271" s="76" t="s">
        <v>332</v>
      </c>
      <c r="D1271" s="82">
        <v>2007</v>
      </c>
      <c r="E1271" s="83">
        <v>2008</v>
      </c>
      <c r="F1271" s="78">
        <v>285</v>
      </c>
      <c r="G1271" s="76">
        <v>10</v>
      </c>
      <c r="H1271" s="77">
        <v>1</v>
      </c>
      <c r="I1271" s="77">
        <v>1343</v>
      </c>
      <c r="J1271" s="79">
        <v>1339</v>
      </c>
    </row>
    <row r="1272" spans="1:10" x14ac:dyDescent="0.2">
      <c r="A1272" s="76">
        <v>880</v>
      </c>
      <c r="B1272" s="76">
        <v>1</v>
      </c>
      <c r="C1272" s="76" t="s">
        <v>772</v>
      </c>
      <c r="D1272" s="76">
        <v>1992</v>
      </c>
      <c r="E1272" s="76">
        <v>1993</v>
      </c>
      <c r="F1272" s="81">
        <v>380</v>
      </c>
      <c r="G1272" s="76">
        <v>5</v>
      </c>
      <c r="H1272" s="76">
        <v>0</v>
      </c>
      <c r="I1272" s="79" t="s">
        <v>840</v>
      </c>
      <c r="J1272" s="79" t="s">
        <v>840</v>
      </c>
    </row>
    <row r="1273" spans="1:10" x14ac:dyDescent="0.2">
      <c r="A1273" s="76">
        <v>880</v>
      </c>
      <c r="B1273" s="76">
        <v>1</v>
      </c>
      <c r="C1273" s="76" t="s">
        <v>711</v>
      </c>
      <c r="D1273" s="76">
        <v>1993</v>
      </c>
      <c r="E1273" s="76">
        <v>1994</v>
      </c>
      <c r="F1273" s="81">
        <v>488.95</v>
      </c>
      <c r="G1273" s="76">
        <v>5</v>
      </c>
      <c r="H1273" s="76">
        <v>1</v>
      </c>
      <c r="I1273" s="79" t="s">
        <v>840</v>
      </c>
      <c r="J1273" s="79" t="s">
        <v>840</v>
      </c>
    </row>
    <row r="1274" spans="1:10" x14ac:dyDescent="0.2">
      <c r="A1274" s="76">
        <v>881</v>
      </c>
      <c r="B1274" s="76">
        <v>1</v>
      </c>
      <c r="C1274" s="76" t="s">
        <v>333</v>
      </c>
      <c r="D1274" s="76">
        <v>1993</v>
      </c>
      <c r="E1274" s="76">
        <v>1994</v>
      </c>
      <c r="F1274" s="81">
        <v>330.55</v>
      </c>
      <c r="G1274" s="76">
        <v>5</v>
      </c>
      <c r="H1274" s="76">
        <v>1</v>
      </c>
      <c r="I1274" s="79" t="s">
        <v>840</v>
      </c>
      <c r="J1274" s="79" t="s">
        <v>840</v>
      </c>
    </row>
    <row r="1275" spans="1:10" x14ac:dyDescent="0.2">
      <c r="A1275" s="76">
        <v>881</v>
      </c>
      <c r="B1275" s="76">
        <v>1</v>
      </c>
      <c r="C1275" s="76" t="s">
        <v>333</v>
      </c>
      <c r="D1275" s="76">
        <v>1997</v>
      </c>
      <c r="E1275" s="76">
        <v>1999</v>
      </c>
      <c r="F1275" s="81">
        <v>315</v>
      </c>
      <c r="G1275" s="76">
        <v>10</v>
      </c>
      <c r="H1275" s="76">
        <v>1</v>
      </c>
      <c r="I1275" s="79">
        <v>615</v>
      </c>
      <c r="J1275" s="79">
        <v>297</v>
      </c>
    </row>
    <row r="1276" spans="1:10" x14ac:dyDescent="0.2">
      <c r="A1276" s="76">
        <v>881</v>
      </c>
      <c r="B1276" s="76">
        <v>1</v>
      </c>
      <c r="C1276" s="76" t="s">
        <v>333</v>
      </c>
      <c r="D1276" s="76">
        <v>1998</v>
      </c>
      <c r="E1276" s="76">
        <v>1999</v>
      </c>
      <c r="F1276" s="81">
        <v>35</v>
      </c>
      <c r="G1276" s="76">
        <v>10</v>
      </c>
      <c r="H1276" s="76">
        <v>1</v>
      </c>
      <c r="I1276" s="79">
        <v>977</v>
      </c>
      <c r="J1276" s="79">
        <v>865</v>
      </c>
    </row>
    <row r="1277" spans="1:10" x14ac:dyDescent="0.2">
      <c r="A1277" s="76">
        <v>881</v>
      </c>
      <c r="B1277" s="76">
        <v>1</v>
      </c>
      <c r="C1277" s="76" t="s">
        <v>333</v>
      </c>
      <c r="D1277" s="76">
        <v>2000</v>
      </c>
      <c r="E1277" s="76">
        <v>2001</v>
      </c>
      <c r="F1277" s="81">
        <v>250</v>
      </c>
      <c r="G1277" s="76">
        <v>8</v>
      </c>
      <c r="H1277" s="76">
        <v>1</v>
      </c>
      <c r="I1277" s="79">
        <v>592</v>
      </c>
      <c r="J1277" s="79">
        <v>575</v>
      </c>
    </row>
    <row r="1278" spans="1:10" x14ac:dyDescent="0.2">
      <c r="A1278" s="76">
        <v>881</v>
      </c>
      <c r="B1278" s="76">
        <v>1</v>
      </c>
      <c r="C1278" s="76" t="s">
        <v>333</v>
      </c>
      <c r="D1278" s="76">
        <v>2001</v>
      </c>
      <c r="E1278" s="76">
        <v>2002</v>
      </c>
      <c r="F1278" s="81">
        <v>450</v>
      </c>
      <c r="G1278" s="76">
        <v>8</v>
      </c>
      <c r="H1278" s="76">
        <v>1</v>
      </c>
      <c r="I1278" s="79">
        <v>511</v>
      </c>
      <c r="J1278" s="79">
        <v>371</v>
      </c>
    </row>
    <row r="1279" spans="1:10" x14ac:dyDescent="0.2">
      <c r="A1279" s="76">
        <v>881</v>
      </c>
      <c r="B1279" s="76">
        <v>1</v>
      </c>
      <c r="C1279" s="76" t="s">
        <v>333</v>
      </c>
      <c r="D1279" s="76">
        <v>2003</v>
      </c>
      <c r="E1279" s="76">
        <v>2004</v>
      </c>
      <c r="F1279" s="81">
        <v>873.76</v>
      </c>
      <c r="G1279" s="76">
        <v>10</v>
      </c>
      <c r="H1279" s="76">
        <v>0</v>
      </c>
      <c r="I1279" s="79">
        <v>310</v>
      </c>
      <c r="J1279" s="79">
        <v>323</v>
      </c>
    </row>
    <row r="1280" spans="1:10" x14ac:dyDescent="0.2">
      <c r="A1280" s="76">
        <v>881</v>
      </c>
      <c r="B1280" s="76">
        <v>1</v>
      </c>
      <c r="C1280" s="76" t="s">
        <v>333</v>
      </c>
      <c r="D1280" s="76">
        <v>2006</v>
      </c>
      <c r="E1280" s="78">
        <v>2007</v>
      </c>
      <c r="F1280" s="81">
        <v>59</v>
      </c>
      <c r="G1280" s="78">
        <v>10</v>
      </c>
      <c r="H1280" s="76">
        <v>1</v>
      </c>
      <c r="I1280" s="77">
        <v>1164</v>
      </c>
      <c r="J1280" s="77">
        <v>918</v>
      </c>
    </row>
    <row r="1281" spans="1:10" x14ac:dyDescent="0.2">
      <c r="A1281" s="76">
        <v>882</v>
      </c>
      <c r="B1281" s="76">
        <v>1</v>
      </c>
      <c r="C1281" s="76" t="s">
        <v>334</v>
      </c>
      <c r="D1281" s="76">
        <v>1993</v>
      </c>
      <c r="E1281" s="76">
        <v>1994</v>
      </c>
      <c r="F1281" s="81">
        <v>214.39</v>
      </c>
      <c r="G1281" s="76">
        <v>5</v>
      </c>
      <c r="H1281" s="76">
        <v>1</v>
      </c>
      <c r="I1281" s="79" t="s">
        <v>840</v>
      </c>
      <c r="J1281" s="79" t="s">
        <v>840</v>
      </c>
    </row>
    <row r="1282" spans="1:10" x14ac:dyDescent="0.2">
      <c r="A1282" s="76">
        <v>882</v>
      </c>
      <c r="B1282" s="76">
        <v>1</v>
      </c>
      <c r="C1282" s="76" t="s">
        <v>334</v>
      </c>
      <c r="D1282" s="76">
        <v>1997</v>
      </c>
      <c r="E1282" s="76">
        <v>1999</v>
      </c>
      <c r="F1282" s="81">
        <v>96.19</v>
      </c>
      <c r="G1282" s="76">
        <v>10</v>
      </c>
      <c r="H1282" s="76">
        <v>1</v>
      </c>
      <c r="I1282" s="79">
        <v>849</v>
      </c>
      <c r="J1282" s="79">
        <v>309</v>
      </c>
    </row>
    <row r="1283" spans="1:10" x14ac:dyDescent="0.2">
      <c r="A1283" s="76">
        <v>882</v>
      </c>
      <c r="B1283" s="76">
        <v>1</v>
      </c>
      <c r="C1283" s="76" t="s">
        <v>334</v>
      </c>
      <c r="D1283" s="76">
        <v>2000</v>
      </c>
      <c r="E1283" s="76">
        <v>2001</v>
      </c>
      <c r="F1283" s="81">
        <v>275</v>
      </c>
      <c r="G1283" s="76">
        <v>10</v>
      </c>
      <c r="H1283" s="76">
        <v>1</v>
      </c>
      <c r="I1283" s="79">
        <v>2198</v>
      </c>
      <c r="J1283" s="79">
        <v>2150</v>
      </c>
    </row>
    <row r="1284" spans="1:10" x14ac:dyDescent="0.2">
      <c r="A1284" s="76">
        <v>882</v>
      </c>
      <c r="B1284" s="76">
        <v>1</v>
      </c>
      <c r="C1284" s="76" t="s">
        <v>334</v>
      </c>
      <c r="D1284" s="76">
        <v>2001</v>
      </c>
      <c r="E1284" s="76">
        <v>2002</v>
      </c>
      <c r="F1284" s="81">
        <v>450</v>
      </c>
      <c r="G1284" s="76">
        <v>10</v>
      </c>
      <c r="H1284" s="76">
        <v>0</v>
      </c>
      <c r="I1284" s="79">
        <v>1778</v>
      </c>
      <c r="J1284" s="79">
        <v>1823</v>
      </c>
    </row>
    <row r="1285" spans="1:10" x14ac:dyDescent="0.2">
      <c r="A1285" s="76">
        <v>882</v>
      </c>
      <c r="B1285" s="76">
        <v>1</v>
      </c>
      <c r="C1285" s="76" t="s">
        <v>334</v>
      </c>
      <c r="D1285" s="76">
        <v>2006</v>
      </c>
      <c r="E1285" s="78">
        <v>2007</v>
      </c>
      <c r="F1285" s="81">
        <v>194.94</v>
      </c>
      <c r="G1285" s="78">
        <v>10</v>
      </c>
      <c r="H1285" s="76">
        <v>0</v>
      </c>
      <c r="I1285" s="87">
        <v>2801</v>
      </c>
      <c r="J1285" s="77">
        <v>4683</v>
      </c>
    </row>
    <row r="1286" spans="1:10" x14ac:dyDescent="0.2">
      <c r="A1286" s="76">
        <v>882</v>
      </c>
      <c r="B1286" s="76">
        <v>1</v>
      </c>
      <c r="C1286" s="76" t="s">
        <v>334</v>
      </c>
      <c r="D1286" s="76">
        <v>2006</v>
      </c>
      <c r="E1286" s="78">
        <v>2007</v>
      </c>
      <c r="F1286" s="81">
        <v>742</v>
      </c>
      <c r="G1286" s="78">
        <v>10</v>
      </c>
      <c r="H1286" s="76">
        <v>0</v>
      </c>
      <c r="I1286" s="87">
        <v>3044</v>
      </c>
      <c r="J1286" s="77">
        <v>4461</v>
      </c>
    </row>
    <row r="1287" spans="1:10" x14ac:dyDescent="0.2">
      <c r="A1287" s="76">
        <v>882</v>
      </c>
      <c r="B1287" s="76">
        <v>1</v>
      </c>
      <c r="C1287" s="76" t="s">
        <v>334</v>
      </c>
      <c r="D1287" s="82">
        <v>2007</v>
      </c>
      <c r="E1287" s="83">
        <v>2008</v>
      </c>
      <c r="F1287" s="78">
        <v>611.57000000000005</v>
      </c>
      <c r="G1287" s="76">
        <v>10</v>
      </c>
      <c r="H1287" s="77">
        <v>1</v>
      </c>
      <c r="I1287" s="77">
        <v>2381</v>
      </c>
      <c r="J1287" s="79">
        <v>1847</v>
      </c>
    </row>
    <row r="1288" spans="1:10" x14ac:dyDescent="0.2">
      <c r="A1288" s="76">
        <v>883</v>
      </c>
      <c r="B1288" s="76">
        <v>1</v>
      </c>
      <c r="C1288" s="76" t="s">
        <v>335</v>
      </c>
      <c r="D1288" s="76">
        <v>1993</v>
      </c>
      <c r="E1288" s="76">
        <v>1994</v>
      </c>
      <c r="F1288" s="81">
        <v>303.38</v>
      </c>
      <c r="G1288" s="76">
        <v>5</v>
      </c>
      <c r="H1288" s="76">
        <v>0</v>
      </c>
      <c r="I1288" s="79" t="s">
        <v>840</v>
      </c>
      <c r="J1288" s="79" t="s">
        <v>840</v>
      </c>
    </row>
    <row r="1289" spans="1:10" x14ac:dyDescent="0.2">
      <c r="A1289" s="76">
        <v>883</v>
      </c>
      <c r="B1289" s="76">
        <v>1</v>
      </c>
      <c r="C1289" s="76" t="s">
        <v>335</v>
      </c>
      <c r="D1289" s="76">
        <v>1994</v>
      </c>
      <c r="E1289" s="76">
        <v>1995</v>
      </c>
      <c r="F1289" s="81">
        <v>303.88</v>
      </c>
      <c r="G1289" s="76">
        <v>5</v>
      </c>
      <c r="H1289" s="76">
        <v>1</v>
      </c>
      <c r="I1289" s="79">
        <v>961</v>
      </c>
      <c r="J1289" s="79">
        <v>574</v>
      </c>
    </row>
    <row r="1290" spans="1:10" x14ac:dyDescent="0.2">
      <c r="A1290" s="76">
        <v>883</v>
      </c>
      <c r="B1290" s="76">
        <v>1</v>
      </c>
      <c r="C1290" s="76" t="s">
        <v>335</v>
      </c>
      <c r="D1290" s="76">
        <v>1998</v>
      </c>
      <c r="E1290" s="76">
        <v>2000</v>
      </c>
      <c r="F1290" s="81">
        <v>230</v>
      </c>
      <c r="G1290" s="76">
        <v>10</v>
      </c>
      <c r="H1290" s="76">
        <v>1</v>
      </c>
      <c r="I1290" s="79">
        <v>1697</v>
      </c>
      <c r="J1290" s="79">
        <v>1583</v>
      </c>
    </row>
    <row r="1291" spans="1:10" x14ac:dyDescent="0.2">
      <c r="A1291" s="76">
        <v>883</v>
      </c>
      <c r="B1291" s="76">
        <v>1</v>
      </c>
      <c r="C1291" s="76" t="s">
        <v>335</v>
      </c>
      <c r="D1291" s="76">
        <v>2003</v>
      </c>
      <c r="E1291" s="76">
        <v>2004</v>
      </c>
      <c r="F1291" s="81">
        <v>592</v>
      </c>
      <c r="G1291" s="76">
        <v>10</v>
      </c>
      <c r="H1291" s="76">
        <v>0</v>
      </c>
      <c r="I1291" s="79">
        <v>584</v>
      </c>
      <c r="J1291" s="79">
        <v>942</v>
      </c>
    </row>
    <row r="1292" spans="1:10" x14ac:dyDescent="0.2">
      <c r="A1292" s="76">
        <v>883</v>
      </c>
      <c r="B1292" s="76">
        <v>1</v>
      </c>
      <c r="C1292" s="76" t="s">
        <v>335</v>
      </c>
      <c r="D1292" s="76">
        <v>2004</v>
      </c>
      <c r="E1292" s="76">
        <v>2005</v>
      </c>
      <c r="F1292" s="81">
        <v>36</v>
      </c>
      <c r="G1292" s="76">
        <v>5</v>
      </c>
      <c r="H1292" s="76">
        <v>0</v>
      </c>
      <c r="I1292" s="79">
        <v>1724</v>
      </c>
      <c r="J1292" s="79">
        <v>3137</v>
      </c>
    </row>
    <row r="1293" spans="1:10" x14ac:dyDescent="0.2">
      <c r="A1293" s="76">
        <v>883</v>
      </c>
      <c r="B1293" s="76">
        <v>1</v>
      </c>
      <c r="C1293" s="76" t="s">
        <v>335</v>
      </c>
      <c r="D1293" s="76">
        <v>2004</v>
      </c>
      <c r="E1293" s="76">
        <v>2005</v>
      </c>
      <c r="F1293" s="81">
        <v>54</v>
      </c>
      <c r="G1293" s="76">
        <v>5</v>
      </c>
      <c r="H1293" s="76">
        <v>0</v>
      </c>
      <c r="I1293" s="79">
        <v>2293</v>
      </c>
      <c r="J1293" s="79">
        <v>2590</v>
      </c>
    </row>
    <row r="1294" spans="1:10" x14ac:dyDescent="0.2">
      <c r="A1294" s="76">
        <v>883</v>
      </c>
      <c r="B1294" s="76">
        <v>1</v>
      </c>
      <c r="C1294" s="76" t="s">
        <v>335</v>
      </c>
      <c r="D1294" s="76">
        <v>2004</v>
      </c>
      <c r="E1294" s="76">
        <v>2005</v>
      </c>
      <c r="F1294" s="81">
        <v>109</v>
      </c>
      <c r="G1294" s="76">
        <v>5</v>
      </c>
      <c r="H1294" s="76">
        <v>0</v>
      </c>
      <c r="I1294" s="79">
        <v>2286</v>
      </c>
      <c r="J1294" s="79">
        <v>2683</v>
      </c>
    </row>
    <row r="1295" spans="1:10" x14ac:dyDescent="0.2">
      <c r="A1295" s="76">
        <v>883</v>
      </c>
      <c r="B1295" s="76">
        <v>1</v>
      </c>
      <c r="C1295" s="76" t="s">
        <v>335</v>
      </c>
      <c r="D1295" s="76">
        <v>2004</v>
      </c>
      <c r="E1295" s="76">
        <v>2005</v>
      </c>
      <c r="F1295" s="81">
        <v>437</v>
      </c>
      <c r="G1295" s="76">
        <v>5</v>
      </c>
      <c r="H1295" s="76">
        <v>0</v>
      </c>
      <c r="I1295" s="79">
        <v>2426</v>
      </c>
      <c r="J1295" s="79">
        <v>2567</v>
      </c>
    </row>
    <row r="1296" spans="1:10" x14ac:dyDescent="0.2">
      <c r="A1296" s="76">
        <v>883</v>
      </c>
      <c r="B1296" s="76">
        <v>1</v>
      </c>
      <c r="C1296" s="76" t="s">
        <v>1021</v>
      </c>
      <c r="D1296" s="76">
        <v>2005</v>
      </c>
      <c r="E1296" s="76">
        <v>2006</v>
      </c>
      <c r="F1296" s="81">
        <v>597</v>
      </c>
      <c r="G1296" s="76">
        <v>5</v>
      </c>
      <c r="H1296" s="78">
        <v>0</v>
      </c>
      <c r="I1296" s="77">
        <v>1428</v>
      </c>
      <c r="J1296" s="77">
        <v>1588</v>
      </c>
    </row>
    <row r="1297" spans="1:10" x14ac:dyDescent="0.2">
      <c r="A1297">
        <v>883</v>
      </c>
      <c r="B1297">
        <v>1</v>
      </c>
      <c r="C1297" t="s">
        <v>335</v>
      </c>
      <c r="D1297">
        <v>2008</v>
      </c>
      <c r="E1297" s="5">
        <v>2009</v>
      </c>
      <c r="F1297" s="6">
        <v>912</v>
      </c>
      <c r="G1297" s="5">
        <v>10</v>
      </c>
      <c r="H1297" s="33">
        <v>0</v>
      </c>
      <c r="I1297" s="33">
        <v>2114</v>
      </c>
      <c r="J1297" s="33">
        <v>3123</v>
      </c>
    </row>
    <row r="1298" spans="1:10" x14ac:dyDescent="0.2">
      <c r="A1298" s="76">
        <v>885</v>
      </c>
      <c r="B1298" s="76">
        <v>1</v>
      </c>
      <c r="C1298" s="76" t="s">
        <v>336</v>
      </c>
      <c r="D1298" s="76">
        <v>1993</v>
      </c>
      <c r="E1298" s="76">
        <v>1994</v>
      </c>
      <c r="F1298" s="81">
        <v>421.44</v>
      </c>
      <c r="G1298" s="76">
        <v>5</v>
      </c>
      <c r="H1298" s="76">
        <v>1</v>
      </c>
      <c r="I1298" s="79" t="s">
        <v>840</v>
      </c>
      <c r="J1298" s="79" t="s">
        <v>840</v>
      </c>
    </row>
    <row r="1299" spans="1:10" x14ac:dyDescent="0.2">
      <c r="A1299" s="76">
        <v>885</v>
      </c>
      <c r="B1299" s="76">
        <v>1</v>
      </c>
      <c r="C1299" s="76" t="s">
        <v>336</v>
      </c>
      <c r="D1299" s="76">
        <v>1998</v>
      </c>
      <c r="E1299" s="76">
        <v>1999</v>
      </c>
      <c r="F1299" s="81">
        <v>350</v>
      </c>
      <c r="G1299" s="76">
        <v>10</v>
      </c>
      <c r="H1299" s="76">
        <v>1</v>
      </c>
      <c r="I1299" s="79">
        <v>2379</v>
      </c>
      <c r="J1299" s="79">
        <v>1857</v>
      </c>
    </row>
    <row r="1300" spans="1:10" x14ac:dyDescent="0.2">
      <c r="A1300" s="76">
        <v>885</v>
      </c>
      <c r="B1300" s="76">
        <v>1</v>
      </c>
      <c r="C1300" s="76" t="s">
        <v>336</v>
      </c>
      <c r="D1300" s="76">
        <v>2000</v>
      </c>
      <c r="E1300" s="76">
        <v>2001</v>
      </c>
      <c r="F1300" s="81">
        <v>65</v>
      </c>
      <c r="G1300" s="76">
        <v>8</v>
      </c>
      <c r="H1300" s="76">
        <v>1</v>
      </c>
      <c r="I1300" s="79">
        <v>2646</v>
      </c>
      <c r="J1300" s="79">
        <v>2424</v>
      </c>
    </row>
    <row r="1301" spans="1:10" x14ac:dyDescent="0.2">
      <c r="A1301" s="76">
        <v>885</v>
      </c>
      <c r="B1301" s="76">
        <v>1</v>
      </c>
      <c r="C1301" s="76" t="s">
        <v>336</v>
      </c>
      <c r="D1301" s="76">
        <v>2002</v>
      </c>
      <c r="E1301" s="76">
        <v>2003</v>
      </c>
      <c r="F1301" s="81">
        <v>200</v>
      </c>
      <c r="G1301" s="76">
        <v>10</v>
      </c>
      <c r="H1301" s="76">
        <v>0</v>
      </c>
      <c r="I1301" s="79">
        <v>2771</v>
      </c>
      <c r="J1301" s="79">
        <v>3007</v>
      </c>
    </row>
    <row r="1302" spans="1:10" x14ac:dyDescent="0.2">
      <c r="A1302" s="76">
        <v>885</v>
      </c>
      <c r="B1302" s="76">
        <v>1</v>
      </c>
      <c r="C1302" s="76" t="s">
        <v>853</v>
      </c>
      <c r="D1302" s="76">
        <v>2003</v>
      </c>
      <c r="E1302" s="76">
        <v>2004</v>
      </c>
      <c r="F1302" s="81">
        <v>500</v>
      </c>
      <c r="G1302" s="76">
        <v>10</v>
      </c>
      <c r="H1302" s="76">
        <v>0</v>
      </c>
      <c r="I1302" s="79">
        <v>1329</v>
      </c>
      <c r="J1302" s="79">
        <v>1612</v>
      </c>
    </row>
    <row r="1303" spans="1:10" x14ac:dyDescent="0.2">
      <c r="A1303" s="76">
        <v>885</v>
      </c>
      <c r="B1303" s="76">
        <v>1</v>
      </c>
      <c r="C1303" s="76" t="s">
        <v>853</v>
      </c>
      <c r="D1303" s="76">
        <v>2004</v>
      </c>
      <c r="E1303" s="76">
        <v>2005</v>
      </c>
      <c r="F1303" s="81">
        <v>500</v>
      </c>
      <c r="G1303" s="76">
        <v>10</v>
      </c>
      <c r="H1303" s="76">
        <v>1</v>
      </c>
      <c r="I1303" s="79">
        <v>5448</v>
      </c>
      <c r="J1303" s="79">
        <v>4634</v>
      </c>
    </row>
    <row r="1304" spans="1:10" x14ac:dyDescent="0.2">
      <c r="A1304" s="76">
        <v>891</v>
      </c>
      <c r="B1304" s="76">
        <v>1</v>
      </c>
      <c r="C1304" s="76" t="s">
        <v>337</v>
      </c>
      <c r="D1304" s="76">
        <v>1993</v>
      </c>
      <c r="E1304" s="76">
        <v>1994</v>
      </c>
      <c r="F1304" s="81">
        <v>381.4</v>
      </c>
      <c r="G1304" s="76">
        <v>4</v>
      </c>
      <c r="H1304" s="76">
        <v>1</v>
      </c>
      <c r="I1304" s="79" t="s">
        <v>840</v>
      </c>
      <c r="J1304" s="79" t="s">
        <v>840</v>
      </c>
    </row>
    <row r="1305" spans="1:10" x14ac:dyDescent="0.2">
      <c r="A1305" s="76">
        <v>891</v>
      </c>
      <c r="B1305" s="76">
        <v>1</v>
      </c>
      <c r="C1305" s="76" t="s">
        <v>337</v>
      </c>
      <c r="D1305" s="76">
        <v>1997</v>
      </c>
      <c r="E1305" s="76">
        <v>1998</v>
      </c>
      <c r="F1305" s="81">
        <v>315</v>
      </c>
      <c r="G1305" s="76">
        <v>10</v>
      </c>
      <c r="H1305" s="76">
        <v>1</v>
      </c>
      <c r="I1305" s="79">
        <v>590</v>
      </c>
      <c r="J1305" s="79">
        <v>117</v>
      </c>
    </row>
    <row r="1306" spans="1:10" x14ac:dyDescent="0.2">
      <c r="A1306" s="76">
        <v>891</v>
      </c>
      <c r="B1306" s="76">
        <v>1</v>
      </c>
      <c r="C1306" s="76" t="s">
        <v>337</v>
      </c>
      <c r="D1306" s="76">
        <v>2001</v>
      </c>
      <c r="E1306" s="76">
        <v>2002</v>
      </c>
      <c r="F1306" s="81">
        <v>126</v>
      </c>
      <c r="G1306" s="76">
        <v>10</v>
      </c>
      <c r="H1306" s="76">
        <v>1</v>
      </c>
      <c r="I1306" s="79">
        <v>470</v>
      </c>
      <c r="J1306" s="79">
        <v>181</v>
      </c>
    </row>
    <row r="1307" spans="1:10" x14ac:dyDescent="0.2">
      <c r="A1307" s="76">
        <v>891</v>
      </c>
      <c r="B1307" s="76">
        <v>1</v>
      </c>
      <c r="C1307" s="76" t="s">
        <v>337</v>
      </c>
      <c r="D1307" s="76">
        <v>2003</v>
      </c>
      <c r="E1307" s="76">
        <v>2004</v>
      </c>
      <c r="F1307" s="81">
        <v>279</v>
      </c>
      <c r="G1307" s="76">
        <v>8</v>
      </c>
      <c r="H1307" s="76">
        <v>1</v>
      </c>
      <c r="I1307" s="79">
        <v>375</v>
      </c>
      <c r="J1307" s="79">
        <v>171</v>
      </c>
    </row>
    <row r="1308" spans="1:10" x14ac:dyDescent="0.2">
      <c r="A1308" s="76">
        <v>891</v>
      </c>
      <c r="B1308" s="76">
        <v>1</v>
      </c>
      <c r="C1308" s="76" t="s">
        <v>337</v>
      </c>
      <c r="D1308" s="82">
        <v>2007</v>
      </c>
      <c r="E1308" s="83">
        <v>2008</v>
      </c>
      <c r="F1308" s="78">
        <v>200</v>
      </c>
      <c r="G1308" s="76">
        <v>10</v>
      </c>
      <c r="H1308" s="77">
        <v>1</v>
      </c>
      <c r="I1308" s="77">
        <v>362</v>
      </c>
      <c r="J1308" s="79">
        <v>205</v>
      </c>
    </row>
    <row r="1309" spans="1:10" x14ac:dyDescent="0.2">
      <c r="A1309" s="76">
        <v>911</v>
      </c>
      <c r="B1309" s="76">
        <v>1</v>
      </c>
      <c r="C1309" s="76" t="s">
        <v>338</v>
      </c>
      <c r="D1309" s="76">
        <v>1999</v>
      </c>
      <c r="E1309" s="76">
        <v>2000</v>
      </c>
      <c r="F1309" s="81">
        <v>415</v>
      </c>
      <c r="G1309" s="76">
        <v>10</v>
      </c>
      <c r="H1309" s="76">
        <v>1</v>
      </c>
      <c r="I1309" s="79">
        <v>3278</v>
      </c>
      <c r="J1309" s="79">
        <v>2187</v>
      </c>
    </row>
    <row r="1310" spans="1:10" x14ac:dyDescent="0.2">
      <c r="A1310" s="76">
        <v>911</v>
      </c>
      <c r="B1310" s="76">
        <v>1</v>
      </c>
      <c r="C1310" s="76" t="s">
        <v>338</v>
      </c>
      <c r="D1310" s="76">
        <v>2001</v>
      </c>
      <c r="E1310" s="76">
        <v>2002</v>
      </c>
      <c r="F1310" s="81">
        <v>300</v>
      </c>
      <c r="G1310" s="76">
        <v>10</v>
      </c>
      <c r="H1310" s="76">
        <v>0</v>
      </c>
      <c r="I1310" s="79">
        <v>1526</v>
      </c>
      <c r="J1310" s="79">
        <v>2568</v>
      </c>
    </row>
    <row r="1311" spans="1:10" x14ac:dyDescent="0.2">
      <c r="A1311" s="76">
        <v>911</v>
      </c>
      <c r="B1311" s="76">
        <v>1</v>
      </c>
      <c r="C1311" s="76" t="s">
        <v>338</v>
      </c>
      <c r="D1311" s="76">
        <v>2002</v>
      </c>
      <c r="E1311" s="76">
        <v>2003</v>
      </c>
      <c r="F1311" s="81">
        <v>50</v>
      </c>
      <c r="G1311" s="76">
        <v>5</v>
      </c>
      <c r="H1311" s="76">
        <v>0</v>
      </c>
      <c r="I1311" s="79">
        <v>4107</v>
      </c>
      <c r="J1311" s="79">
        <v>5776</v>
      </c>
    </row>
    <row r="1312" spans="1:10" x14ac:dyDescent="0.2">
      <c r="A1312" s="76">
        <v>911</v>
      </c>
      <c r="B1312" s="76">
        <v>1</v>
      </c>
      <c r="C1312" s="76" t="s">
        <v>338</v>
      </c>
      <c r="D1312" s="76">
        <v>2002</v>
      </c>
      <c r="E1312" s="76">
        <v>2003</v>
      </c>
      <c r="F1312" s="81">
        <v>100</v>
      </c>
      <c r="G1312" s="76">
        <v>5</v>
      </c>
      <c r="H1312" s="76">
        <v>0</v>
      </c>
      <c r="I1312" s="79">
        <v>3925</v>
      </c>
      <c r="J1312" s="79">
        <v>5930</v>
      </c>
    </row>
    <row r="1313" spans="1:10" x14ac:dyDescent="0.2">
      <c r="A1313" s="76">
        <v>911</v>
      </c>
      <c r="B1313" s="76">
        <v>1</v>
      </c>
      <c r="C1313" s="76" t="s">
        <v>338</v>
      </c>
      <c r="D1313" s="76">
        <v>2002</v>
      </c>
      <c r="E1313" s="76">
        <v>2003</v>
      </c>
      <c r="F1313" s="81">
        <v>600</v>
      </c>
      <c r="G1313" s="76">
        <v>5</v>
      </c>
      <c r="H1313" s="76">
        <v>0</v>
      </c>
      <c r="I1313" s="79">
        <v>4501</v>
      </c>
      <c r="J1313" s="79">
        <v>5916</v>
      </c>
    </row>
    <row r="1314" spans="1:10" x14ac:dyDescent="0.2">
      <c r="A1314" s="76">
        <v>911</v>
      </c>
      <c r="B1314" s="76">
        <v>1</v>
      </c>
      <c r="C1314" s="76" t="s">
        <v>338</v>
      </c>
      <c r="D1314" s="76">
        <v>2004</v>
      </c>
      <c r="E1314" s="76">
        <v>2005</v>
      </c>
      <c r="F1314" s="81">
        <v>107.58</v>
      </c>
      <c r="G1314" s="76">
        <v>5</v>
      </c>
      <c r="H1314" s="76">
        <v>1</v>
      </c>
      <c r="I1314" s="79">
        <v>7360</v>
      </c>
      <c r="J1314" s="79">
        <v>6251</v>
      </c>
    </row>
    <row r="1315" spans="1:10" x14ac:dyDescent="0.2">
      <c r="A1315" s="76">
        <v>912</v>
      </c>
      <c r="B1315" s="76">
        <v>1</v>
      </c>
      <c r="C1315" s="76" t="s">
        <v>339</v>
      </c>
      <c r="D1315" s="76">
        <v>1994</v>
      </c>
      <c r="E1315" s="76">
        <v>1995</v>
      </c>
      <c r="F1315" s="81">
        <v>374.43</v>
      </c>
      <c r="G1315" s="76">
        <v>10</v>
      </c>
      <c r="H1315" s="76">
        <v>1</v>
      </c>
      <c r="I1315" s="79">
        <v>2588</v>
      </c>
      <c r="J1315" s="79">
        <v>699</v>
      </c>
    </row>
    <row r="1316" spans="1:10" x14ac:dyDescent="0.2">
      <c r="A1316" s="76">
        <v>912</v>
      </c>
      <c r="B1316" s="76">
        <v>1</v>
      </c>
      <c r="C1316" s="76" t="s">
        <v>339</v>
      </c>
      <c r="D1316" s="76">
        <v>2001</v>
      </c>
      <c r="E1316" s="76">
        <v>2002</v>
      </c>
      <c r="F1316" s="81">
        <v>350</v>
      </c>
      <c r="G1316" s="76">
        <v>10</v>
      </c>
      <c r="H1316" s="76">
        <v>0</v>
      </c>
      <c r="I1316" s="79">
        <v>777</v>
      </c>
      <c r="J1316" s="79">
        <v>977</v>
      </c>
    </row>
    <row r="1317" spans="1:10" x14ac:dyDescent="0.2">
      <c r="A1317" s="76">
        <v>912</v>
      </c>
      <c r="B1317" s="76">
        <v>1</v>
      </c>
      <c r="C1317" s="76" t="s">
        <v>339</v>
      </c>
      <c r="D1317" s="76">
        <v>2002</v>
      </c>
      <c r="E1317" s="76">
        <v>2003</v>
      </c>
      <c r="F1317" s="81">
        <v>1</v>
      </c>
      <c r="G1317" s="76">
        <v>10</v>
      </c>
      <c r="H1317" s="76">
        <v>1</v>
      </c>
      <c r="I1317" s="79">
        <v>2164</v>
      </c>
      <c r="J1317" s="79">
        <v>1614</v>
      </c>
    </row>
    <row r="1318" spans="1:10" x14ac:dyDescent="0.2">
      <c r="A1318" s="76">
        <v>912</v>
      </c>
      <c r="B1318" s="76">
        <v>1</v>
      </c>
      <c r="C1318" s="76" t="s">
        <v>339</v>
      </c>
      <c r="D1318" s="82">
        <v>2007</v>
      </c>
      <c r="E1318" s="83">
        <v>2008</v>
      </c>
      <c r="F1318" s="78">
        <v>500</v>
      </c>
      <c r="G1318" s="76">
        <v>10</v>
      </c>
      <c r="H1318" s="77">
        <v>0</v>
      </c>
      <c r="I1318" s="77">
        <v>1000</v>
      </c>
      <c r="J1318" s="79">
        <v>1404</v>
      </c>
    </row>
    <row r="1319" spans="1:10" x14ac:dyDescent="0.2">
      <c r="A1319">
        <v>912</v>
      </c>
      <c r="B1319">
        <v>1</v>
      </c>
      <c r="C1319" t="s">
        <v>339</v>
      </c>
      <c r="D1319">
        <v>2008</v>
      </c>
      <c r="E1319" s="5">
        <v>2009</v>
      </c>
      <c r="F1319" s="6">
        <v>350</v>
      </c>
      <c r="G1319" s="5">
        <v>10</v>
      </c>
      <c r="H1319" s="33">
        <v>0</v>
      </c>
      <c r="I1319" s="33">
        <v>2156</v>
      </c>
      <c r="J1319" s="33">
        <v>3503</v>
      </c>
    </row>
    <row r="1320" spans="1:10" x14ac:dyDescent="0.2">
      <c r="A1320" s="76">
        <v>914</v>
      </c>
      <c r="B1320" s="76">
        <v>1</v>
      </c>
      <c r="C1320" s="76" t="s">
        <v>340</v>
      </c>
      <c r="D1320" s="76">
        <v>1995</v>
      </c>
      <c r="E1320" s="76">
        <v>1996</v>
      </c>
      <c r="F1320" s="81">
        <v>913.15</v>
      </c>
      <c r="G1320" s="76">
        <v>5</v>
      </c>
      <c r="H1320" s="76">
        <v>1</v>
      </c>
      <c r="I1320" s="79">
        <v>406</v>
      </c>
      <c r="J1320" s="79">
        <v>158</v>
      </c>
    </row>
    <row r="1321" spans="1:10" x14ac:dyDescent="0.2">
      <c r="A1321" s="76">
        <v>914</v>
      </c>
      <c r="B1321" s="76">
        <v>1</v>
      </c>
      <c r="C1321" s="76" t="s">
        <v>340</v>
      </c>
      <c r="D1321" s="76">
        <v>2000</v>
      </c>
      <c r="E1321" s="76">
        <v>2001</v>
      </c>
      <c r="F1321" s="81">
        <v>1300</v>
      </c>
      <c r="G1321" s="76">
        <v>5</v>
      </c>
      <c r="H1321" s="76">
        <v>1</v>
      </c>
      <c r="I1321" s="79">
        <v>442</v>
      </c>
      <c r="J1321" s="79">
        <v>390</v>
      </c>
    </row>
    <row r="1322" spans="1:10" x14ac:dyDescent="0.2">
      <c r="A1322" s="76">
        <v>914</v>
      </c>
      <c r="B1322" s="76">
        <v>1</v>
      </c>
      <c r="C1322" s="76" t="s">
        <v>1022</v>
      </c>
      <c r="D1322" s="76">
        <v>2005</v>
      </c>
      <c r="E1322" s="76">
        <v>2006</v>
      </c>
      <c r="F1322" s="81">
        <v>1700</v>
      </c>
      <c r="G1322" s="76">
        <v>5</v>
      </c>
      <c r="H1322" s="78">
        <v>1</v>
      </c>
      <c r="I1322" s="77">
        <v>362</v>
      </c>
      <c r="J1322" s="77">
        <v>130</v>
      </c>
    </row>
    <row r="1323" spans="1:10" x14ac:dyDescent="0.2">
      <c r="A1323" s="76">
        <v>2071</v>
      </c>
      <c r="B1323" s="76">
        <v>1</v>
      </c>
      <c r="C1323" s="76" t="s">
        <v>837</v>
      </c>
      <c r="D1323" s="76">
        <v>2002</v>
      </c>
      <c r="E1323" s="76">
        <v>2003</v>
      </c>
      <c r="F1323" s="81">
        <v>315</v>
      </c>
      <c r="G1323" s="76">
        <v>10</v>
      </c>
      <c r="H1323" s="76">
        <v>1</v>
      </c>
      <c r="I1323" s="79">
        <v>1270</v>
      </c>
      <c r="J1323" s="79">
        <v>825</v>
      </c>
    </row>
    <row r="1324" spans="1:10" x14ac:dyDescent="0.2">
      <c r="A1324" s="76">
        <v>2071</v>
      </c>
      <c r="B1324" s="76">
        <v>1</v>
      </c>
      <c r="C1324" s="76" t="s">
        <v>1023</v>
      </c>
      <c r="D1324" s="76">
        <v>2005</v>
      </c>
      <c r="E1324" s="76">
        <v>2006</v>
      </c>
      <c r="F1324" s="81">
        <v>319.49</v>
      </c>
      <c r="G1324" s="76">
        <v>10</v>
      </c>
      <c r="H1324" s="78">
        <v>1</v>
      </c>
      <c r="I1324" s="77">
        <v>855</v>
      </c>
      <c r="J1324" s="77">
        <v>620</v>
      </c>
    </row>
    <row r="1325" spans="1:10" x14ac:dyDescent="0.2">
      <c r="A1325" s="76">
        <v>2125</v>
      </c>
      <c r="B1325" s="76">
        <v>1</v>
      </c>
      <c r="C1325" s="76" t="s">
        <v>342</v>
      </c>
      <c r="D1325" s="76">
        <v>2002</v>
      </c>
      <c r="E1325" s="76">
        <v>2003</v>
      </c>
      <c r="F1325" s="81">
        <v>350</v>
      </c>
      <c r="G1325" s="76">
        <v>10</v>
      </c>
      <c r="H1325" s="76">
        <v>0</v>
      </c>
      <c r="I1325" s="79">
        <v>836</v>
      </c>
      <c r="J1325" s="79">
        <v>1494</v>
      </c>
    </row>
    <row r="1326" spans="1:10" x14ac:dyDescent="0.2">
      <c r="A1326" s="76">
        <v>2125</v>
      </c>
      <c r="B1326" s="76">
        <v>1</v>
      </c>
      <c r="C1326" s="76" t="s">
        <v>342</v>
      </c>
      <c r="D1326" s="76">
        <v>2003</v>
      </c>
      <c r="E1326" s="76">
        <v>2004</v>
      </c>
      <c r="F1326" s="81">
        <v>350</v>
      </c>
      <c r="G1326" s="76">
        <v>10</v>
      </c>
      <c r="H1326" s="76">
        <v>1</v>
      </c>
      <c r="I1326" s="79">
        <v>624</v>
      </c>
      <c r="J1326" s="79">
        <v>379</v>
      </c>
    </row>
    <row r="1327" spans="1:10" x14ac:dyDescent="0.2">
      <c r="A1327" s="76">
        <v>2125</v>
      </c>
      <c r="B1327" s="76">
        <v>1</v>
      </c>
      <c r="C1327" s="76" t="s">
        <v>342</v>
      </c>
      <c r="D1327" s="82">
        <v>2007</v>
      </c>
      <c r="E1327" s="83">
        <v>2008</v>
      </c>
      <c r="F1327" s="78">
        <v>350</v>
      </c>
      <c r="G1327" s="76">
        <v>10</v>
      </c>
      <c r="H1327" s="77">
        <v>1</v>
      </c>
      <c r="I1327" s="77">
        <v>409</v>
      </c>
      <c r="J1327" s="79">
        <v>398</v>
      </c>
    </row>
    <row r="1328" spans="1:10" x14ac:dyDescent="0.2">
      <c r="A1328" s="76">
        <v>2134</v>
      </c>
      <c r="B1328" s="76">
        <v>1</v>
      </c>
      <c r="C1328" s="76" t="s">
        <v>343</v>
      </c>
      <c r="D1328" s="76">
        <v>1994</v>
      </c>
      <c r="E1328" s="76">
        <v>1995</v>
      </c>
      <c r="F1328" s="81">
        <v>370</v>
      </c>
      <c r="G1328" s="76">
        <v>5</v>
      </c>
      <c r="H1328" s="76">
        <v>1</v>
      </c>
      <c r="I1328" s="79">
        <v>1844</v>
      </c>
      <c r="J1328" s="79">
        <v>1486</v>
      </c>
    </row>
    <row r="1329" spans="1:10" x14ac:dyDescent="0.2">
      <c r="A1329" s="76">
        <v>2134</v>
      </c>
      <c r="B1329" s="76">
        <v>1</v>
      </c>
      <c r="C1329" s="76" t="s">
        <v>343</v>
      </c>
      <c r="D1329" s="76">
        <v>1998</v>
      </c>
      <c r="E1329" s="76">
        <v>2000</v>
      </c>
      <c r="F1329" s="81">
        <v>370</v>
      </c>
      <c r="G1329" s="76">
        <v>10</v>
      </c>
      <c r="H1329" s="76">
        <v>1</v>
      </c>
      <c r="I1329" s="79">
        <v>1915</v>
      </c>
      <c r="J1329" s="79">
        <v>1512</v>
      </c>
    </row>
    <row r="1330" spans="1:10" x14ac:dyDescent="0.2">
      <c r="A1330" s="76">
        <v>2134</v>
      </c>
      <c r="B1330" s="76">
        <v>1</v>
      </c>
      <c r="C1330" s="76" t="s">
        <v>343</v>
      </c>
      <c r="D1330" s="76">
        <v>2003</v>
      </c>
      <c r="E1330" s="76">
        <v>2004</v>
      </c>
      <c r="F1330" s="81">
        <v>300</v>
      </c>
      <c r="G1330" s="76">
        <v>10</v>
      </c>
      <c r="H1330" s="76">
        <v>1</v>
      </c>
      <c r="I1330" s="79">
        <v>1258</v>
      </c>
      <c r="J1330" s="79">
        <v>719</v>
      </c>
    </row>
    <row r="1331" spans="1:10" x14ac:dyDescent="0.2">
      <c r="A1331" s="76">
        <v>2134</v>
      </c>
      <c r="B1331" s="76">
        <v>1</v>
      </c>
      <c r="C1331" s="76" t="s">
        <v>343</v>
      </c>
      <c r="D1331" s="76">
        <v>2006</v>
      </c>
      <c r="E1331" s="78">
        <v>2007</v>
      </c>
      <c r="F1331" s="81">
        <v>357.61</v>
      </c>
      <c r="G1331" s="78">
        <v>5</v>
      </c>
      <c r="H1331" s="76">
        <v>0</v>
      </c>
      <c r="I1331" s="77">
        <v>1390</v>
      </c>
      <c r="J1331" s="77">
        <v>1657</v>
      </c>
    </row>
    <row r="1332" spans="1:10" x14ac:dyDescent="0.2">
      <c r="A1332" s="76">
        <v>2134</v>
      </c>
      <c r="B1332" s="76">
        <v>1</v>
      </c>
      <c r="C1332" s="76" t="s">
        <v>343</v>
      </c>
      <c r="D1332" s="82">
        <v>2007</v>
      </c>
      <c r="E1332" s="83">
        <v>2008</v>
      </c>
      <c r="F1332" s="78">
        <v>357.61</v>
      </c>
      <c r="G1332" s="76">
        <v>5</v>
      </c>
      <c r="H1332" s="77">
        <v>1</v>
      </c>
      <c r="I1332" s="77">
        <v>1339</v>
      </c>
      <c r="J1332" s="79">
        <v>718</v>
      </c>
    </row>
    <row r="1333" spans="1:10" x14ac:dyDescent="0.2">
      <c r="A1333" s="76">
        <v>2135</v>
      </c>
      <c r="B1333" s="76">
        <v>1</v>
      </c>
      <c r="C1333" s="76" t="s">
        <v>344</v>
      </c>
      <c r="D1333" s="76">
        <v>2003</v>
      </c>
      <c r="E1333" s="76">
        <v>2004</v>
      </c>
      <c r="F1333" s="81">
        <v>230</v>
      </c>
      <c r="G1333" s="76">
        <v>5</v>
      </c>
      <c r="H1333" s="76">
        <v>0</v>
      </c>
      <c r="I1333" s="79">
        <v>459</v>
      </c>
      <c r="J1333" s="79">
        <v>482</v>
      </c>
    </row>
    <row r="1334" spans="1:10" x14ac:dyDescent="0.2">
      <c r="A1334" s="76">
        <v>2135</v>
      </c>
      <c r="B1334" s="76">
        <v>1</v>
      </c>
      <c r="C1334" s="76" t="s">
        <v>344</v>
      </c>
      <c r="D1334" s="76">
        <v>2004</v>
      </c>
      <c r="E1334" s="76">
        <v>2005</v>
      </c>
      <c r="F1334" s="81">
        <v>889.34</v>
      </c>
      <c r="G1334" s="76">
        <v>5</v>
      </c>
      <c r="H1334" s="76">
        <v>1</v>
      </c>
      <c r="I1334" s="79">
        <v>1945</v>
      </c>
      <c r="J1334" s="79">
        <v>1461</v>
      </c>
    </row>
    <row r="1335" spans="1:10" x14ac:dyDescent="0.2">
      <c r="A1335" s="76">
        <v>2137</v>
      </c>
      <c r="B1335" s="76">
        <v>1</v>
      </c>
      <c r="C1335" s="76" t="s">
        <v>345</v>
      </c>
      <c r="D1335" s="76">
        <v>2001</v>
      </c>
      <c r="E1335" s="76">
        <v>2002</v>
      </c>
      <c r="F1335" s="81">
        <v>300</v>
      </c>
      <c r="G1335" s="76">
        <v>10</v>
      </c>
      <c r="H1335" s="76">
        <v>1</v>
      </c>
      <c r="I1335" s="79">
        <v>529</v>
      </c>
      <c r="J1335" s="79">
        <v>410</v>
      </c>
    </row>
    <row r="1336" spans="1:10" x14ac:dyDescent="0.2">
      <c r="A1336" s="76">
        <v>2137</v>
      </c>
      <c r="B1336" s="76">
        <v>1</v>
      </c>
      <c r="C1336" s="76" t="s">
        <v>345</v>
      </c>
      <c r="D1336" s="76">
        <v>2004</v>
      </c>
      <c r="E1336" s="76">
        <v>2005</v>
      </c>
      <c r="F1336" s="81">
        <v>500</v>
      </c>
      <c r="G1336" s="76">
        <v>10</v>
      </c>
      <c r="H1336" s="76">
        <v>0</v>
      </c>
      <c r="I1336" s="79">
        <v>1273</v>
      </c>
      <c r="J1336" s="79">
        <v>1701</v>
      </c>
    </row>
    <row r="1337" spans="1:10" x14ac:dyDescent="0.2">
      <c r="A1337" s="76">
        <v>2142</v>
      </c>
      <c r="B1337" s="76">
        <v>1</v>
      </c>
      <c r="C1337" s="76" t="s">
        <v>346</v>
      </c>
      <c r="D1337" s="76">
        <v>2001</v>
      </c>
      <c r="E1337" s="76">
        <v>2002</v>
      </c>
      <c r="F1337" s="81">
        <v>126</v>
      </c>
      <c r="G1337" s="76">
        <v>10</v>
      </c>
      <c r="H1337" s="76">
        <v>0</v>
      </c>
      <c r="I1337" s="79">
        <v>1524</v>
      </c>
      <c r="J1337" s="79">
        <v>1166</v>
      </c>
    </row>
    <row r="1338" spans="1:10" x14ac:dyDescent="0.2">
      <c r="A1338" s="76">
        <v>2142</v>
      </c>
      <c r="B1338" s="76">
        <v>1</v>
      </c>
      <c r="C1338" s="76" t="s">
        <v>346</v>
      </c>
      <c r="D1338" s="76">
        <v>2006</v>
      </c>
      <c r="E1338" s="78">
        <v>2007</v>
      </c>
      <c r="F1338" s="81">
        <v>500</v>
      </c>
      <c r="G1338" s="78">
        <v>10</v>
      </c>
      <c r="H1338" s="76">
        <v>0</v>
      </c>
      <c r="I1338" s="77">
        <v>3851</v>
      </c>
      <c r="J1338" s="77">
        <v>4157</v>
      </c>
    </row>
    <row r="1339" spans="1:10" x14ac:dyDescent="0.2">
      <c r="A1339" s="76">
        <v>2142</v>
      </c>
      <c r="B1339" s="76">
        <v>1</v>
      </c>
      <c r="C1339" s="76" t="s">
        <v>346</v>
      </c>
      <c r="D1339" s="82">
        <v>2007</v>
      </c>
      <c r="E1339" s="83">
        <v>2008</v>
      </c>
      <c r="F1339" s="78">
        <v>500</v>
      </c>
      <c r="G1339" s="76">
        <v>10</v>
      </c>
      <c r="H1339" s="77">
        <v>0</v>
      </c>
      <c r="I1339" s="77">
        <v>1565</v>
      </c>
      <c r="J1339" s="79">
        <v>1967</v>
      </c>
    </row>
    <row r="1340" spans="1:10" x14ac:dyDescent="0.2">
      <c r="A1340">
        <v>2142</v>
      </c>
      <c r="B1340">
        <v>1</v>
      </c>
      <c r="C1340" t="s">
        <v>346</v>
      </c>
      <c r="D1340">
        <v>2008</v>
      </c>
      <c r="E1340" s="5">
        <v>2009</v>
      </c>
      <c r="F1340" s="6">
        <v>300</v>
      </c>
      <c r="G1340" s="5">
        <v>5</v>
      </c>
      <c r="H1340" s="33">
        <v>0</v>
      </c>
      <c r="I1340" s="88">
        <v>4882</v>
      </c>
      <c r="J1340" s="88">
        <v>5856</v>
      </c>
    </row>
    <row r="1341" spans="1:10" x14ac:dyDescent="0.2">
      <c r="A1341" s="76">
        <v>2143</v>
      </c>
      <c r="B1341" s="76">
        <v>1</v>
      </c>
      <c r="C1341" s="76" t="s">
        <v>347</v>
      </c>
      <c r="D1341" s="76">
        <v>1995</v>
      </c>
      <c r="E1341" s="76">
        <v>1996</v>
      </c>
      <c r="F1341" s="81">
        <v>229.54</v>
      </c>
      <c r="G1341" s="76">
        <v>10</v>
      </c>
      <c r="H1341" s="76">
        <v>1</v>
      </c>
      <c r="I1341" s="79">
        <v>543</v>
      </c>
      <c r="J1341" s="79">
        <v>259</v>
      </c>
    </row>
    <row r="1342" spans="1:10" x14ac:dyDescent="0.2">
      <c r="A1342" s="76">
        <v>2143</v>
      </c>
      <c r="B1342" s="76">
        <v>1</v>
      </c>
      <c r="C1342" s="76" t="s">
        <v>347</v>
      </c>
      <c r="D1342" s="76">
        <v>2001</v>
      </c>
      <c r="E1342" s="76">
        <v>2002</v>
      </c>
      <c r="F1342" s="81">
        <v>300</v>
      </c>
      <c r="G1342" s="76">
        <v>7</v>
      </c>
      <c r="H1342" s="76">
        <v>0</v>
      </c>
      <c r="I1342" s="79">
        <v>396</v>
      </c>
      <c r="J1342" s="79">
        <v>633</v>
      </c>
    </row>
    <row r="1343" spans="1:10" x14ac:dyDescent="0.2">
      <c r="A1343" s="76">
        <v>2143</v>
      </c>
      <c r="B1343" s="76">
        <v>1</v>
      </c>
      <c r="C1343" s="76" t="s">
        <v>347</v>
      </c>
      <c r="D1343" s="76">
        <v>2002</v>
      </c>
      <c r="E1343" s="76">
        <v>2003</v>
      </c>
      <c r="F1343" s="81">
        <v>450</v>
      </c>
      <c r="G1343" s="76">
        <v>7</v>
      </c>
      <c r="H1343" s="76">
        <v>1</v>
      </c>
      <c r="I1343" s="79">
        <v>1920</v>
      </c>
      <c r="J1343" s="79">
        <v>996</v>
      </c>
    </row>
    <row r="1344" spans="1:10" x14ac:dyDescent="0.2">
      <c r="A1344" s="76">
        <v>2144</v>
      </c>
      <c r="B1344" s="76">
        <v>1</v>
      </c>
      <c r="C1344" s="76" t="s">
        <v>342</v>
      </c>
      <c r="D1344" s="76">
        <v>1993</v>
      </c>
      <c r="E1344" s="76">
        <v>1994</v>
      </c>
      <c r="F1344" s="81">
        <v>395.66</v>
      </c>
      <c r="G1344" s="76">
        <v>5</v>
      </c>
      <c r="H1344" s="76">
        <v>0</v>
      </c>
      <c r="I1344" s="79" t="s">
        <v>840</v>
      </c>
      <c r="J1344" s="79" t="s">
        <v>840</v>
      </c>
    </row>
    <row r="1345" spans="1:10" x14ac:dyDescent="0.2">
      <c r="A1345" s="76">
        <v>2144</v>
      </c>
      <c r="B1345" s="76">
        <v>1</v>
      </c>
      <c r="C1345" s="76" t="s">
        <v>605</v>
      </c>
      <c r="D1345" s="76">
        <v>2000</v>
      </c>
      <c r="E1345" s="76">
        <v>2001</v>
      </c>
      <c r="F1345" s="81">
        <v>415</v>
      </c>
      <c r="G1345" s="76">
        <v>10</v>
      </c>
      <c r="H1345" s="76">
        <v>1</v>
      </c>
      <c r="I1345" s="79">
        <v>3565</v>
      </c>
      <c r="J1345" s="79">
        <v>2027</v>
      </c>
    </row>
    <row r="1346" spans="1:10" x14ac:dyDescent="0.2">
      <c r="A1346" s="76">
        <v>2144</v>
      </c>
      <c r="B1346" s="76">
        <v>1</v>
      </c>
      <c r="C1346" s="76" t="s">
        <v>348</v>
      </c>
      <c r="D1346" s="76">
        <v>2001</v>
      </c>
      <c r="E1346" s="76">
        <v>2002</v>
      </c>
      <c r="F1346" s="81">
        <v>400</v>
      </c>
      <c r="G1346" s="76">
        <v>10</v>
      </c>
      <c r="H1346" s="76">
        <v>1</v>
      </c>
      <c r="I1346" s="79">
        <v>1971</v>
      </c>
      <c r="J1346" s="79">
        <v>1848</v>
      </c>
    </row>
    <row r="1347" spans="1:10" x14ac:dyDescent="0.2">
      <c r="A1347" s="76">
        <v>2149</v>
      </c>
      <c r="B1347" s="76">
        <v>1</v>
      </c>
      <c r="C1347" s="76" t="s">
        <v>349</v>
      </c>
      <c r="D1347" s="76">
        <v>1995</v>
      </c>
      <c r="E1347" s="76">
        <v>1996</v>
      </c>
      <c r="F1347" s="81">
        <v>238.5</v>
      </c>
      <c r="G1347" s="76">
        <v>10</v>
      </c>
      <c r="H1347" s="76">
        <v>1</v>
      </c>
      <c r="I1347" s="79">
        <v>681</v>
      </c>
      <c r="J1347" s="79">
        <v>522</v>
      </c>
    </row>
    <row r="1348" spans="1:10" x14ac:dyDescent="0.2">
      <c r="A1348" s="76">
        <v>2149</v>
      </c>
      <c r="B1348" s="76">
        <v>1</v>
      </c>
      <c r="C1348" s="76" t="s">
        <v>349</v>
      </c>
      <c r="D1348" s="76">
        <v>1999</v>
      </c>
      <c r="E1348" s="76">
        <v>2000</v>
      </c>
      <c r="F1348" s="81">
        <v>220.38</v>
      </c>
      <c r="G1348" s="76">
        <v>10</v>
      </c>
      <c r="H1348" s="76">
        <v>1</v>
      </c>
      <c r="I1348" s="79">
        <v>884</v>
      </c>
      <c r="J1348" s="79">
        <v>631</v>
      </c>
    </row>
    <row r="1349" spans="1:10" x14ac:dyDescent="0.2">
      <c r="A1349" s="76">
        <v>2149</v>
      </c>
      <c r="B1349" s="76">
        <v>1</v>
      </c>
      <c r="C1349" s="76" t="s">
        <v>349</v>
      </c>
      <c r="D1349" s="76">
        <v>2002</v>
      </c>
      <c r="E1349" s="76">
        <v>2003</v>
      </c>
      <c r="F1349" s="81">
        <v>607</v>
      </c>
      <c r="G1349" s="76">
        <v>10</v>
      </c>
      <c r="H1349" s="76">
        <v>0</v>
      </c>
      <c r="I1349" s="79">
        <v>1702</v>
      </c>
      <c r="J1349" s="79">
        <v>2558</v>
      </c>
    </row>
    <row r="1350" spans="1:10" x14ac:dyDescent="0.2">
      <c r="A1350" s="76">
        <v>2149</v>
      </c>
      <c r="B1350" s="76">
        <v>1</v>
      </c>
      <c r="C1350" s="76" t="s">
        <v>349</v>
      </c>
      <c r="D1350" s="76">
        <v>2003</v>
      </c>
      <c r="E1350" s="76">
        <v>2004</v>
      </c>
      <c r="F1350" s="81">
        <v>838</v>
      </c>
      <c r="G1350" s="76">
        <v>5</v>
      </c>
      <c r="H1350" s="76">
        <v>0</v>
      </c>
      <c r="I1350" s="79">
        <v>1397</v>
      </c>
      <c r="J1350" s="79">
        <v>1430</v>
      </c>
    </row>
    <row r="1351" spans="1:10" x14ac:dyDescent="0.2">
      <c r="A1351" s="76">
        <v>2149</v>
      </c>
      <c r="B1351" s="76">
        <v>1</v>
      </c>
      <c r="C1351" s="76" t="s">
        <v>349</v>
      </c>
      <c r="D1351" s="76">
        <v>2004</v>
      </c>
      <c r="E1351" s="76">
        <v>2005</v>
      </c>
      <c r="F1351" s="81">
        <v>1100.2</v>
      </c>
      <c r="G1351" s="76">
        <v>10</v>
      </c>
      <c r="H1351" s="76">
        <v>0</v>
      </c>
      <c r="I1351" s="79">
        <v>2598</v>
      </c>
      <c r="J1351" s="79">
        <v>2760</v>
      </c>
    </row>
    <row r="1352" spans="1:10" x14ac:dyDescent="0.2">
      <c r="A1352" s="76">
        <v>2149</v>
      </c>
      <c r="B1352" s="76">
        <v>1</v>
      </c>
      <c r="C1352" s="76" t="s">
        <v>349</v>
      </c>
      <c r="D1352" s="76">
        <v>2006</v>
      </c>
      <c r="E1352" s="78">
        <v>2007</v>
      </c>
      <c r="F1352" s="81">
        <v>629</v>
      </c>
      <c r="G1352" s="78">
        <v>10</v>
      </c>
      <c r="H1352" s="76">
        <v>1</v>
      </c>
      <c r="I1352" s="77">
        <v>2593</v>
      </c>
      <c r="J1352" s="77">
        <v>2393</v>
      </c>
    </row>
    <row r="1353" spans="1:10" x14ac:dyDescent="0.2">
      <c r="A1353" s="76">
        <v>2153</v>
      </c>
      <c r="B1353" s="76">
        <v>1</v>
      </c>
      <c r="C1353" s="76" t="s">
        <v>773</v>
      </c>
      <c r="D1353" s="76">
        <v>1995</v>
      </c>
      <c r="E1353" s="76">
        <v>1997</v>
      </c>
      <c r="F1353" s="81">
        <v>422.03</v>
      </c>
      <c r="G1353" s="76">
        <v>5</v>
      </c>
      <c r="H1353" s="76">
        <v>1</v>
      </c>
      <c r="I1353" s="79">
        <v>527</v>
      </c>
      <c r="J1353" s="79">
        <v>443</v>
      </c>
    </row>
    <row r="1354" spans="1:10" x14ac:dyDescent="0.2">
      <c r="A1354" s="76">
        <v>2154</v>
      </c>
      <c r="B1354" s="76">
        <v>1</v>
      </c>
      <c r="C1354" s="76" t="s">
        <v>350</v>
      </c>
      <c r="D1354" s="76">
        <v>1993</v>
      </c>
      <c r="E1354" s="76">
        <v>1994</v>
      </c>
      <c r="F1354" s="81">
        <v>268.73</v>
      </c>
      <c r="G1354" s="76">
        <v>5</v>
      </c>
      <c r="H1354" s="76">
        <v>1</v>
      </c>
      <c r="I1354" s="79" t="s">
        <v>840</v>
      </c>
      <c r="J1354" s="79" t="s">
        <v>840</v>
      </c>
    </row>
    <row r="1355" spans="1:10" x14ac:dyDescent="0.2">
      <c r="A1355" s="76">
        <v>2154</v>
      </c>
      <c r="B1355" s="76">
        <v>1</v>
      </c>
      <c r="C1355" s="76" t="s">
        <v>350</v>
      </c>
      <c r="D1355" s="76">
        <v>1998</v>
      </c>
      <c r="E1355" s="76">
        <v>1999</v>
      </c>
      <c r="F1355" s="81">
        <v>247.38</v>
      </c>
      <c r="G1355" s="76">
        <v>10</v>
      </c>
      <c r="H1355" s="76">
        <v>1</v>
      </c>
      <c r="I1355" s="79">
        <v>2391</v>
      </c>
      <c r="J1355" s="79">
        <v>2202</v>
      </c>
    </row>
    <row r="1356" spans="1:10" x14ac:dyDescent="0.2">
      <c r="A1356" s="76">
        <v>2154</v>
      </c>
      <c r="B1356" s="76">
        <v>1</v>
      </c>
      <c r="C1356" s="76" t="s">
        <v>350</v>
      </c>
      <c r="D1356" s="76">
        <v>2000</v>
      </c>
      <c r="E1356" s="76">
        <v>2001</v>
      </c>
      <c r="F1356" s="81">
        <v>53.69</v>
      </c>
      <c r="G1356" s="76">
        <v>10</v>
      </c>
      <c r="H1356" s="76">
        <v>0</v>
      </c>
      <c r="I1356" s="79">
        <v>2268</v>
      </c>
      <c r="J1356" s="79">
        <v>2456</v>
      </c>
    </row>
    <row r="1357" spans="1:10" x14ac:dyDescent="0.2">
      <c r="A1357" s="76">
        <v>2154</v>
      </c>
      <c r="B1357" s="76">
        <v>1</v>
      </c>
      <c r="C1357" s="76" t="s">
        <v>350</v>
      </c>
      <c r="D1357" s="76">
        <v>2001</v>
      </c>
      <c r="E1357" s="76">
        <v>2002</v>
      </c>
      <c r="F1357" s="81">
        <v>334.64</v>
      </c>
      <c r="G1357" s="76">
        <v>10</v>
      </c>
      <c r="H1357" s="76">
        <v>1</v>
      </c>
      <c r="I1357" s="79">
        <v>1292</v>
      </c>
      <c r="J1357" s="79">
        <v>1287</v>
      </c>
    </row>
    <row r="1358" spans="1:10" x14ac:dyDescent="0.2">
      <c r="A1358" s="76">
        <v>2155</v>
      </c>
      <c r="B1358" s="76">
        <v>1</v>
      </c>
      <c r="C1358" s="76" t="s">
        <v>351</v>
      </c>
      <c r="D1358" s="76">
        <v>1994</v>
      </c>
      <c r="E1358" s="76">
        <v>1995</v>
      </c>
      <c r="F1358" s="81">
        <v>417.71</v>
      </c>
      <c r="G1358" s="76">
        <v>10</v>
      </c>
      <c r="H1358" s="76">
        <v>1</v>
      </c>
      <c r="I1358" s="79">
        <v>1622</v>
      </c>
      <c r="J1358" s="79">
        <v>1422</v>
      </c>
    </row>
    <row r="1359" spans="1:10" x14ac:dyDescent="0.2">
      <c r="A1359" s="76">
        <v>2155</v>
      </c>
      <c r="B1359" s="76">
        <v>1</v>
      </c>
      <c r="C1359" s="76" t="s">
        <v>351</v>
      </c>
      <c r="D1359" s="76">
        <v>2001</v>
      </c>
      <c r="E1359" s="76">
        <v>2002</v>
      </c>
      <c r="F1359" s="81">
        <v>100</v>
      </c>
      <c r="G1359" s="76">
        <v>10</v>
      </c>
      <c r="H1359" s="76">
        <v>1</v>
      </c>
      <c r="I1359" s="79">
        <v>681</v>
      </c>
      <c r="J1359" s="79">
        <v>467</v>
      </c>
    </row>
    <row r="1360" spans="1:10" x14ac:dyDescent="0.2">
      <c r="A1360" s="76">
        <v>2155</v>
      </c>
      <c r="B1360" s="76">
        <v>1</v>
      </c>
      <c r="C1360" s="76" t="s">
        <v>351</v>
      </c>
      <c r="D1360" s="82">
        <v>2007</v>
      </c>
      <c r="E1360" s="83">
        <v>2008</v>
      </c>
      <c r="F1360" s="78">
        <v>598.83000000000004</v>
      </c>
      <c r="G1360" s="76">
        <v>10</v>
      </c>
      <c r="H1360" s="77">
        <v>0</v>
      </c>
      <c r="I1360" s="77">
        <v>671</v>
      </c>
      <c r="J1360" s="79">
        <v>1277</v>
      </c>
    </row>
    <row r="1361" spans="1:10" x14ac:dyDescent="0.2">
      <c r="A1361" s="76">
        <v>2159</v>
      </c>
      <c r="B1361" s="76">
        <v>1</v>
      </c>
      <c r="C1361" s="76" t="s">
        <v>352</v>
      </c>
      <c r="D1361" s="76">
        <v>2003</v>
      </c>
      <c r="E1361" s="76">
        <v>2004</v>
      </c>
      <c r="F1361" s="81">
        <v>800</v>
      </c>
      <c r="G1361" s="76">
        <v>10</v>
      </c>
      <c r="H1361" s="76">
        <v>1</v>
      </c>
      <c r="I1361" s="79">
        <v>574</v>
      </c>
      <c r="J1361" s="79">
        <v>301</v>
      </c>
    </row>
    <row r="1362" spans="1:10" x14ac:dyDescent="0.2">
      <c r="A1362" s="76">
        <v>2164</v>
      </c>
      <c r="B1362" s="76">
        <v>1</v>
      </c>
      <c r="C1362" s="76" t="s">
        <v>353</v>
      </c>
      <c r="D1362" s="76">
        <v>1997</v>
      </c>
      <c r="E1362" s="76">
        <v>1998</v>
      </c>
      <c r="F1362" s="81">
        <v>205</v>
      </c>
      <c r="G1362" s="76">
        <v>5</v>
      </c>
      <c r="H1362" s="76">
        <v>1</v>
      </c>
      <c r="I1362" s="79">
        <v>714</v>
      </c>
      <c r="J1362" s="79">
        <v>651</v>
      </c>
    </row>
    <row r="1363" spans="1:10" x14ac:dyDescent="0.2">
      <c r="A1363" s="76">
        <v>2164</v>
      </c>
      <c r="B1363" s="76">
        <v>1</v>
      </c>
      <c r="C1363" s="76" t="s">
        <v>353</v>
      </c>
      <c r="D1363" s="82">
        <v>2007</v>
      </c>
      <c r="E1363" s="83">
        <v>2008</v>
      </c>
      <c r="F1363" s="78">
        <v>500</v>
      </c>
      <c r="G1363" s="76">
        <v>6</v>
      </c>
      <c r="H1363" s="77">
        <v>1</v>
      </c>
      <c r="I1363" s="77">
        <v>735</v>
      </c>
      <c r="J1363" s="79">
        <v>655</v>
      </c>
    </row>
    <row r="1364" spans="1:10" x14ac:dyDescent="0.2">
      <c r="A1364" s="76">
        <v>2165</v>
      </c>
      <c r="B1364" s="76">
        <v>1</v>
      </c>
      <c r="C1364" s="76" t="s">
        <v>774</v>
      </c>
      <c r="D1364" s="76">
        <v>1994</v>
      </c>
      <c r="E1364" s="76">
        <v>1995</v>
      </c>
      <c r="F1364" s="81">
        <v>256.85000000000002</v>
      </c>
      <c r="G1364" s="76">
        <v>10</v>
      </c>
      <c r="H1364" s="76">
        <v>0</v>
      </c>
      <c r="I1364" s="79">
        <v>1116</v>
      </c>
      <c r="J1364" s="79">
        <v>1152</v>
      </c>
    </row>
    <row r="1365" spans="1:10" x14ac:dyDescent="0.2">
      <c r="A1365" s="76">
        <v>2165</v>
      </c>
      <c r="B1365" s="76">
        <v>1</v>
      </c>
      <c r="C1365" s="76" t="s">
        <v>354</v>
      </c>
      <c r="D1365" s="76">
        <v>1995</v>
      </c>
      <c r="E1365" s="76">
        <v>1996</v>
      </c>
      <c r="F1365" s="81">
        <v>242.59</v>
      </c>
      <c r="G1365" s="76">
        <v>7</v>
      </c>
      <c r="H1365" s="76">
        <v>1</v>
      </c>
      <c r="I1365" s="79">
        <v>565</v>
      </c>
      <c r="J1365" s="79">
        <v>110</v>
      </c>
    </row>
    <row r="1366" spans="1:10" x14ac:dyDescent="0.2">
      <c r="A1366" s="76">
        <v>2165</v>
      </c>
      <c r="B1366" s="76">
        <v>1</v>
      </c>
      <c r="C1366" s="76" t="s">
        <v>354</v>
      </c>
      <c r="D1366" s="76">
        <v>2001</v>
      </c>
      <c r="E1366" s="76">
        <v>2002</v>
      </c>
      <c r="F1366" s="81">
        <v>126</v>
      </c>
      <c r="G1366" s="76">
        <v>7</v>
      </c>
      <c r="H1366" s="76">
        <v>1</v>
      </c>
      <c r="I1366" s="79">
        <v>429</v>
      </c>
      <c r="J1366" s="79">
        <v>208</v>
      </c>
    </row>
    <row r="1367" spans="1:10" x14ac:dyDescent="0.2">
      <c r="A1367" s="76">
        <v>2165</v>
      </c>
      <c r="B1367" s="76">
        <v>1</v>
      </c>
      <c r="C1367" s="76" t="s">
        <v>354</v>
      </c>
      <c r="D1367" s="82">
        <v>2007</v>
      </c>
      <c r="E1367" s="83">
        <v>2009</v>
      </c>
      <c r="F1367" s="78">
        <v>300</v>
      </c>
      <c r="G1367" s="76">
        <v>7</v>
      </c>
      <c r="H1367" s="77">
        <v>1</v>
      </c>
      <c r="I1367" s="77">
        <v>365</v>
      </c>
      <c r="J1367" s="79">
        <v>314</v>
      </c>
    </row>
    <row r="1368" spans="1:10" x14ac:dyDescent="0.2">
      <c r="A1368" s="76">
        <v>2167</v>
      </c>
      <c r="B1368" s="76">
        <v>1</v>
      </c>
      <c r="C1368" s="76" t="s">
        <v>355</v>
      </c>
      <c r="D1368" s="76">
        <v>2001</v>
      </c>
      <c r="E1368" s="76">
        <v>2002</v>
      </c>
      <c r="F1368" s="81">
        <v>5</v>
      </c>
      <c r="G1368" s="76">
        <v>10</v>
      </c>
      <c r="H1368" s="76">
        <v>1</v>
      </c>
      <c r="I1368" s="79">
        <v>372</v>
      </c>
      <c r="J1368" s="79">
        <v>211</v>
      </c>
    </row>
    <row r="1369" spans="1:10" x14ac:dyDescent="0.2">
      <c r="A1369" s="76">
        <v>2167</v>
      </c>
      <c r="B1369" s="76">
        <v>1</v>
      </c>
      <c r="C1369" s="76" t="s">
        <v>355</v>
      </c>
      <c r="D1369" s="76">
        <v>2004</v>
      </c>
      <c r="E1369" s="76">
        <v>2005</v>
      </c>
      <c r="F1369" s="81">
        <v>495</v>
      </c>
      <c r="G1369" s="76">
        <v>7</v>
      </c>
      <c r="H1369" s="76">
        <v>1</v>
      </c>
      <c r="I1369" s="79">
        <v>897</v>
      </c>
      <c r="J1369" s="79">
        <v>584</v>
      </c>
    </row>
    <row r="1370" spans="1:10" x14ac:dyDescent="0.2">
      <c r="A1370">
        <v>2168</v>
      </c>
      <c r="B1370">
        <v>1</v>
      </c>
      <c r="C1370" t="s">
        <v>356</v>
      </c>
      <c r="D1370">
        <v>2008</v>
      </c>
      <c r="E1370" s="5">
        <v>2009</v>
      </c>
      <c r="F1370" s="6">
        <v>450</v>
      </c>
      <c r="G1370" s="5">
        <v>10</v>
      </c>
      <c r="H1370" s="33">
        <v>0</v>
      </c>
      <c r="I1370" s="33">
        <v>1174</v>
      </c>
      <c r="J1370" s="33">
        <v>1600</v>
      </c>
    </row>
    <row r="1371" spans="1:10" x14ac:dyDescent="0.2">
      <c r="A1371" s="76">
        <v>2169</v>
      </c>
      <c r="B1371" s="76">
        <v>1</v>
      </c>
      <c r="C1371" s="76" t="s">
        <v>357</v>
      </c>
      <c r="D1371" s="76">
        <v>2001</v>
      </c>
      <c r="E1371" s="76">
        <v>2002</v>
      </c>
      <c r="F1371" s="81">
        <v>828.15</v>
      </c>
      <c r="G1371" s="76">
        <v>10</v>
      </c>
      <c r="H1371" s="76">
        <v>1</v>
      </c>
      <c r="I1371" s="79">
        <v>817</v>
      </c>
      <c r="J1371" s="79">
        <v>618</v>
      </c>
    </row>
    <row r="1372" spans="1:10" x14ac:dyDescent="0.2">
      <c r="A1372" s="76">
        <v>2169</v>
      </c>
      <c r="B1372" s="76">
        <v>1</v>
      </c>
      <c r="C1372" s="76" t="s">
        <v>357</v>
      </c>
      <c r="D1372" s="76">
        <v>2006</v>
      </c>
      <c r="E1372" s="78">
        <v>2007</v>
      </c>
      <c r="F1372" s="81">
        <v>450</v>
      </c>
      <c r="G1372" s="78">
        <v>7</v>
      </c>
      <c r="H1372" s="76">
        <v>1</v>
      </c>
      <c r="I1372" s="77">
        <v>1281</v>
      </c>
      <c r="J1372" s="77">
        <v>994</v>
      </c>
    </row>
    <row r="1373" spans="1:10" x14ac:dyDescent="0.2">
      <c r="A1373" s="76">
        <v>2170</v>
      </c>
      <c r="B1373" s="76">
        <v>1</v>
      </c>
      <c r="C1373" s="76" t="s">
        <v>358</v>
      </c>
      <c r="D1373" s="76">
        <v>1997</v>
      </c>
      <c r="E1373" s="76">
        <v>1998</v>
      </c>
      <c r="F1373" s="81">
        <v>315</v>
      </c>
      <c r="G1373" s="76">
        <v>6</v>
      </c>
      <c r="H1373" s="76">
        <v>0</v>
      </c>
      <c r="I1373" s="79">
        <v>1088</v>
      </c>
      <c r="J1373" s="79">
        <v>1206</v>
      </c>
    </row>
    <row r="1374" spans="1:10" x14ac:dyDescent="0.2">
      <c r="A1374" s="76">
        <v>2170</v>
      </c>
      <c r="B1374" s="76">
        <v>1</v>
      </c>
      <c r="C1374" s="76" t="s">
        <v>358</v>
      </c>
      <c r="D1374" s="76">
        <v>1998</v>
      </c>
      <c r="E1374" s="76">
        <v>1999</v>
      </c>
      <c r="F1374" s="81">
        <v>350</v>
      </c>
      <c r="G1374" s="76">
        <v>10</v>
      </c>
      <c r="H1374" s="76">
        <v>0</v>
      </c>
      <c r="I1374" s="79">
        <v>1956</v>
      </c>
      <c r="J1374" s="79">
        <v>1978</v>
      </c>
    </row>
    <row r="1375" spans="1:10" x14ac:dyDescent="0.2">
      <c r="A1375" s="76">
        <v>2170</v>
      </c>
      <c r="B1375" s="76">
        <v>1</v>
      </c>
      <c r="C1375" s="76" t="s">
        <v>358</v>
      </c>
      <c r="D1375" s="76">
        <v>1999</v>
      </c>
      <c r="E1375" s="76">
        <v>2000</v>
      </c>
      <c r="F1375" s="81">
        <v>415</v>
      </c>
      <c r="G1375" s="76">
        <v>6</v>
      </c>
      <c r="H1375" s="76">
        <v>1</v>
      </c>
      <c r="I1375" s="79">
        <v>1325</v>
      </c>
      <c r="J1375" s="79">
        <v>923</v>
      </c>
    </row>
    <row r="1376" spans="1:10" x14ac:dyDescent="0.2">
      <c r="A1376" s="76">
        <v>2170</v>
      </c>
      <c r="B1376" s="76">
        <v>1</v>
      </c>
      <c r="C1376" s="76" t="s">
        <v>358</v>
      </c>
      <c r="D1376" s="76">
        <v>2002</v>
      </c>
      <c r="E1376" s="76">
        <v>2003</v>
      </c>
      <c r="F1376" s="81">
        <v>415</v>
      </c>
      <c r="G1376" s="76">
        <v>6</v>
      </c>
      <c r="H1376" s="76">
        <v>0</v>
      </c>
      <c r="I1376" s="79">
        <v>1473</v>
      </c>
      <c r="J1376" s="79">
        <v>2193</v>
      </c>
    </row>
    <row r="1377" spans="1:10" x14ac:dyDescent="0.2">
      <c r="A1377" s="76">
        <v>2170</v>
      </c>
      <c r="B1377" s="76">
        <v>1</v>
      </c>
      <c r="C1377" s="76" t="s">
        <v>358</v>
      </c>
      <c r="D1377" s="76">
        <v>2003</v>
      </c>
      <c r="E1377" s="76">
        <v>2004</v>
      </c>
      <c r="F1377" s="81">
        <v>794.29</v>
      </c>
      <c r="G1377" s="76">
        <v>6</v>
      </c>
      <c r="H1377" s="76">
        <v>0</v>
      </c>
      <c r="I1377" s="79">
        <v>1131</v>
      </c>
      <c r="J1377" s="79">
        <v>1167</v>
      </c>
    </row>
    <row r="1378" spans="1:10" x14ac:dyDescent="0.2">
      <c r="A1378" s="76">
        <v>2170</v>
      </c>
      <c r="B1378" s="76">
        <v>1</v>
      </c>
      <c r="C1378" s="76" t="s">
        <v>358</v>
      </c>
      <c r="D1378" s="76">
        <v>2006</v>
      </c>
      <c r="E1378" s="78">
        <v>2007</v>
      </c>
      <c r="F1378" s="81">
        <v>100</v>
      </c>
      <c r="G1378" s="78">
        <v>7</v>
      </c>
      <c r="H1378" s="76">
        <v>0</v>
      </c>
      <c r="I1378" s="77">
        <v>1898</v>
      </c>
      <c r="J1378" s="77">
        <v>2029</v>
      </c>
    </row>
    <row r="1379" spans="1:10" x14ac:dyDescent="0.2">
      <c r="A1379" s="76">
        <v>2170</v>
      </c>
      <c r="B1379" s="76">
        <v>1</v>
      </c>
      <c r="C1379" s="76" t="s">
        <v>358</v>
      </c>
      <c r="D1379" s="76">
        <v>2006</v>
      </c>
      <c r="E1379" s="78">
        <v>2007</v>
      </c>
      <c r="F1379" s="81">
        <v>440</v>
      </c>
      <c r="G1379" s="78">
        <v>7</v>
      </c>
      <c r="H1379" s="76">
        <v>1</v>
      </c>
      <c r="I1379" s="77">
        <v>2048</v>
      </c>
      <c r="J1379" s="77">
        <v>1898</v>
      </c>
    </row>
    <row r="1380" spans="1:10" x14ac:dyDescent="0.2">
      <c r="A1380" s="76">
        <v>2171</v>
      </c>
      <c r="B1380" s="76">
        <v>1</v>
      </c>
      <c r="C1380" s="76" t="s">
        <v>359</v>
      </c>
      <c r="D1380" s="76">
        <v>2004</v>
      </c>
      <c r="E1380" s="76">
        <v>2006</v>
      </c>
      <c r="F1380" s="81">
        <v>2334.56</v>
      </c>
      <c r="G1380" s="76">
        <v>10</v>
      </c>
      <c r="H1380" s="76">
        <v>1</v>
      </c>
      <c r="I1380" s="79">
        <v>788</v>
      </c>
      <c r="J1380" s="79">
        <v>433</v>
      </c>
    </row>
    <row r="1381" spans="1:10" x14ac:dyDescent="0.2">
      <c r="A1381" s="76">
        <v>2172</v>
      </c>
      <c r="B1381" s="76">
        <v>1</v>
      </c>
      <c r="C1381" s="76" t="s">
        <v>360</v>
      </c>
      <c r="D1381" s="76">
        <v>1996</v>
      </c>
      <c r="E1381" s="76">
        <v>1997</v>
      </c>
      <c r="F1381" s="81">
        <v>312.85000000000002</v>
      </c>
      <c r="G1381" s="76">
        <v>10</v>
      </c>
      <c r="H1381" s="76">
        <v>1</v>
      </c>
      <c r="I1381" s="79">
        <v>1444</v>
      </c>
      <c r="J1381" s="79">
        <v>1218</v>
      </c>
    </row>
    <row r="1382" spans="1:10" x14ac:dyDescent="0.2">
      <c r="A1382" s="76">
        <v>2172</v>
      </c>
      <c r="B1382" s="76">
        <v>1</v>
      </c>
      <c r="C1382" s="76" t="s">
        <v>776</v>
      </c>
      <c r="D1382" s="76">
        <v>2001</v>
      </c>
      <c r="E1382" s="76">
        <v>2002</v>
      </c>
      <c r="F1382" s="81">
        <v>111</v>
      </c>
      <c r="G1382" s="76">
        <v>10</v>
      </c>
      <c r="H1382" s="76">
        <v>0</v>
      </c>
      <c r="I1382" s="79">
        <v>394</v>
      </c>
      <c r="J1382" s="79">
        <v>868</v>
      </c>
    </row>
    <row r="1383" spans="1:10" x14ac:dyDescent="0.2">
      <c r="A1383" s="76">
        <v>2172</v>
      </c>
      <c r="B1383" s="76">
        <v>1</v>
      </c>
      <c r="C1383" s="76" t="s">
        <v>775</v>
      </c>
      <c r="D1383" s="76">
        <v>2001</v>
      </c>
      <c r="E1383" s="76">
        <v>2002</v>
      </c>
      <c r="F1383" s="81">
        <v>126</v>
      </c>
      <c r="G1383" s="76">
        <v>10</v>
      </c>
      <c r="H1383" s="76">
        <v>1</v>
      </c>
      <c r="I1383" s="79">
        <v>638</v>
      </c>
      <c r="J1383" s="79">
        <v>623</v>
      </c>
    </row>
    <row r="1384" spans="1:10" x14ac:dyDescent="0.2">
      <c r="A1384" s="76">
        <v>2172</v>
      </c>
      <c r="B1384" s="76">
        <v>1</v>
      </c>
      <c r="C1384" s="76" t="s">
        <v>360</v>
      </c>
      <c r="D1384" s="76">
        <v>2003</v>
      </c>
      <c r="E1384" s="76">
        <v>2004</v>
      </c>
      <c r="F1384" s="81">
        <v>278.95999999999998</v>
      </c>
      <c r="G1384" s="76">
        <v>10</v>
      </c>
      <c r="H1384" s="76">
        <v>1</v>
      </c>
      <c r="I1384" s="79">
        <v>753</v>
      </c>
      <c r="J1384" s="79">
        <v>619</v>
      </c>
    </row>
    <row r="1385" spans="1:10" x14ac:dyDescent="0.2">
      <c r="A1385" s="76">
        <v>2172</v>
      </c>
      <c r="B1385" s="76">
        <v>1</v>
      </c>
      <c r="C1385" s="76" t="s">
        <v>360</v>
      </c>
      <c r="D1385" s="76">
        <v>2006</v>
      </c>
      <c r="E1385" s="78">
        <v>2007</v>
      </c>
      <c r="F1385" s="81">
        <v>294.8</v>
      </c>
      <c r="G1385" s="78">
        <v>7</v>
      </c>
      <c r="H1385" s="76">
        <v>0</v>
      </c>
      <c r="I1385" s="77">
        <v>1183</v>
      </c>
      <c r="J1385" s="77">
        <v>1298</v>
      </c>
    </row>
    <row r="1386" spans="1:10" x14ac:dyDescent="0.2">
      <c r="A1386" s="76">
        <v>2172</v>
      </c>
      <c r="B1386" s="76">
        <v>1</v>
      </c>
      <c r="C1386" s="76" t="s">
        <v>360</v>
      </c>
      <c r="D1386" s="82">
        <v>2007</v>
      </c>
      <c r="E1386" s="83">
        <v>2008</v>
      </c>
      <c r="F1386" s="78">
        <v>294.8</v>
      </c>
      <c r="G1386" s="76">
        <v>6</v>
      </c>
      <c r="H1386" s="77">
        <v>1</v>
      </c>
      <c r="I1386" s="77">
        <v>660</v>
      </c>
      <c r="J1386" s="79">
        <v>522</v>
      </c>
    </row>
    <row r="1387" spans="1:10" x14ac:dyDescent="0.2">
      <c r="A1387" s="76">
        <v>2174</v>
      </c>
      <c r="B1387" s="76">
        <v>1</v>
      </c>
      <c r="C1387" s="76" t="s">
        <v>777</v>
      </c>
      <c r="D1387" s="76">
        <v>1999</v>
      </c>
      <c r="E1387" s="76">
        <v>2000</v>
      </c>
      <c r="F1387" s="81">
        <v>415</v>
      </c>
      <c r="G1387" s="76">
        <v>10</v>
      </c>
      <c r="H1387" s="76">
        <v>0</v>
      </c>
      <c r="I1387" s="79">
        <v>412</v>
      </c>
      <c r="J1387" s="79">
        <v>1476</v>
      </c>
    </row>
    <row r="1388" spans="1:10" x14ac:dyDescent="0.2">
      <c r="A1388" s="76">
        <v>2174</v>
      </c>
      <c r="B1388" s="76">
        <v>1</v>
      </c>
      <c r="C1388" s="76" t="s">
        <v>361</v>
      </c>
      <c r="D1388" s="76">
        <v>2001</v>
      </c>
      <c r="E1388" s="76">
        <v>2002</v>
      </c>
      <c r="F1388" s="81">
        <v>300</v>
      </c>
      <c r="G1388" s="76">
        <v>10</v>
      </c>
      <c r="H1388" s="76">
        <v>0</v>
      </c>
      <c r="I1388" s="79">
        <v>566</v>
      </c>
      <c r="J1388" s="79">
        <v>868</v>
      </c>
    </row>
    <row r="1389" spans="1:10" x14ac:dyDescent="0.2">
      <c r="A1389" s="76">
        <v>2174</v>
      </c>
      <c r="B1389" s="76">
        <v>1</v>
      </c>
      <c r="C1389" s="76" t="s">
        <v>361</v>
      </c>
      <c r="D1389" s="76">
        <v>2002</v>
      </c>
      <c r="E1389" s="76">
        <v>2003</v>
      </c>
      <c r="F1389" s="81">
        <v>1</v>
      </c>
      <c r="G1389" s="76">
        <v>10</v>
      </c>
      <c r="H1389" s="76">
        <v>1</v>
      </c>
      <c r="I1389" s="79">
        <v>1824</v>
      </c>
      <c r="J1389" s="79">
        <v>1232</v>
      </c>
    </row>
    <row r="1390" spans="1:10" x14ac:dyDescent="0.2">
      <c r="A1390" s="76">
        <v>2174</v>
      </c>
      <c r="B1390" s="76">
        <v>1</v>
      </c>
      <c r="C1390" s="76" t="s">
        <v>1024</v>
      </c>
      <c r="D1390" s="76">
        <v>2005</v>
      </c>
      <c r="E1390" s="76">
        <v>2006</v>
      </c>
      <c r="F1390" s="81">
        <v>600</v>
      </c>
      <c r="G1390" s="76">
        <v>10</v>
      </c>
      <c r="H1390" s="78">
        <v>0</v>
      </c>
      <c r="I1390" s="77">
        <v>782</v>
      </c>
      <c r="J1390" s="77">
        <v>1116</v>
      </c>
    </row>
    <row r="1391" spans="1:10" x14ac:dyDescent="0.2">
      <c r="A1391" s="76">
        <v>2176</v>
      </c>
      <c r="B1391" s="76">
        <v>1</v>
      </c>
      <c r="C1391" s="76" t="s">
        <v>880</v>
      </c>
      <c r="D1391" s="76">
        <v>2004</v>
      </c>
      <c r="E1391" s="76">
        <v>2005</v>
      </c>
      <c r="F1391" s="81">
        <v>1400</v>
      </c>
      <c r="G1391" s="76">
        <v>10</v>
      </c>
      <c r="H1391" s="76">
        <v>1</v>
      </c>
      <c r="I1391" s="79">
        <v>1148</v>
      </c>
      <c r="J1391" s="79">
        <v>1056</v>
      </c>
    </row>
    <row r="1392" spans="1:10" x14ac:dyDescent="0.2">
      <c r="A1392" s="76">
        <v>2180</v>
      </c>
      <c r="B1392" s="76">
        <v>1</v>
      </c>
      <c r="C1392" s="76" t="s">
        <v>363</v>
      </c>
      <c r="D1392" s="76">
        <v>2001</v>
      </c>
      <c r="E1392" s="76">
        <v>2002</v>
      </c>
      <c r="F1392" s="81">
        <v>500</v>
      </c>
      <c r="G1392" s="76">
        <v>10</v>
      </c>
      <c r="H1392" s="76">
        <v>1</v>
      </c>
      <c r="I1392" s="79">
        <v>666</v>
      </c>
      <c r="J1392" s="79">
        <v>525</v>
      </c>
    </row>
    <row r="1393" spans="1:10" x14ac:dyDescent="0.2">
      <c r="A1393" s="76">
        <v>2180</v>
      </c>
      <c r="B1393" s="76">
        <v>1</v>
      </c>
      <c r="C1393" s="76" t="s">
        <v>363</v>
      </c>
      <c r="D1393" s="76">
        <v>2005</v>
      </c>
      <c r="E1393" s="76">
        <v>2006</v>
      </c>
      <c r="F1393" s="81">
        <v>270</v>
      </c>
      <c r="G1393" s="76">
        <v>10</v>
      </c>
      <c r="H1393" s="78">
        <v>1</v>
      </c>
      <c r="I1393" s="77">
        <v>589</v>
      </c>
      <c r="J1393" s="77">
        <v>58</v>
      </c>
    </row>
    <row r="1394" spans="1:10" x14ac:dyDescent="0.2">
      <c r="A1394" s="76">
        <v>2180</v>
      </c>
      <c r="B1394" s="76">
        <v>1</v>
      </c>
      <c r="C1394" s="76" t="s">
        <v>363</v>
      </c>
      <c r="D1394" s="82">
        <v>2007</v>
      </c>
      <c r="E1394" s="83">
        <v>2008</v>
      </c>
      <c r="F1394" s="78">
        <v>65</v>
      </c>
      <c r="G1394" s="76">
        <v>4</v>
      </c>
      <c r="H1394" s="77">
        <v>1</v>
      </c>
      <c r="I1394" s="77">
        <v>638</v>
      </c>
      <c r="J1394" s="79">
        <v>201</v>
      </c>
    </row>
    <row r="1395" spans="1:10" x14ac:dyDescent="0.2">
      <c r="A1395" s="76">
        <v>2180</v>
      </c>
      <c r="B1395" s="76">
        <v>1</v>
      </c>
      <c r="C1395" s="76" t="s">
        <v>363</v>
      </c>
      <c r="D1395" s="82">
        <v>2007</v>
      </c>
      <c r="E1395" s="83">
        <v>2008</v>
      </c>
      <c r="F1395" s="78">
        <v>225</v>
      </c>
      <c r="G1395" s="76">
        <v>10</v>
      </c>
      <c r="H1395" s="77">
        <v>1</v>
      </c>
      <c r="I1395" s="77">
        <v>643</v>
      </c>
      <c r="J1395" s="79">
        <v>202</v>
      </c>
    </row>
    <row r="1396" spans="1:10" x14ac:dyDescent="0.2">
      <c r="A1396">
        <v>2180</v>
      </c>
      <c r="B1396">
        <v>1</v>
      </c>
      <c r="C1396" t="s">
        <v>363</v>
      </c>
      <c r="D1396">
        <v>2008</v>
      </c>
      <c r="E1396" s="5">
        <v>2009</v>
      </c>
      <c r="F1396" s="6">
        <v>500</v>
      </c>
      <c r="G1396" s="5">
        <v>10</v>
      </c>
      <c r="H1396" s="33">
        <v>0</v>
      </c>
      <c r="I1396" s="33">
        <v>1101</v>
      </c>
      <c r="J1396" s="33">
        <v>1234</v>
      </c>
    </row>
    <row r="1397" spans="1:10" x14ac:dyDescent="0.2">
      <c r="A1397" s="76">
        <v>2184</v>
      </c>
      <c r="B1397" s="76">
        <v>1</v>
      </c>
      <c r="C1397" s="76" t="s">
        <v>364</v>
      </c>
      <c r="D1397" s="76">
        <v>2001</v>
      </c>
      <c r="E1397" s="76">
        <v>2002</v>
      </c>
      <c r="F1397" s="81">
        <v>400</v>
      </c>
      <c r="G1397" s="76">
        <v>10</v>
      </c>
      <c r="H1397" s="76">
        <v>1</v>
      </c>
      <c r="I1397" s="79">
        <v>767</v>
      </c>
      <c r="J1397" s="79">
        <v>598</v>
      </c>
    </row>
    <row r="1398" spans="1:10" x14ac:dyDescent="0.2">
      <c r="A1398" s="76">
        <v>2184</v>
      </c>
      <c r="B1398" s="76">
        <v>1</v>
      </c>
      <c r="C1398" s="76" t="s">
        <v>364</v>
      </c>
      <c r="D1398" s="76">
        <v>2004</v>
      </c>
      <c r="E1398" s="76">
        <v>2005</v>
      </c>
      <c r="F1398" s="81">
        <v>455.35</v>
      </c>
      <c r="G1398" s="76">
        <v>10</v>
      </c>
      <c r="H1398" s="76">
        <v>0</v>
      </c>
      <c r="I1398" s="79">
        <v>1760</v>
      </c>
      <c r="J1398" s="79">
        <v>1876</v>
      </c>
    </row>
    <row r="1399" spans="1:10" x14ac:dyDescent="0.2">
      <c r="A1399" s="76">
        <v>2184</v>
      </c>
      <c r="B1399" s="76">
        <v>1</v>
      </c>
      <c r="C1399" s="76" t="s">
        <v>364</v>
      </c>
      <c r="D1399" s="76">
        <v>2005</v>
      </c>
      <c r="E1399" s="76">
        <v>2006</v>
      </c>
      <c r="F1399" s="81">
        <v>700</v>
      </c>
      <c r="G1399" s="76">
        <v>10</v>
      </c>
      <c r="H1399" s="78">
        <v>1</v>
      </c>
      <c r="I1399" s="77">
        <v>1194</v>
      </c>
      <c r="J1399" s="77">
        <v>850</v>
      </c>
    </row>
    <row r="1400" spans="1:10" x14ac:dyDescent="0.2">
      <c r="A1400" s="76">
        <v>2190</v>
      </c>
      <c r="B1400" s="76">
        <v>1</v>
      </c>
      <c r="C1400" s="76" t="s">
        <v>365</v>
      </c>
      <c r="D1400" s="76">
        <v>1995</v>
      </c>
      <c r="E1400" s="76">
        <v>1996</v>
      </c>
      <c r="F1400" s="81">
        <v>222.8</v>
      </c>
      <c r="G1400" s="76">
        <v>10</v>
      </c>
      <c r="H1400" s="76">
        <v>1</v>
      </c>
      <c r="I1400" s="79">
        <v>587</v>
      </c>
      <c r="J1400" s="79">
        <v>575</v>
      </c>
    </row>
    <row r="1401" spans="1:10" x14ac:dyDescent="0.2">
      <c r="A1401" s="76">
        <v>2190</v>
      </c>
      <c r="B1401" s="76">
        <v>1</v>
      </c>
      <c r="C1401" s="76" t="s">
        <v>365</v>
      </c>
      <c r="D1401" s="76">
        <v>2001</v>
      </c>
      <c r="E1401" s="76">
        <v>2002</v>
      </c>
      <c r="F1401" s="81">
        <v>400</v>
      </c>
      <c r="G1401" s="76">
        <v>10</v>
      </c>
      <c r="H1401" s="76">
        <v>1</v>
      </c>
      <c r="I1401" s="79">
        <v>946</v>
      </c>
      <c r="J1401" s="79">
        <v>524</v>
      </c>
    </row>
    <row r="1402" spans="1:10" x14ac:dyDescent="0.2">
      <c r="A1402" s="76">
        <v>2190</v>
      </c>
      <c r="B1402" s="76">
        <v>1</v>
      </c>
      <c r="C1402" s="76" t="s">
        <v>365</v>
      </c>
      <c r="D1402" s="76">
        <v>2006</v>
      </c>
      <c r="E1402" s="78">
        <v>2007</v>
      </c>
      <c r="F1402" s="81">
        <v>581</v>
      </c>
      <c r="G1402" s="78">
        <v>10</v>
      </c>
      <c r="H1402" s="76">
        <v>1</v>
      </c>
      <c r="I1402" s="77">
        <v>1629</v>
      </c>
      <c r="J1402" s="77">
        <v>1610</v>
      </c>
    </row>
    <row r="1403" spans="1:10" x14ac:dyDescent="0.2">
      <c r="A1403" s="76">
        <v>2198</v>
      </c>
      <c r="B1403" s="76">
        <v>1</v>
      </c>
      <c r="C1403" s="76" t="s">
        <v>366</v>
      </c>
      <c r="D1403" s="76">
        <v>1996</v>
      </c>
      <c r="E1403" s="76">
        <v>1997</v>
      </c>
      <c r="F1403" s="81">
        <v>341.28</v>
      </c>
      <c r="G1403" s="76">
        <v>10</v>
      </c>
      <c r="H1403" s="76">
        <v>0</v>
      </c>
      <c r="I1403" s="79">
        <v>692</v>
      </c>
      <c r="J1403" s="79">
        <v>1687</v>
      </c>
    </row>
    <row r="1404" spans="1:10" x14ac:dyDescent="0.2">
      <c r="A1404" s="76">
        <v>2198</v>
      </c>
      <c r="B1404" s="76">
        <v>1</v>
      </c>
      <c r="C1404" s="76" t="s">
        <v>366</v>
      </c>
      <c r="D1404" s="76">
        <v>1997</v>
      </c>
      <c r="E1404" s="76">
        <v>1998</v>
      </c>
      <c r="F1404" s="81">
        <v>170.83</v>
      </c>
      <c r="G1404" s="76">
        <v>10</v>
      </c>
      <c r="H1404" s="76">
        <v>0</v>
      </c>
      <c r="I1404" s="79">
        <v>491</v>
      </c>
      <c r="J1404" s="79">
        <v>649</v>
      </c>
    </row>
    <row r="1405" spans="1:10" x14ac:dyDescent="0.2">
      <c r="A1405" s="76">
        <v>2198</v>
      </c>
      <c r="B1405" s="76">
        <v>1</v>
      </c>
      <c r="C1405" s="76" t="s">
        <v>366</v>
      </c>
      <c r="D1405" s="76">
        <v>2001</v>
      </c>
      <c r="E1405" s="76">
        <v>2002</v>
      </c>
      <c r="F1405" s="81">
        <v>400</v>
      </c>
      <c r="G1405" s="76">
        <v>10</v>
      </c>
      <c r="H1405" s="76">
        <v>1</v>
      </c>
      <c r="I1405" s="79">
        <v>748</v>
      </c>
      <c r="J1405" s="79">
        <v>372</v>
      </c>
    </row>
    <row r="1406" spans="1:10" x14ac:dyDescent="0.2">
      <c r="A1406" s="76">
        <v>2198</v>
      </c>
      <c r="B1406" s="76">
        <v>1</v>
      </c>
      <c r="C1406" s="76" t="s">
        <v>1025</v>
      </c>
      <c r="D1406" s="76">
        <v>2005</v>
      </c>
      <c r="E1406" s="76">
        <v>2006</v>
      </c>
      <c r="F1406" s="81">
        <v>475</v>
      </c>
      <c r="G1406" s="76">
        <v>10</v>
      </c>
      <c r="H1406" s="78">
        <v>1</v>
      </c>
      <c r="I1406" s="77">
        <v>605</v>
      </c>
      <c r="J1406" s="77">
        <v>565</v>
      </c>
    </row>
    <row r="1407" spans="1:10" x14ac:dyDescent="0.2">
      <c r="A1407" s="76">
        <v>2215</v>
      </c>
      <c r="B1407" s="76">
        <v>1</v>
      </c>
      <c r="C1407" s="76" t="s">
        <v>367</v>
      </c>
      <c r="D1407" s="76">
        <v>2001</v>
      </c>
      <c r="E1407" s="76">
        <v>2002</v>
      </c>
      <c r="F1407" s="81">
        <v>541</v>
      </c>
      <c r="G1407" s="76">
        <v>10</v>
      </c>
      <c r="H1407" s="76">
        <v>1</v>
      </c>
      <c r="I1407" s="79">
        <v>194</v>
      </c>
      <c r="J1407" s="79">
        <v>191</v>
      </c>
    </row>
    <row r="1408" spans="1:10" x14ac:dyDescent="0.2">
      <c r="A1408" s="76">
        <v>2215</v>
      </c>
      <c r="B1408" s="76">
        <v>1</v>
      </c>
      <c r="C1408" s="76" t="s">
        <v>367</v>
      </c>
      <c r="D1408" s="82">
        <v>2007</v>
      </c>
      <c r="E1408" s="83">
        <v>2008</v>
      </c>
      <c r="F1408" s="78">
        <v>1006.83</v>
      </c>
      <c r="G1408" s="76">
        <v>10</v>
      </c>
      <c r="H1408" s="77">
        <v>1</v>
      </c>
      <c r="I1408" s="77">
        <v>670</v>
      </c>
      <c r="J1408" s="79">
        <v>202</v>
      </c>
    </row>
    <row r="1409" spans="1:10" x14ac:dyDescent="0.2">
      <c r="A1409" s="76">
        <v>2310</v>
      </c>
      <c r="B1409" s="76">
        <v>1</v>
      </c>
      <c r="C1409" s="76" t="s">
        <v>368</v>
      </c>
      <c r="D1409" s="76">
        <v>1997</v>
      </c>
      <c r="E1409" s="76">
        <v>1998</v>
      </c>
      <c r="F1409" s="81">
        <v>315</v>
      </c>
      <c r="G1409" s="76">
        <v>5</v>
      </c>
      <c r="H1409" s="76">
        <v>0</v>
      </c>
      <c r="I1409" s="79">
        <v>438</v>
      </c>
      <c r="J1409" s="79">
        <v>861</v>
      </c>
    </row>
    <row r="1410" spans="1:10" x14ac:dyDescent="0.2">
      <c r="A1410" s="76">
        <v>2310</v>
      </c>
      <c r="B1410" s="76">
        <v>1</v>
      </c>
      <c r="C1410" s="76" t="s">
        <v>368</v>
      </c>
      <c r="D1410" s="76">
        <v>1998</v>
      </c>
      <c r="E1410" s="76">
        <v>1999</v>
      </c>
      <c r="F1410" s="81">
        <v>300</v>
      </c>
      <c r="G1410" s="76">
        <v>5</v>
      </c>
      <c r="H1410" s="76">
        <v>1</v>
      </c>
      <c r="I1410" s="79">
        <v>1994</v>
      </c>
      <c r="J1410" s="79">
        <v>1512</v>
      </c>
    </row>
    <row r="1411" spans="1:10" x14ac:dyDescent="0.2">
      <c r="A1411" s="76">
        <v>2310</v>
      </c>
      <c r="B1411" s="76">
        <v>1</v>
      </c>
      <c r="C1411" s="76" t="s">
        <v>368</v>
      </c>
      <c r="D1411" s="76">
        <v>2001</v>
      </c>
      <c r="E1411" s="76">
        <v>2002</v>
      </c>
      <c r="F1411" s="81">
        <v>200</v>
      </c>
      <c r="G1411" s="76">
        <v>5</v>
      </c>
      <c r="H1411" s="76">
        <v>1</v>
      </c>
      <c r="I1411" s="79">
        <v>858</v>
      </c>
      <c r="J1411" s="79">
        <v>792</v>
      </c>
    </row>
    <row r="1412" spans="1:10" x14ac:dyDescent="0.2">
      <c r="A1412" s="76">
        <v>2310</v>
      </c>
      <c r="B1412" s="76">
        <v>1</v>
      </c>
      <c r="C1412" s="76" t="s">
        <v>368</v>
      </c>
      <c r="D1412" s="76">
        <v>2005</v>
      </c>
      <c r="E1412" s="76">
        <v>2006</v>
      </c>
      <c r="F1412" s="81">
        <v>50</v>
      </c>
      <c r="G1412" s="76">
        <v>7</v>
      </c>
      <c r="H1412" s="78">
        <v>1</v>
      </c>
      <c r="I1412" s="77">
        <v>1111</v>
      </c>
      <c r="J1412" s="77">
        <v>547</v>
      </c>
    </row>
    <row r="1413" spans="1:10" x14ac:dyDescent="0.2">
      <c r="A1413" s="76">
        <v>2310</v>
      </c>
      <c r="B1413" s="76">
        <v>1</v>
      </c>
      <c r="C1413" s="76" t="s">
        <v>368</v>
      </c>
      <c r="D1413" s="76">
        <v>2005</v>
      </c>
      <c r="E1413" s="76">
        <v>2006</v>
      </c>
      <c r="F1413" s="81">
        <v>550</v>
      </c>
      <c r="G1413" s="76">
        <v>7</v>
      </c>
      <c r="H1413" s="78">
        <v>1</v>
      </c>
      <c r="I1413" s="77">
        <v>1157</v>
      </c>
      <c r="J1413" s="77">
        <v>507</v>
      </c>
    </row>
    <row r="1414" spans="1:10" x14ac:dyDescent="0.2">
      <c r="A1414" s="76">
        <v>2311</v>
      </c>
      <c r="B1414" s="76">
        <v>1</v>
      </c>
      <c r="C1414" s="76" t="s">
        <v>369</v>
      </c>
      <c r="D1414" s="76">
        <v>2004</v>
      </c>
      <c r="E1414" s="76">
        <v>2005</v>
      </c>
      <c r="F1414" s="81">
        <v>200</v>
      </c>
      <c r="G1414" s="76">
        <v>10</v>
      </c>
      <c r="H1414" s="76">
        <v>0</v>
      </c>
      <c r="I1414" s="79">
        <v>641</v>
      </c>
      <c r="J1414" s="79">
        <v>857</v>
      </c>
    </row>
    <row r="1415" spans="1:10" x14ac:dyDescent="0.2">
      <c r="A1415" s="76">
        <v>2311</v>
      </c>
      <c r="B1415" s="76">
        <v>1</v>
      </c>
      <c r="C1415" s="76" t="s">
        <v>369</v>
      </c>
      <c r="D1415" s="76">
        <v>2004</v>
      </c>
      <c r="E1415" s="76">
        <v>2005</v>
      </c>
      <c r="F1415" s="81">
        <v>500</v>
      </c>
      <c r="G1415" s="76">
        <v>10</v>
      </c>
      <c r="H1415" s="76">
        <v>0</v>
      </c>
      <c r="I1415" s="79">
        <v>725</v>
      </c>
      <c r="J1415" s="79">
        <v>819</v>
      </c>
    </row>
    <row r="1416" spans="1:10" x14ac:dyDescent="0.2">
      <c r="A1416" s="76">
        <v>2311</v>
      </c>
      <c r="B1416" s="76">
        <v>1</v>
      </c>
      <c r="C1416" s="76" t="s">
        <v>1026</v>
      </c>
      <c r="D1416" s="76">
        <v>2005</v>
      </c>
      <c r="E1416" s="76">
        <v>2006</v>
      </c>
      <c r="F1416" s="81">
        <v>600</v>
      </c>
      <c r="G1416" s="76">
        <v>10</v>
      </c>
      <c r="H1416" s="78">
        <v>1</v>
      </c>
      <c r="I1416" s="77">
        <v>574</v>
      </c>
      <c r="J1416" s="77">
        <v>342</v>
      </c>
    </row>
    <row r="1417" spans="1:10" x14ac:dyDescent="0.2">
      <c r="A1417" s="76">
        <v>2342</v>
      </c>
      <c r="B1417" s="76">
        <v>1</v>
      </c>
      <c r="C1417" s="76" t="s">
        <v>370</v>
      </c>
      <c r="D1417" s="76">
        <v>1995</v>
      </c>
      <c r="E1417" s="76">
        <v>1996</v>
      </c>
      <c r="F1417" s="81">
        <v>420.38</v>
      </c>
      <c r="G1417" s="76">
        <v>5</v>
      </c>
      <c r="H1417" s="76">
        <v>0</v>
      </c>
      <c r="I1417" s="79">
        <v>395</v>
      </c>
      <c r="J1417" s="79">
        <v>749</v>
      </c>
    </row>
    <row r="1418" spans="1:10" x14ac:dyDescent="0.2">
      <c r="A1418" s="76">
        <v>2342</v>
      </c>
      <c r="B1418" s="76">
        <v>1</v>
      </c>
      <c r="C1418" s="76" t="s">
        <v>778</v>
      </c>
      <c r="D1418" s="76">
        <v>1996</v>
      </c>
      <c r="E1418" s="76">
        <v>1997</v>
      </c>
      <c r="F1418" s="81">
        <v>315</v>
      </c>
      <c r="G1418" s="76">
        <v>5</v>
      </c>
      <c r="H1418" s="76">
        <v>0</v>
      </c>
      <c r="I1418" s="79">
        <v>681</v>
      </c>
      <c r="J1418" s="79">
        <v>935</v>
      </c>
    </row>
    <row r="1419" spans="1:10" x14ac:dyDescent="0.2">
      <c r="A1419" s="76">
        <v>2342</v>
      </c>
      <c r="B1419" s="76">
        <v>1</v>
      </c>
      <c r="C1419" s="76" t="s">
        <v>370</v>
      </c>
      <c r="D1419" s="76">
        <v>1998</v>
      </c>
      <c r="E1419" s="76">
        <v>1999</v>
      </c>
      <c r="F1419" s="81">
        <v>400</v>
      </c>
      <c r="G1419" s="76">
        <v>10</v>
      </c>
      <c r="H1419" s="76">
        <v>1</v>
      </c>
      <c r="I1419" s="79">
        <v>1513</v>
      </c>
      <c r="J1419" s="79">
        <v>1437</v>
      </c>
    </row>
    <row r="1420" spans="1:10" x14ac:dyDescent="0.2">
      <c r="A1420" s="76">
        <v>2342</v>
      </c>
      <c r="B1420" s="76">
        <v>1</v>
      </c>
      <c r="C1420" s="76" t="s">
        <v>780</v>
      </c>
      <c r="D1420" s="76">
        <v>2001</v>
      </c>
      <c r="E1420" s="76">
        <v>2002</v>
      </c>
      <c r="F1420" s="81">
        <v>50</v>
      </c>
      <c r="G1420" s="76">
        <v>5</v>
      </c>
      <c r="H1420" s="76">
        <v>1</v>
      </c>
      <c r="I1420" s="79">
        <v>703</v>
      </c>
      <c r="J1420" s="79">
        <v>463</v>
      </c>
    </row>
    <row r="1421" spans="1:10" x14ac:dyDescent="0.2">
      <c r="A1421" s="76">
        <v>2342</v>
      </c>
      <c r="B1421" s="76">
        <v>1</v>
      </c>
      <c r="C1421" s="76" t="s">
        <v>779</v>
      </c>
      <c r="D1421" s="76">
        <v>2001</v>
      </c>
      <c r="E1421" s="76">
        <v>2002</v>
      </c>
      <c r="F1421" s="81">
        <v>375</v>
      </c>
      <c r="G1421" s="76">
        <v>5</v>
      </c>
      <c r="H1421" s="76">
        <v>1</v>
      </c>
      <c r="I1421" s="79">
        <v>729</v>
      </c>
      <c r="J1421" s="79">
        <v>452</v>
      </c>
    </row>
    <row r="1422" spans="1:10" x14ac:dyDescent="0.2">
      <c r="A1422" s="76">
        <v>2342</v>
      </c>
      <c r="B1422" s="76">
        <v>1</v>
      </c>
      <c r="C1422" s="76" t="s">
        <v>1027</v>
      </c>
      <c r="D1422" s="76">
        <v>2005</v>
      </c>
      <c r="E1422" s="76">
        <v>2006</v>
      </c>
      <c r="F1422" s="81">
        <v>950</v>
      </c>
      <c r="G1422" s="76">
        <v>5</v>
      </c>
      <c r="H1422" s="78">
        <v>0</v>
      </c>
      <c r="I1422" s="77">
        <v>671</v>
      </c>
      <c r="J1422" s="77">
        <v>688</v>
      </c>
    </row>
    <row r="1423" spans="1:10" x14ac:dyDescent="0.2">
      <c r="A1423" s="76">
        <v>2342</v>
      </c>
      <c r="B1423" s="76">
        <v>1</v>
      </c>
      <c r="C1423" s="76" t="s">
        <v>370</v>
      </c>
      <c r="D1423" s="76">
        <v>2006</v>
      </c>
      <c r="E1423" s="78">
        <v>2007</v>
      </c>
      <c r="F1423" s="81">
        <v>100</v>
      </c>
      <c r="G1423" s="78">
        <v>5</v>
      </c>
      <c r="H1423" s="76">
        <v>1</v>
      </c>
      <c r="I1423" s="77">
        <v>1220</v>
      </c>
      <c r="J1423" s="77">
        <v>990</v>
      </c>
    </row>
    <row r="1424" spans="1:10" x14ac:dyDescent="0.2">
      <c r="A1424" s="76">
        <v>2342</v>
      </c>
      <c r="B1424" s="76">
        <v>1</v>
      </c>
      <c r="C1424" s="76" t="s">
        <v>370</v>
      </c>
      <c r="D1424" s="76">
        <v>2006</v>
      </c>
      <c r="E1424" s="78">
        <v>2007</v>
      </c>
      <c r="F1424" s="81">
        <v>850</v>
      </c>
      <c r="G1424" s="78">
        <v>5</v>
      </c>
      <c r="H1424" s="76">
        <v>1</v>
      </c>
      <c r="I1424" s="77">
        <v>1349</v>
      </c>
      <c r="J1424" s="77">
        <v>863</v>
      </c>
    </row>
    <row r="1425" spans="1:10" x14ac:dyDescent="0.2">
      <c r="A1425" s="76">
        <v>2358</v>
      </c>
      <c r="B1425" s="76">
        <v>1</v>
      </c>
      <c r="C1425" s="76" t="s">
        <v>854</v>
      </c>
      <c r="D1425" s="76">
        <v>2003</v>
      </c>
      <c r="E1425" s="76">
        <v>2004</v>
      </c>
      <c r="F1425" s="81">
        <v>800</v>
      </c>
      <c r="G1425" s="76">
        <v>10</v>
      </c>
      <c r="H1425" s="76">
        <v>1</v>
      </c>
      <c r="I1425" s="79">
        <v>352</v>
      </c>
      <c r="J1425" s="79">
        <v>163</v>
      </c>
    </row>
    <row r="1426" spans="1:10" x14ac:dyDescent="0.2">
      <c r="A1426" s="76">
        <v>2364</v>
      </c>
      <c r="B1426" s="76">
        <v>1</v>
      </c>
      <c r="C1426" s="76" t="s">
        <v>372</v>
      </c>
      <c r="D1426" s="76">
        <v>1997</v>
      </c>
      <c r="E1426" s="76">
        <v>1998</v>
      </c>
      <c r="F1426" s="81">
        <v>85.45</v>
      </c>
      <c r="G1426" s="76">
        <v>7</v>
      </c>
      <c r="H1426" s="76">
        <v>1</v>
      </c>
      <c r="I1426" s="79">
        <v>438</v>
      </c>
      <c r="J1426" s="79">
        <v>342</v>
      </c>
    </row>
    <row r="1427" spans="1:10" x14ac:dyDescent="0.2">
      <c r="A1427" s="76">
        <v>2364</v>
      </c>
      <c r="B1427" s="76">
        <v>1</v>
      </c>
      <c r="C1427" s="76" t="s">
        <v>781</v>
      </c>
      <c r="D1427" s="76">
        <v>2001</v>
      </c>
      <c r="E1427" s="76">
        <v>2002</v>
      </c>
      <c r="F1427" s="81">
        <v>543</v>
      </c>
      <c r="G1427" s="76">
        <v>10</v>
      </c>
      <c r="H1427" s="76">
        <v>1</v>
      </c>
      <c r="I1427" s="79">
        <v>855</v>
      </c>
      <c r="J1427" s="79">
        <v>551</v>
      </c>
    </row>
    <row r="1428" spans="1:10" x14ac:dyDescent="0.2">
      <c r="A1428" s="76">
        <v>2364</v>
      </c>
      <c r="B1428" s="76">
        <v>1</v>
      </c>
      <c r="C1428" s="76" t="s">
        <v>781</v>
      </c>
      <c r="D1428" s="76">
        <v>2003</v>
      </c>
      <c r="E1428" s="76">
        <v>2004</v>
      </c>
      <c r="F1428" s="81">
        <v>294</v>
      </c>
      <c r="G1428" s="76">
        <v>10</v>
      </c>
      <c r="H1428" s="76">
        <v>1</v>
      </c>
      <c r="I1428" s="79">
        <v>608</v>
      </c>
      <c r="J1428" s="79">
        <v>386</v>
      </c>
    </row>
    <row r="1429" spans="1:10" x14ac:dyDescent="0.2">
      <c r="A1429">
        <v>2364</v>
      </c>
      <c r="B1429">
        <v>1</v>
      </c>
      <c r="C1429" t="s">
        <v>372</v>
      </c>
      <c r="D1429">
        <v>2008</v>
      </c>
      <c r="E1429" s="5">
        <v>2009</v>
      </c>
      <c r="F1429" s="6">
        <v>132</v>
      </c>
      <c r="G1429" s="5">
        <v>10</v>
      </c>
      <c r="H1429" s="33">
        <v>0</v>
      </c>
      <c r="I1429" s="33">
        <v>395</v>
      </c>
      <c r="J1429" s="33">
        <v>576</v>
      </c>
    </row>
    <row r="1430" spans="1:10" x14ac:dyDescent="0.2">
      <c r="A1430" s="76">
        <v>2365</v>
      </c>
      <c r="B1430" s="76">
        <v>1</v>
      </c>
      <c r="C1430" s="76" t="s">
        <v>373</v>
      </c>
      <c r="D1430" s="76">
        <v>1993</v>
      </c>
      <c r="E1430" s="76">
        <v>1994</v>
      </c>
      <c r="F1430" s="81">
        <v>250</v>
      </c>
      <c r="G1430" s="76">
        <v>4</v>
      </c>
      <c r="H1430" s="76">
        <v>0</v>
      </c>
      <c r="I1430" s="79" t="s">
        <v>840</v>
      </c>
      <c r="J1430" s="79" t="s">
        <v>840</v>
      </c>
    </row>
    <row r="1431" spans="1:10" x14ac:dyDescent="0.2">
      <c r="A1431" s="76">
        <v>2365</v>
      </c>
      <c r="B1431" s="76">
        <v>1</v>
      </c>
      <c r="C1431" s="76" t="s">
        <v>373</v>
      </c>
      <c r="D1431" s="76">
        <v>1999</v>
      </c>
      <c r="E1431" s="76">
        <v>2000</v>
      </c>
      <c r="F1431" s="81">
        <v>400</v>
      </c>
      <c r="G1431" s="76">
        <v>10</v>
      </c>
      <c r="H1431" s="76">
        <v>0</v>
      </c>
      <c r="I1431" s="79">
        <v>639</v>
      </c>
      <c r="J1431" s="79">
        <v>730</v>
      </c>
    </row>
    <row r="1432" spans="1:10" x14ac:dyDescent="0.2">
      <c r="A1432" s="76">
        <v>2365</v>
      </c>
      <c r="B1432" s="76">
        <v>1</v>
      </c>
      <c r="C1432" s="76" t="s">
        <v>373</v>
      </c>
      <c r="D1432" s="76">
        <v>2000</v>
      </c>
      <c r="E1432" s="76">
        <v>2001</v>
      </c>
      <c r="F1432" s="81">
        <v>50</v>
      </c>
      <c r="G1432" s="76">
        <v>10</v>
      </c>
      <c r="H1432" s="76">
        <v>1</v>
      </c>
      <c r="I1432" s="79">
        <v>2047</v>
      </c>
      <c r="J1432" s="79">
        <v>1098</v>
      </c>
    </row>
    <row r="1433" spans="1:10" x14ac:dyDescent="0.2">
      <c r="A1433" s="76">
        <v>2365</v>
      </c>
      <c r="B1433" s="76">
        <v>1</v>
      </c>
      <c r="C1433" s="76" t="s">
        <v>373</v>
      </c>
      <c r="D1433" s="76">
        <v>2000</v>
      </c>
      <c r="E1433" s="76">
        <v>2001</v>
      </c>
      <c r="F1433" s="81">
        <v>400</v>
      </c>
      <c r="G1433" s="76">
        <v>10</v>
      </c>
      <c r="H1433" s="76">
        <v>1</v>
      </c>
      <c r="I1433" s="79">
        <v>2205</v>
      </c>
      <c r="J1433" s="79">
        <v>980</v>
      </c>
    </row>
    <row r="1434" spans="1:10" x14ac:dyDescent="0.2">
      <c r="A1434" s="76">
        <v>2365</v>
      </c>
      <c r="B1434" s="76">
        <v>1</v>
      </c>
      <c r="C1434" s="76" t="s">
        <v>373</v>
      </c>
      <c r="D1434" s="76">
        <v>2002</v>
      </c>
      <c r="E1434" s="76">
        <v>2003</v>
      </c>
      <c r="F1434" s="81">
        <v>50</v>
      </c>
      <c r="G1434" s="76">
        <v>10</v>
      </c>
      <c r="H1434" s="76">
        <v>1</v>
      </c>
      <c r="I1434" s="79">
        <v>1345</v>
      </c>
      <c r="J1434" s="79">
        <v>1328</v>
      </c>
    </row>
    <row r="1435" spans="1:10" x14ac:dyDescent="0.2">
      <c r="A1435" s="76">
        <v>2365</v>
      </c>
      <c r="B1435" s="76">
        <v>1</v>
      </c>
      <c r="C1435" s="76" t="s">
        <v>373</v>
      </c>
      <c r="D1435" s="76">
        <v>2002</v>
      </c>
      <c r="E1435" s="76">
        <v>2003</v>
      </c>
      <c r="F1435" s="81">
        <v>300</v>
      </c>
      <c r="G1435" s="76">
        <v>10</v>
      </c>
      <c r="H1435" s="76">
        <v>1</v>
      </c>
      <c r="I1435" s="79">
        <v>1421</v>
      </c>
      <c r="J1435" s="79">
        <v>1279</v>
      </c>
    </row>
    <row r="1436" spans="1:10" x14ac:dyDescent="0.2">
      <c r="A1436" s="76">
        <v>2396</v>
      </c>
      <c r="B1436" s="76">
        <v>1</v>
      </c>
      <c r="C1436" s="76" t="s">
        <v>374</v>
      </c>
      <c r="D1436" s="76">
        <v>2002</v>
      </c>
      <c r="E1436" s="76">
        <v>2003</v>
      </c>
      <c r="F1436" s="81">
        <v>600</v>
      </c>
      <c r="G1436" s="76">
        <v>10</v>
      </c>
      <c r="H1436" s="76">
        <v>0</v>
      </c>
      <c r="I1436" s="79">
        <v>1215</v>
      </c>
      <c r="J1436" s="79">
        <v>1421</v>
      </c>
    </row>
    <row r="1437" spans="1:10" x14ac:dyDescent="0.2">
      <c r="A1437" s="76">
        <v>2396</v>
      </c>
      <c r="B1437" s="76">
        <v>1</v>
      </c>
      <c r="C1437" s="76" t="s">
        <v>374</v>
      </c>
      <c r="D1437" s="76">
        <v>2003</v>
      </c>
      <c r="E1437" s="76">
        <v>2004</v>
      </c>
      <c r="F1437" s="81">
        <v>650</v>
      </c>
      <c r="G1437" s="76">
        <v>7</v>
      </c>
      <c r="H1437" s="76">
        <v>1</v>
      </c>
      <c r="I1437" s="79">
        <v>887</v>
      </c>
      <c r="J1437" s="79">
        <v>601</v>
      </c>
    </row>
    <row r="1438" spans="1:10" x14ac:dyDescent="0.2">
      <c r="A1438" s="76">
        <v>2396</v>
      </c>
      <c r="B1438" s="76">
        <v>1</v>
      </c>
      <c r="C1438" s="76" t="s">
        <v>1028</v>
      </c>
      <c r="D1438" s="76">
        <v>2005</v>
      </c>
      <c r="E1438" s="76">
        <v>2006</v>
      </c>
      <c r="F1438" s="81">
        <v>450</v>
      </c>
      <c r="G1438" s="76">
        <v>7</v>
      </c>
      <c r="H1438" s="78">
        <v>0</v>
      </c>
      <c r="I1438" s="77">
        <v>802</v>
      </c>
      <c r="J1438" s="77">
        <v>1253</v>
      </c>
    </row>
    <row r="1439" spans="1:10" x14ac:dyDescent="0.2">
      <c r="A1439" s="76">
        <v>2396</v>
      </c>
      <c r="B1439" s="76">
        <v>1</v>
      </c>
      <c r="C1439" s="76" t="s">
        <v>374</v>
      </c>
      <c r="D1439" s="76">
        <v>2006</v>
      </c>
      <c r="E1439" s="78">
        <v>2007</v>
      </c>
      <c r="F1439" s="81">
        <v>794</v>
      </c>
      <c r="G1439" s="78">
        <v>7</v>
      </c>
      <c r="H1439" s="76">
        <v>0</v>
      </c>
      <c r="I1439" s="77">
        <v>1362</v>
      </c>
      <c r="J1439" s="77">
        <v>1551</v>
      </c>
    </row>
    <row r="1440" spans="1:10" x14ac:dyDescent="0.2">
      <c r="A1440" s="76">
        <v>2396</v>
      </c>
      <c r="B1440" s="76">
        <v>1</v>
      </c>
      <c r="C1440" s="76" t="s">
        <v>374</v>
      </c>
      <c r="D1440" s="82">
        <v>2007</v>
      </c>
      <c r="E1440" s="83">
        <v>2008</v>
      </c>
      <c r="F1440" s="78">
        <v>425</v>
      </c>
      <c r="G1440" s="76">
        <v>7</v>
      </c>
      <c r="H1440" s="77">
        <v>0</v>
      </c>
      <c r="I1440" s="77">
        <v>1036</v>
      </c>
      <c r="J1440" s="79">
        <v>1059</v>
      </c>
    </row>
    <row r="1441" spans="1:10" x14ac:dyDescent="0.2">
      <c r="A1441" s="76">
        <v>2396</v>
      </c>
      <c r="B1441" s="76">
        <v>1</v>
      </c>
      <c r="C1441" s="76" t="s">
        <v>374</v>
      </c>
      <c r="D1441" s="82">
        <v>2007</v>
      </c>
      <c r="E1441" s="83">
        <v>2008</v>
      </c>
      <c r="F1441" s="78">
        <v>790</v>
      </c>
      <c r="G1441" s="76">
        <v>7</v>
      </c>
      <c r="H1441" s="77">
        <v>0</v>
      </c>
      <c r="I1441" s="77">
        <v>943</v>
      </c>
      <c r="J1441" s="79">
        <v>1053</v>
      </c>
    </row>
    <row r="1442" spans="1:10" x14ac:dyDescent="0.2">
      <c r="A1442">
        <v>2396</v>
      </c>
      <c r="B1442">
        <v>1</v>
      </c>
      <c r="C1442" t="s">
        <v>374</v>
      </c>
      <c r="D1442">
        <v>2008</v>
      </c>
      <c r="E1442" s="5">
        <v>2009</v>
      </c>
      <c r="F1442" s="6">
        <v>425</v>
      </c>
      <c r="G1442" s="5">
        <v>7</v>
      </c>
      <c r="H1442" s="33">
        <v>1</v>
      </c>
      <c r="I1442" s="33">
        <v>1136</v>
      </c>
      <c r="J1442" s="33">
        <v>1033</v>
      </c>
    </row>
    <row r="1443" spans="1:10" x14ac:dyDescent="0.2">
      <c r="A1443" s="76">
        <v>2397</v>
      </c>
      <c r="B1443" s="76">
        <v>1</v>
      </c>
      <c r="C1443" s="76" t="s">
        <v>375</v>
      </c>
      <c r="D1443" s="76">
        <v>1998</v>
      </c>
      <c r="E1443" s="76">
        <v>1999</v>
      </c>
      <c r="F1443" s="81">
        <v>350</v>
      </c>
      <c r="G1443" s="76">
        <v>3</v>
      </c>
      <c r="H1443" s="76">
        <v>1</v>
      </c>
      <c r="I1443" s="79">
        <v>1997</v>
      </c>
      <c r="J1443" s="79">
        <v>1281</v>
      </c>
    </row>
    <row r="1444" spans="1:10" x14ac:dyDescent="0.2">
      <c r="A1444" s="76">
        <v>2397</v>
      </c>
      <c r="B1444" s="76">
        <v>1</v>
      </c>
      <c r="C1444" s="76" t="s">
        <v>375</v>
      </c>
      <c r="D1444" s="76">
        <v>2000</v>
      </c>
      <c r="E1444" s="76">
        <v>2002</v>
      </c>
      <c r="F1444" s="81">
        <v>415</v>
      </c>
      <c r="G1444" s="76">
        <v>5</v>
      </c>
      <c r="H1444" s="76">
        <v>1</v>
      </c>
      <c r="I1444" s="79">
        <v>1976</v>
      </c>
      <c r="J1444" s="79">
        <v>1281</v>
      </c>
    </row>
    <row r="1445" spans="1:10" x14ac:dyDescent="0.2">
      <c r="A1445" s="76">
        <v>2397</v>
      </c>
      <c r="B1445" s="76">
        <v>1</v>
      </c>
      <c r="C1445" s="76" t="s">
        <v>375</v>
      </c>
      <c r="D1445" s="76">
        <v>2001</v>
      </c>
      <c r="E1445" s="76">
        <v>2002</v>
      </c>
      <c r="F1445" s="81">
        <v>200</v>
      </c>
      <c r="G1445" s="76">
        <v>5</v>
      </c>
      <c r="H1445" s="76">
        <v>0</v>
      </c>
      <c r="I1445" s="79">
        <v>578</v>
      </c>
      <c r="J1445" s="79">
        <v>1127</v>
      </c>
    </row>
    <row r="1446" spans="1:10" x14ac:dyDescent="0.2">
      <c r="A1446" s="76">
        <v>2397</v>
      </c>
      <c r="B1446" s="76">
        <v>1</v>
      </c>
      <c r="C1446" s="76" t="s">
        <v>855</v>
      </c>
      <c r="D1446" s="76">
        <v>2003</v>
      </c>
      <c r="E1446" s="76">
        <v>2004</v>
      </c>
      <c r="F1446" s="81">
        <v>300</v>
      </c>
      <c r="G1446" s="76">
        <v>5</v>
      </c>
      <c r="H1446" s="76">
        <v>1</v>
      </c>
      <c r="I1446" s="79">
        <v>1199</v>
      </c>
      <c r="J1446" s="79">
        <v>810</v>
      </c>
    </row>
    <row r="1447" spans="1:10" x14ac:dyDescent="0.2">
      <c r="A1447">
        <v>2397</v>
      </c>
      <c r="B1447">
        <v>1</v>
      </c>
      <c r="C1447" t="s">
        <v>375</v>
      </c>
      <c r="D1447">
        <v>2008</v>
      </c>
      <c r="E1447" s="5">
        <v>2009</v>
      </c>
      <c r="F1447" s="6">
        <v>300</v>
      </c>
      <c r="G1447" s="5">
        <v>5</v>
      </c>
      <c r="H1447" s="33">
        <v>1</v>
      </c>
      <c r="I1447" s="33">
        <v>2100</v>
      </c>
      <c r="J1447" s="33">
        <v>1600</v>
      </c>
    </row>
    <row r="1448" spans="1:10" x14ac:dyDescent="0.2">
      <c r="A1448" s="76">
        <v>2448</v>
      </c>
      <c r="B1448" s="76">
        <v>1</v>
      </c>
      <c r="C1448" s="76" t="s">
        <v>1029</v>
      </c>
      <c r="D1448" s="76">
        <v>2005</v>
      </c>
      <c r="E1448" s="76">
        <v>2006</v>
      </c>
      <c r="F1448" s="81">
        <v>700</v>
      </c>
      <c r="G1448" s="76">
        <v>10</v>
      </c>
      <c r="H1448" s="78">
        <v>1</v>
      </c>
      <c r="I1448" s="77">
        <v>719</v>
      </c>
      <c r="J1448" s="77">
        <v>432</v>
      </c>
    </row>
    <row r="1449" spans="1:10" x14ac:dyDescent="0.2">
      <c r="A1449" s="76">
        <v>2527</v>
      </c>
      <c r="B1449" s="76">
        <v>1</v>
      </c>
      <c r="C1449" s="76" t="s">
        <v>377</v>
      </c>
      <c r="D1449" s="76">
        <v>2001</v>
      </c>
      <c r="E1449" s="76">
        <v>2002</v>
      </c>
      <c r="F1449" s="81">
        <v>700</v>
      </c>
      <c r="G1449" s="76">
        <v>10</v>
      </c>
      <c r="H1449" s="76">
        <v>1</v>
      </c>
      <c r="I1449" s="79">
        <v>228</v>
      </c>
      <c r="J1449" s="79">
        <v>128</v>
      </c>
    </row>
    <row r="1450" spans="1:10" x14ac:dyDescent="0.2">
      <c r="A1450" s="76">
        <v>2527</v>
      </c>
      <c r="B1450" s="76">
        <v>1</v>
      </c>
      <c r="C1450" s="76" t="s">
        <v>881</v>
      </c>
      <c r="D1450" s="76">
        <v>2004</v>
      </c>
      <c r="E1450" s="76">
        <v>2005</v>
      </c>
      <c r="F1450" s="81">
        <v>900</v>
      </c>
      <c r="G1450" s="76">
        <v>10</v>
      </c>
      <c r="H1450" s="76">
        <v>0</v>
      </c>
      <c r="I1450" s="79">
        <v>401</v>
      </c>
      <c r="J1450" s="79">
        <v>448</v>
      </c>
    </row>
    <row r="1451" spans="1:10" x14ac:dyDescent="0.2">
      <c r="A1451" s="76">
        <v>2527</v>
      </c>
      <c r="B1451" s="76">
        <v>1</v>
      </c>
      <c r="C1451" s="76" t="s">
        <v>1030</v>
      </c>
      <c r="D1451" s="76">
        <v>2005</v>
      </c>
      <c r="E1451" s="76">
        <v>2006</v>
      </c>
      <c r="F1451" s="81">
        <v>900</v>
      </c>
      <c r="G1451" s="76">
        <v>10</v>
      </c>
      <c r="H1451" s="78">
        <v>1</v>
      </c>
      <c r="I1451" s="77">
        <v>371</v>
      </c>
      <c r="J1451" s="77">
        <v>139</v>
      </c>
    </row>
    <row r="1452" spans="1:10" x14ac:dyDescent="0.2">
      <c r="A1452" s="76">
        <v>2534</v>
      </c>
      <c r="B1452" s="76">
        <v>1</v>
      </c>
      <c r="C1452" s="76" t="s">
        <v>782</v>
      </c>
      <c r="D1452" s="76">
        <v>1996</v>
      </c>
      <c r="E1452" s="76">
        <v>1997</v>
      </c>
      <c r="F1452" s="81">
        <v>367.88</v>
      </c>
      <c r="G1452" s="76">
        <v>5</v>
      </c>
      <c r="H1452" s="76">
        <v>0</v>
      </c>
      <c r="I1452" s="79">
        <v>1086</v>
      </c>
      <c r="J1452" s="79">
        <v>1659</v>
      </c>
    </row>
    <row r="1453" spans="1:10" x14ac:dyDescent="0.2">
      <c r="A1453" s="76">
        <v>2534</v>
      </c>
      <c r="B1453" s="76">
        <v>1</v>
      </c>
      <c r="C1453" s="76" t="s">
        <v>782</v>
      </c>
      <c r="D1453" s="76">
        <v>1999</v>
      </c>
      <c r="E1453" s="76">
        <v>2000</v>
      </c>
      <c r="F1453" s="81">
        <v>415</v>
      </c>
      <c r="G1453" s="76">
        <v>5</v>
      </c>
      <c r="H1453" s="76">
        <v>1</v>
      </c>
      <c r="I1453" s="79">
        <v>917</v>
      </c>
      <c r="J1453" s="79">
        <v>550</v>
      </c>
    </row>
    <row r="1454" spans="1:10" x14ac:dyDescent="0.2">
      <c r="A1454" s="76">
        <v>2534</v>
      </c>
      <c r="B1454" s="76">
        <v>1</v>
      </c>
      <c r="C1454" s="76" t="s">
        <v>782</v>
      </c>
      <c r="D1454" s="76">
        <v>2001</v>
      </c>
      <c r="E1454" s="76">
        <v>2002</v>
      </c>
      <c r="F1454" s="81">
        <v>415</v>
      </c>
      <c r="G1454" s="76">
        <v>5</v>
      </c>
      <c r="H1454" s="76">
        <v>1</v>
      </c>
      <c r="I1454" s="79">
        <v>779</v>
      </c>
      <c r="J1454" s="79">
        <v>695</v>
      </c>
    </row>
    <row r="1455" spans="1:10" x14ac:dyDescent="0.2">
      <c r="A1455" s="76">
        <v>2534</v>
      </c>
      <c r="B1455" s="76">
        <v>1</v>
      </c>
      <c r="C1455" s="76" t="s">
        <v>378</v>
      </c>
      <c r="D1455" s="76">
        <v>2006</v>
      </c>
      <c r="E1455" s="78">
        <v>2007</v>
      </c>
      <c r="F1455" s="81">
        <v>700</v>
      </c>
      <c r="G1455" s="78">
        <v>5</v>
      </c>
      <c r="H1455" s="76">
        <v>1</v>
      </c>
      <c r="I1455" s="77">
        <v>1409</v>
      </c>
      <c r="J1455" s="77">
        <v>885</v>
      </c>
    </row>
    <row r="1456" spans="1:10" x14ac:dyDescent="0.2">
      <c r="A1456" s="76">
        <v>2536</v>
      </c>
      <c r="B1456" s="76">
        <v>1</v>
      </c>
      <c r="C1456" s="76" t="s">
        <v>379</v>
      </c>
      <c r="D1456" s="76">
        <v>1994</v>
      </c>
      <c r="E1456" s="76">
        <v>1995</v>
      </c>
      <c r="F1456" s="81">
        <v>500</v>
      </c>
      <c r="G1456" s="76">
        <v>5</v>
      </c>
      <c r="H1456" s="76">
        <v>1</v>
      </c>
      <c r="I1456" s="79">
        <v>484</v>
      </c>
      <c r="J1456" s="79">
        <v>440</v>
      </c>
    </row>
    <row r="1457" spans="1:10" x14ac:dyDescent="0.2">
      <c r="A1457" s="76">
        <v>2536</v>
      </c>
      <c r="B1457" s="76">
        <v>1</v>
      </c>
      <c r="C1457" s="76" t="s">
        <v>783</v>
      </c>
      <c r="D1457" s="76">
        <v>1999</v>
      </c>
      <c r="E1457" s="76">
        <v>2000</v>
      </c>
      <c r="F1457" s="81">
        <v>500</v>
      </c>
      <c r="G1457" s="76">
        <v>10</v>
      </c>
      <c r="H1457" s="76">
        <v>1</v>
      </c>
      <c r="I1457" s="79">
        <v>497</v>
      </c>
      <c r="J1457" s="79">
        <v>80</v>
      </c>
    </row>
    <row r="1458" spans="1:10" x14ac:dyDescent="0.2">
      <c r="A1458" s="76">
        <v>2536</v>
      </c>
      <c r="B1458" s="76">
        <v>1</v>
      </c>
      <c r="C1458" s="76" t="s">
        <v>379</v>
      </c>
      <c r="D1458" s="76">
        <v>2001</v>
      </c>
      <c r="E1458" s="76">
        <v>2002</v>
      </c>
      <c r="F1458" s="81">
        <v>256</v>
      </c>
      <c r="G1458" s="76">
        <v>10</v>
      </c>
      <c r="H1458" s="76">
        <v>1</v>
      </c>
      <c r="I1458" s="79">
        <v>273</v>
      </c>
      <c r="J1458" s="79">
        <v>72</v>
      </c>
    </row>
    <row r="1459" spans="1:10" x14ac:dyDescent="0.2">
      <c r="A1459" s="76">
        <v>2536</v>
      </c>
      <c r="B1459" s="76">
        <v>1</v>
      </c>
      <c r="C1459" s="76" t="s">
        <v>379</v>
      </c>
      <c r="D1459" s="76">
        <v>2006</v>
      </c>
      <c r="E1459" s="78">
        <v>2007</v>
      </c>
      <c r="F1459" s="81">
        <v>675</v>
      </c>
      <c r="G1459" s="78">
        <v>10</v>
      </c>
      <c r="H1459" s="76">
        <v>0</v>
      </c>
      <c r="I1459" s="87">
        <v>406</v>
      </c>
      <c r="J1459" s="77">
        <v>500</v>
      </c>
    </row>
    <row r="1460" spans="1:10" x14ac:dyDescent="0.2">
      <c r="A1460" s="76">
        <v>2536</v>
      </c>
      <c r="B1460" s="76">
        <v>1</v>
      </c>
      <c r="C1460" s="76" t="s">
        <v>379</v>
      </c>
      <c r="D1460" s="82">
        <v>2007</v>
      </c>
      <c r="E1460" s="83">
        <v>2008</v>
      </c>
      <c r="F1460" s="78">
        <v>900</v>
      </c>
      <c r="G1460" s="76">
        <v>10</v>
      </c>
      <c r="H1460" s="77">
        <v>1</v>
      </c>
      <c r="I1460" s="77">
        <v>371</v>
      </c>
      <c r="J1460" s="79">
        <v>229</v>
      </c>
    </row>
    <row r="1461" spans="1:10" x14ac:dyDescent="0.2">
      <c r="A1461" s="76">
        <v>2580</v>
      </c>
      <c r="B1461" s="76">
        <v>1</v>
      </c>
      <c r="C1461" s="76" t="s">
        <v>380</v>
      </c>
      <c r="D1461" s="76">
        <v>1994</v>
      </c>
      <c r="E1461" s="76">
        <v>1995</v>
      </c>
      <c r="F1461" s="81">
        <v>355.09</v>
      </c>
      <c r="G1461" s="76">
        <v>10</v>
      </c>
      <c r="H1461" s="76">
        <v>0</v>
      </c>
      <c r="I1461" s="79">
        <v>834</v>
      </c>
      <c r="J1461" s="79">
        <v>1190</v>
      </c>
    </row>
    <row r="1462" spans="1:10" x14ac:dyDescent="0.2">
      <c r="A1462" s="76">
        <v>2580</v>
      </c>
      <c r="B1462" s="76">
        <v>1</v>
      </c>
      <c r="C1462" s="76" t="s">
        <v>380</v>
      </c>
      <c r="D1462" s="76">
        <v>1994</v>
      </c>
      <c r="E1462" s="76">
        <v>1995</v>
      </c>
      <c r="F1462" s="81">
        <v>355.09</v>
      </c>
      <c r="G1462" s="76">
        <v>5</v>
      </c>
      <c r="H1462" s="76">
        <v>1</v>
      </c>
      <c r="I1462" s="79">
        <v>596</v>
      </c>
      <c r="J1462" s="79">
        <v>252</v>
      </c>
    </row>
    <row r="1463" spans="1:10" x14ac:dyDescent="0.2">
      <c r="A1463" s="76">
        <v>2580</v>
      </c>
      <c r="B1463" s="76">
        <v>1</v>
      </c>
      <c r="C1463" s="76" t="s">
        <v>784</v>
      </c>
      <c r="D1463" s="76">
        <v>1999</v>
      </c>
      <c r="E1463" s="76">
        <v>2000</v>
      </c>
      <c r="F1463" s="81">
        <v>115</v>
      </c>
      <c r="G1463" s="76">
        <v>6</v>
      </c>
      <c r="H1463" s="76">
        <v>1</v>
      </c>
      <c r="I1463" s="79">
        <v>658</v>
      </c>
      <c r="J1463" s="79">
        <v>329</v>
      </c>
    </row>
    <row r="1464" spans="1:10" x14ac:dyDescent="0.2">
      <c r="A1464" s="76">
        <v>2580</v>
      </c>
      <c r="B1464" s="76">
        <v>1</v>
      </c>
      <c r="C1464" s="76" t="s">
        <v>784</v>
      </c>
      <c r="D1464" s="76">
        <v>1999</v>
      </c>
      <c r="E1464" s="76">
        <v>2000</v>
      </c>
      <c r="F1464" s="81">
        <v>300</v>
      </c>
      <c r="G1464" s="76">
        <v>6</v>
      </c>
      <c r="H1464" s="76">
        <v>1</v>
      </c>
      <c r="I1464" s="79">
        <v>687</v>
      </c>
      <c r="J1464" s="79">
        <v>314</v>
      </c>
    </row>
    <row r="1465" spans="1:10" x14ac:dyDescent="0.2">
      <c r="A1465" s="76">
        <v>2580</v>
      </c>
      <c r="B1465" s="76">
        <v>1</v>
      </c>
      <c r="C1465" s="76" t="s">
        <v>1031</v>
      </c>
      <c r="D1465" s="76">
        <v>2005</v>
      </c>
      <c r="E1465" s="76">
        <v>2006</v>
      </c>
      <c r="F1465" s="81">
        <v>34.590000000000003</v>
      </c>
      <c r="G1465" s="76">
        <v>6</v>
      </c>
      <c r="H1465" s="78">
        <v>1</v>
      </c>
      <c r="I1465" s="77">
        <v>432</v>
      </c>
      <c r="J1465" s="77">
        <v>263</v>
      </c>
    </row>
    <row r="1466" spans="1:10" x14ac:dyDescent="0.2">
      <c r="A1466" s="76">
        <v>2580</v>
      </c>
      <c r="B1466" s="76">
        <v>1</v>
      </c>
      <c r="C1466" s="76" t="s">
        <v>1031</v>
      </c>
      <c r="D1466" s="76">
        <v>2005</v>
      </c>
      <c r="E1466" s="76">
        <v>2006</v>
      </c>
      <c r="F1466" s="81">
        <v>85.41</v>
      </c>
      <c r="G1466" s="76">
        <v>6</v>
      </c>
      <c r="H1466" s="78">
        <v>1</v>
      </c>
      <c r="I1466" s="77">
        <v>379</v>
      </c>
      <c r="J1466" s="77">
        <v>310</v>
      </c>
    </row>
    <row r="1467" spans="1:10" x14ac:dyDescent="0.2">
      <c r="A1467" s="76">
        <v>2580</v>
      </c>
      <c r="B1467" s="76">
        <v>1</v>
      </c>
      <c r="C1467" s="76" t="s">
        <v>784</v>
      </c>
      <c r="D1467" s="76">
        <v>2006</v>
      </c>
      <c r="E1467" s="78">
        <v>2007</v>
      </c>
      <c r="F1467" s="81">
        <v>750</v>
      </c>
      <c r="G1467" s="78">
        <v>10</v>
      </c>
      <c r="H1467" s="76">
        <v>0</v>
      </c>
      <c r="I1467" s="77">
        <v>178</v>
      </c>
      <c r="J1467" s="77">
        <v>742</v>
      </c>
    </row>
    <row r="1468" spans="1:10" x14ac:dyDescent="0.2">
      <c r="A1468" s="76">
        <v>2609</v>
      </c>
      <c r="B1468" s="76">
        <v>1</v>
      </c>
      <c r="C1468" s="76" t="s">
        <v>381</v>
      </c>
      <c r="D1468" s="76">
        <v>1997</v>
      </c>
      <c r="E1468" s="76">
        <v>1998</v>
      </c>
      <c r="F1468" s="81">
        <v>232.5</v>
      </c>
      <c r="G1468" s="76">
        <v>10</v>
      </c>
      <c r="H1468" s="76">
        <v>1</v>
      </c>
      <c r="I1468" s="79">
        <v>601</v>
      </c>
      <c r="J1468" s="79">
        <v>303</v>
      </c>
    </row>
    <row r="1469" spans="1:10" x14ac:dyDescent="0.2">
      <c r="A1469" s="76">
        <v>2609</v>
      </c>
      <c r="B1469" s="76">
        <v>1</v>
      </c>
      <c r="C1469" s="76" t="s">
        <v>1032</v>
      </c>
      <c r="D1469" s="76">
        <v>2005</v>
      </c>
      <c r="E1469" s="76">
        <v>2006</v>
      </c>
      <c r="F1469" s="81">
        <v>800</v>
      </c>
      <c r="G1469" s="76">
        <v>10</v>
      </c>
      <c r="H1469" s="78">
        <v>0</v>
      </c>
      <c r="I1469" s="77">
        <v>406</v>
      </c>
      <c r="J1469" s="77">
        <v>461</v>
      </c>
    </row>
    <row r="1470" spans="1:10" x14ac:dyDescent="0.2">
      <c r="A1470" s="76">
        <v>2609</v>
      </c>
      <c r="B1470" s="76">
        <v>1</v>
      </c>
      <c r="C1470" s="76" t="s">
        <v>381</v>
      </c>
      <c r="D1470" s="76">
        <v>2006</v>
      </c>
      <c r="E1470" s="78">
        <v>2007</v>
      </c>
      <c r="F1470" s="81">
        <v>800</v>
      </c>
      <c r="G1470" s="78">
        <v>10</v>
      </c>
      <c r="H1470" s="76">
        <v>1</v>
      </c>
      <c r="I1470" s="77">
        <v>875</v>
      </c>
      <c r="J1470" s="77">
        <v>678</v>
      </c>
    </row>
    <row r="1471" spans="1:10" x14ac:dyDescent="0.2">
      <c r="A1471" s="76">
        <v>2683</v>
      </c>
      <c r="B1471" s="76">
        <v>1</v>
      </c>
      <c r="C1471" s="76" t="s">
        <v>382</v>
      </c>
      <c r="D1471" s="76">
        <v>2001</v>
      </c>
      <c r="E1471" s="76">
        <v>2002</v>
      </c>
      <c r="F1471" s="81">
        <v>640.59</v>
      </c>
      <c r="G1471" s="76">
        <v>10</v>
      </c>
      <c r="H1471" s="76">
        <v>1</v>
      </c>
      <c r="I1471" s="79">
        <v>448</v>
      </c>
      <c r="J1471" s="79">
        <v>167</v>
      </c>
    </row>
    <row r="1472" spans="1:10" x14ac:dyDescent="0.2">
      <c r="A1472" s="76">
        <v>2687</v>
      </c>
      <c r="B1472" s="76">
        <v>1</v>
      </c>
      <c r="C1472" s="76" t="s">
        <v>383</v>
      </c>
      <c r="D1472" s="76">
        <v>2003</v>
      </c>
      <c r="E1472" s="76">
        <v>2004</v>
      </c>
      <c r="F1472" s="81">
        <v>525</v>
      </c>
      <c r="G1472" s="76">
        <v>10</v>
      </c>
      <c r="H1472" s="76">
        <v>0</v>
      </c>
      <c r="I1472" s="79">
        <v>1141</v>
      </c>
      <c r="J1472" s="79">
        <v>2331</v>
      </c>
    </row>
    <row r="1473" spans="1:11" x14ac:dyDescent="0.2">
      <c r="A1473" s="76">
        <v>2687</v>
      </c>
      <c r="B1473" s="76">
        <v>1</v>
      </c>
      <c r="C1473" s="76" t="s">
        <v>383</v>
      </c>
      <c r="D1473" s="76">
        <v>2004</v>
      </c>
      <c r="E1473" s="76">
        <v>2005</v>
      </c>
      <c r="F1473" s="81">
        <v>495</v>
      </c>
      <c r="G1473" s="76">
        <v>7</v>
      </c>
      <c r="H1473" s="76">
        <v>0</v>
      </c>
      <c r="I1473" s="79">
        <v>2097</v>
      </c>
      <c r="J1473" s="79">
        <v>2271</v>
      </c>
    </row>
    <row r="1474" spans="1:11" x14ac:dyDescent="0.2">
      <c r="A1474" s="76">
        <v>2687</v>
      </c>
      <c r="B1474" s="76">
        <v>1</v>
      </c>
      <c r="C1474" s="76" t="s">
        <v>1033</v>
      </c>
      <c r="D1474" s="76">
        <v>2005</v>
      </c>
      <c r="E1474" s="76">
        <v>2006</v>
      </c>
      <c r="F1474" s="81">
        <v>50</v>
      </c>
      <c r="G1474" s="76">
        <v>7</v>
      </c>
      <c r="H1474" s="78">
        <v>1</v>
      </c>
      <c r="I1474" s="77">
        <v>2086</v>
      </c>
      <c r="J1474" s="77">
        <v>1073</v>
      </c>
    </row>
    <row r="1475" spans="1:11" x14ac:dyDescent="0.2">
      <c r="A1475" s="76">
        <v>2687</v>
      </c>
      <c r="B1475" s="76">
        <v>1</v>
      </c>
      <c r="C1475" s="76" t="s">
        <v>1033</v>
      </c>
      <c r="D1475" s="76">
        <v>2005</v>
      </c>
      <c r="E1475" s="76">
        <v>2006</v>
      </c>
      <c r="F1475" s="81">
        <v>500</v>
      </c>
      <c r="G1475" s="76">
        <v>5</v>
      </c>
      <c r="H1475" s="78">
        <v>1</v>
      </c>
      <c r="I1475" s="77">
        <v>2185</v>
      </c>
      <c r="J1475" s="77">
        <v>978</v>
      </c>
    </row>
    <row r="1476" spans="1:11" x14ac:dyDescent="0.2">
      <c r="A1476" s="76">
        <v>2687</v>
      </c>
      <c r="B1476" s="76">
        <v>1</v>
      </c>
      <c r="C1476" s="76" t="s">
        <v>383</v>
      </c>
      <c r="D1476" s="82">
        <v>2007</v>
      </c>
      <c r="E1476" s="83">
        <v>2008</v>
      </c>
      <c r="F1476" s="78">
        <v>64</v>
      </c>
      <c r="G1476" s="76">
        <v>10</v>
      </c>
      <c r="H1476" s="77">
        <v>0</v>
      </c>
      <c r="I1476" s="77">
        <v>779</v>
      </c>
      <c r="J1476" s="79">
        <v>976</v>
      </c>
    </row>
    <row r="1477" spans="1:11" x14ac:dyDescent="0.2">
      <c r="A1477" s="76">
        <v>2687</v>
      </c>
      <c r="B1477" s="76">
        <v>1</v>
      </c>
      <c r="C1477" s="76" t="s">
        <v>383</v>
      </c>
      <c r="D1477" s="82">
        <v>2007</v>
      </c>
      <c r="E1477" s="83">
        <v>2008</v>
      </c>
      <c r="F1477" s="78">
        <v>130</v>
      </c>
      <c r="G1477" s="76">
        <v>10</v>
      </c>
      <c r="H1477" s="77">
        <v>0</v>
      </c>
      <c r="I1477" s="77">
        <v>839</v>
      </c>
      <c r="J1477" s="79">
        <v>918</v>
      </c>
    </row>
    <row r="1478" spans="1:11" x14ac:dyDescent="0.2">
      <c r="A1478">
        <v>2687</v>
      </c>
      <c r="B1478">
        <v>1</v>
      </c>
      <c r="C1478" t="s">
        <v>383</v>
      </c>
      <c r="D1478">
        <v>2008</v>
      </c>
      <c r="E1478" s="1">
        <v>2009</v>
      </c>
      <c r="F1478" s="6">
        <v>330</v>
      </c>
      <c r="G1478" s="1">
        <v>10</v>
      </c>
      <c r="H1478" s="33">
        <v>0</v>
      </c>
      <c r="I1478" s="33">
        <v>1068</v>
      </c>
      <c r="J1478" s="33">
        <v>1755</v>
      </c>
    </row>
    <row r="1479" spans="1:11" x14ac:dyDescent="0.2">
      <c r="A1479" s="76">
        <v>2689</v>
      </c>
      <c r="B1479" s="76">
        <v>1</v>
      </c>
      <c r="C1479" s="76" t="s">
        <v>384</v>
      </c>
      <c r="D1479" s="76">
        <v>2000</v>
      </c>
      <c r="E1479" s="76">
        <v>2001</v>
      </c>
      <c r="F1479" s="81">
        <v>245.04</v>
      </c>
      <c r="G1479" s="76">
        <v>10</v>
      </c>
      <c r="H1479" s="76">
        <v>0</v>
      </c>
      <c r="I1479" s="79">
        <v>1603</v>
      </c>
      <c r="J1479" s="79">
        <v>1945</v>
      </c>
    </row>
    <row r="1480" spans="1:11" x14ac:dyDescent="0.2">
      <c r="A1480" s="76">
        <v>2689</v>
      </c>
      <c r="B1480" s="76">
        <v>1</v>
      </c>
      <c r="C1480" s="76" t="s">
        <v>384</v>
      </c>
      <c r="D1480" s="76">
        <v>2001</v>
      </c>
      <c r="E1480" s="76">
        <v>2002</v>
      </c>
      <c r="F1480" s="81">
        <v>400</v>
      </c>
      <c r="G1480" s="76">
        <v>7</v>
      </c>
      <c r="H1480" s="76">
        <v>1</v>
      </c>
      <c r="I1480" s="79">
        <v>1307</v>
      </c>
      <c r="J1480" s="79">
        <v>966</v>
      </c>
    </row>
    <row r="1481" spans="1:11" x14ac:dyDescent="0.2">
      <c r="A1481" s="76">
        <v>2689</v>
      </c>
      <c r="B1481" s="76">
        <v>1</v>
      </c>
      <c r="C1481" s="76" t="s">
        <v>384</v>
      </c>
      <c r="D1481" s="76">
        <v>2006</v>
      </c>
      <c r="E1481" s="78">
        <v>2007</v>
      </c>
      <c r="F1481" s="81">
        <v>599.12</v>
      </c>
      <c r="G1481" s="78">
        <v>10</v>
      </c>
      <c r="H1481" s="76">
        <v>0</v>
      </c>
      <c r="I1481" s="87">
        <v>1334</v>
      </c>
      <c r="J1481" s="77">
        <v>1803</v>
      </c>
    </row>
    <row r="1482" spans="1:11" x14ac:dyDescent="0.2">
      <c r="A1482" s="76">
        <v>2689</v>
      </c>
      <c r="B1482" s="76">
        <v>1</v>
      </c>
      <c r="C1482" s="76" t="s">
        <v>384</v>
      </c>
      <c r="D1482" s="82">
        <v>2007</v>
      </c>
      <c r="E1482" s="83">
        <v>2008</v>
      </c>
      <c r="F1482" s="78">
        <v>175</v>
      </c>
      <c r="G1482" s="76">
        <v>10</v>
      </c>
      <c r="H1482" s="77">
        <v>1</v>
      </c>
      <c r="I1482" s="77">
        <v>1596</v>
      </c>
      <c r="J1482" s="79">
        <v>809</v>
      </c>
    </row>
    <row r="1483" spans="1:11" x14ac:dyDescent="0.2">
      <c r="A1483" s="76">
        <v>2689</v>
      </c>
      <c r="B1483" s="76">
        <v>1</v>
      </c>
      <c r="C1483" s="76" t="s">
        <v>384</v>
      </c>
      <c r="D1483" s="82">
        <v>2007</v>
      </c>
      <c r="E1483" s="83">
        <v>2008</v>
      </c>
      <c r="F1483" s="78">
        <v>494.12</v>
      </c>
      <c r="G1483" s="76">
        <v>10</v>
      </c>
      <c r="H1483" s="77">
        <v>1</v>
      </c>
      <c r="I1483" s="77">
        <v>1758</v>
      </c>
      <c r="J1483" s="79">
        <v>664</v>
      </c>
    </row>
    <row r="1484" spans="1:11" x14ac:dyDescent="0.2">
      <c r="A1484" s="76">
        <v>2711</v>
      </c>
      <c r="B1484" s="76">
        <v>1</v>
      </c>
      <c r="C1484" s="76" t="s">
        <v>385</v>
      </c>
      <c r="D1484" s="76">
        <v>1993</v>
      </c>
      <c r="E1484" s="76">
        <v>1994</v>
      </c>
      <c r="F1484" s="81">
        <v>371.72</v>
      </c>
      <c r="G1484" s="76">
        <v>5</v>
      </c>
      <c r="H1484" s="76">
        <v>0</v>
      </c>
      <c r="I1484" s="79" t="s">
        <v>840</v>
      </c>
      <c r="J1484" s="79" t="s">
        <v>840</v>
      </c>
    </row>
    <row r="1485" spans="1:11" x14ac:dyDescent="0.2">
      <c r="A1485" s="76">
        <v>2711</v>
      </c>
      <c r="B1485" s="76">
        <v>1</v>
      </c>
      <c r="C1485" s="76" t="s">
        <v>385</v>
      </c>
      <c r="D1485" s="76">
        <v>1994</v>
      </c>
      <c r="E1485" s="76">
        <v>1995</v>
      </c>
      <c r="F1485" s="81">
        <v>164.21</v>
      </c>
      <c r="G1485" s="76">
        <v>10</v>
      </c>
      <c r="H1485" s="76">
        <v>1</v>
      </c>
      <c r="I1485" s="79">
        <v>2375</v>
      </c>
      <c r="J1485" s="79">
        <v>1537</v>
      </c>
    </row>
    <row r="1486" spans="1:11" x14ac:dyDescent="0.2">
      <c r="A1486" s="76">
        <v>2711</v>
      </c>
      <c r="B1486" s="76">
        <v>1</v>
      </c>
      <c r="C1486" s="76" t="s">
        <v>385</v>
      </c>
      <c r="D1486" s="76">
        <v>2001</v>
      </c>
      <c r="E1486" s="76">
        <v>2002</v>
      </c>
      <c r="F1486" s="81">
        <v>424.03</v>
      </c>
      <c r="G1486" s="76">
        <v>10</v>
      </c>
      <c r="H1486" s="76">
        <v>0</v>
      </c>
      <c r="I1486" s="79">
        <v>1008</v>
      </c>
      <c r="J1486" s="79">
        <v>1978</v>
      </c>
      <c r="K1486" s="33"/>
    </row>
    <row r="1487" spans="1:11" x14ac:dyDescent="0.2">
      <c r="A1487" s="76">
        <v>2711</v>
      </c>
      <c r="B1487" s="76">
        <v>1</v>
      </c>
      <c r="C1487" s="76" t="s">
        <v>385</v>
      </c>
      <c r="D1487" s="76">
        <v>2004</v>
      </c>
      <c r="E1487" s="76">
        <v>2005</v>
      </c>
      <c r="F1487" s="81">
        <v>500</v>
      </c>
      <c r="G1487" s="76">
        <v>10</v>
      </c>
      <c r="H1487" s="76">
        <v>0</v>
      </c>
      <c r="I1487" s="79">
        <v>2042</v>
      </c>
      <c r="J1487" s="79">
        <v>2238</v>
      </c>
      <c r="K1487" s="33"/>
    </row>
    <row r="1488" spans="1:11" x14ac:dyDescent="0.2">
      <c r="A1488" s="76">
        <v>2752</v>
      </c>
      <c r="B1488" s="76">
        <v>1</v>
      </c>
      <c r="C1488" s="76" t="s">
        <v>386</v>
      </c>
      <c r="D1488" s="76">
        <v>2003</v>
      </c>
      <c r="E1488" s="76">
        <v>2004</v>
      </c>
      <c r="F1488" s="81">
        <v>500</v>
      </c>
      <c r="G1488" s="76">
        <v>10</v>
      </c>
      <c r="H1488" s="76">
        <v>1</v>
      </c>
      <c r="I1488" s="79">
        <v>1907</v>
      </c>
      <c r="J1488" s="79">
        <v>668</v>
      </c>
      <c r="K1488" s="33"/>
    </row>
    <row r="1489" spans="1:11" x14ac:dyDescent="0.2">
      <c r="A1489" s="76">
        <v>2753</v>
      </c>
      <c r="B1489" s="76">
        <v>1</v>
      </c>
      <c r="C1489" s="76" t="s">
        <v>387</v>
      </c>
      <c r="D1489" s="76">
        <v>1996</v>
      </c>
      <c r="E1489" s="76">
        <v>1997</v>
      </c>
      <c r="F1489" s="81">
        <v>261.52999999999997</v>
      </c>
      <c r="G1489" s="76">
        <v>5</v>
      </c>
      <c r="H1489" s="76">
        <v>1</v>
      </c>
      <c r="I1489" s="79">
        <v>1859</v>
      </c>
      <c r="J1489" s="79">
        <v>1695</v>
      </c>
      <c r="K1489" s="33"/>
    </row>
    <row r="1490" spans="1:11" x14ac:dyDescent="0.2">
      <c r="A1490" s="76">
        <v>2753</v>
      </c>
      <c r="B1490" s="76">
        <v>1</v>
      </c>
      <c r="C1490" s="76" t="s">
        <v>387</v>
      </c>
      <c r="D1490" s="76">
        <v>1999</v>
      </c>
      <c r="E1490" s="76">
        <v>2000</v>
      </c>
      <c r="F1490" s="81">
        <v>100</v>
      </c>
      <c r="G1490" s="76">
        <v>10</v>
      </c>
      <c r="H1490" s="76">
        <v>1</v>
      </c>
      <c r="I1490" s="79">
        <v>825</v>
      </c>
      <c r="J1490" s="79">
        <v>580</v>
      </c>
      <c r="K1490" s="33"/>
    </row>
    <row r="1491" spans="1:11" x14ac:dyDescent="0.2">
      <c r="A1491" s="76">
        <v>2753</v>
      </c>
      <c r="B1491" s="76">
        <v>1</v>
      </c>
      <c r="C1491" s="76" t="s">
        <v>387</v>
      </c>
      <c r="D1491" s="76">
        <v>2001</v>
      </c>
      <c r="E1491" s="76">
        <v>2002</v>
      </c>
      <c r="F1491" s="81">
        <v>200</v>
      </c>
      <c r="G1491" s="76">
        <v>10</v>
      </c>
      <c r="H1491" s="76">
        <v>0</v>
      </c>
      <c r="I1491" s="79">
        <v>560</v>
      </c>
      <c r="J1491" s="79">
        <v>705</v>
      </c>
      <c r="K1491" s="33"/>
    </row>
    <row r="1492" spans="1:11" x14ac:dyDescent="0.2">
      <c r="A1492" s="76">
        <v>2753</v>
      </c>
      <c r="B1492" s="76">
        <v>1</v>
      </c>
      <c r="C1492" s="76" t="s">
        <v>856</v>
      </c>
      <c r="D1492" s="76">
        <v>2003</v>
      </c>
      <c r="E1492" s="76">
        <v>2004</v>
      </c>
      <c r="F1492" s="81">
        <v>405</v>
      </c>
      <c r="G1492" s="76">
        <v>5</v>
      </c>
      <c r="H1492" s="76">
        <v>1</v>
      </c>
      <c r="I1492" s="79">
        <v>1046</v>
      </c>
      <c r="J1492" s="79">
        <v>463</v>
      </c>
      <c r="K1492" s="33"/>
    </row>
    <row r="1493" spans="1:11" x14ac:dyDescent="0.2">
      <c r="A1493" s="76">
        <v>2753</v>
      </c>
      <c r="B1493" s="76">
        <v>1</v>
      </c>
      <c r="C1493" s="76" t="s">
        <v>387</v>
      </c>
      <c r="D1493" s="82">
        <v>2007</v>
      </c>
      <c r="E1493" s="83">
        <v>2008</v>
      </c>
      <c r="F1493" s="78">
        <v>295</v>
      </c>
      <c r="G1493" s="76">
        <v>5</v>
      </c>
      <c r="H1493" s="77">
        <v>1</v>
      </c>
      <c r="I1493" s="77">
        <v>613</v>
      </c>
      <c r="J1493" s="79">
        <v>354</v>
      </c>
      <c r="K1493" s="33"/>
    </row>
    <row r="1494" spans="1:11" x14ac:dyDescent="0.2">
      <c r="A1494" s="76">
        <v>2754</v>
      </c>
      <c r="B1494" s="76">
        <v>1</v>
      </c>
      <c r="C1494" s="76" t="s">
        <v>388</v>
      </c>
      <c r="D1494" s="76">
        <v>2001</v>
      </c>
      <c r="E1494" s="76">
        <v>2002</v>
      </c>
      <c r="F1494" s="81">
        <v>290</v>
      </c>
      <c r="G1494" s="76">
        <v>10</v>
      </c>
      <c r="H1494" s="76">
        <v>1</v>
      </c>
      <c r="I1494" s="79">
        <v>384</v>
      </c>
      <c r="J1494" s="79">
        <v>179</v>
      </c>
      <c r="K1494" s="33"/>
    </row>
    <row r="1495" spans="1:11" x14ac:dyDescent="0.2">
      <c r="A1495" s="76">
        <v>2754</v>
      </c>
      <c r="B1495" s="76">
        <v>1</v>
      </c>
      <c r="C1495" s="76" t="s">
        <v>388</v>
      </c>
      <c r="D1495" s="82">
        <v>2007</v>
      </c>
      <c r="E1495" s="83">
        <v>2008</v>
      </c>
      <c r="F1495" s="78">
        <v>409.95</v>
      </c>
      <c r="G1495" s="76">
        <v>10</v>
      </c>
      <c r="H1495" s="77">
        <v>1</v>
      </c>
      <c r="I1495" s="77">
        <v>383</v>
      </c>
      <c r="J1495" s="79">
        <v>66</v>
      </c>
      <c r="K1495" s="33"/>
    </row>
    <row r="1496" spans="1:11" x14ac:dyDescent="0.2">
      <c r="A1496" s="76">
        <v>2759</v>
      </c>
      <c r="B1496" s="76">
        <v>1</v>
      </c>
      <c r="C1496" s="76" t="s">
        <v>389</v>
      </c>
      <c r="D1496" s="76">
        <v>1998</v>
      </c>
      <c r="E1496" s="76">
        <v>1999</v>
      </c>
      <c r="F1496" s="81">
        <v>315</v>
      </c>
      <c r="G1496" s="76">
        <v>10</v>
      </c>
      <c r="H1496" s="76">
        <v>1</v>
      </c>
      <c r="I1496" s="79">
        <v>677</v>
      </c>
      <c r="J1496" s="79">
        <v>578</v>
      </c>
      <c r="K1496" s="33"/>
    </row>
    <row r="1497" spans="1:11" x14ac:dyDescent="0.2">
      <c r="A1497" s="76">
        <v>2759</v>
      </c>
      <c r="B1497" s="76">
        <v>1</v>
      </c>
      <c r="C1497" s="76" t="s">
        <v>389</v>
      </c>
      <c r="D1497" s="76">
        <v>2001</v>
      </c>
      <c r="E1497" s="76">
        <v>2002</v>
      </c>
      <c r="F1497" s="81">
        <v>300</v>
      </c>
      <c r="G1497" s="76">
        <v>10</v>
      </c>
      <c r="H1497" s="76">
        <v>1</v>
      </c>
      <c r="I1497" s="79">
        <v>310</v>
      </c>
      <c r="J1497" s="79">
        <v>172</v>
      </c>
      <c r="K1497" s="33"/>
    </row>
    <row r="1498" spans="1:11" x14ac:dyDescent="0.2">
      <c r="A1498" s="76">
        <v>2759</v>
      </c>
      <c r="B1498" s="76">
        <v>1</v>
      </c>
      <c r="C1498" s="76" t="s">
        <v>857</v>
      </c>
      <c r="D1498" s="76">
        <v>2003</v>
      </c>
      <c r="E1498" s="76">
        <v>2004</v>
      </c>
      <c r="F1498" s="81">
        <v>400</v>
      </c>
      <c r="G1498" s="76">
        <v>10</v>
      </c>
      <c r="H1498" s="76">
        <v>0</v>
      </c>
      <c r="I1498" s="79">
        <v>229</v>
      </c>
      <c r="J1498" s="79">
        <v>290</v>
      </c>
      <c r="K1498" s="33"/>
    </row>
    <row r="1499" spans="1:11" x14ac:dyDescent="0.2">
      <c r="A1499" s="76">
        <v>2759</v>
      </c>
      <c r="B1499" s="76">
        <v>1</v>
      </c>
      <c r="C1499" s="76" t="s">
        <v>857</v>
      </c>
      <c r="D1499" s="76">
        <v>2004</v>
      </c>
      <c r="E1499" s="76">
        <v>2005</v>
      </c>
      <c r="F1499" s="81">
        <v>500</v>
      </c>
      <c r="G1499" s="76">
        <v>10</v>
      </c>
      <c r="H1499" s="76">
        <v>1</v>
      </c>
      <c r="I1499" s="79">
        <v>784</v>
      </c>
      <c r="J1499" s="79">
        <v>608</v>
      </c>
      <c r="K1499" s="33"/>
    </row>
    <row r="1500" spans="1:11" x14ac:dyDescent="0.2">
      <c r="A1500" s="76">
        <v>2805</v>
      </c>
      <c r="B1500" s="76">
        <v>1</v>
      </c>
      <c r="C1500" s="76" t="s">
        <v>785</v>
      </c>
      <c r="D1500" s="76">
        <v>1999</v>
      </c>
      <c r="E1500" s="76">
        <v>2000</v>
      </c>
      <c r="F1500" s="81">
        <v>450</v>
      </c>
      <c r="G1500" s="76">
        <v>10</v>
      </c>
      <c r="H1500" s="76">
        <v>1</v>
      </c>
      <c r="I1500" s="79">
        <v>622</v>
      </c>
      <c r="J1500" s="79">
        <v>578</v>
      </c>
      <c r="K1500" s="33"/>
    </row>
    <row r="1501" spans="1:11" x14ac:dyDescent="0.2">
      <c r="A1501" s="76">
        <v>2805</v>
      </c>
      <c r="B1501" s="76">
        <v>1</v>
      </c>
      <c r="C1501" s="76" t="s">
        <v>390</v>
      </c>
      <c r="D1501" s="76">
        <v>2001</v>
      </c>
      <c r="E1501" s="76">
        <v>2002</v>
      </c>
      <c r="F1501" s="81">
        <v>291.5</v>
      </c>
      <c r="G1501" s="76">
        <v>10</v>
      </c>
      <c r="H1501" s="76">
        <v>0</v>
      </c>
      <c r="I1501" s="79">
        <v>496</v>
      </c>
      <c r="J1501" s="79">
        <v>689</v>
      </c>
      <c r="K1501" s="33"/>
    </row>
    <row r="1502" spans="1:11" x14ac:dyDescent="0.2">
      <c r="A1502" s="76">
        <v>2805</v>
      </c>
      <c r="B1502" s="76">
        <v>1</v>
      </c>
      <c r="C1502" s="76" t="s">
        <v>390</v>
      </c>
      <c r="D1502" s="76">
        <v>2002</v>
      </c>
      <c r="E1502" s="76">
        <v>2003</v>
      </c>
      <c r="F1502" s="81">
        <v>500</v>
      </c>
      <c r="G1502" s="76">
        <v>7</v>
      </c>
      <c r="H1502" s="76">
        <v>0</v>
      </c>
      <c r="I1502" s="79">
        <v>1277</v>
      </c>
      <c r="J1502" s="79">
        <v>1655</v>
      </c>
      <c r="K1502" s="33"/>
    </row>
    <row r="1503" spans="1:11" x14ac:dyDescent="0.2">
      <c r="A1503" s="76">
        <v>2805</v>
      </c>
      <c r="B1503" s="76">
        <v>1</v>
      </c>
      <c r="C1503" s="76" t="s">
        <v>390</v>
      </c>
      <c r="D1503" s="76">
        <v>2003</v>
      </c>
      <c r="E1503" s="76">
        <v>2004</v>
      </c>
      <c r="F1503" s="81">
        <v>600</v>
      </c>
      <c r="G1503" s="76">
        <v>10</v>
      </c>
      <c r="H1503" s="76">
        <v>0</v>
      </c>
      <c r="I1503" s="79">
        <v>710</v>
      </c>
      <c r="J1503" s="79">
        <v>999</v>
      </c>
      <c r="K1503" s="33"/>
    </row>
    <row r="1504" spans="1:11" x14ac:dyDescent="0.2">
      <c r="A1504" s="76">
        <v>2805</v>
      </c>
      <c r="B1504" s="76">
        <v>1</v>
      </c>
      <c r="C1504" s="76" t="s">
        <v>390</v>
      </c>
      <c r="D1504" s="76">
        <v>2005</v>
      </c>
      <c r="E1504" s="76">
        <v>2006</v>
      </c>
      <c r="F1504" s="81">
        <v>390.15</v>
      </c>
      <c r="G1504" s="76">
        <v>4</v>
      </c>
      <c r="H1504" s="78">
        <v>1</v>
      </c>
      <c r="I1504" s="77">
        <v>1214</v>
      </c>
      <c r="J1504" s="77">
        <v>617</v>
      </c>
      <c r="K1504" s="33"/>
    </row>
    <row r="1505" spans="1:11" x14ac:dyDescent="0.2">
      <c r="A1505" s="76">
        <v>2835</v>
      </c>
      <c r="B1505" s="76">
        <v>1</v>
      </c>
      <c r="C1505" s="76" t="s">
        <v>786</v>
      </c>
      <c r="D1505" s="76">
        <v>1992</v>
      </c>
      <c r="E1505" s="76">
        <v>1993</v>
      </c>
      <c r="F1505" s="81">
        <v>481.65</v>
      </c>
      <c r="G1505" s="76">
        <v>5</v>
      </c>
      <c r="H1505" s="76">
        <v>1</v>
      </c>
      <c r="I1505" s="79" t="s">
        <v>840</v>
      </c>
      <c r="J1505" s="79" t="s">
        <v>840</v>
      </c>
      <c r="K1505" s="33"/>
    </row>
    <row r="1506" spans="1:11" x14ac:dyDescent="0.2">
      <c r="A1506" s="76">
        <v>2835</v>
      </c>
      <c r="B1506" s="76">
        <v>1</v>
      </c>
      <c r="C1506" s="76" t="s">
        <v>786</v>
      </c>
      <c r="D1506" s="76">
        <v>1993</v>
      </c>
      <c r="E1506" s="76">
        <v>1994</v>
      </c>
      <c r="F1506" s="81">
        <v>-481.65</v>
      </c>
      <c r="G1506" s="76">
        <v>4</v>
      </c>
      <c r="H1506" s="76">
        <v>1</v>
      </c>
      <c r="I1506" s="79" t="s">
        <v>840</v>
      </c>
      <c r="J1506" s="79" t="s">
        <v>840</v>
      </c>
      <c r="K1506" s="33"/>
    </row>
    <row r="1507" spans="1:11" x14ac:dyDescent="0.2">
      <c r="A1507" s="76">
        <v>2835</v>
      </c>
      <c r="B1507" s="76">
        <v>1</v>
      </c>
      <c r="C1507" s="76" t="s">
        <v>786</v>
      </c>
      <c r="D1507" s="76">
        <v>1994</v>
      </c>
      <c r="E1507" s="76">
        <v>1995</v>
      </c>
      <c r="F1507" s="81">
        <v>312.77</v>
      </c>
      <c r="G1507" s="76">
        <v>3</v>
      </c>
      <c r="H1507" s="76">
        <v>0</v>
      </c>
      <c r="I1507" s="79">
        <v>1005</v>
      </c>
      <c r="J1507" s="79">
        <v>1082</v>
      </c>
      <c r="K1507" s="33"/>
    </row>
    <row r="1508" spans="1:11" x14ac:dyDescent="0.2">
      <c r="A1508" s="76">
        <v>2835</v>
      </c>
      <c r="B1508" s="76">
        <v>1</v>
      </c>
      <c r="C1508" s="76" t="s">
        <v>786</v>
      </c>
      <c r="D1508" s="76">
        <v>1995</v>
      </c>
      <c r="E1508" s="76">
        <v>1996</v>
      </c>
      <c r="F1508" s="81">
        <v>731</v>
      </c>
      <c r="G1508" s="76">
        <v>5</v>
      </c>
      <c r="H1508" s="76">
        <v>1</v>
      </c>
      <c r="I1508" s="79">
        <v>1331</v>
      </c>
      <c r="J1508" s="79">
        <v>614</v>
      </c>
      <c r="K1508" s="33"/>
    </row>
    <row r="1509" spans="1:11" x14ac:dyDescent="0.2">
      <c r="A1509" s="76">
        <v>2835</v>
      </c>
      <c r="B1509" s="76">
        <v>1</v>
      </c>
      <c r="C1509" s="76" t="s">
        <v>786</v>
      </c>
      <c r="D1509" s="76">
        <v>1999</v>
      </c>
      <c r="E1509" s="76">
        <v>2001</v>
      </c>
      <c r="F1509" s="81">
        <v>731</v>
      </c>
      <c r="G1509" s="76">
        <v>10</v>
      </c>
      <c r="H1509" s="76">
        <v>1</v>
      </c>
      <c r="I1509" s="79">
        <v>579</v>
      </c>
      <c r="J1509" s="79">
        <v>432</v>
      </c>
      <c r="K1509" s="33"/>
    </row>
    <row r="1510" spans="1:11" x14ac:dyDescent="0.2">
      <c r="A1510" s="76">
        <v>2835</v>
      </c>
      <c r="B1510" s="76">
        <v>1</v>
      </c>
      <c r="C1510" s="76" t="s">
        <v>786</v>
      </c>
      <c r="D1510" s="76">
        <v>2002</v>
      </c>
      <c r="E1510" s="76">
        <v>2003</v>
      </c>
      <c r="F1510" s="81">
        <v>395</v>
      </c>
      <c r="G1510" s="76">
        <v>7</v>
      </c>
      <c r="H1510" s="76">
        <v>0</v>
      </c>
      <c r="I1510" s="79">
        <v>819</v>
      </c>
      <c r="J1510" s="79">
        <v>1320</v>
      </c>
      <c r="K1510" s="33"/>
    </row>
    <row r="1511" spans="1:11" x14ac:dyDescent="0.2">
      <c r="A1511" s="76">
        <v>2835</v>
      </c>
      <c r="B1511" s="76">
        <v>1</v>
      </c>
      <c r="C1511" s="76" t="s">
        <v>786</v>
      </c>
      <c r="D1511" s="76">
        <v>2004</v>
      </c>
      <c r="E1511" s="76">
        <v>2005</v>
      </c>
      <c r="F1511" s="81">
        <v>190.61</v>
      </c>
      <c r="G1511" s="76">
        <v>8</v>
      </c>
      <c r="H1511" s="76">
        <v>0</v>
      </c>
      <c r="I1511" s="79">
        <v>1223</v>
      </c>
      <c r="J1511" s="79">
        <v>1578</v>
      </c>
      <c r="K1511" s="33"/>
    </row>
    <row r="1512" spans="1:11" x14ac:dyDescent="0.2">
      <c r="A1512" s="76">
        <v>2835</v>
      </c>
      <c r="B1512" s="76">
        <v>1</v>
      </c>
      <c r="C1512" s="76" t="s">
        <v>786</v>
      </c>
      <c r="D1512" s="76">
        <v>2004</v>
      </c>
      <c r="E1512" s="76">
        <v>2005</v>
      </c>
      <c r="F1512" s="81">
        <v>381</v>
      </c>
      <c r="G1512" s="76">
        <v>8</v>
      </c>
      <c r="H1512" s="76">
        <v>0</v>
      </c>
      <c r="I1512" s="79">
        <v>1392</v>
      </c>
      <c r="J1512" s="79">
        <v>1426</v>
      </c>
      <c r="K1512" s="33"/>
    </row>
    <row r="1513" spans="1:11" x14ac:dyDescent="0.2">
      <c r="A1513" s="76">
        <v>2835</v>
      </c>
      <c r="B1513" s="76">
        <v>1</v>
      </c>
      <c r="C1513" s="76" t="s">
        <v>786</v>
      </c>
      <c r="D1513" s="76">
        <v>2005</v>
      </c>
      <c r="E1513" s="76">
        <v>2006</v>
      </c>
      <c r="F1513" s="81">
        <v>190.61</v>
      </c>
      <c r="G1513" s="76">
        <v>8</v>
      </c>
      <c r="H1513" s="78">
        <v>1</v>
      </c>
      <c r="I1513" s="77">
        <v>1213</v>
      </c>
      <c r="J1513" s="77">
        <v>1030</v>
      </c>
      <c r="K1513" s="33"/>
    </row>
    <row r="1514" spans="1:11" x14ac:dyDescent="0.2">
      <c r="A1514" s="76">
        <v>2835</v>
      </c>
      <c r="B1514" s="76">
        <v>1</v>
      </c>
      <c r="C1514" s="76" t="s">
        <v>786</v>
      </c>
      <c r="D1514" s="76">
        <v>2005</v>
      </c>
      <c r="E1514" s="76">
        <v>2006</v>
      </c>
      <c r="F1514" s="81">
        <v>381</v>
      </c>
      <c r="G1514" s="76">
        <v>8</v>
      </c>
      <c r="H1514" s="78">
        <v>1</v>
      </c>
      <c r="I1514" s="77">
        <v>1342</v>
      </c>
      <c r="J1514" s="77">
        <v>906</v>
      </c>
      <c r="K1514" s="33"/>
    </row>
    <row r="1515" spans="1:11" x14ac:dyDescent="0.2">
      <c r="A1515" s="76">
        <v>2853</v>
      </c>
      <c r="B1515" s="76">
        <v>1</v>
      </c>
      <c r="C1515" s="76" t="s">
        <v>392</v>
      </c>
      <c r="D1515" s="76">
        <v>2000</v>
      </c>
      <c r="E1515" s="76">
        <v>2002</v>
      </c>
      <c r="F1515" s="81">
        <v>500</v>
      </c>
      <c r="G1515" s="76">
        <v>5</v>
      </c>
      <c r="H1515" s="76">
        <v>1</v>
      </c>
      <c r="I1515" s="79">
        <v>1995</v>
      </c>
      <c r="J1515" s="79">
        <v>1949</v>
      </c>
      <c r="K1515" s="33"/>
    </row>
    <row r="1516" spans="1:11" x14ac:dyDescent="0.2">
      <c r="A1516" s="76">
        <v>2853</v>
      </c>
      <c r="B1516" s="76">
        <v>1</v>
      </c>
      <c r="C1516" s="76" t="s">
        <v>392</v>
      </c>
      <c r="D1516" s="76">
        <v>2001</v>
      </c>
      <c r="E1516" s="76">
        <v>2002</v>
      </c>
      <c r="F1516" s="81">
        <v>415</v>
      </c>
      <c r="G1516" s="76">
        <v>5</v>
      </c>
      <c r="H1516" s="76">
        <v>1</v>
      </c>
      <c r="I1516" s="79">
        <v>858</v>
      </c>
      <c r="J1516" s="79">
        <v>498</v>
      </c>
      <c r="K1516" s="33"/>
    </row>
    <row r="1517" spans="1:11" x14ac:dyDescent="0.2">
      <c r="A1517" s="76">
        <v>2853</v>
      </c>
      <c r="B1517" s="76">
        <v>1</v>
      </c>
      <c r="C1517" s="76" t="s">
        <v>1034</v>
      </c>
      <c r="D1517" s="76">
        <v>2005</v>
      </c>
      <c r="E1517" s="76">
        <v>2006</v>
      </c>
      <c r="F1517" s="81">
        <v>1100</v>
      </c>
      <c r="G1517" s="76">
        <v>5</v>
      </c>
      <c r="H1517" s="78">
        <v>1</v>
      </c>
      <c r="I1517" s="77">
        <v>631</v>
      </c>
      <c r="J1517" s="77">
        <v>500</v>
      </c>
      <c r="K1517" s="33"/>
    </row>
    <row r="1518" spans="1:11" x14ac:dyDescent="0.2">
      <c r="A1518" s="76">
        <v>2854</v>
      </c>
      <c r="B1518" s="76">
        <v>1</v>
      </c>
      <c r="C1518" s="76" t="s">
        <v>393</v>
      </c>
      <c r="D1518" s="76">
        <v>2001</v>
      </c>
      <c r="E1518" s="76">
        <v>2002</v>
      </c>
      <c r="F1518" s="81">
        <v>400</v>
      </c>
      <c r="G1518" s="76">
        <v>10</v>
      </c>
      <c r="H1518" s="76">
        <v>1</v>
      </c>
      <c r="I1518" s="79">
        <v>693</v>
      </c>
      <c r="J1518" s="79">
        <v>283</v>
      </c>
      <c r="K1518" s="33"/>
    </row>
    <row r="1519" spans="1:11" x14ac:dyDescent="0.2">
      <c r="A1519" s="76">
        <v>2854</v>
      </c>
      <c r="B1519" s="76">
        <v>1</v>
      </c>
      <c r="C1519" s="76" t="s">
        <v>1035</v>
      </c>
      <c r="D1519" s="76">
        <v>2005</v>
      </c>
      <c r="E1519" s="76">
        <v>2006</v>
      </c>
      <c r="F1519" s="81">
        <v>400</v>
      </c>
      <c r="G1519" s="76">
        <v>10</v>
      </c>
      <c r="H1519" s="78">
        <v>1</v>
      </c>
      <c r="I1519" s="77">
        <v>621</v>
      </c>
      <c r="J1519" s="77">
        <v>102</v>
      </c>
      <c r="K1519" s="33"/>
    </row>
    <row r="1520" spans="1:11" x14ac:dyDescent="0.2">
      <c r="A1520" s="76">
        <v>2856</v>
      </c>
      <c r="B1520" s="76">
        <v>1</v>
      </c>
      <c r="C1520" s="76" t="s">
        <v>858</v>
      </c>
      <c r="D1520" s="76">
        <v>2003</v>
      </c>
      <c r="E1520" s="76">
        <v>2005</v>
      </c>
      <c r="F1520" s="81">
        <v>1000</v>
      </c>
      <c r="G1520" s="76">
        <v>10</v>
      </c>
      <c r="H1520" s="76">
        <v>1</v>
      </c>
      <c r="I1520" s="79">
        <v>302</v>
      </c>
      <c r="J1520" s="79">
        <v>164</v>
      </c>
      <c r="K1520" s="33"/>
    </row>
    <row r="1521" spans="1:11" x14ac:dyDescent="0.2">
      <c r="A1521" s="76">
        <v>2859</v>
      </c>
      <c r="B1521" s="76">
        <v>1</v>
      </c>
      <c r="C1521" s="76" t="s">
        <v>395</v>
      </c>
      <c r="D1521" s="76">
        <v>2001</v>
      </c>
      <c r="E1521" s="76">
        <v>2002</v>
      </c>
      <c r="F1521" s="81">
        <v>597</v>
      </c>
      <c r="G1521" s="76">
        <v>5</v>
      </c>
      <c r="H1521" s="76">
        <v>0</v>
      </c>
      <c r="I1521" s="79">
        <v>889</v>
      </c>
      <c r="J1521" s="79">
        <v>1232</v>
      </c>
      <c r="K1521" s="33"/>
    </row>
    <row r="1522" spans="1:11" x14ac:dyDescent="0.2">
      <c r="A1522" s="76">
        <v>2859</v>
      </c>
      <c r="B1522" s="76">
        <v>1</v>
      </c>
      <c r="C1522" s="76" t="s">
        <v>395</v>
      </c>
      <c r="D1522" s="76">
        <v>2002</v>
      </c>
      <c r="E1522" s="76">
        <v>2003</v>
      </c>
      <c r="F1522" s="81">
        <v>597</v>
      </c>
      <c r="G1522" s="76">
        <v>5</v>
      </c>
      <c r="H1522" s="76">
        <v>1</v>
      </c>
      <c r="I1522" s="79">
        <v>1658</v>
      </c>
      <c r="J1522" s="79">
        <v>1323</v>
      </c>
      <c r="K1522" s="33"/>
    </row>
    <row r="1523" spans="1:11" x14ac:dyDescent="0.2">
      <c r="A1523" s="76">
        <v>2859</v>
      </c>
      <c r="B1523" s="76">
        <v>1</v>
      </c>
      <c r="C1523" s="76" t="s">
        <v>395</v>
      </c>
      <c r="D1523" s="76">
        <v>2006</v>
      </c>
      <c r="E1523" s="78">
        <v>2007</v>
      </c>
      <c r="F1523" s="81">
        <v>200</v>
      </c>
      <c r="G1523" s="78">
        <v>5</v>
      </c>
      <c r="H1523" s="76">
        <v>0</v>
      </c>
      <c r="I1523" s="77">
        <v>2090</v>
      </c>
      <c r="J1523" s="77">
        <v>2568</v>
      </c>
      <c r="K1523" s="33"/>
    </row>
    <row r="1524" spans="1:11" x14ac:dyDescent="0.2">
      <c r="A1524" s="76">
        <v>2859</v>
      </c>
      <c r="B1524" s="76">
        <v>1</v>
      </c>
      <c r="C1524" s="76" t="s">
        <v>395</v>
      </c>
      <c r="D1524" s="76">
        <v>2006</v>
      </c>
      <c r="E1524" s="78">
        <v>2007</v>
      </c>
      <c r="F1524" s="81">
        <v>200</v>
      </c>
      <c r="G1524" s="78">
        <v>5</v>
      </c>
      <c r="H1524" s="76">
        <v>0</v>
      </c>
      <c r="I1524" s="77">
        <v>1152</v>
      </c>
      <c r="J1524" s="77">
        <v>1200</v>
      </c>
      <c r="K1524" s="33"/>
    </row>
    <row r="1525" spans="1:11" x14ac:dyDescent="0.2">
      <c r="A1525" s="76">
        <v>2859</v>
      </c>
      <c r="B1525" s="76">
        <v>1</v>
      </c>
      <c r="C1525" s="76" t="s">
        <v>395</v>
      </c>
      <c r="D1525" s="82">
        <v>2007</v>
      </c>
      <c r="E1525" s="83">
        <v>2008</v>
      </c>
      <c r="F1525" s="78">
        <v>680.05</v>
      </c>
      <c r="G1525" s="76">
        <v>5</v>
      </c>
      <c r="H1525" s="77">
        <v>1</v>
      </c>
      <c r="I1525" s="77">
        <v>2380</v>
      </c>
      <c r="J1525" s="79">
        <v>1003</v>
      </c>
      <c r="K1525" s="33"/>
    </row>
    <row r="1526" spans="1:11" x14ac:dyDescent="0.2">
      <c r="A1526" s="76">
        <v>2860</v>
      </c>
      <c r="B1526" s="76">
        <v>1</v>
      </c>
      <c r="C1526" s="76" t="s">
        <v>396</v>
      </c>
      <c r="D1526" s="76">
        <v>1998</v>
      </c>
      <c r="E1526" s="76">
        <v>1999</v>
      </c>
      <c r="F1526" s="81">
        <v>455</v>
      </c>
      <c r="G1526" s="76">
        <v>5</v>
      </c>
      <c r="H1526" s="76">
        <v>0</v>
      </c>
      <c r="I1526" s="79">
        <v>2084</v>
      </c>
      <c r="J1526" s="79">
        <v>2421</v>
      </c>
      <c r="K1526" s="33"/>
    </row>
    <row r="1527" spans="1:11" x14ac:dyDescent="0.2">
      <c r="A1527" s="76">
        <v>2860</v>
      </c>
      <c r="B1527" s="76">
        <v>1</v>
      </c>
      <c r="C1527" s="76" t="s">
        <v>396</v>
      </c>
      <c r="D1527" s="76">
        <v>1999</v>
      </c>
      <c r="E1527" s="76">
        <v>2000</v>
      </c>
      <c r="F1527" s="81">
        <v>455</v>
      </c>
      <c r="G1527" s="76">
        <v>5</v>
      </c>
      <c r="H1527" s="76">
        <v>1</v>
      </c>
      <c r="I1527" s="79">
        <v>2292</v>
      </c>
      <c r="J1527" s="79">
        <v>1375</v>
      </c>
      <c r="K1527" s="33"/>
    </row>
    <row r="1528" spans="1:11" x14ac:dyDescent="0.2">
      <c r="A1528" s="76">
        <v>2860</v>
      </c>
      <c r="B1528" s="76">
        <v>1</v>
      </c>
      <c r="C1528" s="76" t="s">
        <v>882</v>
      </c>
      <c r="D1528" s="76">
        <v>2004</v>
      </c>
      <c r="E1528" s="76">
        <v>2005</v>
      </c>
      <c r="F1528" s="81">
        <v>650</v>
      </c>
      <c r="G1528" s="76">
        <v>5</v>
      </c>
      <c r="H1528" s="76">
        <v>1</v>
      </c>
      <c r="I1528" s="79">
        <v>2663</v>
      </c>
      <c r="J1528" s="79">
        <v>1986</v>
      </c>
      <c r="K1528" s="33"/>
    </row>
    <row r="1529" spans="1:11" x14ac:dyDescent="0.2">
      <c r="A1529" s="76">
        <v>2884</v>
      </c>
      <c r="B1529" s="76">
        <v>1</v>
      </c>
      <c r="C1529" s="76" t="s">
        <v>397</v>
      </c>
      <c r="D1529" s="76">
        <v>2002</v>
      </c>
      <c r="E1529" s="76">
        <v>2003</v>
      </c>
      <c r="F1529" s="81">
        <v>950</v>
      </c>
      <c r="G1529" s="76">
        <v>10</v>
      </c>
      <c r="H1529" s="76">
        <v>1</v>
      </c>
      <c r="I1529" s="79">
        <v>884</v>
      </c>
      <c r="J1529" s="79">
        <v>752</v>
      </c>
      <c r="K1529" s="33"/>
    </row>
    <row r="1530" spans="1:11" x14ac:dyDescent="0.2">
      <c r="A1530" s="76">
        <v>2886</v>
      </c>
      <c r="B1530" s="76">
        <v>1</v>
      </c>
      <c r="C1530" s="76" t="s">
        <v>398</v>
      </c>
      <c r="D1530" s="76">
        <v>2002</v>
      </c>
      <c r="E1530" s="76">
        <v>2003</v>
      </c>
      <c r="F1530" s="81">
        <v>625</v>
      </c>
      <c r="G1530" s="76">
        <v>7</v>
      </c>
      <c r="H1530" s="76">
        <v>0</v>
      </c>
      <c r="I1530" s="79">
        <v>640</v>
      </c>
      <c r="J1530" s="79">
        <v>719</v>
      </c>
      <c r="K1530" s="33"/>
    </row>
    <row r="1531" spans="1:11" x14ac:dyDescent="0.2">
      <c r="A1531" s="76">
        <v>2886</v>
      </c>
      <c r="B1531" s="76">
        <v>1</v>
      </c>
      <c r="C1531" s="76" t="s">
        <v>398</v>
      </c>
      <c r="D1531" s="76">
        <v>2003</v>
      </c>
      <c r="E1531" s="76">
        <v>2004</v>
      </c>
      <c r="F1531" s="81">
        <v>448.5</v>
      </c>
      <c r="G1531" s="76">
        <v>7</v>
      </c>
      <c r="H1531" s="76">
        <v>1</v>
      </c>
      <c r="I1531" s="79">
        <v>694</v>
      </c>
      <c r="J1531" s="79">
        <v>634</v>
      </c>
      <c r="K1531" s="33"/>
    </row>
    <row r="1532" spans="1:11" x14ac:dyDescent="0.2">
      <c r="A1532" s="76">
        <v>2886</v>
      </c>
      <c r="B1532" s="76">
        <v>1</v>
      </c>
      <c r="C1532" s="76" t="s">
        <v>1036</v>
      </c>
      <c r="D1532" s="76">
        <v>2005</v>
      </c>
      <c r="E1532" s="76">
        <v>2006</v>
      </c>
      <c r="F1532" s="81">
        <v>433.41</v>
      </c>
      <c r="G1532" s="76">
        <v>10</v>
      </c>
      <c r="H1532" s="78">
        <v>1</v>
      </c>
      <c r="I1532" s="77">
        <v>524</v>
      </c>
      <c r="J1532" s="77">
        <v>335</v>
      </c>
      <c r="K1532" s="33"/>
    </row>
    <row r="1533" spans="1:11" x14ac:dyDescent="0.2">
      <c r="A1533" s="76">
        <v>2887</v>
      </c>
      <c r="B1533" s="76">
        <v>1</v>
      </c>
      <c r="C1533" s="76" t="s">
        <v>399</v>
      </c>
      <c r="D1533" s="76">
        <v>2001</v>
      </c>
      <c r="E1533" s="76">
        <v>2002</v>
      </c>
      <c r="F1533" s="81">
        <v>250</v>
      </c>
      <c r="G1533" s="76">
        <v>10</v>
      </c>
      <c r="H1533" s="76">
        <v>1</v>
      </c>
      <c r="I1533" s="79">
        <v>739</v>
      </c>
      <c r="J1533" s="79">
        <v>499</v>
      </c>
      <c r="K1533" s="33"/>
    </row>
    <row r="1534" spans="1:11" x14ac:dyDescent="0.2">
      <c r="A1534" s="76">
        <v>2887</v>
      </c>
      <c r="B1534" s="76">
        <v>1</v>
      </c>
      <c r="C1534" s="76" t="s">
        <v>399</v>
      </c>
      <c r="D1534" s="76">
        <v>2002</v>
      </c>
      <c r="E1534" s="76">
        <v>2003</v>
      </c>
      <c r="F1534" s="81">
        <v>450</v>
      </c>
      <c r="G1534" s="76">
        <v>10</v>
      </c>
      <c r="H1534" s="76">
        <v>1</v>
      </c>
      <c r="I1534" s="79">
        <v>644</v>
      </c>
      <c r="J1534" s="79">
        <v>612</v>
      </c>
      <c r="K1534" s="33"/>
    </row>
    <row r="1535" spans="1:11" x14ac:dyDescent="0.2">
      <c r="A1535" s="76">
        <v>2887</v>
      </c>
      <c r="B1535" s="76">
        <v>1</v>
      </c>
      <c r="C1535" s="76" t="s">
        <v>399</v>
      </c>
      <c r="D1535" s="82">
        <v>2007</v>
      </c>
      <c r="E1535" s="83">
        <v>2008</v>
      </c>
      <c r="F1535" s="78">
        <v>772.91</v>
      </c>
      <c r="G1535" s="76">
        <v>10</v>
      </c>
      <c r="H1535" s="77">
        <v>0</v>
      </c>
      <c r="I1535" s="77">
        <v>450</v>
      </c>
      <c r="J1535" s="79">
        <v>705</v>
      </c>
      <c r="K1535" s="33"/>
    </row>
    <row r="1536" spans="1:11" x14ac:dyDescent="0.2">
      <c r="A1536">
        <v>2887</v>
      </c>
      <c r="B1536">
        <v>1</v>
      </c>
      <c r="C1536" t="s">
        <v>399</v>
      </c>
      <c r="D1536">
        <v>2008</v>
      </c>
      <c r="E1536" s="5">
        <v>2009</v>
      </c>
      <c r="F1536" s="6">
        <v>808.23</v>
      </c>
      <c r="G1536" s="5">
        <v>5</v>
      </c>
      <c r="H1536" s="33">
        <v>0</v>
      </c>
      <c r="I1536" s="33">
        <v>772</v>
      </c>
      <c r="J1536" s="33">
        <v>947</v>
      </c>
      <c r="K1536" s="33"/>
    </row>
    <row r="1537" spans="1:11" x14ac:dyDescent="0.2">
      <c r="A1537" s="76">
        <v>2888</v>
      </c>
      <c r="B1537" s="76">
        <v>1</v>
      </c>
      <c r="C1537" s="76" t="s">
        <v>400</v>
      </c>
      <c r="D1537" s="76">
        <v>2001</v>
      </c>
      <c r="E1537" s="76">
        <v>2002</v>
      </c>
      <c r="F1537" s="81">
        <v>126</v>
      </c>
      <c r="G1537" s="76">
        <v>10</v>
      </c>
      <c r="H1537" s="76">
        <v>1</v>
      </c>
      <c r="I1537" s="79">
        <v>456</v>
      </c>
      <c r="J1537" s="79">
        <v>115</v>
      </c>
      <c r="K1537" s="33"/>
    </row>
    <row r="1538" spans="1:11" x14ac:dyDescent="0.2">
      <c r="A1538" s="76">
        <v>2888</v>
      </c>
      <c r="B1538" s="76">
        <v>1</v>
      </c>
      <c r="C1538" s="76" t="s">
        <v>1037</v>
      </c>
      <c r="D1538" s="76">
        <v>2005</v>
      </c>
      <c r="E1538" s="76">
        <v>2006</v>
      </c>
      <c r="F1538" s="81">
        <v>975</v>
      </c>
      <c r="G1538" s="76">
        <v>10</v>
      </c>
      <c r="H1538" s="78">
        <v>0</v>
      </c>
      <c r="I1538" s="77">
        <v>502</v>
      </c>
      <c r="J1538" s="77">
        <v>523</v>
      </c>
      <c r="K1538" s="33"/>
    </row>
    <row r="1539" spans="1:11" x14ac:dyDescent="0.2">
      <c r="A1539" s="76">
        <v>2888</v>
      </c>
      <c r="B1539" s="76">
        <v>1</v>
      </c>
      <c r="C1539" s="76" t="s">
        <v>400</v>
      </c>
      <c r="D1539" s="76">
        <v>2006</v>
      </c>
      <c r="E1539" s="78">
        <v>2007</v>
      </c>
      <c r="F1539" s="81">
        <v>975</v>
      </c>
      <c r="G1539" s="78">
        <v>8</v>
      </c>
      <c r="H1539" s="76">
        <v>1</v>
      </c>
      <c r="I1539" s="77">
        <v>690</v>
      </c>
      <c r="J1539" s="77">
        <v>650</v>
      </c>
      <c r="K1539" s="33"/>
    </row>
    <row r="1540" spans="1:11" x14ac:dyDescent="0.2">
      <c r="A1540" s="76">
        <v>2889</v>
      </c>
      <c r="B1540" s="76">
        <v>1</v>
      </c>
      <c r="C1540" s="76" t="s">
        <v>401</v>
      </c>
      <c r="D1540" s="76">
        <v>2000</v>
      </c>
      <c r="E1540" s="76">
        <v>2001</v>
      </c>
      <c r="F1540" s="81">
        <v>307.22000000000003</v>
      </c>
      <c r="G1540" s="76">
        <v>5</v>
      </c>
      <c r="H1540" s="76">
        <v>1</v>
      </c>
      <c r="I1540" s="79">
        <v>1264</v>
      </c>
      <c r="J1540" s="79">
        <v>827</v>
      </c>
      <c r="K1540" s="33"/>
    </row>
    <row r="1541" spans="1:11" x14ac:dyDescent="0.2">
      <c r="A1541" s="76">
        <v>2889</v>
      </c>
      <c r="B1541" s="76">
        <v>1</v>
      </c>
      <c r="C1541" s="76" t="s">
        <v>401</v>
      </c>
      <c r="D1541" s="76">
        <v>2001</v>
      </c>
      <c r="E1541" s="76">
        <v>2002</v>
      </c>
      <c r="F1541" s="81">
        <v>315</v>
      </c>
      <c r="G1541" s="76">
        <v>5</v>
      </c>
      <c r="H1541" s="76">
        <v>0</v>
      </c>
      <c r="I1541" s="79">
        <v>428</v>
      </c>
      <c r="J1541" s="79">
        <v>541</v>
      </c>
      <c r="K1541" s="33"/>
    </row>
    <row r="1542" spans="1:11" x14ac:dyDescent="0.2">
      <c r="A1542" s="76">
        <v>2889</v>
      </c>
      <c r="B1542" s="76">
        <v>1</v>
      </c>
      <c r="C1542" s="76" t="s">
        <v>859</v>
      </c>
      <c r="D1542" s="76">
        <v>2003</v>
      </c>
      <c r="E1542" s="76">
        <v>2004</v>
      </c>
      <c r="F1542" s="81">
        <v>500</v>
      </c>
      <c r="G1542" s="76">
        <v>10</v>
      </c>
      <c r="H1542" s="76">
        <v>0</v>
      </c>
      <c r="I1542" s="79">
        <v>504</v>
      </c>
      <c r="J1542" s="79">
        <v>610</v>
      </c>
      <c r="K1542" s="33"/>
    </row>
    <row r="1543" spans="1:11" x14ac:dyDescent="0.2">
      <c r="A1543" s="76">
        <v>2889</v>
      </c>
      <c r="B1543" s="76">
        <v>1</v>
      </c>
      <c r="C1543" s="76" t="s">
        <v>859</v>
      </c>
      <c r="D1543" s="76">
        <v>2004</v>
      </c>
      <c r="E1543" s="76">
        <v>2005</v>
      </c>
      <c r="F1543" s="81">
        <v>500</v>
      </c>
      <c r="G1543" s="76">
        <v>6</v>
      </c>
      <c r="H1543" s="76">
        <v>1</v>
      </c>
      <c r="I1543" s="79">
        <v>1485</v>
      </c>
      <c r="J1543" s="79">
        <v>1187</v>
      </c>
      <c r="K1543" s="33"/>
    </row>
    <row r="1544" spans="1:11" x14ac:dyDescent="0.2">
      <c r="A1544" s="76">
        <v>2890</v>
      </c>
      <c r="B1544" s="76">
        <v>1</v>
      </c>
      <c r="C1544" s="76" t="s">
        <v>787</v>
      </c>
      <c r="D1544" s="76">
        <v>2000</v>
      </c>
      <c r="E1544" s="76">
        <v>2001</v>
      </c>
      <c r="F1544" s="81">
        <v>800</v>
      </c>
      <c r="G1544" s="76">
        <v>10</v>
      </c>
      <c r="H1544" s="76">
        <v>1</v>
      </c>
      <c r="I1544" s="79">
        <v>812</v>
      </c>
      <c r="J1544" s="79">
        <v>271</v>
      </c>
      <c r="K1544" s="33"/>
    </row>
    <row r="1545" spans="1:11" x14ac:dyDescent="0.2">
      <c r="A1545" s="76">
        <v>2890</v>
      </c>
      <c r="B1545" s="76">
        <v>1</v>
      </c>
      <c r="C1545" s="76" t="s">
        <v>787</v>
      </c>
      <c r="D1545" s="76">
        <v>2003</v>
      </c>
      <c r="E1545" s="76">
        <v>2004</v>
      </c>
      <c r="F1545" s="81">
        <v>415</v>
      </c>
      <c r="G1545" s="76">
        <v>7</v>
      </c>
      <c r="H1545" s="76">
        <v>1</v>
      </c>
      <c r="I1545" s="79">
        <v>720</v>
      </c>
      <c r="J1545" s="79">
        <v>319</v>
      </c>
      <c r="K1545" s="33"/>
    </row>
    <row r="1546" spans="1:11" x14ac:dyDescent="0.2">
      <c r="A1546" s="76">
        <v>2890</v>
      </c>
      <c r="B1546" s="76">
        <v>1</v>
      </c>
      <c r="C1546" s="76" t="s">
        <v>787</v>
      </c>
      <c r="D1546" s="76">
        <v>2006</v>
      </c>
      <c r="E1546" s="78">
        <v>2007</v>
      </c>
      <c r="F1546" s="81">
        <v>400</v>
      </c>
      <c r="G1546" s="78">
        <v>10</v>
      </c>
      <c r="H1546" s="76">
        <v>1</v>
      </c>
      <c r="I1546" s="77">
        <v>1007</v>
      </c>
      <c r="J1546" s="77">
        <v>833</v>
      </c>
      <c r="K1546" s="33"/>
    </row>
    <row r="1547" spans="1:11" x14ac:dyDescent="0.2">
      <c r="A1547" s="76">
        <v>2895</v>
      </c>
      <c r="B1547" s="76">
        <v>1</v>
      </c>
      <c r="C1547" s="76" t="s">
        <v>403</v>
      </c>
      <c r="D1547" s="76">
        <v>2001</v>
      </c>
      <c r="E1547" s="76">
        <v>2002</v>
      </c>
      <c r="F1547" s="81">
        <v>50</v>
      </c>
      <c r="G1547" s="76">
        <v>10</v>
      </c>
      <c r="H1547" s="76">
        <v>1</v>
      </c>
      <c r="I1547" s="79">
        <v>1701</v>
      </c>
      <c r="J1547" s="79">
        <v>1062</v>
      </c>
      <c r="K1547" s="33"/>
    </row>
    <row r="1548" spans="1:11" x14ac:dyDescent="0.2">
      <c r="A1548" s="76">
        <v>2895</v>
      </c>
      <c r="B1548" s="76">
        <v>1</v>
      </c>
      <c r="C1548" s="76" t="s">
        <v>403</v>
      </c>
      <c r="D1548" s="76">
        <v>2006</v>
      </c>
      <c r="E1548" s="78">
        <v>2007</v>
      </c>
      <c r="F1548" s="81">
        <v>749.77</v>
      </c>
      <c r="G1548" s="78">
        <v>10</v>
      </c>
      <c r="H1548" s="76">
        <v>0</v>
      </c>
      <c r="I1548" s="77">
        <v>1620</v>
      </c>
      <c r="J1548" s="77">
        <v>2067</v>
      </c>
      <c r="K1548" s="33"/>
    </row>
    <row r="1549" spans="1:11" x14ac:dyDescent="0.2">
      <c r="A1549" s="76">
        <v>2895</v>
      </c>
      <c r="B1549" s="76">
        <v>1</v>
      </c>
      <c r="C1549" s="76" t="s">
        <v>403</v>
      </c>
      <c r="D1549" s="82">
        <v>2007</v>
      </c>
      <c r="E1549" s="83">
        <v>2008</v>
      </c>
      <c r="F1549" s="78">
        <v>949.77</v>
      </c>
      <c r="G1549" s="76">
        <v>10</v>
      </c>
      <c r="H1549" s="77">
        <v>1</v>
      </c>
      <c r="I1549" s="77">
        <v>1890</v>
      </c>
      <c r="J1549" s="79">
        <v>1091</v>
      </c>
      <c r="K1549" s="33"/>
    </row>
    <row r="1550" spans="1:11" x14ac:dyDescent="0.2">
      <c r="A1550" s="76">
        <v>2897</v>
      </c>
      <c r="B1550" s="76">
        <v>1</v>
      </c>
      <c r="C1550" s="76" t="s">
        <v>883</v>
      </c>
      <c r="D1550" s="76">
        <v>2004</v>
      </c>
      <c r="E1550" s="76">
        <v>2005</v>
      </c>
      <c r="F1550" s="81">
        <v>500</v>
      </c>
      <c r="G1550" s="76">
        <v>10</v>
      </c>
      <c r="H1550" s="76">
        <v>0</v>
      </c>
      <c r="I1550" s="79">
        <v>1936</v>
      </c>
      <c r="J1550" s="79">
        <v>2135</v>
      </c>
      <c r="K1550" s="33"/>
    </row>
    <row r="1551" spans="1:11" x14ac:dyDescent="0.2">
      <c r="A1551" s="76">
        <v>2897</v>
      </c>
      <c r="B1551" s="76">
        <v>1</v>
      </c>
      <c r="C1551" s="76" t="s">
        <v>1038</v>
      </c>
      <c r="D1551" s="76">
        <v>2005</v>
      </c>
      <c r="E1551" s="76">
        <v>2006</v>
      </c>
      <c r="F1551" s="81">
        <v>500</v>
      </c>
      <c r="G1551" s="76">
        <v>6</v>
      </c>
      <c r="H1551" s="78">
        <v>1</v>
      </c>
      <c r="I1551" s="77">
        <v>1602</v>
      </c>
      <c r="J1551" s="77">
        <v>711</v>
      </c>
      <c r="K1551" s="33"/>
    </row>
    <row r="1552" spans="1:11" x14ac:dyDescent="0.2">
      <c r="A1552" s="76">
        <v>2898</v>
      </c>
      <c r="B1552" s="76">
        <v>1</v>
      </c>
      <c r="C1552" s="76" t="s">
        <v>884</v>
      </c>
      <c r="D1552" s="76">
        <v>2004</v>
      </c>
      <c r="E1552" s="76">
        <v>2006</v>
      </c>
      <c r="F1552" s="81">
        <v>500</v>
      </c>
      <c r="G1552" s="76">
        <v>10</v>
      </c>
      <c r="H1552" s="76">
        <v>1</v>
      </c>
      <c r="I1552" s="79">
        <v>785</v>
      </c>
      <c r="J1552" s="79">
        <v>627</v>
      </c>
      <c r="K1552" s="33"/>
    </row>
    <row r="1554" spans="9:10" x14ac:dyDescent="0.2">
      <c r="I1554" s="33"/>
      <c r="J1554" s="33"/>
    </row>
  </sheetData>
  <phoneticPr fontId="0" type="noConversion"/>
  <printOptions gridLines="1"/>
  <pageMargins left="0.75" right="0.5" top="0.75" bottom="0.5" header="0.5" footer="0.5"/>
  <pageSetup scale="93" fitToHeight="6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AL365"/>
  <sheetViews>
    <sheetView zoomScale="7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defaultRowHeight="12.75" x14ac:dyDescent="0.2"/>
  <cols>
    <col min="2" max="2" width="2.140625" customWidth="1"/>
    <col min="24" max="24" width="14.28515625" customWidth="1"/>
    <col min="25" max="31" width="12" customWidth="1"/>
    <col min="32" max="33" width="10.7109375" customWidth="1"/>
    <col min="35" max="35" width="13.5703125" customWidth="1"/>
    <col min="36" max="36" width="11" customWidth="1"/>
  </cols>
  <sheetData>
    <row r="2" spans="1:38" x14ac:dyDescent="0.2">
      <c r="D2" s="1" t="s">
        <v>50</v>
      </c>
      <c r="E2" s="1" t="s">
        <v>50</v>
      </c>
      <c r="F2" s="1" t="s">
        <v>50</v>
      </c>
      <c r="G2" s="1" t="s">
        <v>50</v>
      </c>
      <c r="H2" s="1" t="s">
        <v>50</v>
      </c>
      <c r="I2" s="1" t="s">
        <v>50</v>
      </c>
      <c r="J2" s="1" t="s">
        <v>50</v>
      </c>
      <c r="K2" s="1" t="s">
        <v>50</v>
      </c>
      <c r="L2" s="1"/>
      <c r="T2" s="1" t="s">
        <v>50</v>
      </c>
      <c r="U2" s="1" t="s">
        <v>50</v>
      </c>
      <c r="V2" s="1" t="s">
        <v>50</v>
      </c>
      <c r="W2" s="1" t="s">
        <v>50</v>
      </c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8" x14ac:dyDescent="0.2">
      <c r="D3" s="1">
        <v>2000</v>
      </c>
      <c r="E3" s="1">
        <v>2000</v>
      </c>
      <c r="F3" s="1">
        <v>2000</v>
      </c>
      <c r="G3" s="1">
        <v>2000</v>
      </c>
      <c r="H3" s="1">
        <v>2000</v>
      </c>
      <c r="I3" s="1">
        <v>2000</v>
      </c>
      <c r="J3" s="1">
        <v>2000</v>
      </c>
      <c r="K3" s="1">
        <v>2000</v>
      </c>
      <c r="L3" s="1" t="s">
        <v>48</v>
      </c>
      <c r="N3" s="1" t="s">
        <v>41</v>
      </c>
      <c r="O3" s="1" t="s">
        <v>41</v>
      </c>
      <c r="P3" s="1" t="s">
        <v>41</v>
      </c>
      <c r="T3" s="1">
        <v>2000</v>
      </c>
      <c r="U3" s="1">
        <v>2000</v>
      </c>
      <c r="V3" s="1">
        <v>2000</v>
      </c>
      <c r="W3" s="1">
        <v>2000</v>
      </c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8" x14ac:dyDescent="0.2">
      <c r="D4" s="1" t="s">
        <v>51</v>
      </c>
      <c r="E4" s="1" t="s">
        <v>52</v>
      </c>
      <c r="F4" s="1" t="s">
        <v>53</v>
      </c>
      <c r="G4" s="1" t="s">
        <v>54</v>
      </c>
      <c r="H4" s="1" t="s">
        <v>51</v>
      </c>
      <c r="I4" s="1" t="s">
        <v>52</v>
      </c>
      <c r="J4" s="1" t="s">
        <v>53</v>
      </c>
      <c r="K4" s="1" t="s">
        <v>54</v>
      </c>
      <c r="L4" s="1">
        <v>2001</v>
      </c>
      <c r="N4" s="1" t="s">
        <v>55</v>
      </c>
      <c r="O4" s="1" t="s">
        <v>55</v>
      </c>
      <c r="P4" s="1" t="s">
        <v>55</v>
      </c>
      <c r="Q4" s="1" t="s">
        <v>43</v>
      </c>
      <c r="R4" s="1" t="s">
        <v>43</v>
      </c>
      <c r="S4" s="1" t="s">
        <v>43</v>
      </c>
      <c r="T4" s="1" t="s">
        <v>51</v>
      </c>
      <c r="U4" s="1" t="s">
        <v>52</v>
      </c>
      <c r="V4" s="1" t="s">
        <v>53</v>
      </c>
      <c r="W4" s="1" t="s">
        <v>54</v>
      </c>
      <c r="X4" s="1"/>
      <c r="Y4" s="1"/>
      <c r="Z4" s="1"/>
      <c r="AA4" s="1"/>
      <c r="AB4" s="1" t="s">
        <v>820</v>
      </c>
      <c r="AC4" s="1" t="s">
        <v>820</v>
      </c>
      <c r="AD4" s="1" t="s">
        <v>824</v>
      </c>
      <c r="AE4" s="1"/>
      <c r="AF4" s="1" t="s">
        <v>831</v>
      </c>
      <c r="AG4" s="1" t="s">
        <v>831</v>
      </c>
    </row>
    <row r="5" spans="1:38" x14ac:dyDescent="0.2">
      <c r="D5" s="1" t="s">
        <v>56</v>
      </c>
      <c r="E5" s="1" t="s">
        <v>56</v>
      </c>
      <c r="F5" s="1" t="s">
        <v>56</v>
      </c>
      <c r="G5" s="1" t="s">
        <v>56</v>
      </c>
      <c r="H5" s="1" t="s">
        <v>57</v>
      </c>
      <c r="I5" s="1" t="s">
        <v>57</v>
      </c>
      <c r="J5" s="1" t="s">
        <v>57</v>
      </c>
      <c r="K5" s="1" t="s">
        <v>57</v>
      </c>
      <c r="L5" s="1" t="s">
        <v>407</v>
      </c>
      <c r="M5" s="1" t="s">
        <v>819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58</v>
      </c>
      <c r="U5" s="1" t="s">
        <v>58</v>
      </c>
      <c r="V5" s="1" t="s">
        <v>58</v>
      </c>
      <c r="W5" s="1" t="s">
        <v>58</v>
      </c>
      <c r="X5" s="1" t="s">
        <v>425</v>
      </c>
      <c r="Y5" s="1">
        <v>1998</v>
      </c>
      <c r="Z5" s="1" t="s">
        <v>425</v>
      </c>
      <c r="AA5" s="1" t="s">
        <v>425</v>
      </c>
      <c r="AB5" s="1" t="s">
        <v>821</v>
      </c>
      <c r="AC5" s="1" t="s">
        <v>823</v>
      </c>
      <c r="AD5" s="1" t="s">
        <v>825</v>
      </c>
      <c r="AE5" s="1"/>
      <c r="AF5" s="1" t="s">
        <v>59</v>
      </c>
      <c r="AG5" s="1" t="s">
        <v>59</v>
      </c>
    </row>
    <row r="6" spans="1:38" x14ac:dyDescent="0.2">
      <c r="D6" s="1" t="s">
        <v>58</v>
      </c>
      <c r="E6" s="1" t="s">
        <v>58</v>
      </c>
      <c r="F6" s="1" t="s">
        <v>58</v>
      </c>
      <c r="G6" s="1" t="s">
        <v>58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408</v>
      </c>
      <c r="M6" t="s">
        <v>60</v>
      </c>
      <c r="N6" s="1" t="s">
        <v>61</v>
      </c>
      <c r="O6" s="1" t="s">
        <v>62</v>
      </c>
      <c r="P6" s="1" t="s">
        <v>406</v>
      </c>
      <c r="Q6" s="1" t="s">
        <v>61</v>
      </c>
      <c r="R6" s="1" t="s">
        <v>62</v>
      </c>
      <c r="S6" s="1" t="s">
        <v>406</v>
      </c>
      <c r="T6" s="1" t="s">
        <v>424</v>
      </c>
      <c r="U6" s="1" t="s">
        <v>424</v>
      </c>
      <c r="V6" s="1" t="s">
        <v>424</v>
      </c>
      <c r="W6" s="1" t="s">
        <v>424</v>
      </c>
      <c r="X6" s="1" t="s">
        <v>426</v>
      </c>
      <c r="Y6" s="1" t="s">
        <v>427</v>
      </c>
      <c r="Z6" s="1" t="s">
        <v>59</v>
      </c>
      <c r="AA6" s="1" t="s">
        <v>429</v>
      </c>
      <c r="AB6" s="1" t="s">
        <v>822</v>
      </c>
      <c r="AC6" s="1" t="s">
        <v>822</v>
      </c>
      <c r="AD6" s="1" t="s">
        <v>407</v>
      </c>
      <c r="AE6" s="1" t="s">
        <v>826</v>
      </c>
      <c r="AF6" s="1" t="s">
        <v>841</v>
      </c>
      <c r="AG6" s="1" t="s">
        <v>842</v>
      </c>
    </row>
    <row r="7" spans="1:38" x14ac:dyDescent="0.2">
      <c r="T7" s="9"/>
      <c r="U7" s="9"/>
      <c r="V7" s="9"/>
      <c r="W7" s="9"/>
    </row>
    <row r="8" spans="1:38" x14ac:dyDescent="0.2">
      <c r="A8">
        <v>1</v>
      </c>
      <c r="B8">
        <f>A8+1</f>
        <v>2</v>
      </c>
      <c r="C8">
        <f t="shared" ref="C8:AG8" si="0">B8+1</f>
        <v>3</v>
      </c>
      <c r="D8">
        <f t="shared" si="0"/>
        <v>4</v>
      </c>
      <c r="E8">
        <f t="shared" si="0"/>
        <v>5</v>
      </c>
      <c r="F8">
        <f t="shared" si="0"/>
        <v>6</v>
      </c>
      <c r="G8">
        <f t="shared" si="0"/>
        <v>7</v>
      </c>
      <c r="H8">
        <f t="shared" si="0"/>
        <v>8</v>
      </c>
      <c r="I8">
        <f t="shared" si="0"/>
        <v>9</v>
      </c>
      <c r="J8">
        <f t="shared" si="0"/>
        <v>10</v>
      </c>
      <c r="K8">
        <f t="shared" si="0"/>
        <v>11</v>
      </c>
      <c r="L8">
        <f t="shared" si="0"/>
        <v>12</v>
      </c>
      <c r="M8">
        <f t="shared" si="0"/>
        <v>13</v>
      </c>
      <c r="N8">
        <f t="shared" si="0"/>
        <v>14</v>
      </c>
      <c r="O8">
        <f t="shared" si="0"/>
        <v>15</v>
      </c>
      <c r="P8">
        <f t="shared" si="0"/>
        <v>16</v>
      </c>
      <c r="Q8">
        <f t="shared" si="0"/>
        <v>17</v>
      </c>
      <c r="R8">
        <f t="shared" si="0"/>
        <v>18</v>
      </c>
      <c r="S8">
        <f t="shared" si="0"/>
        <v>19</v>
      </c>
      <c r="T8">
        <f t="shared" si="0"/>
        <v>20</v>
      </c>
      <c r="U8">
        <f t="shared" si="0"/>
        <v>21</v>
      </c>
      <c r="V8">
        <f t="shared" si="0"/>
        <v>22</v>
      </c>
      <c r="W8">
        <f t="shared" si="0"/>
        <v>23</v>
      </c>
      <c r="X8">
        <f t="shared" si="0"/>
        <v>24</v>
      </c>
      <c r="Y8">
        <f t="shared" si="0"/>
        <v>25</v>
      </c>
      <c r="Z8">
        <f t="shared" si="0"/>
        <v>26</v>
      </c>
      <c r="AA8">
        <f t="shared" si="0"/>
        <v>27</v>
      </c>
      <c r="AB8">
        <f t="shared" si="0"/>
        <v>28</v>
      </c>
      <c r="AC8">
        <f t="shared" si="0"/>
        <v>29</v>
      </c>
      <c r="AD8">
        <f t="shared" si="0"/>
        <v>30</v>
      </c>
      <c r="AE8">
        <f t="shared" si="0"/>
        <v>31</v>
      </c>
      <c r="AF8">
        <f t="shared" si="0"/>
        <v>32</v>
      </c>
      <c r="AG8">
        <f t="shared" si="0"/>
        <v>33</v>
      </c>
    </row>
    <row r="9" spans="1:38" x14ac:dyDescent="0.2">
      <c r="T9" s="9"/>
      <c r="U9" s="9"/>
      <c r="V9" s="9"/>
      <c r="W9" s="9"/>
      <c r="AF9" s="33"/>
      <c r="AG9" s="33"/>
      <c r="AH9" s="33"/>
    </row>
    <row r="10" spans="1:38" x14ac:dyDescent="0.2">
      <c r="A10">
        <v>1</v>
      </c>
      <c r="B10">
        <v>1</v>
      </c>
      <c r="C10" t="s">
        <v>63</v>
      </c>
      <c r="D10">
        <v>2008</v>
      </c>
      <c r="E10">
        <v>2010</v>
      </c>
      <c r="F10">
        <v>0</v>
      </c>
      <c r="G10">
        <v>0</v>
      </c>
      <c r="H10" s="3">
        <v>111.44</v>
      </c>
      <c r="I10" s="3">
        <v>380.56</v>
      </c>
      <c r="J10" s="3">
        <v>0</v>
      </c>
      <c r="K10" s="3">
        <v>0</v>
      </c>
      <c r="L10" s="3">
        <v>81.31</v>
      </c>
      <c r="M10" s="3">
        <v>4.37</v>
      </c>
      <c r="N10">
        <v>0</v>
      </c>
      <c r="O10">
        <v>0</v>
      </c>
      <c r="P10" s="3">
        <v>0</v>
      </c>
      <c r="Q10">
        <v>0</v>
      </c>
      <c r="R10">
        <v>0</v>
      </c>
      <c r="S10" s="3">
        <v>0</v>
      </c>
      <c r="T10" s="9">
        <v>1990</v>
      </c>
      <c r="U10" s="9">
        <v>1999</v>
      </c>
      <c r="V10" s="9">
        <v>0</v>
      </c>
      <c r="W10" s="9">
        <v>0</v>
      </c>
      <c r="X10" s="10">
        <v>2.3683260000000001E-2</v>
      </c>
      <c r="Y10" s="11">
        <v>5894409</v>
      </c>
      <c r="Z10" s="3">
        <v>1542.95</v>
      </c>
      <c r="AA10" s="3">
        <v>9999.99</v>
      </c>
      <c r="AB10" s="3">
        <v>0</v>
      </c>
      <c r="AC10" s="3">
        <v>0</v>
      </c>
      <c r="AD10" s="3">
        <v>4.37</v>
      </c>
      <c r="AE10" s="34">
        <v>1</v>
      </c>
      <c r="AF10" s="33">
        <v>1487.97</v>
      </c>
      <c r="AG10" s="33">
        <v>1480.79</v>
      </c>
      <c r="AH10" s="3"/>
      <c r="AK10" s="3"/>
      <c r="AL10" s="3"/>
    </row>
    <row r="11" spans="1:38" x14ac:dyDescent="0.2">
      <c r="A11">
        <v>1.2</v>
      </c>
      <c r="B11">
        <v>3</v>
      </c>
      <c r="C11" t="s">
        <v>64</v>
      </c>
      <c r="D11">
        <v>2002</v>
      </c>
      <c r="E11">
        <v>0</v>
      </c>
      <c r="F11">
        <v>0</v>
      </c>
      <c r="G11">
        <v>0</v>
      </c>
      <c r="H11" s="3">
        <v>685</v>
      </c>
      <c r="I11" s="3">
        <v>0</v>
      </c>
      <c r="J11" s="3">
        <v>0</v>
      </c>
      <c r="K11" s="3">
        <v>0</v>
      </c>
      <c r="L11" s="3">
        <v>0</v>
      </c>
      <c r="M11" s="3">
        <v>30.96</v>
      </c>
      <c r="N11">
        <v>2003</v>
      </c>
      <c r="O11">
        <v>2010</v>
      </c>
      <c r="P11" s="3">
        <v>735</v>
      </c>
      <c r="Q11">
        <v>0</v>
      </c>
      <c r="R11">
        <v>0</v>
      </c>
      <c r="S11" s="3">
        <v>0</v>
      </c>
      <c r="T11" s="9">
        <v>1990</v>
      </c>
      <c r="U11" s="9">
        <v>1996</v>
      </c>
      <c r="V11" s="9">
        <v>0</v>
      </c>
      <c r="W11" s="9">
        <v>0</v>
      </c>
      <c r="X11" s="10">
        <v>0</v>
      </c>
      <c r="Y11" s="11">
        <v>261533125</v>
      </c>
      <c r="Z11" s="3">
        <v>59859.61</v>
      </c>
      <c r="AA11" s="3">
        <v>991</v>
      </c>
      <c r="AB11" s="3">
        <v>25.48</v>
      </c>
      <c r="AC11" s="3">
        <v>0</v>
      </c>
      <c r="AD11" s="3">
        <v>4.84</v>
      </c>
      <c r="AE11" s="34">
        <v>1</v>
      </c>
      <c r="AF11" s="33">
        <v>56768.84</v>
      </c>
      <c r="AG11" s="33">
        <v>53586.53</v>
      </c>
      <c r="AH11" s="3"/>
      <c r="AK11" s="3"/>
      <c r="AL11" s="3"/>
    </row>
    <row r="12" spans="1:38" x14ac:dyDescent="0.2">
      <c r="A12">
        <v>2</v>
      </c>
      <c r="B12">
        <v>1</v>
      </c>
      <c r="C12" t="s">
        <v>65</v>
      </c>
      <c r="D12">
        <v>0</v>
      </c>
      <c r="E12">
        <v>0</v>
      </c>
      <c r="F12">
        <v>0</v>
      </c>
      <c r="G12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>
        <v>0</v>
      </c>
      <c r="O12">
        <v>0</v>
      </c>
      <c r="P12" s="3">
        <v>0</v>
      </c>
      <c r="Q12">
        <v>0</v>
      </c>
      <c r="R12">
        <v>0</v>
      </c>
      <c r="S12" s="3">
        <v>0</v>
      </c>
      <c r="T12" s="9">
        <v>0</v>
      </c>
      <c r="U12" s="9">
        <v>0</v>
      </c>
      <c r="V12" s="9">
        <v>0</v>
      </c>
      <c r="W12" s="9">
        <v>0</v>
      </c>
      <c r="X12" s="10">
        <v>0</v>
      </c>
      <c r="Y12" s="11">
        <v>494128</v>
      </c>
      <c r="Z12">
        <v>375.33</v>
      </c>
      <c r="AA12" s="3">
        <v>9999.99</v>
      </c>
      <c r="AB12" s="3">
        <v>2.1</v>
      </c>
      <c r="AC12" s="3">
        <v>0</v>
      </c>
      <c r="AD12" s="3">
        <v>0.92</v>
      </c>
      <c r="AE12" s="34">
        <v>0</v>
      </c>
      <c r="AF12" s="33">
        <v>362.54</v>
      </c>
      <c r="AG12" s="33">
        <v>361.8</v>
      </c>
      <c r="AH12" s="3"/>
      <c r="AI12" s="33"/>
      <c r="AJ12" s="33"/>
      <c r="AK12" s="3"/>
      <c r="AL12" s="3"/>
    </row>
    <row r="13" spans="1:38" x14ac:dyDescent="0.2">
      <c r="A13">
        <v>4</v>
      </c>
      <c r="B13">
        <v>1</v>
      </c>
      <c r="C13" t="s">
        <v>66</v>
      </c>
      <c r="D13">
        <v>2005</v>
      </c>
      <c r="E13">
        <v>0</v>
      </c>
      <c r="F13">
        <v>0</v>
      </c>
      <c r="G13">
        <v>0</v>
      </c>
      <c r="H13" s="3">
        <v>315</v>
      </c>
      <c r="I13" s="3">
        <v>0</v>
      </c>
      <c r="J13" s="3">
        <v>0</v>
      </c>
      <c r="K13" s="3">
        <v>0</v>
      </c>
      <c r="L13" s="3">
        <v>0</v>
      </c>
      <c r="M13" s="3">
        <v>46.13</v>
      </c>
      <c r="N13">
        <v>0</v>
      </c>
      <c r="O13">
        <v>0</v>
      </c>
      <c r="P13" s="3">
        <v>0</v>
      </c>
      <c r="Q13">
        <v>2003</v>
      </c>
      <c r="R13">
        <v>2012</v>
      </c>
      <c r="S13" s="3">
        <v>1</v>
      </c>
      <c r="T13" s="9">
        <v>1997</v>
      </c>
      <c r="U13" s="9">
        <v>0</v>
      </c>
      <c r="V13" s="9">
        <v>0</v>
      </c>
      <c r="W13" s="9">
        <v>0</v>
      </c>
      <c r="X13" s="10">
        <v>0</v>
      </c>
      <c r="Y13" s="11">
        <v>2834612</v>
      </c>
      <c r="Z13">
        <v>738.96</v>
      </c>
      <c r="AA13" s="3">
        <v>9999.99</v>
      </c>
      <c r="AB13" s="3">
        <v>43.04</v>
      </c>
      <c r="AC13" s="3">
        <v>0</v>
      </c>
      <c r="AD13" s="3">
        <v>4.5</v>
      </c>
      <c r="AE13" s="34">
        <v>1</v>
      </c>
      <c r="AF13" s="33">
        <v>683.84</v>
      </c>
      <c r="AG13" s="33">
        <v>679.92</v>
      </c>
      <c r="AH13" s="3"/>
      <c r="AI13" s="33"/>
      <c r="AJ13" s="33"/>
      <c r="AK13" s="3"/>
      <c r="AL13" s="3"/>
    </row>
    <row r="14" spans="1:38" x14ac:dyDescent="0.2">
      <c r="A14">
        <v>6</v>
      </c>
      <c r="B14">
        <v>3</v>
      </c>
      <c r="C14" t="s">
        <v>67</v>
      </c>
      <c r="D14">
        <v>2006</v>
      </c>
      <c r="E14">
        <v>0</v>
      </c>
      <c r="F14">
        <v>0</v>
      </c>
      <c r="G14">
        <v>0</v>
      </c>
      <c r="H14" s="3">
        <v>690.47</v>
      </c>
      <c r="I14" s="3">
        <v>0</v>
      </c>
      <c r="J14" s="3">
        <v>0</v>
      </c>
      <c r="K14" s="3">
        <v>0</v>
      </c>
      <c r="L14" s="3">
        <v>103.8</v>
      </c>
      <c r="M14" s="3">
        <v>47.18</v>
      </c>
      <c r="N14">
        <v>0</v>
      </c>
      <c r="O14">
        <v>0</v>
      </c>
      <c r="P14" s="3">
        <v>0</v>
      </c>
      <c r="Q14">
        <v>0</v>
      </c>
      <c r="R14">
        <v>0</v>
      </c>
      <c r="S14" s="3">
        <v>0</v>
      </c>
      <c r="T14" s="9">
        <v>1990</v>
      </c>
      <c r="U14" s="9">
        <v>0</v>
      </c>
      <c r="V14" s="9">
        <v>0</v>
      </c>
      <c r="W14" s="9">
        <v>0</v>
      </c>
      <c r="X14" s="10">
        <v>0.18440228</v>
      </c>
      <c r="Y14" s="11">
        <v>11201106</v>
      </c>
      <c r="Z14" s="3">
        <v>3684.64</v>
      </c>
      <c r="AA14" s="3">
        <v>991</v>
      </c>
      <c r="AB14" s="3">
        <v>47.76</v>
      </c>
      <c r="AC14" s="3">
        <v>0</v>
      </c>
      <c r="AD14" s="3">
        <v>1.79</v>
      </c>
      <c r="AE14" s="34">
        <v>1</v>
      </c>
      <c r="AF14" s="33">
        <v>3502.92</v>
      </c>
      <c r="AG14" s="33">
        <v>3460.11</v>
      </c>
      <c r="AH14" s="3"/>
      <c r="AI14" s="33"/>
      <c r="AJ14" s="33"/>
      <c r="AK14" s="3"/>
      <c r="AL14" s="3"/>
    </row>
    <row r="15" spans="1:38" x14ac:dyDescent="0.2">
      <c r="A15">
        <v>11</v>
      </c>
      <c r="B15">
        <v>1</v>
      </c>
      <c r="C15" t="s">
        <v>68</v>
      </c>
      <c r="D15">
        <v>2006</v>
      </c>
      <c r="E15">
        <v>2008</v>
      </c>
      <c r="F15">
        <v>2010</v>
      </c>
      <c r="G15">
        <v>0</v>
      </c>
      <c r="H15" s="3">
        <v>95.98</v>
      </c>
      <c r="I15" s="3">
        <v>330.49</v>
      </c>
      <c r="J15" s="3">
        <v>131</v>
      </c>
      <c r="K15" s="3">
        <v>0</v>
      </c>
      <c r="L15" s="3">
        <v>60.84</v>
      </c>
      <c r="M15" s="3">
        <v>54.7</v>
      </c>
      <c r="N15">
        <v>0</v>
      </c>
      <c r="O15">
        <v>0</v>
      </c>
      <c r="P15" s="3">
        <v>0</v>
      </c>
      <c r="Q15">
        <v>0</v>
      </c>
      <c r="R15">
        <v>0</v>
      </c>
      <c r="S15" s="3">
        <v>0</v>
      </c>
      <c r="T15" s="9">
        <v>1995</v>
      </c>
      <c r="U15" s="9">
        <v>1990</v>
      </c>
      <c r="V15" s="9">
        <v>1999</v>
      </c>
      <c r="W15" s="9">
        <v>0</v>
      </c>
      <c r="X15" s="10">
        <v>0</v>
      </c>
      <c r="Y15" s="11">
        <v>118329841</v>
      </c>
      <c r="Z15" s="3">
        <v>48546.84</v>
      </c>
      <c r="AA15" s="3">
        <v>991</v>
      </c>
      <c r="AB15" s="3">
        <v>0</v>
      </c>
      <c r="AC15" s="3">
        <v>51.12</v>
      </c>
      <c r="AD15" s="3">
        <v>1.43</v>
      </c>
      <c r="AE15" s="34">
        <v>1</v>
      </c>
      <c r="AF15" s="33">
        <v>49365.49</v>
      </c>
      <c r="AG15" s="33">
        <v>48761.37</v>
      </c>
      <c r="AH15" s="3"/>
      <c r="AI15" s="33"/>
      <c r="AJ15" s="33"/>
      <c r="AK15" s="3"/>
      <c r="AL15" s="3"/>
    </row>
    <row r="16" spans="1:38" x14ac:dyDescent="0.2">
      <c r="A16">
        <v>12</v>
      </c>
      <c r="B16">
        <v>1</v>
      </c>
      <c r="C16" t="s">
        <v>69</v>
      </c>
      <c r="D16">
        <v>2008</v>
      </c>
      <c r="E16">
        <v>2008</v>
      </c>
      <c r="F16">
        <v>0</v>
      </c>
      <c r="G16">
        <v>0</v>
      </c>
      <c r="H16" s="3">
        <v>266.97000000000003</v>
      </c>
      <c r="I16" s="3">
        <v>141</v>
      </c>
      <c r="J16" s="3">
        <v>0</v>
      </c>
      <c r="K16" s="3">
        <v>0</v>
      </c>
      <c r="L16" s="3">
        <v>38.08</v>
      </c>
      <c r="M16" s="3">
        <v>4.08</v>
      </c>
      <c r="N16">
        <v>2002</v>
      </c>
      <c r="O16">
        <v>2011</v>
      </c>
      <c r="P16" s="3">
        <v>80</v>
      </c>
      <c r="Q16">
        <v>0</v>
      </c>
      <c r="R16">
        <v>0</v>
      </c>
      <c r="S16" s="3">
        <v>0</v>
      </c>
      <c r="T16" s="9">
        <v>1990</v>
      </c>
      <c r="U16" s="9">
        <v>1998</v>
      </c>
      <c r="V16" s="9">
        <v>0</v>
      </c>
      <c r="W16" s="9">
        <v>0</v>
      </c>
      <c r="X16" s="10">
        <v>0</v>
      </c>
      <c r="Y16" s="11">
        <v>16066106</v>
      </c>
      <c r="Z16" s="3">
        <v>7685.04</v>
      </c>
      <c r="AA16" s="3">
        <v>991</v>
      </c>
      <c r="AB16" s="3">
        <v>2.98</v>
      </c>
      <c r="AC16" s="3">
        <v>0</v>
      </c>
      <c r="AD16" s="3">
        <v>1.1200000000000001</v>
      </c>
      <c r="AE16" s="34">
        <v>1</v>
      </c>
      <c r="AF16" s="33">
        <v>7821.81</v>
      </c>
      <c r="AG16" s="33">
        <v>7785.69</v>
      </c>
      <c r="AH16" s="3"/>
      <c r="AI16" s="33"/>
      <c r="AJ16" s="33"/>
      <c r="AK16" s="3"/>
      <c r="AL16" s="3"/>
    </row>
    <row r="17" spans="1:38" x14ac:dyDescent="0.2">
      <c r="A17">
        <v>13</v>
      </c>
      <c r="B17">
        <v>1</v>
      </c>
      <c r="C17" t="s">
        <v>70</v>
      </c>
      <c r="D17">
        <v>2006</v>
      </c>
      <c r="E17">
        <v>2006</v>
      </c>
      <c r="F17">
        <v>2008</v>
      </c>
      <c r="G17">
        <v>0</v>
      </c>
      <c r="H17" s="3">
        <v>699.12</v>
      </c>
      <c r="I17" s="3">
        <v>192.9</v>
      </c>
      <c r="J17" s="3">
        <v>64.3</v>
      </c>
      <c r="K17" s="3">
        <v>0</v>
      </c>
      <c r="L17" s="3">
        <v>0</v>
      </c>
      <c r="M17" s="3">
        <v>3.46</v>
      </c>
      <c r="N17">
        <v>0</v>
      </c>
      <c r="O17">
        <v>0</v>
      </c>
      <c r="P17" s="3">
        <v>0</v>
      </c>
      <c r="Q17">
        <v>0</v>
      </c>
      <c r="R17">
        <v>0</v>
      </c>
      <c r="S17" s="3">
        <v>0</v>
      </c>
      <c r="T17" s="9">
        <v>1990</v>
      </c>
      <c r="U17" s="9">
        <v>1996</v>
      </c>
      <c r="V17" s="9">
        <v>1996</v>
      </c>
      <c r="W17" s="9">
        <v>0</v>
      </c>
      <c r="X17" s="10">
        <v>0</v>
      </c>
      <c r="Y17" s="11">
        <v>14726186</v>
      </c>
      <c r="Z17" s="3">
        <v>3677.22</v>
      </c>
      <c r="AA17" s="3">
        <v>1073.52</v>
      </c>
      <c r="AB17" s="3">
        <v>0</v>
      </c>
      <c r="AC17" s="3">
        <v>0</v>
      </c>
      <c r="AD17" s="3">
        <v>3.46</v>
      </c>
      <c r="AE17" s="34">
        <v>1</v>
      </c>
      <c r="AF17" s="33">
        <v>3751.13</v>
      </c>
      <c r="AG17" s="33">
        <v>3704.63</v>
      </c>
      <c r="AH17" s="3"/>
      <c r="AI17" s="33"/>
      <c r="AJ17" s="33"/>
      <c r="AK17" s="3"/>
      <c r="AL17" s="3"/>
    </row>
    <row r="18" spans="1:38" x14ac:dyDescent="0.2">
      <c r="A18">
        <v>14</v>
      </c>
      <c r="B18">
        <v>1</v>
      </c>
      <c r="C18" t="s">
        <v>71</v>
      </c>
      <c r="D18">
        <v>2006</v>
      </c>
      <c r="E18">
        <v>2008</v>
      </c>
      <c r="F18">
        <v>0</v>
      </c>
      <c r="G18">
        <v>0</v>
      </c>
      <c r="H18" s="3">
        <v>719.44</v>
      </c>
      <c r="I18" s="3">
        <v>68.52</v>
      </c>
      <c r="J18" s="3">
        <v>0</v>
      </c>
      <c r="K18" s="3">
        <v>0</v>
      </c>
      <c r="L18" s="3">
        <v>0</v>
      </c>
      <c r="M18" s="3">
        <v>58.22</v>
      </c>
      <c r="N18">
        <v>0</v>
      </c>
      <c r="O18">
        <v>0</v>
      </c>
      <c r="P18" s="3">
        <v>0</v>
      </c>
      <c r="Q18">
        <v>0</v>
      </c>
      <c r="R18">
        <v>0</v>
      </c>
      <c r="S18" s="3">
        <v>0</v>
      </c>
      <c r="T18" s="9">
        <v>1990</v>
      </c>
      <c r="U18" s="9">
        <v>1997</v>
      </c>
      <c r="V18" s="9">
        <v>0</v>
      </c>
      <c r="W18" s="9">
        <v>0</v>
      </c>
      <c r="X18" s="10">
        <v>0</v>
      </c>
      <c r="Y18" s="11">
        <v>10438592</v>
      </c>
      <c r="Z18" s="3">
        <v>2657.37</v>
      </c>
      <c r="AA18" s="3">
        <v>991</v>
      </c>
      <c r="AB18" s="3">
        <v>51.5</v>
      </c>
      <c r="AC18" s="3">
        <v>0</v>
      </c>
      <c r="AD18" s="3">
        <v>3.4</v>
      </c>
      <c r="AE18" s="34">
        <v>1</v>
      </c>
      <c r="AF18" s="33">
        <v>2631.46</v>
      </c>
      <c r="AG18" s="33">
        <v>2590.9899999999998</v>
      </c>
      <c r="AH18" s="3"/>
      <c r="AI18" s="33"/>
      <c r="AJ18" s="33"/>
      <c r="AK18" s="3"/>
      <c r="AL18" s="3"/>
    </row>
    <row r="19" spans="1:38" x14ac:dyDescent="0.2">
      <c r="A19">
        <v>15</v>
      </c>
      <c r="B19">
        <v>1</v>
      </c>
      <c r="C19" t="s">
        <v>72</v>
      </c>
      <c r="D19">
        <v>2004</v>
      </c>
      <c r="E19">
        <v>2010</v>
      </c>
      <c r="F19">
        <v>0</v>
      </c>
      <c r="G19">
        <v>0</v>
      </c>
      <c r="H19" s="3">
        <v>204</v>
      </c>
      <c r="I19" s="3">
        <v>211</v>
      </c>
      <c r="J19" s="3">
        <v>0</v>
      </c>
      <c r="K19" s="3">
        <v>0</v>
      </c>
      <c r="L19" s="3">
        <v>0</v>
      </c>
      <c r="M19" s="3">
        <v>21.49</v>
      </c>
      <c r="N19">
        <v>0</v>
      </c>
      <c r="O19">
        <v>0</v>
      </c>
      <c r="P19" s="3">
        <v>0</v>
      </c>
      <c r="Q19">
        <v>0</v>
      </c>
      <c r="R19">
        <v>0</v>
      </c>
      <c r="S19" s="3">
        <v>0</v>
      </c>
      <c r="T19" s="9">
        <v>1997</v>
      </c>
      <c r="U19" s="9">
        <v>1999</v>
      </c>
      <c r="V19" s="9">
        <v>0</v>
      </c>
      <c r="W19" s="9">
        <v>0</v>
      </c>
      <c r="X19" s="10">
        <v>0</v>
      </c>
      <c r="Y19" s="11">
        <v>14706394</v>
      </c>
      <c r="Z19" s="3">
        <v>6814.27</v>
      </c>
      <c r="AA19" s="3">
        <v>991</v>
      </c>
      <c r="AB19" s="3">
        <v>20.13</v>
      </c>
      <c r="AC19" s="3">
        <v>0</v>
      </c>
      <c r="AD19" s="3">
        <v>1.21</v>
      </c>
      <c r="AE19" s="34">
        <v>1</v>
      </c>
      <c r="AF19" s="33">
        <v>6951.87</v>
      </c>
      <c r="AG19" s="33">
        <v>6909.04</v>
      </c>
      <c r="AH19" s="3"/>
      <c r="AI19" s="33"/>
      <c r="AJ19" s="33"/>
      <c r="AK19" s="3"/>
      <c r="AL19" s="3"/>
    </row>
    <row r="20" spans="1:38" x14ac:dyDescent="0.2">
      <c r="A20">
        <v>16</v>
      </c>
      <c r="B20">
        <v>1</v>
      </c>
      <c r="C20" t="s">
        <v>73</v>
      </c>
      <c r="D20">
        <v>2006</v>
      </c>
      <c r="E20">
        <v>2010</v>
      </c>
      <c r="F20">
        <v>2010</v>
      </c>
      <c r="G20">
        <v>0</v>
      </c>
      <c r="H20" s="3">
        <v>519.02</v>
      </c>
      <c r="I20" s="3">
        <v>100</v>
      </c>
      <c r="J20" s="3">
        <v>250</v>
      </c>
      <c r="K20" s="3">
        <v>0</v>
      </c>
      <c r="L20" s="3">
        <v>137.30000000000001</v>
      </c>
      <c r="M20" s="3">
        <v>4.76</v>
      </c>
      <c r="N20">
        <v>0</v>
      </c>
      <c r="O20">
        <v>0</v>
      </c>
      <c r="P20" s="3">
        <v>0</v>
      </c>
      <c r="Q20">
        <v>0</v>
      </c>
      <c r="R20">
        <v>0</v>
      </c>
      <c r="S20" s="3">
        <v>0</v>
      </c>
      <c r="T20" s="9">
        <v>1990</v>
      </c>
      <c r="U20" s="9">
        <v>1999</v>
      </c>
      <c r="V20" s="9">
        <v>1999</v>
      </c>
      <c r="W20" s="9">
        <v>0</v>
      </c>
      <c r="X20" s="10">
        <v>0</v>
      </c>
      <c r="Y20" s="11">
        <v>19495596</v>
      </c>
      <c r="Z20" s="3">
        <v>4706.34</v>
      </c>
      <c r="AA20" s="3">
        <v>991</v>
      </c>
      <c r="AB20" s="3">
        <v>0</v>
      </c>
      <c r="AC20" s="3">
        <v>0</v>
      </c>
      <c r="AD20" s="3">
        <v>4.76</v>
      </c>
      <c r="AE20" s="34">
        <v>1</v>
      </c>
      <c r="AF20" s="33">
        <v>4846.8999999999996</v>
      </c>
      <c r="AG20" s="33">
        <v>4712.21</v>
      </c>
      <c r="AH20" s="3"/>
      <c r="AI20" s="33"/>
      <c r="AJ20" s="33"/>
      <c r="AK20" s="3"/>
      <c r="AL20" s="3"/>
    </row>
    <row r="21" spans="1:38" x14ac:dyDescent="0.2">
      <c r="A21">
        <v>22</v>
      </c>
      <c r="B21">
        <v>1</v>
      </c>
      <c r="C21" t="s">
        <v>74</v>
      </c>
      <c r="D21">
        <v>2008</v>
      </c>
      <c r="E21">
        <v>0</v>
      </c>
      <c r="F21">
        <v>0</v>
      </c>
      <c r="G21">
        <v>0</v>
      </c>
      <c r="H21" s="3">
        <v>315</v>
      </c>
      <c r="I21" s="3">
        <v>0</v>
      </c>
      <c r="J21" s="3">
        <v>0</v>
      </c>
      <c r="K21" s="3">
        <v>0</v>
      </c>
      <c r="L21" s="3">
        <v>0</v>
      </c>
      <c r="M21" s="3">
        <v>1.88</v>
      </c>
      <c r="N21">
        <v>0</v>
      </c>
      <c r="O21">
        <v>0</v>
      </c>
      <c r="P21" s="3">
        <v>0</v>
      </c>
      <c r="Q21">
        <v>2003</v>
      </c>
      <c r="R21">
        <v>2012</v>
      </c>
      <c r="S21" s="3">
        <v>315</v>
      </c>
      <c r="T21" s="9">
        <v>1997</v>
      </c>
      <c r="U21" s="9">
        <v>0</v>
      </c>
      <c r="V21" s="9">
        <v>0</v>
      </c>
      <c r="W21" s="9">
        <v>0</v>
      </c>
      <c r="X21" s="10">
        <v>0</v>
      </c>
      <c r="Y21" s="11">
        <v>8341112</v>
      </c>
      <c r="Z21" s="3">
        <v>3227.28</v>
      </c>
      <c r="AA21" s="3">
        <v>991</v>
      </c>
      <c r="AB21" s="3">
        <v>0</v>
      </c>
      <c r="AC21" s="3">
        <v>0</v>
      </c>
      <c r="AD21" s="3">
        <v>1.88</v>
      </c>
      <c r="AE21" s="34">
        <v>1</v>
      </c>
      <c r="AF21" s="33">
        <v>3090.34</v>
      </c>
      <c r="AG21" s="33">
        <v>3051.17</v>
      </c>
      <c r="AH21" s="3"/>
      <c r="AI21" s="33"/>
      <c r="AJ21" s="33"/>
      <c r="AK21" s="3"/>
      <c r="AL21" s="3"/>
    </row>
    <row r="22" spans="1:38" x14ac:dyDescent="0.2">
      <c r="A22">
        <v>23</v>
      </c>
      <c r="B22">
        <v>1</v>
      </c>
      <c r="C22" t="s">
        <v>75</v>
      </c>
      <c r="D22">
        <v>0</v>
      </c>
      <c r="E22">
        <v>0</v>
      </c>
      <c r="F22">
        <v>0</v>
      </c>
      <c r="G22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>
        <v>0</v>
      </c>
      <c r="O22">
        <v>0</v>
      </c>
      <c r="P22" s="3">
        <v>0</v>
      </c>
      <c r="Q22">
        <v>0</v>
      </c>
      <c r="R22">
        <v>0</v>
      </c>
      <c r="S22" s="3">
        <v>0</v>
      </c>
      <c r="T22" s="9">
        <v>0</v>
      </c>
      <c r="U22" s="9">
        <v>0</v>
      </c>
      <c r="V22" s="9">
        <v>0</v>
      </c>
      <c r="W22" s="9">
        <v>0</v>
      </c>
      <c r="X22" s="10">
        <v>0</v>
      </c>
      <c r="Y22" s="11">
        <v>2298228</v>
      </c>
      <c r="Z22" s="3">
        <v>1482.42</v>
      </c>
      <c r="AA22" s="3">
        <v>991</v>
      </c>
      <c r="AB22" s="3">
        <v>8.3699999999999992</v>
      </c>
      <c r="AC22" s="3">
        <v>0</v>
      </c>
      <c r="AD22" s="3">
        <v>0.95</v>
      </c>
      <c r="AE22" s="34">
        <v>0</v>
      </c>
      <c r="AF22" s="33">
        <v>1433.51</v>
      </c>
      <c r="AG22" s="33">
        <v>1425.22</v>
      </c>
      <c r="AH22" s="3"/>
      <c r="AI22" s="33"/>
      <c r="AJ22" s="33"/>
      <c r="AK22" s="3"/>
      <c r="AL22" s="3"/>
    </row>
    <row r="23" spans="1:38" x14ac:dyDescent="0.2">
      <c r="A23">
        <v>25</v>
      </c>
      <c r="B23">
        <v>1</v>
      </c>
      <c r="C23" t="s">
        <v>76</v>
      </c>
      <c r="D23">
        <v>0</v>
      </c>
      <c r="E23">
        <v>0</v>
      </c>
      <c r="F23">
        <v>0</v>
      </c>
      <c r="G2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>
        <v>0</v>
      </c>
      <c r="O23">
        <v>0</v>
      </c>
      <c r="P23" s="3">
        <v>0</v>
      </c>
      <c r="Q23">
        <v>0</v>
      </c>
      <c r="R23">
        <v>0</v>
      </c>
      <c r="S23" s="3">
        <v>0</v>
      </c>
      <c r="T23" s="9">
        <v>0</v>
      </c>
      <c r="U23" s="9">
        <v>0</v>
      </c>
      <c r="V23" s="9">
        <v>0</v>
      </c>
      <c r="W23" s="9">
        <v>0</v>
      </c>
      <c r="X23" s="10">
        <v>0</v>
      </c>
      <c r="Y23" s="11">
        <v>0</v>
      </c>
      <c r="Z23">
        <v>87.32</v>
      </c>
      <c r="AA23" s="3">
        <v>991</v>
      </c>
      <c r="AB23" s="3">
        <v>188.83</v>
      </c>
      <c r="AC23" s="3">
        <v>0</v>
      </c>
      <c r="AD23" s="3">
        <v>0</v>
      </c>
      <c r="AE23" s="34">
        <v>0</v>
      </c>
      <c r="AF23" s="33">
        <v>75.489999999999995</v>
      </c>
      <c r="AG23" s="33">
        <v>75.430000000000007</v>
      </c>
      <c r="AH23" s="3"/>
      <c r="AI23" s="33"/>
      <c r="AJ23" s="33"/>
      <c r="AK23" s="3"/>
      <c r="AL23" s="3"/>
    </row>
    <row r="24" spans="1:38" x14ac:dyDescent="0.2">
      <c r="A24">
        <v>31</v>
      </c>
      <c r="B24">
        <v>1</v>
      </c>
      <c r="C24" t="s">
        <v>77</v>
      </c>
      <c r="D24">
        <v>2008</v>
      </c>
      <c r="E24">
        <v>0</v>
      </c>
      <c r="F24">
        <v>0</v>
      </c>
      <c r="G24">
        <v>0</v>
      </c>
      <c r="H24" s="3">
        <v>315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>
        <v>0</v>
      </c>
      <c r="O24">
        <v>0</v>
      </c>
      <c r="P24" s="3">
        <v>0</v>
      </c>
      <c r="Q24">
        <v>0</v>
      </c>
      <c r="R24">
        <v>0</v>
      </c>
      <c r="S24" s="3">
        <v>0</v>
      </c>
      <c r="T24" s="9">
        <v>1997</v>
      </c>
      <c r="U24" s="9">
        <v>0</v>
      </c>
      <c r="V24" s="9">
        <v>0</v>
      </c>
      <c r="W24" s="9">
        <v>0</v>
      </c>
      <c r="X24" s="10">
        <v>0</v>
      </c>
      <c r="Y24" s="11">
        <v>12854187</v>
      </c>
      <c r="Z24" s="3">
        <v>6301.8</v>
      </c>
      <c r="AA24" s="3">
        <v>991</v>
      </c>
      <c r="AB24" s="3">
        <v>0</v>
      </c>
      <c r="AC24" s="3">
        <v>0</v>
      </c>
      <c r="AD24" s="3">
        <v>1.51</v>
      </c>
      <c r="AE24" s="34">
        <v>0</v>
      </c>
      <c r="AF24" s="33">
        <v>6081.74</v>
      </c>
      <c r="AG24" s="33">
        <v>5990.48</v>
      </c>
      <c r="AH24" s="3"/>
      <c r="AI24" s="33"/>
      <c r="AJ24" s="33"/>
      <c r="AK24" s="3"/>
      <c r="AL24" s="3"/>
    </row>
    <row r="25" spans="1:38" x14ac:dyDescent="0.2">
      <c r="A25">
        <v>32</v>
      </c>
      <c r="B25">
        <v>1</v>
      </c>
      <c r="C25" t="s">
        <v>78</v>
      </c>
      <c r="D25">
        <v>0</v>
      </c>
      <c r="E25">
        <v>0</v>
      </c>
      <c r="F25">
        <v>0</v>
      </c>
      <c r="G25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>
        <v>0</v>
      </c>
      <c r="O25">
        <v>0</v>
      </c>
      <c r="P25" s="3">
        <v>0</v>
      </c>
      <c r="Q25">
        <v>2003</v>
      </c>
      <c r="R25">
        <v>2012</v>
      </c>
      <c r="S25" s="3">
        <v>1</v>
      </c>
      <c r="T25" s="9">
        <v>0</v>
      </c>
      <c r="U25" s="9">
        <v>0</v>
      </c>
      <c r="V25" s="9">
        <v>0</v>
      </c>
      <c r="W25" s="9">
        <v>0</v>
      </c>
      <c r="X25" s="10">
        <v>0</v>
      </c>
      <c r="Y25" s="11">
        <v>1130004</v>
      </c>
      <c r="Z25">
        <v>897.48</v>
      </c>
      <c r="AA25" s="3">
        <v>991</v>
      </c>
      <c r="AB25" s="3">
        <v>0</v>
      </c>
      <c r="AC25" s="3">
        <v>0</v>
      </c>
      <c r="AD25" s="3">
        <v>0.74</v>
      </c>
      <c r="AE25" s="34">
        <v>0</v>
      </c>
      <c r="AF25" s="33">
        <v>837.56</v>
      </c>
      <c r="AG25" s="33">
        <v>834.49</v>
      </c>
      <c r="AH25" s="3"/>
      <c r="AI25" s="33"/>
      <c r="AJ25" s="33"/>
      <c r="AK25" s="3"/>
      <c r="AL25" s="3"/>
    </row>
    <row r="26" spans="1:38" x14ac:dyDescent="0.2">
      <c r="A26">
        <v>36</v>
      </c>
      <c r="B26">
        <v>1</v>
      </c>
      <c r="C26" t="s">
        <v>79</v>
      </c>
      <c r="D26">
        <v>0</v>
      </c>
      <c r="E26">
        <v>0</v>
      </c>
      <c r="F26">
        <v>0</v>
      </c>
      <c r="G26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>
        <v>0</v>
      </c>
      <c r="O26">
        <v>0</v>
      </c>
      <c r="P26" s="3">
        <v>0</v>
      </c>
      <c r="Q26">
        <v>2003</v>
      </c>
      <c r="R26">
        <v>2006</v>
      </c>
      <c r="S26" s="3">
        <v>50</v>
      </c>
      <c r="T26" s="9">
        <v>0</v>
      </c>
      <c r="U26" s="9">
        <v>0</v>
      </c>
      <c r="V26" s="9">
        <v>0</v>
      </c>
      <c r="W26" s="9">
        <v>0</v>
      </c>
      <c r="X26" s="10">
        <v>0</v>
      </c>
      <c r="Y26" s="11">
        <v>387709</v>
      </c>
      <c r="Z26">
        <v>274.88</v>
      </c>
      <c r="AA26" s="3">
        <v>9999.99</v>
      </c>
      <c r="AB26" s="3">
        <v>31.23</v>
      </c>
      <c r="AC26" s="3">
        <v>0</v>
      </c>
      <c r="AD26" s="3">
        <v>0.81</v>
      </c>
      <c r="AE26" s="34">
        <v>0</v>
      </c>
      <c r="AF26" s="33">
        <v>245.71</v>
      </c>
      <c r="AG26" s="33">
        <v>245.71</v>
      </c>
      <c r="AH26" s="3"/>
      <c r="AI26" s="33"/>
      <c r="AJ26" s="33"/>
      <c r="AK26" s="3"/>
      <c r="AL26" s="3"/>
    </row>
    <row r="27" spans="1:38" x14ac:dyDescent="0.2">
      <c r="A27">
        <v>38</v>
      </c>
      <c r="B27">
        <v>1</v>
      </c>
      <c r="C27" t="s">
        <v>80</v>
      </c>
      <c r="D27">
        <v>2002</v>
      </c>
      <c r="E27">
        <v>0</v>
      </c>
      <c r="F27">
        <v>0</v>
      </c>
      <c r="G27">
        <v>0</v>
      </c>
      <c r="H27" s="3">
        <v>315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>
        <v>0</v>
      </c>
      <c r="O27">
        <v>0</v>
      </c>
      <c r="P27" s="3">
        <v>0</v>
      </c>
      <c r="Q27">
        <v>2003</v>
      </c>
      <c r="R27">
        <v>2012</v>
      </c>
      <c r="S27" s="3">
        <v>837.38</v>
      </c>
      <c r="T27" s="9">
        <v>1997</v>
      </c>
      <c r="U27" s="9">
        <v>0</v>
      </c>
      <c r="V27" s="9">
        <v>0</v>
      </c>
      <c r="W27" s="9">
        <v>0</v>
      </c>
      <c r="X27" s="10">
        <v>0</v>
      </c>
      <c r="Y27" s="11">
        <v>19496</v>
      </c>
      <c r="Z27" s="3">
        <v>1800.35</v>
      </c>
      <c r="AA27" s="3">
        <v>991</v>
      </c>
      <c r="AB27" s="3">
        <v>0</v>
      </c>
      <c r="AC27" s="3">
        <v>25.69</v>
      </c>
      <c r="AD27" s="3">
        <v>0.01</v>
      </c>
      <c r="AE27" s="34">
        <v>0</v>
      </c>
      <c r="AF27" s="33">
        <v>1941.41</v>
      </c>
      <c r="AG27" s="33">
        <v>1921.85</v>
      </c>
      <c r="AH27" s="3"/>
      <c r="AI27" s="33"/>
      <c r="AJ27" s="33"/>
      <c r="AK27" s="3"/>
      <c r="AL27" s="3"/>
    </row>
    <row r="28" spans="1:38" x14ac:dyDescent="0.2">
      <c r="A28">
        <v>47</v>
      </c>
      <c r="B28">
        <v>1</v>
      </c>
      <c r="C28" t="s">
        <v>81</v>
      </c>
      <c r="D28">
        <v>2008</v>
      </c>
      <c r="E28">
        <v>0</v>
      </c>
      <c r="F28">
        <v>0</v>
      </c>
      <c r="G28">
        <v>0</v>
      </c>
      <c r="H28" s="3">
        <v>315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>
        <v>0</v>
      </c>
      <c r="O28">
        <v>0</v>
      </c>
      <c r="P28" s="3">
        <v>0</v>
      </c>
      <c r="Q28">
        <v>0</v>
      </c>
      <c r="R28">
        <v>0</v>
      </c>
      <c r="S28" s="3">
        <v>0</v>
      </c>
      <c r="T28" s="9">
        <v>1997</v>
      </c>
      <c r="U28" s="9">
        <v>0</v>
      </c>
      <c r="V28" s="9">
        <v>0</v>
      </c>
      <c r="W28" s="9">
        <v>0</v>
      </c>
      <c r="X28" s="10">
        <v>0</v>
      </c>
      <c r="Y28" s="11">
        <v>8475695</v>
      </c>
      <c r="Z28" s="3">
        <v>4107.93</v>
      </c>
      <c r="AA28" s="3">
        <v>991</v>
      </c>
      <c r="AB28" s="3">
        <v>3.75</v>
      </c>
      <c r="AC28" s="3">
        <v>0</v>
      </c>
      <c r="AD28" s="3">
        <v>1.22</v>
      </c>
      <c r="AE28" s="34">
        <v>0</v>
      </c>
      <c r="AF28" s="33">
        <v>4101.1400000000003</v>
      </c>
      <c r="AG28" s="33">
        <v>4039.07</v>
      </c>
      <c r="AH28" s="3"/>
      <c r="AI28" s="33"/>
      <c r="AJ28" s="33"/>
      <c r="AK28" s="3"/>
      <c r="AL28" s="3"/>
    </row>
    <row r="29" spans="1:38" x14ac:dyDescent="0.2">
      <c r="A29">
        <v>51</v>
      </c>
      <c r="B29">
        <v>1</v>
      </c>
      <c r="C29" t="s">
        <v>82</v>
      </c>
      <c r="D29">
        <v>2006</v>
      </c>
      <c r="E29">
        <v>0</v>
      </c>
      <c r="F29">
        <v>0</v>
      </c>
      <c r="G29">
        <v>0</v>
      </c>
      <c r="H29" s="3">
        <v>300</v>
      </c>
      <c r="I29" s="3">
        <v>0</v>
      </c>
      <c r="J29" s="3">
        <v>0</v>
      </c>
      <c r="K29" s="3">
        <v>0</v>
      </c>
      <c r="L29" s="3">
        <v>100</v>
      </c>
      <c r="M29" s="3">
        <v>0.7</v>
      </c>
      <c r="N29">
        <v>0</v>
      </c>
      <c r="O29">
        <v>0</v>
      </c>
      <c r="P29" s="3">
        <v>0</v>
      </c>
      <c r="Q29">
        <v>0</v>
      </c>
      <c r="R29">
        <v>0</v>
      </c>
      <c r="S29" s="3">
        <v>0</v>
      </c>
      <c r="T29" s="9">
        <v>1995</v>
      </c>
      <c r="U29" s="9">
        <v>0</v>
      </c>
      <c r="V29" s="9">
        <v>0</v>
      </c>
      <c r="W29" s="9">
        <v>0</v>
      </c>
      <c r="X29" s="10">
        <v>0</v>
      </c>
      <c r="Y29" s="11">
        <v>2792545</v>
      </c>
      <c r="Z29" s="3">
        <v>1955.25</v>
      </c>
      <c r="AA29" s="3">
        <v>991</v>
      </c>
      <c r="AB29" s="3">
        <v>0</v>
      </c>
      <c r="AC29" s="3">
        <v>0</v>
      </c>
      <c r="AD29" s="3">
        <v>0.7</v>
      </c>
      <c r="AE29" s="34">
        <v>1</v>
      </c>
      <c r="AF29" s="33">
        <v>1866.38</v>
      </c>
      <c r="AG29" s="33">
        <v>1859.79</v>
      </c>
      <c r="AH29" s="3"/>
      <c r="AI29" s="33"/>
      <c r="AJ29" s="33"/>
      <c r="AK29" s="3"/>
      <c r="AL29" s="3"/>
    </row>
    <row r="30" spans="1:38" x14ac:dyDescent="0.2">
      <c r="A30">
        <v>62</v>
      </c>
      <c r="B30">
        <v>1</v>
      </c>
      <c r="C30" t="s">
        <v>83</v>
      </c>
      <c r="D30">
        <v>2007</v>
      </c>
      <c r="E30">
        <v>2007</v>
      </c>
      <c r="F30">
        <v>0</v>
      </c>
      <c r="G30">
        <v>0</v>
      </c>
      <c r="H30" s="3">
        <v>169.94</v>
      </c>
      <c r="I30" s="3">
        <v>150.19</v>
      </c>
      <c r="J30" s="3">
        <v>0</v>
      </c>
      <c r="K30" s="3">
        <v>0</v>
      </c>
      <c r="L30" s="3">
        <v>0</v>
      </c>
      <c r="M30" s="3">
        <v>0</v>
      </c>
      <c r="N30">
        <v>0</v>
      </c>
      <c r="O30">
        <v>0</v>
      </c>
      <c r="P30" s="3">
        <v>0</v>
      </c>
      <c r="Q30">
        <v>2003</v>
      </c>
      <c r="R30">
        <v>2007</v>
      </c>
      <c r="S30" s="3">
        <v>600</v>
      </c>
      <c r="T30" s="9">
        <v>1996</v>
      </c>
      <c r="U30" s="9">
        <v>1996</v>
      </c>
      <c r="V30" s="9">
        <v>0</v>
      </c>
      <c r="W30" s="9">
        <v>0</v>
      </c>
      <c r="X30" s="10">
        <v>0</v>
      </c>
      <c r="Y30" s="11">
        <v>1219741</v>
      </c>
      <c r="Z30">
        <v>640.97</v>
      </c>
      <c r="AA30" s="3">
        <v>9999.99</v>
      </c>
      <c r="AB30" s="3">
        <v>0</v>
      </c>
      <c r="AC30" s="3">
        <v>33.94</v>
      </c>
      <c r="AD30" s="3">
        <v>1.05</v>
      </c>
      <c r="AE30" s="34">
        <v>0</v>
      </c>
      <c r="AF30" s="33">
        <v>543.4</v>
      </c>
      <c r="AG30" s="33">
        <v>543.04999999999995</v>
      </c>
      <c r="AH30" s="3"/>
      <c r="AI30" s="33"/>
      <c r="AJ30" s="33"/>
      <c r="AK30" s="3"/>
      <c r="AL30" s="3"/>
    </row>
    <row r="31" spans="1:38" x14ac:dyDescent="0.2">
      <c r="A31">
        <v>75</v>
      </c>
      <c r="B31">
        <v>1</v>
      </c>
      <c r="C31" t="s">
        <v>84</v>
      </c>
      <c r="D31">
        <v>2006</v>
      </c>
      <c r="E31">
        <v>2006</v>
      </c>
      <c r="F31">
        <v>0</v>
      </c>
      <c r="G31">
        <v>0</v>
      </c>
      <c r="H31" s="3">
        <v>444.91</v>
      </c>
      <c r="I31" s="3">
        <v>274.8</v>
      </c>
      <c r="J31" s="3">
        <v>0</v>
      </c>
      <c r="K31" s="3">
        <v>0</v>
      </c>
      <c r="L31" s="3">
        <v>112.87</v>
      </c>
      <c r="M31" s="3">
        <v>23.94</v>
      </c>
      <c r="N31">
        <v>0</v>
      </c>
      <c r="O31">
        <v>0</v>
      </c>
      <c r="P31" s="3">
        <v>0</v>
      </c>
      <c r="Q31">
        <v>0</v>
      </c>
      <c r="R31">
        <v>0</v>
      </c>
      <c r="S31" s="3">
        <v>0</v>
      </c>
      <c r="T31" s="9">
        <v>1990</v>
      </c>
      <c r="U31" s="9">
        <v>1995</v>
      </c>
      <c r="V31" s="9">
        <v>0</v>
      </c>
      <c r="W31" s="9">
        <v>0</v>
      </c>
      <c r="X31" s="10">
        <v>0.15585586000000001</v>
      </c>
      <c r="Y31" s="11">
        <v>1504652</v>
      </c>
      <c r="Z31">
        <v>649.23</v>
      </c>
      <c r="AA31" s="3">
        <v>991</v>
      </c>
      <c r="AB31" s="3">
        <v>29.09</v>
      </c>
      <c r="AC31" s="3">
        <v>0</v>
      </c>
      <c r="AD31" s="3">
        <v>0.9</v>
      </c>
      <c r="AE31" s="34">
        <v>1</v>
      </c>
      <c r="AF31" s="33">
        <v>633.80999999999995</v>
      </c>
      <c r="AG31" s="33">
        <v>631.12</v>
      </c>
      <c r="AH31" s="3"/>
      <c r="AI31" s="33"/>
      <c r="AJ31" s="33"/>
      <c r="AK31" s="3"/>
      <c r="AL31" s="3"/>
    </row>
    <row r="32" spans="1:38" x14ac:dyDescent="0.2">
      <c r="A32">
        <v>77</v>
      </c>
      <c r="B32">
        <v>1</v>
      </c>
      <c r="C32" t="s">
        <v>85</v>
      </c>
      <c r="D32">
        <v>2003</v>
      </c>
      <c r="E32">
        <v>2010</v>
      </c>
      <c r="F32">
        <v>0</v>
      </c>
      <c r="G32">
        <v>0</v>
      </c>
      <c r="H32" s="3">
        <v>305</v>
      </c>
      <c r="I32" s="3">
        <v>195</v>
      </c>
      <c r="J32" s="3">
        <v>0</v>
      </c>
      <c r="K32" s="3">
        <v>0</v>
      </c>
      <c r="L32" s="3">
        <v>0</v>
      </c>
      <c r="M32" s="3">
        <v>3.96</v>
      </c>
      <c r="N32">
        <v>0</v>
      </c>
      <c r="O32">
        <v>0</v>
      </c>
      <c r="P32" s="3">
        <v>0</v>
      </c>
      <c r="Q32">
        <v>0</v>
      </c>
      <c r="R32">
        <v>0</v>
      </c>
      <c r="S32" s="3">
        <v>0</v>
      </c>
      <c r="T32" s="9">
        <v>1997</v>
      </c>
      <c r="U32" s="9">
        <v>1999</v>
      </c>
      <c r="V32" s="9">
        <v>0</v>
      </c>
      <c r="W32" s="9">
        <v>0</v>
      </c>
      <c r="X32" s="10">
        <v>0</v>
      </c>
      <c r="Y32" s="11">
        <v>31557337</v>
      </c>
      <c r="Z32" s="3">
        <v>8114.93</v>
      </c>
      <c r="AA32" s="3">
        <v>991</v>
      </c>
      <c r="AB32" s="3">
        <v>0</v>
      </c>
      <c r="AC32" s="3">
        <v>0</v>
      </c>
      <c r="AD32" s="3">
        <v>3.96</v>
      </c>
      <c r="AE32" s="34">
        <v>1</v>
      </c>
      <c r="AF32" s="33">
        <v>7986.39</v>
      </c>
      <c r="AG32" s="33">
        <v>7883.92</v>
      </c>
      <c r="AH32" s="3"/>
      <c r="AI32" s="33"/>
      <c r="AJ32" s="33"/>
      <c r="AK32" s="3"/>
      <c r="AL32" s="3"/>
    </row>
    <row r="33" spans="1:38" x14ac:dyDescent="0.2">
      <c r="A33">
        <v>81</v>
      </c>
      <c r="B33">
        <v>1</v>
      </c>
      <c r="C33" t="s">
        <v>86</v>
      </c>
      <c r="D33">
        <v>2001</v>
      </c>
      <c r="E33">
        <v>2006</v>
      </c>
      <c r="F33">
        <v>0</v>
      </c>
      <c r="G33">
        <v>0</v>
      </c>
      <c r="H33" s="3">
        <v>968.42</v>
      </c>
      <c r="I33" s="3">
        <v>564.94000000000005</v>
      </c>
      <c r="J33" s="3">
        <v>0</v>
      </c>
      <c r="K33" s="3">
        <v>0</v>
      </c>
      <c r="L33" s="3">
        <v>0</v>
      </c>
      <c r="M33" s="3">
        <v>33.880000000000003</v>
      </c>
      <c r="N33">
        <v>2002</v>
      </c>
      <c r="O33">
        <v>2011</v>
      </c>
      <c r="P33" s="3">
        <v>300</v>
      </c>
      <c r="Q33">
        <v>0</v>
      </c>
      <c r="R33">
        <v>0</v>
      </c>
      <c r="S33" s="3">
        <v>0</v>
      </c>
      <c r="T33" s="9">
        <v>1990</v>
      </c>
      <c r="U33" s="9">
        <v>1999</v>
      </c>
      <c r="V33" s="9">
        <v>1999</v>
      </c>
      <c r="W33" s="9">
        <v>0</v>
      </c>
      <c r="X33" s="10">
        <v>0.26164822999999998</v>
      </c>
      <c r="Y33" s="11">
        <v>1033086</v>
      </c>
      <c r="Z33">
        <v>217.13</v>
      </c>
      <c r="AA33" s="3">
        <v>991</v>
      </c>
      <c r="AB33" s="3">
        <v>42.24</v>
      </c>
      <c r="AC33" s="3">
        <v>0</v>
      </c>
      <c r="AD33" s="3">
        <v>2.74</v>
      </c>
      <c r="AE33" s="34">
        <v>1</v>
      </c>
      <c r="AF33" s="33">
        <v>215.01</v>
      </c>
      <c r="AG33" s="33">
        <v>214.87</v>
      </c>
      <c r="AH33" s="3"/>
      <c r="AI33" s="33"/>
      <c r="AJ33" s="33"/>
      <c r="AK33" s="3"/>
      <c r="AL33" s="3"/>
    </row>
    <row r="34" spans="1:38" x14ac:dyDescent="0.2">
      <c r="A34">
        <v>84</v>
      </c>
      <c r="B34">
        <v>1</v>
      </c>
      <c r="C34" t="s">
        <v>87</v>
      </c>
      <c r="D34">
        <v>2005</v>
      </c>
      <c r="E34">
        <v>0</v>
      </c>
      <c r="F34">
        <v>0</v>
      </c>
      <c r="G34">
        <v>0</v>
      </c>
      <c r="H34" s="3">
        <v>350</v>
      </c>
      <c r="I34" s="3">
        <v>0</v>
      </c>
      <c r="J34" s="3">
        <v>0</v>
      </c>
      <c r="K34" s="3">
        <v>0</v>
      </c>
      <c r="L34" s="3">
        <v>0</v>
      </c>
      <c r="M34" s="3">
        <v>2.52</v>
      </c>
      <c r="N34">
        <v>0</v>
      </c>
      <c r="O34">
        <v>0</v>
      </c>
      <c r="P34" s="3">
        <v>0</v>
      </c>
      <c r="Q34">
        <v>0</v>
      </c>
      <c r="R34">
        <v>0</v>
      </c>
      <c r="S34" s="3">
        <v>0</v>
      </c>
      <c r="T34" s="9">
        <v>1999</v>
      </c>
      <c r="U34" s="9">
        <v>0</v>
      </c>
      <c r="V34" s="9">
        <v>0</v>
      </c>
      <c r="W34" s="9">
        <v>0</v>
      </c>
      <c r="X34" s="10">
        <v>0</v>
      </c>
      <c r="Y34" s="11">
        <v>3232280</v>
      </c>
      <c r="Z34">
        <v>756.56</v>
      </c>
      <c r="AA34" s="3">
        <v>9999.99</v>
      </c>
      <c r="AB34" s="3">
        <v>0</v>
      </c>
      <c r="AC34" s="3">
        <v>0</v>
      </c>
      <c r="AD34" s="3">
        <v>2.52</v>
      </c>
      <c r="AE34" s="34">
        <v>1</v>
      </c>
      <c r="AF34" s="33">
        <v>735.02</v>
      </c>
      <c r="AG34" s="33">
        <v>733.87</v>
      </c>
      <c r="AH34" s="3"/>
      <c r="AI34" s="33"/>
      <c r="AJ34" s="33"/>
      <c r="AK34" s="3"/>
      <c r="AL34" s="3"/>
    </row>
    <row r="35" spans="1:38" x14ac:dyDescent="0.2">
      <c r="A35">
        <v>85</v>
      </c>
      <c r="B35">
        <v>1</v>
      </c>
      <c r="C35" t="s">
        <v>88</v>
      </c>
      <c r="D35">
        <v>0</v>
      </c>
      <c r="E35">
        <v>0</v>
      </c>
      <c r="F35">
        <v>0</v>
      </c>
      <c r="G35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>
        <v>0</v>
      </c>
      <c r="O35">
        <v>0</v>
      </c>
      <c r="P35" s="3">
        <v>0</v>
      </c>
      <c r="Q35">
        <v>0</v>
      </c>
      <c r="R35">
        <v>0</v>
      </c>
      <c r="S35" s="3">
        <v>0</v>
      </c>
      <c r="T35" s="9">
        <v>0</v>
      </c>
      <c r="U35" s="9">
        <v>0</v>
      </c>
      <c r="V35" s="9">
        <v>0</v>
      </c>
      <c r="W35" s="9">
        <v>0</v>
      </c>
      <c r="X35" s="10">
        <v>0</v>
      </c>
      <c r="Y35" s="11">
        <v>1951532</v>
      </c>
      <c r="Z35">
        <v>795.11</v>
      </c>
      <c r="AA35" s="3">
        <v>991</v>
      </c>
      <c r="AB35" s="3">
        <v>0</v>
      </c>
      <c r="AC35" s="3">
        <v>0</v>
      </c>
      <c r="AD35" s="3">
        <v>1.34</v>
      </c>
      <c r="AE35" s="34">
        <v>0</v>
      </c>
      <c r="AF35" s="33">
        <v>721.72</v>
      </c>
      <c r="AG35" s="33">
        <v>718.96</v>
      </c>
      <c r="AH35" s="3"/>
      <c r="AI35" s="33"/>
      <c r="AJ35" s="33"/>
      <c r="AK35" s="3"/>
      <c r="AL35" s="3"/>
    </row>
    <row r="36" spans="1:38" x14ac:dyDescent="0.2">
      <c r="A36">
        <v>88</v>
      </c>
      <c r="B36">
        <v>1</v>
      </c>
      <c r="C36" t="s">
        <v>89</v>
      </c>
      <c r="D36">
        <v>2003</v>
      </c>
      <c r="E36">
        <v>2008</v>
      </c>
      <c r="F36">
        <v>0</v>
      </c>
      <c r="G36">
        <v>0</v>
      </c>
      <c r="H36" s="3">
        <v>146</v>
      </c>
      <c r="I36" s="3">
        <v>105.58</v>
      </c>
      <c r="J36" s="3">
        <v>0</v>
      </c>
      <c r="K36" s="3">
        <v>0</v>
      </c>
      <c r="L36" s="3">
        <v>0</v>
      </c>
      <c r="M36" s="3">
        <v>0</v>
      </c>
      <c r="N36">
        <v>0</v>
      </c>
      <c r="O36">
        <v>0</v>
      </c>
      <c r="P36" s="3">
        <v>0</v>
      </c>
      <c r="Q36">
        <v>2003</v>
      </c>
      <c r="R36">
        <v>2012</v>
      </c>
      <c r="S36" s="3">
        <v>450</v>
      </c>
      <c r="T36" s="9">
        <v>1997</v>
      </c>
      <c r="U36" s="9">
        <v>1990</v>
      </c>
      <c r="V36" s="9">
        <v>0</v>
      </c>
      <c r="W36" s="9">
        <v>0</v>
      </c>
      <c r="X36" s="10">
        <v>2.7606209999999999E-2</v>
      </c>
      <c r="Y36" s="11">
        <v>9750665</v>
      </c>
      <c r="Z36" s="3">
        <v>3140.23</v>
      </c>
      <c r="AA36" s="3">
        <v>991</v>
      </c>
      <c r="AB36" s="3">
        <v>0</v>
      </c>
      <c r="AC36" s="3">
        <v>0</v>
      </c>
      <c r="AD36" s="3">
        <v>1.86</v>
      </c>
      <c r="AE36" s="34">
        <v>0</v>
      </c>
      <c r="AF36" s="33">
        <v>2869.44</v>
      </c>
      <c r="AG36" s="33">
        <v>2845.22</v>
      </c>
      <c r="AH36" s="3"/>
      <c r="AI36" s="33"/>
      <c r="AJ36" s="33"/>
      <c r="AK36" s="3"/>
      <c r="AL36" s="3"/>
    </row>
    <row r="37" spans="1:38" x14ac:dyDescent="0.2">
      <c r="A37">
        <v>91</v>
      </c>
      <c r="B37">
        <v>1</v>
      </c>
      <c r="C37" t="s">
        <v>90</v>
      </c>
      <c r="D37">
        <v>2009</v>
      </c>
      <c r="E37">
        <v>0</v>
      </c>
      <c r="F37">
        <v>0</v>
      </c>
      <c r="G37">
        <v>0</v>
      </c>
      <c r="H37" s="3">
        <v>315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>
        <v>0</v>
      </c>
      <c r="O37">
        <v>0</v>
      </c>
      <c r="P37" s="3">
        <v>0</v>
      </c>
      <c r="Q37">
        <v>2003</v>
      </c>
      <c r="R37">
        <v>2012</v>
      </c>
      <c r="S37" s="3">
        <v>200</v>
      </c>
      <c r="T37" s="9">
        <v>1997</v>
      </c>
      <c r="U37" s="9">
        <v>0</v>
      </c>
      <c r="V37" s="9">
        <v>0</v>
      </c>
      <c r="W37" s="9">
        <v>0</v>
      </c>
      <c r="X37" s="10">
        <v>0</v>
      </c>
      <c r="Y37" s="11">
        <v>1038005</v>
      </c>
      <c r="Z37">
        <v>770.45</v>
      </c>
      <c r="AA37" s="3">
        <v>991</v>
      </c>
      <c r="AB37" s="3">
        <v>0</v>
      </c>
      <c r="AC37" s="3">
        <v>0</v>
      </c>
      <c r="AD37" s="3">
        <v>0.82</v>
      </c>
      <c r="AE37" s="34">
        <v>0</v>
      </c>
      <c r="AF37" s="33">
        <v>720.86</v>
      </c>
      <c r="AG37" s="33">
        <v>720.19</v>
      </c>
      <c r="AH37" s="3"/>
      <c r="AI37" s="33"/>
      <c r="AJ37" s="33"/>
      <c r="AK37" s="3"/>
      <c r="AL37" s="3"/>
    </row>
    <row r="38" spans="1:38" x14ac:dyDescent="0.2">
      <c r="A38">
        <v>93</v>
      </c>
      <c r="B38">
        <v>1</v>
      </c>
      <c r="C38" t="s">
        <v>91</v>
      </c>
      <c r="D38">
        <v>2008</v>
      </c>
      <c r="E38">
        <v>0</v>
      </c>
      <c r="F38">
        <v>0</v>
      </c>
      <c r="G38">
        <v>0</v>
      </c>
      <c r="H38" s="3">
        <v>309.08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>
        <v>0</v>
      </c>
      <c r="O38">
        <v>0</v>
      </c>
      <c r="P38" s="3">
        <v>0</v>
      </c>
      <c r="Q38">
        <v>0</v>
      </c>
      <c r="R38">
        <v>0</v>
      </c>
      <c r="S38" s="3">
        <v>0</v>
      </c>
      <c r="T38" s="9">
        <v>1997</v>
      </c>
      <c r="U38" s="9">
        <v>0</v>
      </c>
      <c r="V38" s="9">
        <v>0</v>
      </c>
      <c r="W38" s="9">
        <v>0</v>
      </c>
      <c r="X38" s="10">
        <v>0</v>
      </c>
      <c r="Y38" s="11">
        <v>1873081</v>
      </c>
      <c r="Z38">
        <v>936.62</v>
      </c>
      <c r="AA38" s="3">
        <v>991</v>
      </c>
      <c r="AB38" s="3">
        <v>13.58</v>
      </c>
      <c r="AC38" s="3">
        <v>31.32</v>
      </c>
      <c r="AD38" s="3">
        <v>1.42</v>
      </c>
      <c r="AE38" s="34">
        <v>0</v>
      </c>
      <c r="AF38" s="33">
        <v>938.26</v>
      </c>
      <c r="AG38" s="33">
        <v>936.19</v>
      </c>
      <c r="AH38" s="3"/>
      <c r="AI38" s="33"/>
      <c r="AJ38" s="33"/>
      <c r="AK38" s="3"/>
      <c r="AL38" s="3"/>
    </row>
    <row r="39" spans="1:38" x14ac:dyDescent="0.2">
      <c r="A39">
        <v>94</v>
      </c>
      <c r="B39">
        <v>1</v>
      </c>
      <c r="C39" t="s">
        <v>92</v>
      </c>
      <c r="D39">
        <v>2005</v>
      </c>
      <c r="E39">
        <v>0</v>
      </c>
      <c r="F39">
        <v>0</v>
      </c>
      <c r="G39">
        <v>0</v>
      </c>
      <c r="H39" s="3">
        <v>424.12</v>
      </c>
      <c r="I39" s="3">
        <v>0</v>
      </c>
      <c r="J39" s="3">
        <v>0</v>
      </c>
      <c r="K39" s="3">
        <v>0</v>
      </c>
      <c r="L39" s="3">
        <v>104.13</v>
      </c>
      <c r="M39" s="3">
        <v>0</v>
      </c>
      <c r="N39">
        <v>0</v>
      </c>
      <c r="O39">
        <v>0</v>
      </c>
      <c r="P39" s="3">
        <v>0</v>
      </c>
      <c r="Q39">
        <v>2003</v>
      </c>
      <c r="R39">
        <v>2012</v>
      </c>
      <c r="S39" s="3">
        <v>97</v>
      </c>
      <c r="T39" s="9">
        <v>1994</v>
      </c>
      <c r="U39" s="9">
        <v>0</v>
      </c>
      <c r="V39" s="9">
        <v>0</v>
      </c>
      <c r="W39" s="9">
        <v>0</v>
      </c>
      <c r="X39" s="10">
        <v>0</v>
      </c>
      <c r="Y39" s="11">
        <v>6801605</v>
      </c>
      <c r="Z39" s="3">
        <v>2776.43</v>
      </c>
      <c r="AA39" s="3">
        <v>991</v>
      </c>
      <c r="AB39" s="3">
        <v>0</v>
      </c>
      <c r="AC39" s="3">
        <v>0</v>
      </c>
      <c r="AD39" s="3">
        <v>1.85</v>
      </c>
      <c r="AE39" s="34">
        <v>0</v>
      </c>
      <c r="AF39" s="33">
        <v>2745.9</v>
      </c>
      <c r="AG39" s="33">
        <v>2728.66</v>
      </c>
      <c r="AH39" s="3"/>
      <c r="AI39" s="33"/>
      <c r="AJ39" s="33"/>
      <c r="AK39" s="3"/>
      <c r="AL39" s="3"/>
    </row>
    <row r="40" spans="1:38" x14ac:dyDescent="0.2">
      <c r="A40">
        <v>95</v>
      </c>
      <c r="B40">
        <v>1</v>
      </c>
      <c r="C40" t="s">
        <v>93</v>
      </c>
      <c r="D40">
        <v>0</v>
      </c>
      <c r="E40">
        <v>0</v>
      </c>
      <c r="F40">
        <v>0</v>
      </c>
      <c r="G40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>
        <v>0</v>
      </c>
      <c r="O40">
        <v>0</v>
      </c>
      <c r="P40" s="3">
        <v>0</v>
      </c>
      <c r="Q40">
        <v>0</v>
      </c>
      <c r="R40">
        <v>0</v>
      </c>
      <c r="S40" s="3">
        <v>0</v>
      </c>
      <c r="T40" s="9">
        <v>0</v>
      </c>
      <c r="U40" s="9">
        <v>0</v>
      </c>
      <c r="V40" s="9">
        <v>0</v>
      </c>
      <c r="W40" s="9">
        <v>0</v>
      </c>
      <c r="X40" s="10">
        <v>0</v>
      </c>
      <c r="Y40" s="11">
        <v>684140</v>
      </c>
      <c r="Z40">
        <v>352.96</v>
      </c>
      <c r="AA40" s="3">
        <v>9999.99</v>
      </c>
      <c r="AB40" s="3">
        <v>8.73</v>
      </c>
      <c r="AC40" s="3">
        <v>0</v>
      </c>
      <c r="AD40" s="3">
        <v>1.48</v>
      </c>
      <c r="AE40" s="34">
        <v>0</v>
      </c>
      <c r="AF40" s="33">
        <v>318.98</v>
      </c>
      <c r="AG40" s="33">
        <v>318.75</v>
      </c>
      <c r="AH40" s="3"/>
      <c r="AI40" s="33"/>
      <c r="AJ40" s="33"/>
      <c r="AK40" s="3"/>
      <c r="AL40" s="3"/>
    </row>
    <row r="41" spans="1:38" x14ac:dyDescent="0.2">
      <c r="A41">
        <v>97</v>
      </c>
      <c r="B41">
        <v>1</v>
      </c>
      <c r="C41" t="s">
        <v>94</v>
      </c>
      <c r="D41">
        <v>2006</v>
      </c>
      <c r="E41">
        <v>0</v>
      </c>
      <c r="F41">
        <v>0</v>
      </c>
      <c r="G41">
        <v>0</v>
      </c>
      <c r="H41" s="3">
        <v>444.61</v>
      </c>
      <c r="I41" s="3">
        <v>0</v>
      </c>
      <c r="J41" s="3">
        <v>0</v>
      </c>
      <c r="K41" s="3">
        <v>0</v>
      </c>
      <c r="L41" s="3">
        <v>131.31</v>
      </c>
      <c r="M41" s="3">
        <v>0</v>
      </c>
      <c r="N41">
        <v>0</v>
      </c>
      <c r="O41">
        <v>0</v>
      </c>
      <c r="P41" s="3">
        <v>0</v>
      </c>
      <c r="Q41">
        <v>2003</v>
      </c>
      <c r="R41">
        <v>2012</v>
      </c>
      <c r="S41" s="3">
        <v>250</v>
      </c>
      <c r="T41" s="9">
        <v>1995</v>
      </c>
      <c r="U41" s="9">
        <v>0</v>
      </c>
      <c r="V41" s="9">
        <v>0</v>
      </c>
      <c r="W41" s="9">
        <v>0</v>
      </c>
      <c r="X41" s="10">
        <v>0</v>
      </c>
      <c r="Y41" s="11">
        <v>1830929</v>
      </c>
      <c r="Z41">
        <v>856.32</v>
      </c>
      <c r="AA41" s="3">
        <v>991</v>
      </c>
      <c r="AB41" s="3">
        <v>0</v>
      </c>
      <c r="AC41" s="3">
        <v>0</v>
      </c>
      <c r="AD41" s="3">
        <v>1.49</v>
      </c>
      <c r="AE41" s="34">
        <v>0</v>
      </c>
      <c r="AF41" s="33">
        <v>849.09</v>
      </c>
      <c r="AG41" s="33">
        <v>848.39</v>
      </c>
      <c r="AH41" s="3"/>
      <c r="AI41" s="33"/>
      <c r="AJ41" s="33"/>
      <c r="AK41" s="3"/>
      <c r="AL41" s="3"/>
    </row>
    <row r="42" spans="1:38" x14ac:dyDescent="0.2">
      <c r="A42">
        <v>99</v>
      </c>
      <c r="B42">
        <v>1</v>
      </c>
      <c r="C42" t="s">
        <v>95</v>
      </c>
      <c r="D42">
        <v>2008</v>
      </c>
      <c r="E42">
        <v>0</v>
      </c>
      <c r="F42">
        <v>0</v>
      </c>
      <c r="G42">
        <v>0</v>
      </c>
      <c r="H42" s="3">
        <v>281.04000000000002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>
        <v>0</v>
      </c>
      <c r="O42">
        <v>0</v>
      </c>
      <c r="P42" s="3">
        <v>0</v>
      </c>
      <c r="Q42">
        <v>2003</v>
      </c>
      <c r="R42">
        <v>2012</v>
      </c>
      <c r="S42" s="3">
        <v>1</v>
      </c>
      <c r="T42" s="9">
        <v>1990</v>
      </c>
      <c r="U42" s="9">
        <v>0</v>
      </c>
      <c r="V42" s="9">
        <v>0</v>
      </c>
      <c r="W42" s="9">
        <v>0</v>
      </c>
      <c r="X42" s="10">
        <v>0.12339704</v>
      </c>
      <c r="Y42" s="11">
        <v>2071010</v>
      </c>
      <c r="Z42" s="3">
        <v>1120.03</v>
      </c>
      <c r="AA42" s="3">
        <v>991</v>
      </c>
      <c r="AB42" s="3">
        <v>6.24</v>
      </c>
      <c r="AC42" s="3">
        <v>0</v>
      </c>
      <c r="AD42" s="3">
        <v>0.97</v>
      </c>
      <c r="AE42" s="34">
        <v>0</v>
      </c>
      <c r="AF42" s="33">
        <v>1182.58</v>
      </c>
      <c r="AG42" s="33">
        <v>1182.02</v>
      </c>
      <c r="AH42" s="3"/>
      <c r="AI42" s="33"/>
      <c r="AJ42" s="33"/>
      <c r="AK42" s="3"/>
      <c r="AL42" s="3"/>
    </row>
    <row r="43" spans="1:38" x14ac:dyDescent="0.2">
      <c r="A43">
        <v>100</v>
      </c>
      <c r="B43">
        <v>1</v>
      </c>
      <c r="C43" t="s">
        <v>96</v>
      </c>
      <c r="D43">
        <v>2008</v>
      </c>
      <c r="E43">
        <v>0</v>
      </c>
      <c r="F43">
        <v>0</v>
      </c>
      <c r="G43">
        <v>0</v>
      </c>
      <c r="H43" s="3">
        <v>354.83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>
        <v>0</v>
      </c>
      <c r="O43">
        <v>0</v>
      </c>
      <c r="P43" s="3">
        <v>0</v>
      </c>
      <c r="Q43">
        <v>0</v>
      </c>
      <c r="R43">
        <v>0</v>
      </c>
      <c r="S43" s="3">
        <v>0</v>
      </c>
      <c r="T43" s="9">
        <v>1990</v>
      </c>
      <c r="U43" s="9">
        <v>0</v>
      </c>
      <c r="V43" s="9">
        <v>0</v>
      </c>
      <c r="W43" s="9">
        <v>0</v>
      </c>
      <c r="X43" s="10">
        <v>9.6578129999999998E-2</v>
      </c>
      <c r="Y43" s="11">
        <v>1151165</v>
      </c>
      <c r="Z43">
        <v>385.93</v>
      </c>
      <c r="AA43" s="3">
        <v>991</v>
      </c>
      <c r="AB43" s="3">
        <v>0</v>
      </c>
      <c r="AC43" s="3">
        <v>0</v>
      </c>
      <c r="AD43" s="3">
        <v>3.26</v>
      </c>
      <c r="AE43" s="34">
        <v>0</v>
      </c>
      <c r="AF43" s="33">
        <v>385.1</v>
      </c>
      <c r="AG43" s="33">
        <v>384.72</v>
      </c>
      <c r="AH43" s="3"/>
      <c r="AI43" s="33"/>
      <c r="AJ43" s="33"/>
      <c r="AK43" s="3"/>
      <c r="AL43" s="3"/>
    </row>
    <row r="44" spans="1:38" x14ac:dyDescent="0.2">
      <c r="A44">
        <v>108</v>
      </c>
      <c r="B44">
        <v>1</v>
      </c>
      <c r="C44" t="s">
        <v>97</v>
      </c>
      <c r="D44">
        <v>2007</v>
      </c>
      <c r="E44">
        <v>0</v>
      </c>
      <c r="F44">
        <v>0</v>
      </c>
      <c r="G44">
        <v>0</v>
      </c>
      <c r="H44" s="3">
        <v>315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>
        <v>0</v>
      </c>
      <c r="O44">
        <v>0</v>
      </c>
      <c r="P44" s="3">
        <v>0</v>
      </c>
      <c r="Q44">
        <v>0</v>
      </c>
      <c r="R44">
        <v>0</v>
      </c>
      <c r="S44" s="3">
        <v>0</v>
      </c>
      <c r="T44" s="9">
        <v>1996</v>
      </c>
      <c r="U44" s="9">
        <v>0</v>
      </c>
      <c r="V44" s="9">
        <v>0</v>
      </c>
      <c r="W44" s="9">
        <v>0</v>
      </c>
      <c r="X44" s="10">
        <v>0</v>
      </c>
      <c r="Y44" s="11">
        <v>4279475</v>
      </c>
      <c r="Z44" s="3">
        <v>1356.2</v>
      </c>
      <c r="AA44" s="3">
        <v>991</v>
      </c>
      <c r="AB44" s="3">
        <v>0</v>
      </c>
      <c r="AC44" s="3">
        <v>0</v>
      </c>
      <c r="AD44" s="3">
        <v>2.46</v>
      </c>
      <c r="AE44" s="34">
        <v>0</v>
      </c>
      <c r="AF44" s="33">
        <v>1268.81</v>
      </c>
      <c r="AG44" s="33">
        <v>1248.02</v>
      </c>
      <c r="AH44" s="3"/>
      <c r="AI44" s="33"/>
      <c r="AJ44" s="33"/>
      <c r="AK44" s="3"/>
      <c r="AL44" s="3"/>
    </row>
    <row r="45" spans="1:38" x14ac:dyDescent="0.2">
      <c r="A45">
        <v>110</v>
      </c>
      <c r="B45">
        <v>1</v>
      </c>
      <c r="C45" t="s">
        <v>98</v>
      </c>
      <c r="D45">
        <v>2004</v>
      </c>
      <c r="E45">
        <v>2008</v>
      </c>
      <c r="F45">
        <v>2009</v>
      </c>
      <c r="G45">
        <v>0</v>
      </c>
      <c r="H45" s="3">
        <v>370</v>
      </c>
      <c r="I45" s="3">
        <v>223.57</v>
      </c>
      <c r="J45" s="3">
        <v>50</v>
      </c>
      <c r="K45" s="3">
        <v>0</v>
      </c>
      <c r="L45" s="3">
        <v>118.39</v>
      </c>
      <c r="M45" s="3">
        <v>27.99</v>
      </c>
      <c r="N45">
        <v>0</v>
      </c>
      <c r="O45">
        <v>0</v>
      </c>
      <c r="P45" s="3">
        <v>0</v>
      </c>
      <c r="Q45">
        <v>0</v>
      </c>
      <c r="R45">
        <v>0</v>
      </c>
      <c r="S45" s="3">
        <v>0</v>
      </c>
      <c r="T45" s="9">
        <v>1995</v>
      </c>
      <c r="U45" s="9">
        <v>1990</v>
      </c>
      <c r="V45" s="9">
        <v>1998</v>
      </c>
      <c r="W45" s="9">
        <v>0</v>
      </c>
      <c r="X45" s="10">
        <v>5.0895559999999999E-2</v>
      </c>
      <c r="Y45" s="11">
        <v>8677954</v>
      </c>
      <c r="Z45" s="3">
        <v>2433.2800000000002</v>
      </c>
      <c r="AA45" s="3">
        <v>991</v>
      </c>
      <c r="AB45" s="3">
        <v>25.11</v>
      </c>
      <c r="AC45" s="3">
        <v>0</v>
      </c>
      <c r="AD45" s="3">
        <v>2.73</v>
      </c>
      <c r="AE45" s="34">
        <v>1</v>
      </c>
      <c r="AF45" s="33">
        <v>2776.04</v>
      </c>
      <c r="AG45" s="33">
        <v>2762.1</v>
      </c>
      <c r="AH45" s="3"/>
      <c r="AI45" s="33"/>
      <c r="AJ45" s="33"/>
      <c r="AK45" s="3"/>
      <c r="AL45" s="3"/>
    </row>
    <row r="46" spans="1:38" x14ac:dyDescent="0.2">
      <c r="A46">
        <v>111</v>
      </c>
      <c r="B46">
        <v>1</v>
      </c>
      <c r="C46" t="s">
        <v>99</v>
      </c>
      <c r="D46">
        <v>2003</v>
      </c>
      <c r="E46">
        <v>0</v>
      </c>
      <c r="F46">
        <v>0</v>
      </c>
      <c r="G46">
        <v>0</v>
      </c>
      <c r="H46" s="3">
        <v>240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>
        <v>0</v>
      </c>
      <c r="O46">
        <v>0</v>
      </c>
      <c r="P46" s="3">
        <v>0</v>
      </c>
      <c r="Q46">
        <v>2003</v>
      </c>
      <c r="R46">
        <v>2012</v>
      </c>
      <c r="S46" s="3">
        <v>240</v>
      </c>
      <c r="T46" s="9">
        <v>1997</v>
      </c>
      <c r="U46" s="9">
        <v>0</v>
      </c>
      <c r="V46" s="9">
        <v>0</v>
      </c>
      <c r="W46" s="9">
        <v>0</v>
      </c>
      <c r="X46" s="10">
        <v>0</v>
      </c>
      <c r="Y46" s="11">
        <v>4580461</v>
      </c>
      <c r="Z46" s="3">
        <v>1563.02</v>
      </c>
      <c r="AA46" s="3">
        <v>991</v>
      </c>
      <c r="AB46" s="3">
        <v>0</v>
      </c>
      <c r="AC46" s="3">
        <v>0</v>
      </c>
      <c r="AD46" s="3">
        <v>2.4700000000000002</v>
      </c>
      <c r="AE46" s="34">
        <v>0</v>
      </c>
      <c r="AF46" s="33">
        <v>1636.9</v>
      </c>
      <c r="AG46" s="33">
        <v>1622.08</v>
      </c>
      <c r="AH46" s="3"/>
      <c r="AI46" s="33"/>
      <c r="AJ46" s="33"/>
      <c r="AK46" s="3"/>
      <c r="AL46" s="3"/>
    </row>
    <row r="47" spans="1:38" x14ac:dyDescent="0.2">
      <c r="A47">
        <v>112</v>
      </c>
      <c r="B47">
        <v>1</v>
      </c>
      <c r="C47" t="s">
        <v>100</v>
      </c>
      <c r="D47">
        <v>2006</v>
      </c>
      <c r="E47">
        <v>2006</v>
      </c>
      <c r="F47">
        <v>2006</v>
      </c>
      <c r="G47">
        <v>2010</v>
      </c>
      <c r="H47" s="3">
        <v>572.77</v>
      </c>
      <c r="I47" s="3">
        <v>176.45</v>
      </c>
      <c r="J47" s="3">
        <v>56.47</v>
      </c>
      <c r="K47" s="3">
        <v>112.43</v>
      </c>
      <c r="L47" s="3">
        <v>55.63</v>
      </c>
      <c r="M47" s="3">
        <v>39.83</v>
      </c>
      <c r="N47">
        <v>0</v>
      </c>
      <c r="O47">
        <v>0</v>
      </c>
      <c r="P47" s="3">
        <v>0</v>
      </c>
      <c r="Q47">
        <v>0</v>
      </c>
      <c r="R47">
        <v>0</v>
      </c>
      <c r="S47" s="3">
        <v>0</v>
      </c>
      <c r="T47" s="9">
        <v>1990</v>
      </c>
      <c r="U47" s="9">
        <v>1997</v>
      </c>
      <c r="V47" s="9">
        <v>1997</v>
      </c>
      <c r="W47" s="9">
        <v>1999</v>
      </c>
      <c r="X47" s="10">
        <v>0.15462989999999999</v>
      </c>
      <c r="Y47" s="11">
        <v>24990822</v>
      </c>
      <c r="Z47" s="3">
        <v>8310.1299999999992</v>
      </c>
      <c r="AA47" s="3">
        <v>991</v>
      </c>
      <c r="AB47" s="3">
        <v>38.909999999999997</v>
      </c>
      <c r="AC47" s="3">
        <v>0</v>
      </c>
      <c r="AD47" s="3">
        <v>2.14</v>
      </c>
      <c r="AE47" s="34">
        <v>1</v>
      </c>
      <c r="AF47" s="33">
        <v>9443.44</v>
      </c>
      <c r="AG47" s="33">
        <v>9385.36</v>
      </c>
      <c r="AH47" s="3"/>
      <c r="AI47" s="33"/>
      <c r="AJ47" s="33"/>
      <c r="AK47" s="3"/>
      <c r="AL47" s="3"/>
    </row>
    <row r="48" spans="1:38" x14ac:dyDescent="0.2">
      <c r="A48">
        <v>113</v>
      </c>
      <c r="B48">
        <v>1</v>
      </c>
      <c r="C48" t="s">
        <v>101</v>
      </c>
      <c r="D48">
        <v>0</v>
      </c>
      <c r="E48">
        <v>0</v>
      </c>
      <c r="F48">
        <v>0</v>
      </c>
      <c r="G48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>
        <v>0</v>
      </c>
      <c r="O48">
        <v>0</v>
      </c>
      <c r="P48" s="3">
        <v>0</v>
      </c>
      <c r="Q48">
        <v>0</v>
      </c>
      <c r="R48">
        <v>0</v>
      </c>
      <c r="S48" s="3">
        <v>0</v>
      </c>
      <c r="T48" s="9">
        <v>0</v>
      </c>
      <c r="U48" s="9">
        <v>0</v>
      </c>
      <c r="V48" s="9">
        <v>0</v>
      </c>
      <c r="W48" s="9">
        <v>0</v>
      </c>
      <c r="X48" s="10">
        <v>0</v>
      </c>
      <c r="Y48" s="11">
        <v>7176639</v>
      </c>
      <c r="Z48" s="3">
        <v>1312.54</v>
      </c>
      <c r="AA48" s="3">
        <v>991</v>
      </c>
      <c r="AB48" s="3">
        <v>26.13</v>
      </c>
      <c r="AC48" s="3">
        <v>0</v>
      </c>
      <c r="AD48" s="3">
        <v>8.18</v>
      </c>
      <c r="AE48" s="34">
        <v>0</v>
      </c>
      <c r="AF48" s="33">
        <v>1277.03</v>
      </c>
      <c r="AG48" s="33">
        <v>1273.53</v>
      </c>
      <c r="AH48" s="3"/>
      <c r="AI48" s="33"/>
      <c r="AJ48" s="33"/>
      <c r="AK48" s="3"/>
      <c r="AL48" s="3"/>
    </row>
    <row r="49" spans="1:38" x14ac:dyDescent="0.2">
      <c r="A49">
        <v>115</v>
      </c>
      <c r="B49">
        <v>1</v>
      </c>
      <c r="C49" t="s">
        <v>102</v>
      </c>
      <c r="D49">
        <v>0</v>
      </c>
      <c r="E49">
        <v>0</v>
      </c>
      <c r="F49">
        <v>0</v>
      </c>
      <c r="G49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>
        <v>0</v>
      </c>
      <c r="O49">
        <v>0</v>
      </c>
      <c r="P49" s="3">
        <v>0</v>
      </c>
      <c r="Q49">
        <v>0</v>
      </c>
      <c r="R49">
        <v>0</v>
      </c>
      <c r="S49" s="3">
        <v>0</v>
      </c>
      <c r="T49" s="9">
        <v>0</v>
      </c>
      <c r="U49" s="9">
        <v>0</v>
      </c>
      <c r="V49" s="9">
        <v>0</v>
      </c>
      <c r="W49" s="9">
        <v>0</v>
      </c>
      <c r="X49" s="10">
        <v>0</v>
      </c>
      <c r="Y49" s="11">
        <v>2680603</v>
      </c>
      <c r="Z49" s="3">
        <v>1245.6199999999999</v>
      </c>
      <c r="AA49" s="3">
        <v>9999.99</v>
      </c>
      <c r="AB49" s="3">
        <v>38.57</v>
      </c>
      <c r="AC49" s="3">
        <v>0</v>
      </c>
      <c r="AD49" s="3">
        <v>1.67</v>
      </c>
      <c r="AE49" s="34">
        <v>0</v>
      </c>
      <c r="AF49" s="33">
        <v>1226.1400000000001</v>
      </c>
      <c r="AG49" s="33">
        <v>1120.25</v>
      </c>
      <c r="AH49" s="3"/>
      <c r="AI49" s="33"/>
      <c r="AJ49" s="33"/>
      <c r="AK49" s="3"/>
      <c r="AL49" s="3"/>
    </row>
    <row r="50" spans="1:38" x14ac:dyDescent="0.2">
      <c r="A50">
        <v>116</v>
      </c>
      <c r="B50">
        <v>1</v>
      </c>
      <c r="C50" t="s">
        <v>103</v>
      </c>
      <c r="D50">
        <v>0</v>
      </c>
      <c r="E50">
        <v>0</v>
      </c>
      <c r="F50">
        <v>0</v>
      </c>
      <c r="G50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7.96</v>
      </c>
      <c r="N50">
        <v>0</v>
      </c>
      <c r="O50">
        <v>0</v>
      </c>
      <c r="P50" s="3">
        <v>0</v>
      </c>
      <c r="Q50">
        <v>0</v>
      </c>
      <c r="R50">
        <v>0</v>
      </c>
      <c r="S50" s="3">
        <v>0</v>
      </c>
      <c r="T50" s="9">
        <v>0</v>
      </c>
      <c r="U50" s="9">
        <v>0</v>
      </c>
      <c r="V50" s="9">
        <v>0</v>
      </c>
      <c r="W50" s="9">
        <v>0</v>
      </c>
      <c r="X50" s="10">
        <v>0</v>
      </c>
      <c r="Y50" s="11">
        <v>3671137</v>
      </c>
      <c r="Z50">
        <v>905.19</v>
      </c>
      <c r="AA50" s="3">
        <v>9999.99</v>
      </c>
      <c r="AB50" s="3">
        <v>2.77</v>
      </c>
      <c r="AC50" s="3">
        <v>0</v>
      </c>
      <c r="AD50" s="3">
        <v>5.26</v>
      </c>
      <c r="AE50" s="34">
        <v>1</v>
      </c>
      <c r="AF50" s="33">
        <v>998.38</v>
      </c>
      <c r="AG50" s="33">
        <v>988.18</v>
      </c>
      <c r="AH50" s="3"/>
      <c r="AI50" s="33"/>
      <c r="AJ50" s="33"/>
      <c r="AK50" s="3"/>
      <c r="AL50" s="3"/>
    </row>
    <row r="51" spans="1:38" x14ac:dyDescent="0.2">
      <c r="A51">
        <v>118</v>
      </c>
      <c r="B51">
        <v>1</v>
      </c>
      <c r="C51" t="s">
        <v>104</v>
      </c>
      <c r="D51">
        <v>2002</v>
      </c>
      <c r="E51">
        <v>0</v>
      </c>
      <c r="F51">
        <v>0</v>
      </c>
      <c r="G51">
        <v>0</v>
      </c>
      <c r="H51" s="3">
        <v>315</v>
      </c>
      <c r="I51" s="3">
        <v>0</v>
      </c>
      <c r="J51" s="3">
        <v>0</v>
      </c>
      <c r="K51" s="3">
        <v>0</v>
      </c>
      <c r="L51" s="3">
        <v>0</v>
      </c>
      <c r="M51" s="3">
        <v>106.11</v>
      </c>
      <c r="N51">
        <v>0</v>
      </c>
      <c r="O51">
        <v>0</v>
      </c>
      <c r="P51" s="3">
        <v>0</v>
      </c>
      <c r="Q51">
        <v>0</v>
      </c>
      <c r="R51">
        <v>0</v>
      </c>
      <c r="S51" s="3">
        <v>0</v>
      </c>
      <c r="T51" s="9">
        <v>1996</v>
      </c>
      <c r="U51" s="9">
        <v>0</v>
      </c>
      <c r="V51" s="9">
        <v>0</v>
      </c>
      <c r="W51" s="9">
        <v>0</v>
      </c>
      <c r="X51" s="10">
        <v>0</v>
      </c>
      <c r="Y51" s="11">
        <v>5548134</v>
      </c>
      <c r="Z51">
        <v>747.89</v>
      </c>
      <c r="AA51" s="3">
        <v>9999.99</v>
      </c>
      <c r="AB51" s="3">
        <v>77.81</v>
      </c>
      <c r="AC51" s="3">
        <v>0</v>
      </c>
      <c r="AD51" s="3">
        <v>14.33</v>
      </c>
      <c r="AE51" s="34">
        <v>1</v>
      </c>
      <c r="AF51" s="33">
        <v>631.65</v>
      </c>
      <c r="AG51" s="33">
        <v>629.11</v>
      </c>
      <c r="AH51" s="3"/>
      <c r="AI51" s="33"/>
      <c r="AJ51" s="33"/>
      <c r="AK51" s="3"/>
      <c r="AL51" s="3"/>
    </row>
    <row r="52" spans="1:38" x14ac:dyDescent="0.2">
      <c r="A52">
        <v>129</v>
      </c>
      <c r="B52">
        <v>1</v>
      </c>
      <c r="C52" t="s">
        <v>105</v>
      </c>
      <c r="D52">
        <v>2010</v>
      </c>
      <c r="E52">
        <v>0</v>
      </c>
      <c r="F52">
        <v>0</v>
      </c>
      <c r="G52">
        <v>0</v>
      </c>
      <c r="H52" s="3">
        <v>415</v>
      </c>
      <c r="I52" s="3">
        <v>0</v>
      </c>
      <c r="J52" s="3">
        <v>0</v>
      </c>
      <c r="K52" s="3">
        <v>0</v>
      </c>
      <c r="L52" s="3">
        <v>0</v>
      </c>
      <c r="M52" s="3">
        <v>1.19</v>
      </c>
      <c r="N52">
        <v>0</v>
      </c>
      <c r="O52">
        <v>0</v>
      </c>
      <c r="P52" s="3">
        <v>0</v>
      </c>
      <c r="Q52">
        <v>0</v>
      </c>
      <c r="R52">
        <v>0</v>
      </c>
      <c r="S52" s="3">
        <v>0</v>
      </c>
      <c r="T52" s="9">
        <v>1999</v>
      </c>
      <c r="U52" s="9">
        <v>0</v>
      </c>
      <c r="V52" s="9">
        <v>0</v>
      </c>
      <c r="W52" s="9">
        <v>0</v>
      </c>
      <c r="X52" s="10">
        <v>0</v>
      </c>
      <c r="Y52" s="11">
        <v>3562972</v>
      </c>
      <c r="Z52" s="3">
        <v>1763.93</v>
      </c>
      <c r="AA52" s="3">
        <v>991</v>
      </c>
      <c r="AB52" s="3">
        <v>0</v>
      </c>
      <c r="AC52" s="3">
        <v>0</v>
      </c>
      <c r="AD52" s="3">
        <v>1.19</v>
      </c>
      <c r="AE52" s="34">
        <v>1</v>
      </c>
      <c r="AF52" s="33">
        <v>1652.1</v>
      </c>
      <c r="AG52" s="33">
        <v>1634.61</v>
      </c>
      <c r="AH52" s="3"/>
      <c r="AI52" s="33"/>
      <c r="AJ52" s="33"/>
      <c r="AK52" s="3"/>
      <c r="AL52" s="3"/>
    </row>
    <row r="53" spans="1:38" x14ac:dyDescent="0.2">
      <c r="A53">
        <v>138</v>
      </c>
      <c r="B53">
        <v>1</v>
      </c>
      <c r="C53" t="s">
        <v>106</v>
      </c>
      <c r="D53">
        <v>2004</v>
      </c>
      <c r="E53">
        <v>0</v>
      </c>
      <c r="F53">
        <v>0</v>
      </c>
      <c r="G53">
        <v>0</v>
      </c>
      <c r="H53" s="3">
        <v>315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>
        <v>0</v>
      </c>
      <c r="O53">
        <v>0</v>
      </c>
      <c r="P53" s="3">
        <v>0</v>
      </c>
      <c r="Q53">
        <v>0</v>
      </c>
      <c r="R53">
        <v>0</v>
      </c>
      <c r="S53" s="3">
        <v>0</v>
      </c>
      <c r="T53" s="9">
        <v>1998</v>
      </c>
      <c r="U53" s="9">
        <v>0</v>
      </c>
      <c r="V53" s="9">
        <v>0</v>
      </c>
      <c r="W53" s="9">
        <v>0</v>
      </c>
      <c r="X53" s="10">
        <v>0</v>
      </c>
      <c r="Y53" s="11">
        <v>7755577</v>
      </c>
      <c r="Z53" s="3">
        <v>4296.6899999999996</v>
      </c>
      <c r="AA53" s="3">
        <v>991</v>
      </c>
      <c r="AB53" s="3">
        <v>21.65</v>
      </c>
      <c r="AC53" s="3">
        <v>0</v>
      </c>
      <c r="AD53" s="3">
        <v>1.1200000000000001</v>
      </c>
      <c r="AE53" s="34">
        <v>0</v>
      </c>
      <c r="AF53" s="33">
        <v>4520.8</v>
      </c>
      <c r="AG53" s="33">
        <v>4495.33</v>
      </c>
      <c r="AH53" s="3"/>
      <c r="AI53" s="33"/>
      <c r="AJ53" s="33"/>
      <c r="AK53" s="3"/>
      <c r="AL53" s="3"/>
    </row>
    <row r="54" spans="1:38" x14ac:dyDescent="0.2">
      <c r="A54">
        <v>139</v>
      </c>
      <c r="B54">
        <v>1</v>
      </c>
      <c r="C54" t="s">
        <v>107</v>
      </c>
      <c r="D54">
        <v>0</v>
      </c>
      <c r="E54">
        <v>0</v>
      </c>
      <c r="F54">
        <v>0</v>
      </c>
      <c r="G54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>
        <v>0</v>
      </c>
      <c r="O54">
        <v>0</v>
      </c>
      <c r="P54" s="3">
        <v>0</v>
      </c>
      <c r="Q54">
        <v>0</v>
      </c>
      <c r="R54">
        <v>0</v>
      </c>
      <c r="S54" s="3">
        <v>0</v>
      </c>
      <c r="T54" s="9">
        <v>0</v>
      </c>
      <c r="U54" s="9">
        <v>0</v>
      </c>
      <c r="V54" s="9">
        <v>0</v>
      </c>
      <c r="W54" s="9">
        <v>0</v>
      </c>
      <c r="X54" s="10">
        <v>0</v>
      </c>
      <c r="Y54" s="11">
        <v>1971688</v>
      </c>
      <c r="Z54" s="3">
        <v>1079.6300000000001</v>
      </c>
      <c r="AA54" s="3">
        <v>991</v>
      </c>
      <c r="AB54" s="3">
        <v>0</v>
      </c>
      <c r="AC54" s="3">
        <v>0</v>
      </c>
      <c r="AD54" s="3">
        <v>1.19</v>
      </c>
      <c r="AE54" s="34">
        <v>0</v>
      </c>
      <c r="AF54" s="33">
        <v>1157.9000000000001</v>
      </c>
      <c r="AG54" s="33">
        <v>1157.05</v>
      </c>
      <c r="AH54" s="3"/>
      <c r="AI54" s="33"/>
      <c r="AJ54" s="33"/>
      <c r="AK54" s="3"/>
      <c r="AL54" s="3"/>
    </row>
    <row r="55" spans="1:38" x14ac:dyDescent="0.2">
      <c r="A55">
        <v>146</v>
      </c>
      <c r="B55">
        <v>1</v>
      </c>
      <c r="C55" t="s">
        <v>108</v>
      </c>
      <c r="D55">
        <v>2004</v>
      </c>
      <c r="E55">
        <v>0</v>
      </c>
      <c r="F55">
        <v>0</v>
      </c>
      <c r="G55">
        <v>0</v>
      </c>
      <c r="H55" s="3">
        <v>350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>
        <v>0</v>
      </c>
      <c r="O55">
        <v>0</v>
      </c>
      <c r="P55" s="3">
        <v>0</v>
      </c>
      <c r="Q55">
        <v>2003</v>
      </c>
      <c r="R55">
        <v>2007</v>
      </c>
      <c r="S55" s="3">
        <v>250</v>
      </c>
      <c r="T55" s="9">
        <v>1998</v>
      </c>
      <c r="U55" s="9">
        <v>0</v>
      </c>
      <c r="V55" s="9">
        <v>0</v>
      </c>
      <c r="W55" s="9">
        <v>0</v>
      </c>
      <c r="X55" s="10">
        <v>0</v>
      </c>
      <c r="Y55" s="11">
        <v>2304817</v>
      </c>
      <c r="Z55">
        <v>892.59</v>
      </c>
      <c r="AA55" s="3">
        <v>9999.99</v>
      </c>
      <c r="AB55" s="3">
        <v>0</v>
      </c>
      <c r="AC55" s="3">
        <v>0</v>
      </c>
      <c r="AD55" s="3">
        <v>1.28</v>
      </c>
      <c r="AE55" s="34">
        <v>0</v>
      </c>
      <c r="AF55" s="33">
        <v>906.07</v>
      </c>
      <c r="AG55" s="33">
        <v>903.94</v>
      </c>
      <c r="AH55" s="3"/>
      <c r="AI55" s="33"/>
      <c r="AJ55" s="33"/>
      <c r="AK55" s="3"/>
      <c r="AL55" s="3"/>
    </row>
    <row r="56" spans="1:38" x14ac:dyDescent="0.2">
      <c r="A56">
        <v>150</v>
      </c>
      <c r="B56">
        <v>1</v>
      </c>
      <c r="C56" t="s">
        <v>109</v>
      </c>
      <c r="D56">
        <v>2004</v>
      </c>
      <c r="E56">
        <v>2008</v>
      </c>
      <c r="F56">
        <v>0</v>
      </c>
      <c r="G56">
        <v>0</v>
      </c>
      <c r="H56" s="3">
        <v>158.97999999999999</v>
      </c>
      <c r="I56" s="3">
        <v>217.29</v>
      </c>
      <c r="J56" s="3">
        <v>0</v>
      </c>
      <c r="K56" s="3">
        <v>0</v>
      </c>
      <c r="L56" s="3">
        <v>0</v>
      </c>
      <c r="M56" s="3">
        <v>0</v>
      </c>
      <c r="N56">
        <v>0</v>
      </c>
      <c r="O56">
        <v>0</v>
      </c>
      <c r="P56" s="3">
        <v>0</v>
      </c>
      <c r="Q56">
        <v>0</v>
      </c>
      <c r="R56">
        <v>0</v>
      </c>
      <c r="S56" s="3">
        <v>0</v>
      </c>
      <c r="T56" s="9">
        <v>1998</v>
      </c>
      <c r="U56" s="9">
        <v>1990</v>
      </c>
      <c r="V56" s="9">
        <v>0</v>
      </c>
      <c r="W56" s="9">
        <v>0</v>
      </c>
      <c r="X56" s="10">
        <v>0.13983232000000001</v>
      </c>
      <c r="Y56" s="11">
        <v>1238871</v>
      </c>
      <c r="Z56">
        <v>981.99</v>
      </c>
      <c r="AA56" s="3">
        <v>991</v>
      </c>
      <c r="AB56" s="3">
        <v>0</v>
      </c>
      <c r="AC56" s="3">
        <v>0</v>
      </c>
      <c r="AD56" s="3">
        <v>0.61</v>
      </c>
      <c r="AE56" s="34">
        <v>0</v>
      </c>
      <c r="AF56" s="33">
        <v>966.93</v>
      </c>
      <c r="AG56" s="33">
        <v>963.76</v>
      </c>
      <c r="AH56" s="3"/>
      <c r="AI56" s="33"/>
      <c r="AJ56" s="33"/>
      <c r="AK56" s="3"/>
      <c r="AL56" s="3"/>
    </row>
    <row r="57" spans="1:38" x14ac:dyDescent="0.2">
      <c r="A57">
        <v>152</v>
      </c>
      <c r="B57">
        <v>1</v>
      </c>
      <c r="C57" t="s">
        <v>110</v>
      </c>
      <c r="D57">
        <v>2008</v>
      </c>
      <c r="E57">
        <v>2009</v>
      </c>
      <c r="F57">
        <v>0</v>
      </c>
      <c r="G57">
        <v>0</v>
      </c>
      <c r="H57" s="3">
        <v>186.7</v>
      </c>
      <c r="I57" s="3">
        <v>290.76</v>
      </c>
      <c r="J57" s="3">
        <v>0</v>
      </c>
      <c r="K57" s="3">
        <v>0</v>
      </c>
      <c r="L57" s="3">
        <v>100</v>
      </c>
      <c r="M57" s="3">
        <v>77.55</v>
      </c>
      <c r="N57">
        <v>0</v>
      </c>
      <c r="O57">
        <v>0</v>
      </c>
      <c r="P57" s="3">
        <v>0</v>
      </c>
      <c r="Q57">
        <v>0</v>
      </c>
      <c r="R57">
        <v>0</v>
      </c>
      <c r="S57" s="3">
        <v>0</v>
      </c>
      <c r="T57" s="9">
        <v>1990</v>
      </c>
      <c r="U57" s="9">
        <v>1998</v>
      </c>
      <c r="V57" s="9">
        <v>0</v>
      </c>
      <c r="W57" s="9">
        <v>0</v>
      </c>
      <c r="X57" s="10">
        <v>7.3210810000000001E-2</v>
      </c>
      <c r="Y57" s="11">
        <v>13742851</v>
      </c>
      <c r="Z57" s="3">
        <v>6637.56</v>
      </c>
      <c r="AA57" s="3">
        <v>991</v>
      </c>
      <c r="AB57" s="3">
        <v>75.569999999999993</v>
      </c>
      <c r="AC57" s="3">
        <v>0</v>
      </c>
      <c r="AD57" s="3">
        <v>1.1599999999999999</v>
      </c>
      <c r="AE57" s="34">
        <v>1</v>
      </c>
      <c r="AF57" s="33">
        <v>6421.06</v>
      </c>
      <c r="AG57" s="33">
        <v>6322.63</v>
      </c>
      <c r="AH57" s="3"/>
      <c r="AI57" s="33"/>
      <c r="AJ57" s="33"/>
      <c r="AK57" s="3"/>
      <c r="AL57" s="3"/>
    </row>
    <row r="58" spans="1:38" x14ac:dyDescent="0.2">
      <c r="A58">
        <v>162</v>
      </c>
      <c r="B58">
        <v>1</v>
      </c>
      <c r="C58" t="s">
        <v>111</v>
      </c>
      <c r="D58">
        <v>0</v>
      </c>
      <c r="E58">
        <v>0</v>
      </c>
      <c r="F58">
        <v>0</v>
      </c>
      <c r="G58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>
        <v>0</v>
      </c>
      <c r="O58">
        <v>0</v>
      </c>
      <c r="P58" s="3">
        <v>0</v>
      </c>
      <c r="Q58">
        <v>0</v>
      </c>
      <c r="R58">
        <v>0</v>
      </c>
      <c r="S58" s="3">
        <v>0</v>
      </c>
      <c r="T58" s="9">
        <v>0</v>
      </c>
      <c r="U58" s="9">
        <v>0</v>
      </c>
      <c r="V58" s="9">
        <v>0</v>
      </c>
      <c r="W58" s="9">
        <v>0</v>
      </c>
      <c r="X58" s="10">
        <v>0</v>
      </c>
      <c r="Y58" s="11">
        <v>2541130</v>
      </c>
      <c r="Z58" s="3">
        <v>1321.71</v>
      </c>
      <c r="AA58" s="3">
        <v>991</v>
      </c>
      <c r="AB58" s="3">
        <v>0</v>
      </c>
      <c r="AC58" s="3">
        <v>0</v>
      </c>
      <c r="AD58" s="3">
        <v>1.48</v>
      </c>
      <c r="AE58" s="34">
        <v>0</v>
      </c>
      <c r="AF58" s="33">
        <v>1304.96</v>
      </c>
      <c r="AG58" s="33">
        <v>1296.92</v>
      </c>
      <c r="AH58" s="3"/>
      <c r="AI58" s="33"/>
      <c r="AJ58" s="33"/>
      <c r="AK58" s="3"/>
      <c r="AL58" s="3"/>
    </row>
    <row r="59" spans="1:38" x14ac:dyDescent="0.2">
      <c r="A59">
        <v>166</v>
      </c>
      <c r="B59">
        <v>1</v>
      </c>
      <c r="C59" t="s">
        <v>112</v>
      </c>
      <c r="D59">
        <v>2006</v>
      </c>
      <c r="E59">
        <v>0</v>
      </c>
      <c r="F59">
        <v>0</v>
      </c>
      <c r="G59">
        <v>0</v>
      </c>
      <c r="H59" s="3">
        <v>207.72</v>
      </c>
      <c r="I59" s="3">
        <v>0</v>
      </c>
      <c r="J59" s="3">
        <v>0</v>
      </c>
      <c r="K59" s="3">
        <v>0</v>
      </c>
      <c r="L59" s="3">
        <v>83.46</v>
      </c>
      <c r="M59" s="3">
        <v>22.93</v>
      </c>
      <c r="N59">
        <v>0</v>
      </c>
      <c r="O59">
        <v>0</v>
      </c>
      <c r="P59" s="3">
        <v>0</v>
      </c>
      <c r="Q59">
        <v>0</v>
      </c>
      <c r="R59">
        <v>0</v>
      </c>
      <c r="S59" s="3">
        <v>0</v>
      </c>
      <c r="T59" s="9">
        <v>1990</v>
      </c>
      <c r="U59" s="9">
        <v>0</v>
      </c>
      <c r="V59" s="9">
        <v>0</v>
      </c>
      <c r="W59" s="9">
        <v>0</v>
      </c>
      <c r="X59" s="10">
        <v>2.155323E-2</v>
      </c>
      <c r="Y59" s="11">
        <v>6579432</v>
      </c>
      <c r="Z59">
        <v>840.89</v>
      </c>
      <c r="AA59" s="3">
        <v>9999.99</v>
      </c>
      <c r="AB59" s="3">
        <v>0</v>
      </c>
      <c r="AC59" s="3">
        <v>0</v>
      </c>
      <c r="AD59" s="3">
        <v>22.93</v>
      </c>
      <c r="AE59" s="34">
        <v>1</v>
      </c>
      <c r="AF59" s="33">
        <v>787.24</v>
      </c>
      <c r="AG59" s="33">
        <v>783.71</v>
      </c>
      <c r="AH59" s="3"/>
      <c r="AI59" s="33"/>
      <c r="AJ59" s="33"/>
      <c r="AK59" s="3"/>
      <c r="AL59" s="3"/>
    </row>
    <row r="60" spans="1:38" x14ac:dyDescent="0.2">
      <c r="A60">
        <v>173</v>
      </c>
      <c r="B60">
        <v>1</v>
      </c>
      <c r="C60" t="s">
        <v>113</v>
      </c>
      <c r="D60">
        <v>2006</v>
      </c>
      <c r="E60">
        <v>2008</v>
      </c>
      <c r="F60">
        <v>0</v>
      </c>
      <c r="G60">
        <v>0</v>
      </c>
      <c r="H60" s="3">
        <v>520.20000000000005</v>
      </c>
      <c r="I60" s="3">
        <v>263.20999999999998</v>
      </c>
      <c r="J60" s="3">
        <v>0</v>
      </c>
      <c r="K60" s="3">
        <v>0</v>
      </c>
      <c r="L60" s="3">
        <v>122.1</v>
      </c>
      <c r="M60" s="3">
        <v>1.86</v>
      </c>
      <c r="N60">
        <v>0</v>
      </c>
      <c r="O60">
        <v>0</v>
      </c>
      <c r="P60" s="3">
        <v>0</v>
      </c>
      <c r="Q60">
        <v>2003</v>
      </c>
      <c r="R60">
        <v>2012</v>
      </c>
      <c r="S60" s="3">
        <v>610</v>
      </c>
      <c r="T60" s="9">
        <v>1995</v>
      </c>
      <c r="U60" s="9">
        <v>1990</v>
      </c>
      <c r="V60" s="9">
        <v>0</v>
      </c>
      <c r="W60" s="9">
        <v>0</v>
      </c>
      <c r="X60" s="10">
        <v>6.4856929999999993E-2</v>
      </c>
      <c r="Y60" s="11">
        <v>1999718</v>
      </c>
      <c r="Z60">
        <v>606.91999999999996</v>
      </c>
      <c r="AA60" s="3">
        <v>991</v>
      </c>
      <c r="AB60" s="3">
        <v>0</v>
      </c>
      <c r="AC60" s="3">
        <v>0</v>
      </c>
      <c r="AD60" s="3">
        <v>1.86</v>
      </c>
      <c r="AE60" s="34">
        <v>1</v>
      </c>
      <c r="AF60" s="33">
        <v>579.28</v>
      </c>
      <c r="AG60" s="33">
        <v>577.74</v>
      </c>
      <c r="AH60" s="3"/>
      <c r="AI60" s="33"/>
      <c r="AJ60" s="33"/>
      <c r="AK60" s="3"/>
      <c r="AL60" s="3"/>
    </row>
    <row r="61" spans="1:38" x14ac:dyDescent="0.2">
      <c r="A61">
        <v>177</v>
      </c>
      <c r="B61">
        <v>1</v>
      </c>
      <c r="C61" t="s">
        <v>114</v>
      </c>
      <c r="D61">
        <v>2005</v>
      </c>
      <c r="E61">
        <v>2008</v>
      </c>
      <c r="F61">
        <v>0</v>
      </c>
      <c r="G61">
        <v>0</v>
      </c>
      <c r="H61" s="3">
        <v>350.41</v>
      </c>
      <c r="I61" s="3">
        <v>173.02</v>
      </c>
      <c r="J61" s="3">
        <v>0</v>
      </c>
      <c r="K61" s="3">
        <v>0</v>
      </c>
      <c r="L61" s="3">
        <v>115.73</v>
      </c>
      <c r="M61" s="3">
        <v>1.82</v>
      </c>
      <c r="N61">
        <v>0</v>
      </c>
      <c r="O61">
        <v>0</v>
      </c>
      <c r="P61" s="3">
        <v>0</v>
      </c>
      <c r="Q61">
        <v>2003</v>
      </c>
      <c r="R61">
        <v>2012</v>
      </c>
      <c r="S61" s="3">
        <v>415</v>
      </c>
      <c r="T61" s="9">
        <v>1994</v>
      </c>
      <c r="U61" s="9">
        <v>1990</v>
      </c>
      <c r="V61" s="9">
        <v>0</v>
      </c>
      <c r="W61" s="9">
        <v>0</v>
      </c>
      <c r="X61" s="10">
        <v>4.8692979999999997E-2</v>
      </c>
      <c r="Y61" s="11">
        <v>3625162</v>
      </c>
      <c r="Z61" s="3">
        <v>1256.6500000000001</v>
      </c>
      <c r="AA61" s="3">
        <v>991</v>
      </c>
      <c r="AB61" s="3">
        <v>0</v>
      </c>
      <c r="AC61" s="3">
        <v>0</v>
      </c>
      <c r="AD61" s="3">
        <v>1.82</v>
      </c>
      <c r="AE61" s="34">
        <v>1</v>
      </c>
      <c r="AF61" s="33">
        <v>1159.29</v>
      </c>
      <c r="AG61" s="33">
        <v>1154.08</v>
      </c>
      <c r="AH61" s="3"/>
      <c r="AI61" s="33"/>
      <c r="AJ61" s="33"/>
      <c r="AK61" s="3"/>
      <c r="AL61" s="3"/>
    </row>
    <row r="62" spans="1:38" x14ac:dyDescent="0.2">
      <c r="A62">
        <v>181</v>
      </c>
      <c r="B62">
        <v>1</v>
      </c>
      <c r="C62" t="s">
        <v>115</v>
      </c>
      <c r="D62">
        <v>2008</v>
      </c>
      <c r="E62">
        <v>0</v>
      </c>
      <c r="F62">
        <v>0</v>
      </c>
      <c r="G62">
        <v>0</v>
      </c>
      <c r="H62" s="3">
        <v>315</v>
      </c>
      <c r="I62" s="3">
        <v>0</v>
      </c>
      <c r="J62" s="3">
        <v>0</v>
      </c>
      <c r="K62" s="3">
        <v>0</v>
      </c>
      <c r="L62" s="3">
        <v>0</v>
      </c>
      <c r="M62" s="3">
        <v>3.16</v>
      </c>
      <c r="N62">
        <v>0</v>
      </c>
      <c r="O62">
        <v>0</v>
      </c>
      <c r="P62" s="3">
        <v>0</v>
      </c>
      <c r="Q62">
        <v>2003</v>
      </c>
      <c r="R62">
        <v>2012</v>
      </c>
      <c r="S62" s="3">
        <v>195</v>
      </c>
      <c r="T62" s="9">
        <v>1997</v>
      </c>
      <c r="U62" s="9">
        <v>0</v>
      </c>
      <c r="V62" s="9">
        <v>0</v>
      </c>
      <c r="W62" s="9">
        <v>0</v>
      </c>
      <c r="X62" s="10">
        <v>0</v>
      </c>
      <c r="Y62" s="11">
        <v>25751907</v>
      </c>
      <c r="Z62" s="3">
        <v>8209.83</v>
      </c>
      <c r="AA62" s="3">
        <v>991</v>
      </c>
      <c r="AB62" s="3">
        <v>0</v>
      </c>
      <c r="AC62" s="3">
        <v>0</v>
      </c>
      <c r="AD62" s="3">
        <v>3.16</v>
      </c>
      <c r="AE62" s="34">
        <v>1</v>
      </c>
      <c r="AF62" s="33">
        <v>8097.97</v>
      </c>
      <c r="AG62" s="33">
        <v>7925.72</v>
      </c>
      <c r="AH62" s="3"/>
      <c r="AI62" s="33"/>
      <c r="AJ62" s="33"/>
      <c r="AK62" s="3"/>
      <c r="AL62" s="3"/>
    </row>
    <row r="63" spans="1:38" x14ac:dyDescent="0.2">
      <c r="A63">
        <v>182</v>
      </c>
      <c r="B63">
        <v>1</v>
      </c>
      <c r="C63" t="s">
        <v>116</v>
      </c>
      <c r="D63">
        <v>2006</v>
      </c>
      <c r="E63">
        <v>0</v>
      </c>
      <c r="F63">
        <v>0</v>
      </c>
      <c r="G63">
        <v>0</v>
      </c>
      <c r="H63" s="3">
        <v>116.04</v>
      </c>
      <c r="I63" s="3">
        <v>0</v>
      </c>
      <c r="J63" s="3">
        <v>0</v>
      </c>
      <c r="K63" s="3">
        <v>0</v>
      </c>
      <c r="L63" s="3">
        <v>18.32</v>
      </c>
      <c r="M63" s="3">
        <v>0</v>
      </c>
      <c r="N63">
        <v>0</v>
      </c>
      <c r="O63">
        <v>0</v>
      </c>
      <c r="P63" s="3">
        <v>0</v>
      </c>
      <c r="Q63">
        <v>2003</v>
      </c>
      <c r="R63">
        <v>2012</v>
      </c>
      <c r="S63" s="3">
        <v>1</v>
      </c>
      <c r="T63" s="9">
        <v>1990</v>
      </c>
      <c r="U63" s="9">
        <v>0</v>
      </c>
      <c r="V63" s="9">
        <v>0</v>
      </c>
      <c r="W63" s="9">
        <v>0</v>
      </c>
      <c r="X63" s="10">
        <v>2.274957E-2</v>
      </c>
      <c r="Y63" s="11">
        <v>7947970</v>
      </c>
      <c r="Z63" s="3">
        <v>1919.29</v>
      </c>
      <c r="AA63" s="3">
        <v>991</v>
      </c>
      <c r="AB63" s="3">
        <v>1.72</v>
      </c>
      <c r="AC63" s="3">
        <v>0</v>
      </c>
      <c r="AD63" s="3">
        <v>5.37</v>
      </c>
      <c r="AE63" s="34">
        <v>0</v>
      </c>
      <c r="AF63" s="33">
        <v>1890.98</v>
      </c>
      <c r="AG63" s="33">
        <v>1885.11</v>
      </c>
      <c r="AH63" s="3"/>
      <c r="AI63" s="33"/>
      <c r="AJ63" s="33"/>
      <c r="AK63" s="3"/>
      <c r="AL63" s="3"/>
    </row>
    <row r="64" spans="1:38" x14ac:dyDescent="0.2">
      <c r="A64">
        <v>186</v>
      </c>
      <c r="B64">
        <v>1</v>
      </c>
      <c r="C64" t="s">
        <v>117</v>
      </c>
      <c r="D64">
        <v>0</v>
      </c>
      <c r="E64">
        <v>0</v>
      </c>
      <c r="F64">
        <v>0</v>
      </c>
      <c r="G64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>
        <v>0</v>
      </c>
      <c r="O64">
        <v>0</v>
      </c>
      <c r="P64" s="3">
        <v>0</v>
      </c>
      <c r="Q64">
        <v>0</v>
      </c>
      <c r="R64">
        <v>0</v>
      </c>
      <c r="S64" s="3">
        <v>0</v>
      </c>
      <c r="T64" s="9">
        <v>0</v>
      </c>
      <c r="U64" s="9">
        <v>0</v>
      </c>
      <c r="V64" s="9">
        <v>0</v>
      </c>
      <c r="W64" s="9">
        <v>0</v>
      </c>
      <c r="X64" s="10">
        <v>0</v>
      </c>
      <c r="Y64" s="11">
        <v>12028037</v>
      </c>
      <c r="Z64" s="3">
        <v>1409</v>
      </c>
      <c r="AA64" s="3">
        <v>991</v>
      </c>
      <c r="AB64" s="3">
        <v>0</v>
      </c>
      <c r="AC64" s="3">
        <v>0</v>
      </c>
      <c r="AD64" s="3">
        <v>35.130000000000003</v>
      </c>
      <c r="AE64" s="34">
        <v>0</v>
      </c>
      <c r="AF64" s="33">
        <v>1477.02</v>
      </c>
      <c r="AG64" s="33">
        <v>1469.43</v>
      </c>
      <c r="AH64" s="3"/>
      <c r="AI64" s="33"/>
      <c r="AJ64" s="33"/>
      <c r="AK64" s="3"/>
      <c r="AL64" s="3"/>
    </row>
    <row r="65" spans="1:38" x14ac:dyDescent="0.2">
      <c r="A65">
        <v>191</v>
      </c>
      <c r="B65">
        <v>1</v>
      </c>
      <c r="C65" t="s">
        <v>118</v>
      </c>
      <c r="D65">
        <v>2006</v>
      </c>
      <c r="E65">
        <v>2006</v>
      </c>
      <c r="F65">
        <v>2008</v>
      </c>
      <c r="G65">
        <v>0</v>
      </c>
      <c r="H65" s="3">
        <v>690.2</v>
      </c>
      <c r="I65" s="3">
        <v>124.4</v>
      </c>
      <c r="J65" s="3">
        <v>152.04</v>
      </c>
      <c r="K65" s="3">
        <v>0</v>
      </c>
      <c r="L65" s="3">
        <v>0</v>
      </c>
      <c r="M65" s="3">
        <v>8.65</v>
      </c>
      <c r="N65">
        <v>0</v>
      </c>
      <c r="O65">
        <v>0</v>
      </c>
      <c r="P65" s="3">
        <v>0</v>
      </c>
      <c r="Q65">
        <v>0</v>
      </c>
      <c r="R65">
        <v>0</v>
      </c>
      <c r="S65" s="3">
        <v>0</v>
      </c>
      <c r="T65" s="9">
        <v>1990</v>
      </c>
      <c r="U65" s="9">
        <v>1997</v>
      </c>
      <c r="V65" s="9">
        <v>1997</v>
      </c>
      <c r="W65" s="9">
        <v>0</v>
      </c>
      <c r="X65" s="10">
        <v>0</v>
      </c>
      <c r="Y65" s="11">
        <v>48744869</v>
      </c>
      <c r="Z65" s="3">
        <v>13333.17</v>
      </c>
      <c r="AA65" s="3">
        <v>991</v>
      </c>
      <c r="AB65" s="3">
        <v>5.73</v>
      </c>
      <c r="AC65" s="3">
        <v>0</v>
      </c>
      <c r="AD65" s="3">
        <v>2.95</v>
      </c>
      <c r="AE65" s="34">
        <v>1</v>
      </c>
      <c r="AF65" s="33">
        <v>12963.98</v>
      </c>
      <c r="AG65" s="33">
        <v>12836.76</v>
      </c>
      <c r="AH65" s="3"/>
      <c r="AI65" s="33"/>
      <c r="AJ65" s="33"/>
      <c r="AK65" s="3"/>
      <c r="AL65" s="3"/>
    </row>
    <row r="66" spans="1:38" x14ac:dyDescent="0.2">
      <c r="A66">
        <v>192</v>
      </c>
      <c r="B66">
        <v>1</v>
      </c>
      <c r="C66" t="s">
        <v>119</v>
      </c>
      <c r="D66">
        <v>2006</v>
      </c>
      <c r="E66">
        <v>2009</v>
      </c>
      <c r="F66">
        <v>0</v>
      </c>
      <c r="G66">
        <v>0</v>
      </c>
      <c r="H66" s="3">
        <v>244</v>
      </c>
      <c r="I66" s="3">
        <v>175</v>
      </c>
      <c r="J66" s="3">
        <v>0</v>
      </c>
      <c r="K66" s="3">
        <v>0</v>
      </c>
      <c r="L66" s="3">
        <v>0</v>
      </c>
      <c r="M66" s="3">
        <v>25.59</v>
      </c>
      <c r="N66">
        <v>2002</v>
      </c>
      <c r="O66">
        <v>2011</v>
      </c>
      <c r="P66" s="3">
        <v>150</v>
      </c>
      <c r="Q66">
        <v>0</v>
      </c>
      <c r="R66">
        <v>0</v>
      </c>
      <c r="S66" s="3">
        <v>0</v>
      </c>
      <c r="T66" s="9">
        <v>1995</v>
      </c>
      <c r="U66" s="9">
        <v>1998</v>
      </c>
      <c r="V66" s="9">
        <v>0</v>
      </c>
      <c r="W66" s="9">
        <v>0</v>
      </c>
      <c r="X66" s="10">
        <v>0</v>
      </c>
      <c r="Y66" s="11">
        <v>10521889</v>
      </c>
      <c r="Z66" s="3">
        <v>5478.92</v>
      </c>
      <c r="AA66" s="3">
        <v>991</v>
      </c>
      <c r="AB66" s="3">
        <v>24.47</v>
      </c>
      <c r="AC66" s="3">
        <v>0</v>
      </c>
      <c r="AD66" s="3">
        <v>1</v>
      </c>
      <c r="AE66" s="34">
        <v>1</v>
      </c>
      <c r="AF66" s="33">
        <v>6220.45</v>
      </c>
      <c r="AG66" s="33">
        <v>6202.48</v>
      </c>
      <c r="AH66" s="3"/>
      <c r="AI66" s="33"/>
      <c r="AJ66" s="33"/>
      <c r="AK66" s="3"/>
      <c r="AL66" s="3"/>
    </row>
    <row r="67" spans="1:38" x14ac:dyDescent="0.2">
      <c r="A67">
        <v>194</v>
      </c>
      <c r="B67">
        <v>1</v>
      </c>
      <c r="C67" t="s">
        <v>120</v>
      </c>
      <c r="D67">
        <v>2002</v>
      </c>
      <c r="E67">
        <v>2004</v>
      </c>
      <c r="F67">
        <v>2006</v>
      </c>
      <c r="G67">
        <v>0</v>
      </c>
      <c r="H67" s="3">
        <v>50</v>
      </c>
      <c r="I67" s="3">
        <v>272.87</v>
      </c>
      <c r="J67" s="3">
        <v>130.75</v>
      </c>
      <c r="K67" s="3">
        <v>0</v>
      </c>
      <c r="L67" s="3">
        <v>0</v>
      </c>
      <c r="M67" s="3">
        <v>28.93</v>
      </c>
      <c r="N67">
        <v>2002</v>
      </c>
      <c r="O67">
        <v>2008</v>
      </c>
      <c r="P67" s="3">
        <v>462</v>
      </c>
      <c r="Q67">
        <v>0</v>
      </c>
      <c r="R67">
        <v>0</v>
      </c>
      <c r="S67" s="3">
        <v>0</v>
      </c>
      <c r="T67" s="9">
        <v>1998</v>
      </c>
      <c r="U67" s="9">
        <v>1998</v>
      </c>
      <c r="V67" s="9">
        <v>1990</v>
      </c>
      <c r="W67" s="9">
        <v>0</v>
      </c>
      <c r="X67" s="10">
        <v>3.7356060000000003E-2</v>
      </c>
      <c r="Y67" s="11">
        <v>30656645</v>
      </c>
      <c r="Z67" s="3">
        <v>10788.55</v>
      </c>
      <c r="AA67" s="3">
        <v>991</v>
      </c>
      <c r="AB67" s="3">
        <v>26.79</v>
      </c>
      <c r="AC67" s="3">
        <v>0</v>
      </c>
      <c r="AD67" s="3">
        <v>2.29</v>
      </c>
      <c r="AE67" s="34">
        <v>1</v>
      </c>
      <c r="AF67" s="33">
        <v>12049.12</v>
      </c>
      <c r="AG67" s="33">
        <v>11981.44</v>
      </c>
      <c r="AH67" s="3"/>
      <c r="AI67" s="33"/>
      <c r="AJ67" s="33"/>
      <c r="AK67" s="3"/>
      <c r="AL67" s="3"/>
    </row>
    <row r="68" spans="1:38" x14ac:dyDescent="0.2">
      <c r="A68">
        <v>195</v>
      </c>
      <c r="B68">
        <v>1</v>
      </c>
      <c r="C68" t="s">
        <v>121</v>
      </c>
      <c r="D68">
        <v>2006</v>
      </c>
      <c r="E68">
        <v>2008</v>
      </c>
      <c r="F68">
        <v>0</v>
      </c>
      <c r="G68">
        <v>0</v>
      </c>
      <c r="H68" s="3">
        <v>912.73</v>
      </c>
      <c r="I68" s="3">
        <v>314.74</v>
      </c>
      <c r="J68" s="3">
        <v>0</v>
      </c>
      <c r="K68" s="3">
        <v>0</v>
      </c>
      <c r="L68" s="3">
        <v>0</v>
      </c>
      <c r="M68" s="3">
        <v>2.5099999999999998</v>
      </c>
      <c r="N68">
        <v>0</v>
      </c>
      <c r="O68">
        <v>0</v>
      </c>
      <c r="P68" s="3">
        <v>0</v>
      </c>
      <c r="Q68">
        <v>0</v>
      </c>
      <c r="R68">
        <v>0</v>
      </c>
      <c r="S68" s="3">
        <v>0</v>
      </c>
      <c r="T68" s="9">
        <v>1990</v>
      </c>
      <c r="U68" s="9">
        <v>1997</v>
      </c>
      <c r="V68" s="9">
        <v>0</v>
      </c>
      <c r="W68" s="9">
        <v>0</v>
      </c>
      <c r="X68" s="10">
        <v>0.21527157999999999</v>
      </c>
      <c r="Y68" s="11">
        <v>1735771</v>
      </c>
      <c r="Z68">
        <v>504.25</v>
      </c>
      <c r="AA68" s="3">
        <v>991</v>
      </c>
      <c r="AB68" s="3">
        <v>0</v>
      </c>
      <c r="AC68" s="3">
        <v>0</v>
      </c>
      <c r="AD68" s="3">
        <v>2.5099999999999998</v>
      </c>
      <c r="AE68" s="34">
        <v>1</v>
      </c>
      <c r="AF68" s="33">
        <v>516.04999999999995</v>
      </c>
      <c r="AG68" s="33">
        <v>514.29999999999995</v>
      </c>
      <c r="AH68" s="3"/>
      <c r="AI68" s="33"/>
      <c r="AJ68" s="33"/>
      <c r="AK68" s="3"/>
      <c r="AL68" s="3"/>
    </row>
    <row r="69" spans="1:38" x14ac:dyDescent="0.2">
      <c r="A69">
        <v>196</v>
      </c>
      <c r="B69">
        <v>1</v>
      </c>
      <c r="C69" t="s">
        <v>122</v>
      </c>
      <c r="D69">
        <v>2006</v>
      </c>
      <c r="E69">
        <v>0</v>
      </c>
      <c r="F69">
        <v>0</v>
      </c>
      <c r="G69">
        <v>0</v>
      </c>
      <c r="H69" s="3">
        <v>517</v>
      </c>
      <c r="I69" s="3">
        <v>0</v>
      </c>
      <c r="J69" s="3">
        <v>0</v>
      </c>
      <c r="K69" s="3">
        <v>0</v>
      </c>
      <c r="L69" s="3">
        <v>0</v>
      </c>
      <c r="M69" s="3">
        <v>2.44</v>
      </c>
      <c r="N69">
        <v>0</v>
      </c>
      <c r="O69">
        <v>0</v>
      </c>
      <c r="P69" s="3">
        <v>0</v>
      </c>
      <c r="Q69">
        <v>2003</v>
      </c>
      <c r="R69">
        <v>2008</v>
      </c>
      <c r="S69" s="3">
        <v>500</v>
      </c>
      <c r="T69" s="9">
        <v>1995</v>
      </c>
      <c r="U69" s="9">
        <v>0</v>
      </c>
      <c r="V69" s="9">
        <v>0</v>
      </c>
      <c r="W69" s="9">
        <v>0</v>
      </c>
      <c r="X69" s="10">
        <v>0</v>
      </c>
      <c r="Y69" s="11">
        <v>99313209</v>
      </c>
      <c r="Z69" s="3">
        <v>32819.01</v>
      </c>
      <c r="AA69" s="3">
        <v>991</v>
      </c>
      <c r="AB69" s="3">
        <v>0</v>
      </c>
      <c r="AC69" s="3">
        <v>0</v>
      </c>
      <c r="AD69" s="3">
        <v>2.44</v>
      </c>
      <c r="AE69" s="34">
        <v>1</v>
      </c>
      <c r="AF69" s="33">
        <v>33136.6</v>
      </c>
      <c r="AG69" s="33">
        <v>32706.53</v>
      </c>
      <c r="AH69" s="3"/>
      <c r="AI69" s="33"/>
      <c r="AJ69" s="33"/>
      <c r="AK69" s="3"/>
      <c r="AL69" s="3"/>
    </row>
    <row r="70" spans="1:38" x14ac:dyDescent="0.2">
      <c r="A70">
        <v>197</v>
      </c>
      <c r="B70">
        <v>1</v>
      </c>
      <c r="C70" t="s">
        <v>123</v>
      </c>
      <c r="D70">
        <v>2001</v>
      </c>
      <c r="E70">
        <v>0</v>
      </c>
      <c r="F70">
        <v>0</v>
      </c>
      <c r="G70">
        <v>0</v>
      </c>
      <c r="H70" s="3">
        <v>932</v>
      </c>
      <c r="I70" s="3">
        <v>0</v>
      </c>
      <c r="J70" s="3">
        <v>0</v>
      </c>
      <c r="K70" s="3">
        <v>0</v>
      </c>
      <c r="L70" s="3">
        <v>127.85</v>
      </c>
      <c r="M70" s="3">
        <v>15.21</v>
      </c>
      <c r="N70">
        <v>2002</v>
      </c>
      <c r="O70">
        <v>2008</v>
      </c>
      <c r="P70" s="3">
        <v>981.25</v>
      </c>
      <c r="Q70">
        <v>0</v>
      </c>
      <c r="R70">
        <v>0</v>
      </c>
      <c r="S70" s="3">
        <v>0</v>
      </c>
      <c r="T70" s="9">
        <v>1995</v>
      </c>
      <c r="U70" s="9">
        <v>0</v>
      </c>
      <c r="V70" s="9">
        <v>0</v>
      </c>
      <c r="W70" s="9">
        <v>0</v>
      </c>
      <c r="X70" s="10">
        <v>0</v>
      </c>
      <c r="Y70" s="11">
        <v>45114697</v>
      </c>
      <c r="Z70" s="3">
        <v>5665.86</v>
      </c>
      <c r="AA70" s="3">
        <v>991</v>
      </c>
      <c r="AB70" s="3">
        <v>3.05</v>
      </c>
      <c r="AC70" s="3">
        <v>0</v>
      </c>
      <c r="AD70" s="3">
        <v>12.13</v>
      </c>
      <c r="AE70" s="34">
        <v>1</v>
      </c>
      <c r="AF70" s="33">
        <v>5475.06</v>
      </c>
      <c r="AG70" s="33">
        <v>5435.35</v>
      </c>
      <c r="AH70" s="3"/>
      <c r="AI70" s="33"/>
      <c r="AJ70" s="33"/>
      <c r="AK70" s="3"/>
      <c r="AL70" s="3"/>
    </row>
    <row r="71" spans="1:38" x14ac:dyDescent="0.2">
      <c r="A71">
        <v>199</v>
      </c>
      <c r="B71">
        <v>1</v>
      </c>
      <c r="C71" t="s">
        <v>124</v>
      </c>
      <c r="D71">
        <v>2006</v>
      </c>
      <c r="E71">
        <v>2009</v>
      </c>
      <c r="F71">
        <v>0</v>
      </c>
      <c r="G71">
        <v>0</v>
      </c>
      <c r="H71" s="3">
        <v>474.02</v>
      </c>
      <c r="I71" s="3">
        <v>361</v>
      </c>
      <c r="J71" s="3">
        <v>0</v>
      </c>
      <c r="K71" s="3">
        <v>0</v>
      </c>
      <c r="L71" s="3">
        <v>0</v>
      </c>
      <c r="M71" s="3">
        <v>29.37</v>
      </c>
      <c r="N71">
        <v>0</v>
      </c>
      <c r="O71">
        <v>0</v>
      </c>
      <c r="P71" s="3">
        <v>0</v>
      </c>
      <c r="Q71">
        <v>0</v>
      </c>
      <c r="R71">
        <v>0</v>
      </c>
      <c r="S71" s="3">
        <v>0</v>
      </c>
      <c r="T71" s="9">
        <v>1995</v>
      </c>
      <c r="U71" s="9">
        <v>1998</v>
      </c>
      <c r="V71" s="9">
        <v>0</v>
      </c>
      <c r="W71" s="9">
        <v>0</v>
      </c>
      <c r="X71" s="10">
        <v>0</v>
      </c>
      <c r="Y71" s="11">
        <v>17417387</v>
      </c>
      <c r="Z71" s="3">
        <v>4994.55</v>
      </c>
      <c r="AA71" s="3">
        <v>991</v>
      </c>
      <c r="AB71" s="3">
        <v>26.69</v>
      </c>
      <c r="AC71" s="3">
        <v>0</v>
      </c>
      <c r="AD71" s="3">
        <v>2.42</v>
      </c>
      <c r="AE71" s="34">
        <v>1</v>
      </c>
      <c r="AF71" s="33">
        <v>4820.55</v>
      </c>
      <c r="AG71" s="33">
        <v>4782.28</v>
      </c>
      <c r="AH71" s="3"/>
      <c r="AI71" s="33"/>
      <c r="AJ71" s="33"/>
      <c r="AK71" s="3"/>
      <c r="AL71" s="3"/>
    </row>
    <row r="72" spans="1:38" x14ac:dyDescent="0.2">
      <c r="A72">
        <v>200</v>
      </c>
      <c r="B72">
        <v>1</v>
      </c>
      <c r="C72" t="s">
        <v>125</v>
      </c>
      <c r="D72">
        <v>2006</v>
      </c>
      <c r="E72">
        <v>2006</v>
      </c>
      <c r="F72">
        <v>2008</v>
      </c>
      <c r="G72">
        <v>0</v>
      </c>
      <c r="H72" s="3">
        <v>374.18</v>
      </c>
      <c r="I72" s="3">
        <v>111.6</v>
      </c>
      <c r="J72" s="3">
        <v>37.200000000000003</v>
      </c>
      <c r="K72" s="3">
        <v>0</v>
      </c>
      <c r="L72" s="3">
        <v>0</v>
      </c>
      <c r="M72" s="3">
        <v>2.21</v>
      </c>
      <c r="N72">
        <v>0</v>
      </c>
      <c r="O72">
        <v>0</v>
      </c>
      <c r="P72" s="3">
        <v>0</v>
      </c>
      <c r="Q72">
        <v>0</v>
      </c>
      <c r="R72">
        <v>0</v>
      </c>
      <c r="S72" s="3">
        <v>0</v>
      </c>
      <c r="T72" s="9">
        <v>1990</v>
      </c>
      <c r="U72" s="9">
        <v>1997</v>
      </c>
      <c r="V72" s="9">
        <v>1997</v>
      </c>
      <c r="W72" s="9">
        <v>0</v>
      </c>
      <c r="X72" s="10">
        <v>0.10204517</v>
      </c>
      <c r="Y72" s="11">
        <v>18306147</v>
      </c>
      <c r="Z72" s="3">
        <v>6149.22</v>
      </c>
      <c r="AA72" s="3">
        <v>991</v>
      </c>
      <c r="AB72" s="3">
        <v>0</v>
      </c>
      <c r="AC72" s="3">
        <v>0</v>
      </c>
      <c r="AD72" s="3">
        <v>2.21</v>
      </c>
      <c r="AE72" s="34">
        <v>1</v>
      </c>
      <c r="AF72" s="33">
        <v>6082.28</v>
      </c>
      <c r="AG72" s="33">
        <v>6013.13</v>
      </c>
      <c r="AH72" s="3"/>
      <c r="AI72" s="33"/>
      <c r="AJ72" s="33"/>
      <c r="AK72" s="3"/>
      <c r="AL72" s="3"/>
    </row>
    <row r="73" spans="1:38" x14ac:dyDescent="0.2">
      <c r="A73">
        <v>203</v>
      </c>
      <c r="B73">
        <v>1</v>
      </c>
      <c r="C73" t="s">
        <v>126</v>
      </c>
      <c r="D73">
        <v>0</v>
      </c>
      <c r="E73">
        <v>0</v>
      </c>
      <c r="F73">
        <v>0</v>
      </c>
      <c r="G7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>
        <v>0</v>
      </c>
      <c r="O73">
        <v>0</v>
      </c>
      <c r="P73" s="3">
        <v>0</v>
      </c>
      <c r="Q73">
        <v>0</v>
      </c>
      <c r="R73">
        <v>0</v>
      </c>
      <c r="S73" s="3">
        <v>0</v>
      </c>
      <c r="T73" s="9">
        <v>0</v>
      </c>
      <c r="U73" s="9">
        <v>0</v>
      </c>
      <c r="V73" s="9">
        <v>0</v>
      </c>
      <c r="W73" s="9">
        <v>0</v>
      </c>
      <c r="X73" s="10">
        <v>0</v>
      </c>
      <c r="Y73" s="11">
        <v>2523381</v>
      </c>
      <c r="Z73" s="3">
        <v>1145.32</v>
      </c>
      <c r="AA73" s="3">
        <v>991</v>
      </c>
      <c r="AB73" s="3">
        <v>0</v>
      </c>
      <c r="AC73" s="3">
        <v>0</v>
      </c>
      <c r="AD73" s="3">
        <v>1.1200000000000001</v>
      </c>
      <c r="AE73" s="34">
        <v>0</v>
      </c>
      <c r="AF73" s="33">
        <v>1070.44</v>
      </c>
      <c r="AG73" s="33">
        <v>1066.33</v>
      </c>
      <c r="AH73" s="3"/>
      <c r="AI73" s="33"/>
      <c r="AJ73" s="33"/>
      <c r="AK73" s="3"/>
      <c r="AL73" s="3"/>
    </row>
    <row r="74" spans="1:38" x14ac:dyDescent="0.2">
      <c r="A74">
        <v>204</v>
      </c>
      <c r="B74">
        <v>1</v>
      </c>
      <c r="C74" t="s">
        <v>127</v>
      </c>
      <c r="D74">
        <v>2004</v>
      </c>
      <c r="E74">
        <v>0</v>
      </c>
      <c r="F74">
        <v>0</v>
      </c>
      <c r="G74">
        <v>0</v>
      </c>
      <c r="H74" s="3">
        <v>350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>
        <v>0</v>
      </c>
      <c r="O74">
        <v>0</v>
      </c>
      <c r="P74" s="3">
        <v>0</v>
      </c>
      <c r="Q74">
        <v>0</v>
      </c>
      <c r="R74">
        <v>0</v>
      </c>
      <c r="S74" s="3">
        <v>0</v>
      </c>
      <c r="T74" s="9">
        <v>1998</v>
      </c>
      <c r="U74" s="9">
        <v>0</v>
      </c>
      <c r="V74" s="9">
        <v>0</v>
      </c>
      <c r="W74" s="9">
        <v>0</v>
      </c>
      <c r="X74" s="10">
        <v>0</v>
      </c>
      <c r="Y74" s="11">
        <v>3171563</v>
      </c>
      <c r="Z74" s="3">
        <v>1987.36</v>
      </c>
      <c r="AA74" s="3">
        <v>991</v>
      </c>
      <c r="AB74" s="3">
        <v>3.94</v>
      </c>
      <c r="AC74" s="3">
        <v>0</v>
      </c>
      <c r="AD74" s="3">
        <v>0.81</v>
      </c>
      <c r="AE74" s="34">
        <v>0</v>
      </c>
      <c r="AF74" s="33">
        <v>2126.34</v>
      </c>
      <c r="AG74" s="33">
        <v>2124</v>
      </c>
      <c r="AH74" s="3"/>
      <c r="AI74" s="33"/>
      <c r="AJ74" s="33"/>
      <c r="AK74" s="3"/>
      <c r="AL74" s="3"/>
    </row>
    <row r="75" spans="1:38" x14ac:dyDescent="0.2">
      <c r="A75">
        <v>206</v>
      </c>
      <c r="B75">
        <v>1</v>
      </c>
      <c r="C75" t="s">
        <v>128</v>
      </c>
      <c r="D75">
        <v>2010</v>
      </c>
      <c r="E75">
        <v>0</v>
      </c>
      <c r="F75">
        <v>0</v>
      </c>
      <c r="G75">
        <v>0</v>
      </c>
      <c r="H75" s="3">
        <v>415</v>
      </c>
      <c r="I75" s="3">
        <v>0</v>
      </c>
      <c r="J75" s="3">
        <v>0</v>
      </c>
      <c r="K75" s="3">
        <v>0</v>
      </c>
      <c r="L75" s="3">
        <v>0</v>
      </c>
      <c r="M75" s="3">
        <v>3.44</v>
      </c>
      <c r="N75">
        <v>0</v>
      </c>
      <c r="O75">
        <v>0</v>
      </c>
      <c r="P75" s="3">
        <v>0</v>
      </c>
      <c r="Q75">
        <v>0</v>
      </c>
      <c r="R75">
        <v>0</v>
      </c>
      <c r="S75" s="3">
        <v>0</v>
      </c>
      <c r="T75" s="9">
        <v>1999</v>
      </c>
      <c r="U75" s="9">
        <v>0</v>
      </c>
      <c r="V75" s="9">
        <v>0</v>
      </c>
      <c r="W75" s="9">
        <v>0</v>
      </c>
      <c r="X75" s="10">
        <v>0</v>
      </c>
      <c r="Y75" s="11">
        <v>17885142</v>
      </c>
      <c r="Z75" s="3">
        <v>4994.1099999999997</v>
      </c>
      <c r="AA75" s="3">
        <v>991</v>
      </c>
      <c r="AB75" s="3">
        <v>0</v>
      </c>
      <c r="AC75" s="3">
        <v>0</v>
      </c>
      <c r="AD75" s="3">
        <v>3.44</v>
      </c>
      <c r="AE75" s="34">
        <v>1</v>
      </c>
      <c r="AF75" s="33">
        <v>4980.58</v>
      </c>
      <c r="AG75" s="33">
        <v>4940.54</v>
      </c>
      <c r="AH75" s="3"/>
      <c r="AI75" s="33"/>
      <c r="AJ75" s="33"/>
      <c r="AK75" s="3"/>
      <c r="AL75" s="3"/>
    </row>
    <row r="76" spans="1:38" x14ac:dyDescent="0.2">
      <c r="A76">
        <v>207</v>
      </c>
      <c r="B76">
        <v>1</v>
      </c>
      <c r="C76" t="s">
        <v>129</v>
      </c>
      <c r="D76">
        <v>0</v>
      </c>
      <c r="E76">
        <v>0</v>
      </c>
      <c r="F76">
        <v>0</v>
      </c>
      <c r="G76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>
        <v>0</v>
      </c>
      <c r="O76">
        <v>0</v>
      </c>
      <c r="P76" s="3">
        <v>0</v>
      </c>
      <c r="Q76">
        <v>2003</v>
      </c>
      <c r="R76">
        <v>2012</v>
      </c>
      <c r="S76" s="3">
        <v>1</v>
      </c>
      <c r="T76" s="9">
        <v>0</v>
      </c>
      <c r="U76" s="9">
        <v>0</v>
      </c>
      <c r="V76" s="9">
        <v>0</v>
      </c>
      <c r="W76" s="9">
        <v>0</v>
      </c>
      <c r="X76" s="10">
        <v>0</v>
      </c>
      <c r="Y76" s="11">
        <v>843280</v>
      </c>
      <c r="Z76">
        <v>371.49</v>
      </c>
      <c r="AA76" s="3">
        <v>991</v>
      </c>
      <c r="AB76" s="3">
        <v>5.39</v>
      </c>
      <c r="AC76" s="3">
        <v>0</v>
      </c>
      <c r="AD76" s="3">
        <v>1.51</v>
      </c>
      <c r="AE76" s="34">
        <v>0</v>
      </c>
      <c r="AF76" s="33">
        <v>345.35</v>
      </c>
      <c r="AG76" s="33">
        <v>344.28</v>
      </c>
      <c r="AH76" s="3"/>
      <c r="AI76" s="33"/>
      <c r="AJ76" s="33"/>
      <c r="AK76" s="3"/>
      <c r="AL76" s="3"/>
    </row>
    <row r="77" spans="1:38" x14ac:dyDescent="0.2">
      <c r="A77">
        <v>208</v>
      </c>
      <c r="B77">
        <v>1</v>
      </c>
      <c r="C77" t="s">
        <v>130</v>
      </c>
      <c r="D77">
        <v>0</v>
      </c>
      <c r="E77">
        <v>0</v>
      </c>
      <c r="F77">
        <v>0</v>
      </c>
      <c r="G77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13</v>
      </c>
      <c r="N77">
        <v>0</v>
      </c>
      <c r="O77">
        <v>0</v>
      </c>
      <c r="P77" s="3">
        <v>0</v>
      </c>
      <c r="Q77">
        <v>2003</v>
      </c>
      <c r="R77">
        <v>2007</v>
      </c>
      <c r="S77" s="3">
        <v>837.38</v>
      </c>
      <c r="T77" s="9">
        <v>0</v>
      </c>
      <c r="U77" s="9">
        <v>0</v>
      </c>
      <c r="V77" s="9">
        <v>0</v>
      </c>
      <c r="W77" s="9">
        <v>0</v>
      </c>
      <c r="X77" s="10">
        <v>0</v>
      </c>
      <c r="Y77" s="11">
        <v>687151</v>
      </c>
      <c r="Z77">
        <v>347.83</v>
      </c>
      <c r="AA77" s="3">
        <v>991</v>
      </c>
      <c r="AB77" s="3">
        <v>4.45</v>
      </c>
      <c r="AC77" s="3">
        <v>0</v>
      </c>
      <c r="AD77" s="3">
        <v>1.18</v>
      </c>
      <c r="AE77" s="34">
        <v>1</v>
      </c>
      <c r="AF77" s="33">
        <v>303.02999999999997</v>
      </c>
      <c r="AG77" s="33">
        <v>302.31</v>
      </c>
      <c r="AH77" s="3"/>
      <c r="AI77" s="33"/>
      <c r="AJ77" s="33"/>
      <c r="AK77" s="3"/>
      <c r="AL77" s="3"/>
    </row>
    <row r="78" spans="1:38" x14ac:dyDescent="0.2">
      <c r="A78">
        <v>213</v>
      </c>
      <c r="B78">
        <v>1</v>
      </c>
      <c r="C78" t="s">
        <v>131</v>
      </c>
      <c r="D78">
        <v>2002</v>
      </c>
      <c r="E78">
        <v>0</v>
      </c>
      <c r="F78">
        <v>0</v>
      </c>
      <c r="G78">
        <v>0</v>
      </c>
      <c r="H78" s="3">
        <v>315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>
        <v>0</v>
      </c>
      <c r="O78">
        <v>0</v>
      </c>
      <c r="P78" s="3">
        <v>0</v>
      </c>
      <c r="Q78">
        <v>0</v>
      </c>
      <c r="R78">
        <v>0</v>
      </c>
      <c r="S78" s="3">
        <v>0</v>
      </c>
      <c r="T78" s="9">
        <v>1996</v>
      </c>
      <c r="U78" s="9">
        <v>0</v>
      </c>
      <c r="V78" s="9">
        <v>0</v>
      </c>
      <c r="W78" s="9">
        <v>0</v>
      </c>
      <c r="X78" s="10">
        <v>0</v>
      </c>
      <c r="Y78" s="11">
        <v>1526738</v>
      </c>
      <c r="Z78">
        <v>693.8</v>
      </c>
      <c r="AA78" s="3">
        <v>991</v>
      </c>
      <c r="AB78" s="3">
        <v>0</v>
      </c>
      <c r="AC78" s="3">
        <v>0</v>
      </c>
      <c r="AD78" s="3">
        <v>1.1499999999999999</v>
      </c>
      <c r="AE78" s="34">
        <v>0</v>
      </c>
      <c r="AF78" s="33">
        <v>689.52</v>
      </c>
      <c r="AG78" s="33">
        <v>685.84</v>
      </c>
      <c r="AH78" s="3"/>
      <c r="AI78" s="33"/>
      <c r="AJ78" s="33"/>
      <c r="AK78" s="3"/>
      <c r="AL78" s="3"/>
    </row>
    <row r="79" spans="1:38" x14ac:dyDescent="0.2">
      <c r="A79">
        <v>227</v>
      </c>
      <c r="B79">
        <v>1</v>
      </c>
      <c r="C79" t="s">
        <v>132</v>
      </c>
      <c r="D79">
        <v>2006</v>
      </c>
      <c r="E79">
        <v>2008</v>
      </c>
      <c r="F79">
        <v>0</v>
      </c>
      <c r="G79">
        <v>0</v>
      </c>
      <c r="H79" s="3">
        <v>337</v>
      </c>
      <c r="I79" s="3">
        <v>140.53</v>
      </c>
      <c r="J79" s="3">
        <v>0</v>
      </c>
      <c r="K79" s="3">
        <v>0</v>
      </c>
      <c r="L79" s="3">
        <v>117.11</v>
      </c>
      <c r="M79" s="3">
        <v>0</v>
      </c>
      <c r="N79">
        <v>0</v>
      </c>
      <c r="O79">
        <v>0</v>
      </c>
      <c r="P79" s="3">
        <v>0</v>
      </c>
      <c r="Q79">
        <v>2003</v>
      </c>
      <c r="R79">
        <v>2012</v>
      </c>
      <c r="S79" s="3">
        <v>350</v>
      </c>
      <c r="T79" s="9">
        <v>1995</v>
      </c>
      <c r="U79" s="9">
        <v>1990</v>
      </c>
      <c r="V79" s="9">
        <v>0</v>
      </c>
      <c r="W79" s="9">
        <v>0</v>
      </c>
      <c r="X79" s="10">
        <v>5.6249239999999999E-2</v>
      </c>
      <c r="Y79" s="11">
        <v>2115438</v>
      </c>
      <c r="Z79" s="3">
        <v>1042.94</v>
      </c>
      <c r="AA79" s="3">
        <v>991</v>
      </c>
      <c r="AB79" s="3">
        <v>0</v>
      </c>
      <c r="AC79" s="3">
        <v>0</v>
      </c>
      <c r="AD79" s="3">
        <v>1.1100000000000001</v>
      </c>
      <c r="AE79" s="34">
        <v>0</v>
      </c>
      <c r="AF79" s="33">
        <v>1010.77</v>
      </c>
      <c r="AG79" s="33">
        <v>1008.55</v>
      </c>
      <c r="AH79" s="3"/>
      <c r="AI79" s="33"/>
      <c r="AJ79" s="33"/>
      <c r="AK79" s="3"/>
      <c r="AL79" s="3"/>
    </row>
    <row r="80" spans="1:38" x14ac:dyDescent="0.2">
      <c r="A80">
        <v>229</v>
      </c>
      <c r="B80">
        <v>1</v>
      </c>
      <c r="C80" t="s">
        <v>133</v>
      </c>
      <c r="D80">
        <v>2007</v>
      </c>
      <c r="E80">
        <v>0</v>
      </c>
      <c r="F80">
        <v>0</v>
      </c>
      <c r="G80">
        <v>0</v>
      </c>
      <c r="H80" s="3">
        <v>315</v>
      </c>
      <c r="I80" s="3">
        <v>0</v>
      </c>
      <c r="J80" s="3">
        <v>0</v>
      </c>
      <c r="K80" s="3">
        <v>0</v>
      </c>
      <c r="L80" s="3">
        <v>0</v>
      </c>
      <c r="M80" s="3">
        <v>23.42</v>
      </c>
      <c r="N80">
        <v>0</v>
      </c>
      <c r="O80">
        <v>0</v>
      </c>
      <c r="P80" s="3">
        <v>0</v>
      </c>
      <c r="Q80">
        <v>2003</v>
      </c>
      <c r="R80">
        <v>2012</v>
      </c>
      <c r="S80" s="3">
        <v>315</v>
      </c>
      <c r="T80" s="9">
        <v>1996</v>
      </c>
      <c r="U80" s="9">
        <v>0</v>
      </c>
      <c r="V80" s="9">
        <v>0</v>
      </c>
      <c r="W80" s="9">
        <v>0</v>
      </c>
      <c r="X80" s="10">
        <v>0</v>
      </c>
      <c r="Y80" s="11">
        <v>795609</v>
      </c>
      <c r="Z80">
        <v>323.08999999999997</v>
      </c>
      <c r="AA80" s="3">
        <v>991</v>
      </c>
      <c r="AB80" s="3">
        <v>16.309999999999999</v>
      </c>
      <c r="AC80" s="3">
        <v>0</v>
      </c>
      <c r="AD80" s="3">
        <v>1.32</v>
      </c>
      <c r="AE80" s="34">
        <v>1</v>
      </c>
      <c r="AF80" s="33">
        <v>308.74</v>
      </c>
      <c r="AG80" s="33">
        <v>308.37</v>
      </c>
      <c r="AH80" s="3"/>
      <c r="AI80" s="33"/>
      <c r="AJ80" s="33"/>
      <c r="AK80" s="3"/>
      <c r="AL80" s="3"/>
    </row>
    <row r="81" spans="1:38" x14ac:dyDescent="0.2">
      <c r="A81">
        <v>238</v>
      </c>
      <c r="B81">
        <v>1</v>
      </c>
      <c r="C81" t="s">
        <v>134</v>
      </c>
      <c r="D81">
        <v>2006</v>
      </c>
      <c r="E81">
        <v>2008</v>
      </c>
      <c r="F81">
        <v>0</v>
      </c>
      <c r="G81">
        <v>0</v>
      </c>
      <c r="H81" s="3">
        <v>271.54000000000002</v>
      </c>
      <c r="I81" s="3">
        <v>434.46</v>
      </c>
      <c r="J81" s="3">
        <v>0</v>
      </c>
      <c r="K81" s="3">
        <v>0</v>
      </c>
      <c r="L81" s="3">
        <v>84.98</v>
      </c>
      <c r="M81" s="3">
        <v>1.1499999999999999</v>
      </c>
      <c r="N81">
        <v>0</v>
      </c>
      <c r="O81">
        <v>0</v>
      </c>
      <c r="P81" s="3">
        <v>0</v>
      </c>
      <c r="Q81">
        <v>0</v>
      </c>
      <c r="R81">
        <v>0</v>
      </c>
      <c r="S81" s="3">
        <v>0</v>
      </c>
      <c r="T81" s="9">
        <v>1995</v>
      </c>
      <c r="U81" s="9">
        <v>1990</v>
      </c>
      <c r="V81" s="9">
        <v>0</v>
      </c>
      <c r="W81" s="9">
        <v>0</v>
      </c>
      <c r="X81" s="10">
        <v>0.16424852000000001</v>
      </c>
      <c r="Y81" s="11">
        <v>1011151</v>
      </c>
      <c r="Z81">
        <v>470.85</v>
      </c>
      <c r="AA81" s="3">
        <v>991</v>
      </c>
      <c r="AB81" s="3">
        <v>0</v>
      </c>
      <c r="AC81" s="3">
        <v>0</v>
      </c>
      <c r="AD81" s="3">
        <v>1.1499999999999999</v>
      </c>
      <c r="AE81" s="34">
        <v>1</v>
      </c>
      <c r="AF81" s="33">
        <v>440.79</v>
      </c>
      <c r="AG81" s="33">
        <v>439.11</v>
      </c>
      <c r="AH81" s="3"/>
      <c r="AI81" s="33"/>
      <c r="AJ81" s="33"/>
      <c r="AK81" s="3"/>
      <c r="AL81" s="3"/>
    </row>
    <row r="82" spans="1:38" x14ac:dyDescent="0.2">
      <c r="A82">
        <v>239</v>
      </c>
      <c r="B82">
        <v>1</v>
      </c>
      <c r="C82" t="s">
        <v>135</v>
      </c>
      <c r="D82">
        <v>2003</v>
      </c>
      <c r="E82">
        <v>2006</v>
      </c>
      <c r="F82">
        <v>0</v>
      </c>
      <c r="G82">
        <v>0</v>
      </c>
      <c r="H82" s="3">
        <v>279.35000000000002</v>
      </c>
      <c r="I82" s="3">
        <v>184.5</v>
      </c>
      <c r="J82" s="3">
        <v>0</v>
      </c>
      <c r="K82" s="3">
        <v>0</v>
      </c>
      <c r="L82" s="3">
        <v>100</v>
      </c>
      <c r="M82" s="3">
        <v>1.04</v>
      </c>
      <c r="N82">
        <v>0</v>
      </c>
      <c r="O82">
        <v>0</v>
      </c>
      <c r="P82" s="3">
        <v>0</v>
      </c>
      <c r="Q82">
        <v>2003</v>
      </c>
      <c r="R82">
        <v>2012</v>
      </c>
      <c r="S82" s="3">
        <v>837</v>
      </c>
      <c r="T82" s="9">
        <v>1997</v>
      </c>
      <c r="U82" s="9">
        <v>1990</v>
      </c>
      <c r="V82" s="9">
        <v>0</v>
      </c>
      <c r="W82" s="9">
        <v>0</v>
      </c>
      <c r="X82" s="10">
        <v>8.4466490000000005E-2</v>
      </c>
      <c r="Y82" s="11">
        <v>1549677</v>
      </c>
      <c r="Z82">
        <v>873.85</v>
      </c>
      <c r="AA82" s="3">
        <v>991</v>
      </c>
      <c r="AB82" s="3">
        <v>0</v>
      </c>
      <c r="AC82" s="3">
        <v>0</v>
      </c>
      <c r="AD82" s="3">
        <v>1.04</v>
      </c>
      <c r="AE82" s="34">
        <v>1</v>
      </c>
      <c r="AF82" s="33">
        <v>835.09</v>
      </c>
      <c r="AG82" s="33">
        <v>831.92</v>
      </c>
      <c r="AH82" s="3"/>
      <c r="AI82" s="33"/>
      <c r="AJ82" s="33"/>
      <c r="AK82" s="3"/>
      <c r="AL82" s="3"/>
    </row>
    <row r="83" spans="1:38" x14ac:dyDescent="0.2">
      <c r="A83">
        <v>241</v>
      </c>
      <c r="B83">
        <v>1</v>
      </c>
      <c r="C83" t="s">
        <v>136</v>
      </c>
      <c r="D83">
        <v>2008</v>
      </c>
      <c r="E83">
        <v>2008</v>
      </c>
      <c r="F83">
        <v>0</v>
      </c>
      <c r="G83">
        <v>0</v>
      </c>
      <c r="H83" s="3">
        <v>187.54</v>
      </c>
      <c r="I83" s="3">
        <v>150</v>
      </c>
      <c r="J83" s="3">
        <v>0</v>
      </c>
      <c r="K83" s="3">
        <v>0</v>
      </c>
      <c r="L83" s="3">
        <v>0</v>
      </c>
      <c r="M83" s="3">
        <v>0</v>
      </c>
      <c r="N83">
        <v>0</v>
      </c>
      <c r="O83">
        <v>0</v>
      </c>
      <c r="P83" s="3">
        <v>0</v>
      </c>
      <c r="Q83">
        <v>0</v>
      </c>
      <c r="R83">
        <v>0</v>
      </c>
      <c r="S83" s="3">
        <v>0</v>
      </c>
      <c r="T83" s="9">
        <v>1990</v>
      </c>
      <c r="U83" s="9">
        <v>1996</v>
      </c>
      <c r="V83" s="9">
        <v>0</v>
      </c>
      <c r="W83" s="9">
        <v>0</v>
      </c>
      <c r="X83" s="10">
        <v>6.8910760000000001E-2</v>
      </c>
      <c r="Y83" s="11">
        <v>10361236</v>
      </c>
      <c r="Z83" s="3">
        <v>4689.42</v>
      </c>
      <c r="AA83" s="3">
        <v>991</v>
      </c>
      <c r="AB83" s="3">
        <v>0</v>
      </c>
      <c r="AC83" s="3">
        <v>0</v>
      </c>
      <c r="AD83" s="3">
        <v>1.59</v>
      </c>
      <c r="AE83" s="34">
        <v>0</v>
      </c>
      <c r="AF83" s="33">
        <v>4396.3100000000004</v>
      </c>
      <c r="AG83" s="33">
        <v>4326.79</v>
      </c>
      <c r="AH83" s="3"/>
      <c r="AI83" s="33"/>
      <c r="AJ83" s="33"/>
      <c r="AK83" s="3"/>
      <c r="AL83" s="3"/>
    </row>
    <row r="84" spans="1:38" x14ac:dyDescent="0.2">
      <c r="A84">
        <v>242</v>
      </c>
      <c r="B84">
        <v>1</v>
      </c>
      <c r="C84" t="s">
        <v>137</v>
      </c>
      <c r="D84">
        <v>2006</v>
      </c>
      <c r="E84">
        <v>2008</v>
      </c>
      <c r="F84">
        <v>0</v>
      </c>
      <c r="G84">
        <v>0</v>
      </c>
      <c r="H84" s="3">
        <v>362.51</v>
      </c>
      <c r="I84" s="3">
        <v>120.84</v>
      </c>
      <c r="J84" s="3">
        <v>0</v>
      </c>
      <c r="K84" s="3">
        <v>0</v>
      </c>
      <c r="L84" s="3">
        <v>53.95</v>
      </c>
      <c r="M84" s="3">
        <v>21.72</v>
      </c>
      <c r="N84">
        <v>0</v>
      </c>
      <c r="O84">
        <v>0</v>
      </c>
      <c r="P84" s="3">
        <v>0</v>
      </c>
      <c r="Q84">
        <v>0</v>
      </c>
      <c r="R84">
        <v>0</v>
      </c>
      <c r="S84" s="3">
        <v>0</v>
      </c>
      <c r="T84" s="9">
        <v>1990</v>
      </c>
      <c r="U84" s="9">
        <v>1990</v>
      </c>
      <c r="V84" s="9">
        <v>0</v>
      </c>
      <c r="W84" s="9">
        <v>0</v>
      </c>
      <c r="X84" s="10">
        <v>0.13425392999999999</v>
      </c>
      <c r="Y84" s="11">
        <v>1040514</v>
      </c>
      <c r="Z84">
        <v>355.98</v>
      </c>
      <c r="AA84" s="3">
        <v>991</v>
      </c>
      <c r="AB84" s="3">
        <v>9.3699999999999992</v>
      </c>
      <c r="AC84" s="3">
        <v>0</v>
      </c>
      <c r="AD84" s="3">
        <v>1.72</v>
      </c>
      <c r="AE84" s="34">
        <v>1</v>
      </c>
      <c r="AF84" s="33">
        <v>347.57</v>
      </c>
      <c r="AG84" s="33">
        <v>346.45</v>
      </c>
      <c r="AH84" s="3"/>
      <c r="AI84" s="33"/>
      <c r="AJ84" s="33"/>
      <c r="AK84" s="3"/>
      <c r="AL84" s="3"/>
    </row>
    <row r="85" spans="1:38" x14ac:dyDescent="0.2">
      <c r="A85">
        <v>252</v>
      </c>
      <c r="B85">
        <v>1</v>
      </c>
      <c r="C85" t="s">
        <v>138</v>
      </c>
      <c r="D85">
        <v>0</v>
      </c>
      <c r="E85">
        <v>0</v>
      </c>
      <c r="F85">
        <v>0</v>
      </c>
      <c r="G85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2.04</v>
      </c>
      <c r="N85">
        <v>2002</v>
      </c>
      <c r="O85">
        <v>2011</v>
      </c>
      <c r="P85" s="3">
        <v>415</v>
      </c>
      <c r="Q85">
        <v>0</v>
      </c>
      <c r="R85">
        <v>0</v>
      </c>
      <c r="S85" s="3">
        <v>0</v>
      </c>
      <c r="T85" s="9">
        <v>0</v>
      </c>
      <c r="U85" s="9">
        <v>0</v>
      </c>
      <c r="V85" s="9">
        <v>0</v>
      </c>
      <c r="W85" s="9">
        <v>0</v>
      </c>
      <c r="X85" s="10">
        <v>0</v>
      </c>
      <c r="Y85" s="11">
        <v>4957938</v>
      </c>
      <c r="Z85" s="3">
        <v>1804.25</v>
      </c>
      <c r="AA85" s="3">
        <v>991</v>
      </c>
      <c r="AB85" s="3">
        <v>0</v>
      </c>
      <c r="AC85" s="3">
        <v>0</v>
      </c>
      <c r="AD85" s="3">
        <v>2.04</v>
      </c>
      <c r="AE85" s="34">
        <v>1</v>
      </c>
      <c r="AF85" s="33">
        <v>1650.99</v>
      </c>
      <c r="AG85" s="33">
        <v>1645.29</v>
      </c>
      <c r="AH85" s="3"/>
      <c r="AI85" s="33"/>
      <c r="AJ85" s="33"/>
      <c r="AK85" s="3"/>
      <c r="AL85" s="3"/>
    </row>
    <row r="86" spans="1:38" x14ac:dyDescent="0.2">
      <c r="A86">
        <v>253</v>
      </c>
      <c r="B86">
        <v>1</v>
      </c>
      <c r="C86" t="s">
        <v>139</v>
      </c>
      <c r="D86">
        <v>2006</v>
      </c>
      <c r="E86">
        <v>2008</v>
      </c>
      <c r="F86">
        <v>0</v>
      </c>
      <c r="G86">
        <v>0</v>
      </c>
      <c r="H86" s="3">
        <v>242.21</v>
      </c>
      <c r="I86" s="3">
        <v>101</v>
      </c>
      <c r="J86" s="3">
        <v>0</v>
      </c>
      <c r="K86" s="3">
        <v>0</v>
      </c>
      <c r="L86" s="3">
        <v>0</v>
      </c>
      <c r="M86" s="3">
        <v>0</v>
      </c>
      <c r="N86">
        <v>0</v>
      </c>
      <c r="O86">
        <v>0</v>
      </c>
      <c r="P86" s="3">
        <v>0</v>
      </c>
      <c r="Q86">
        <v>2003</v>
      </c>
      <c r="R86">
        <v>2012</v>
      </c>
      <c r="S86" s="3">
        <v>126</v>
      </c>
      <c r="T86" s="9">
        <v>1990</v>
      </c>
      <c r="U86" s="9">
        <v>1997</v>
      </c>
      <c r="V86" s="9">
        <v>0</v>
      </c>
      <c r="W86" s="9">
        <v>0</v>
      </c>
      <c r="X86" s="10">
        <v>8.1317420000000001E-2</v>
      </c>
      <c r="Y86" s="11">
        <v>1479380</v>
      </c>
      <c r="Z86">
        <v>611.76</v>
      </c>
      <c r="AA86" s="3">
        <v>991</v>
      </c>
      <c r="AB86" s="3">
        <v>0</v>
      </c>
      <c r="AC86" s="3">
        <v>0</v>
      </c>
      <c r="AD86" s="3">
        <v>0.99</v>
      </c>
      <c r="AE86" s="34">
        <v>0</v>
      </c>
      <c r="AF86" s="33">
        <v>612.01</v>
      </c>
      <c r="AG86" s="33">
        <v>611.41</v>
      </c>
      <c r="AH86" s="3"/>
      <c r="AI86" s="33"/>
      <c r="AJ86" s="33"/>
      <c r="AK86" s="3"/>
      <c r="AL86" s="3"/>
    </row>
    <row r="87" spans="1:38" x14ac:dyDescent="0.2">
      <c r="A87">
        <v>255</v>
      </c>
      <c r="B87">
        <v>1</v>
      </c>
      <c r="C87" t="s">
        <v>140</v>
      </c>
      <c r="D87">
        <v>2008</v>
      </c>
      <c r="E87">
        <v>0</v>
      </c>
      <c r="F87">
        <v>0</v>
      </c>
      <c r="G87">
        <v>0</v>
      </c>
      <c r="H87" s="3">
        <v>400</v>
      </c>
      <c r="I87" s="3">
        <v>0</v>
      </c>
      <c r="J87" s="3">
        <v>0</v>
      </c>
      <c r="K87" s="3">
        <v>0</v>
      </c>
      <c r="L87" s="3">
        <v>0</v>
      </c>
      <c r="M87" s="3">
        <v>0.85</v>
      </c>
      <c r="N87">
        <v>0</v>
      </c>
      <c r="O87">
        <v>0</v>
      </c>
      <c r="P87" s="3">
        <v>0</v>
      </c>
      <c r="Q87">
        <v>0</v>
      </c>
      <c r="R87">
        <v>0</v>
      </c>
      <c r="S87" s="3">
        <v>0</v>
      </c>
      <c r="T87" s="9">
        <v>1997</v>
      </c>
      <c r="U87" s="9">
        <v>0</v>
      </c>
      <c r="V87" s="9">
        <v>0</v>
      </c>
      <c r="W87" s="9">
        <v>0</v>
      </c>
      <c r="X87" s="10">
        <v>0</v>
      </c>
      <c r="Y87" s="11">
        <v>2153721</v>
      </c>
      <c r="Z87" s="3">
        <v>1254.46</v>
      </c>
      <c r="AA87" s="3">
        <v>991</v>
      </c>
      <c r="AB87" s="3">
        <v>0</v>
      </c>
      <c r="AC87" s="3">
        <v>0</v>
      </c>
      <c r="AD87" s="3">
        <v>0.85</v>
      </c>
      <c r="AE87" s="34">
        <v>1</v>
      </c>
      <c r="AF87" s="33">
        <v>1275.7</v>
      </c>
      <c r="AG87" s="33">
        <v>1274.24</v>
      </c>
      <c r="AH87" s="3"/>
      <c r="AI87" s="33"/>
      <c r="AJ87" s="33"/>
      <c r="AK87" s="3"/>
      <c r="AL87" s="3"/>
    </row>
    <row r="88" spans="1:38" x14ac:dyDescent="0.2">
      <c r="A88">
        <v>256</v>
      </c>
      <c r="B88">
        <v>1</v>
      </c>
      <c r="C88" t="s">
        <v>141</v>
      </c>
      <c r="D88">
        <v>2006</v>
      </c>
      <c r="E88">
        <v>0</v>
      </c>
      <c r="F88">
        <v>0</v>
      </c>
      <c r="G88">
        <v>0</v>
      </c>
      <c r="H88" s="3">
        <v>285.82</v>
      </c>
      <c r="I88" s="3">
        <v>0</v>
      </c>
      <c r="J88" s="3">
        <v>0</v>
      </c>
      <c r="K88" s="3">
        <v>0</v>
      </c>
      <c r="L88" s="3">
        <v>100</v>
      </c>
      <c r="M88" s="3">
        <v>9.64</v>
      </c>
      <c r="N88">
        <v>2002</v>
      </c>
      <c r="O88">
        <v>2011</v>
      </c>
      <c r="P88" s="3">
        <v>300</v>
      </c>
      <c r="Q88">
        <v>0</v>
      </c>
      <c r="R88">
        <v>0</v>
      </c>
      <c r="S88" s="3">
        <v>0</v>
      </c>
      <c r="T88" s="9">
        <v>1990</v>
      </c>
      <c r="U88" s="9">
        <v>0</v>
      </c>
      <c r="V88" s="9">
        <v>0</v>
      </c>
      <c r="W88" s="9">
        <v>0</v>
      </c>
      <c r="X88" s="10">
        <v>3.5935799999999997E-2</v>
      </c>
      <c r="Y88" s="11">
        <v>25259093</v>
      </c>
      <c r="Z88" s="3">
        <v>3911.65</v>
      </c>
      <c r="AA88" s="3">
        <v>991</v>
      </c>
      <c r="AB88" s="3">
        <v>0</v>
      </c>
      <c r="AC88" s="3">
        <v>0</v>
      </c>
      <c r="AD88" s="3">
        <v>9.52</v>
      </c>
      <c r="AE88" s="34">
        <v>1</v>
      </c>
      <c r="AF88" s="33">
        <v>3566.44</v>
      </c>
      <c r="AG88" s="33">
        <v>3557</v>
      </c>
      <c r="AH88" s="3"/>
      <c r="AI88" s="33"/>
      <c r="AJ88" s="33"/>
      <c r="AK88" s="3"/>
      <c r="AL88" s="3"/>
    </row>
    <row r="89" spans="1:38" x14ac:dyDescent="0.2">
      <c r="A89">
        <v>261</v>
      </c>
      <c r="B89">
        <v>1</v>
      </c>
      <c r="C89" t="s">
        <v>142</v>
      </c>
      <c r="D89">
        <v>0</v>
      </c>
      <c r="E89">
        <v>0</v>
      </c>
      <c r="F89">
        <v>0</v>
      </c>
      <c r="G89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>
        <v>0</v>
      </c>
      <c r="O89">
        <v>0</v>
      </c>
      <c r="P89" s="3">
        <v>0</v>
      </c>
      <c r="Q89">
        <v>0</v>
      </c>
      <c r="R89">
        <v>0</v>
      </c>
      <c r="S89" s="3">
        <v>0</v>
      </c>
      <c r="T89" s="9">
        <v>0</v>
      </c>
      <c r="U89" s="9">
        <v>0</v>
      </c>
      <c r="V89" s="9">
        <v>0</v>
      </c>
      <c r="W89" s="9">
        <v>0</v>
      </c>
      <c r="X89" s="10">
        <v>0</v>
      </c>
      <c r="Y89" s="11">
        <v>613117</v>
      </c>
      <c r="Z89">
        <v>302.52</v>
      </c>
      <c r="AA89" s="3">
        <v>991</v>
      </c>
      <c r="AB89" s="3">
        <v>27.56</v>
      </c>
      <c r="AC89" s="3">
        <v>0</v>
      </c>
      <c r="AD89" s="3">
        <v>0.96</v>
      </c>
      <c r="AE89" s="34">
        <v>0</v>
      </c>
      <c r="AF89" s="33">
        <v>284.26</v>
      </c>
      <c r="AG89" s="33">
        <v>284.26</v>
      </c>
      <c r="AH89" s="3"/>
      <c r="AI89" s="33"/>
      <c r="AJ89" s="33"/>
      <c r="AK89" s="3"/>
      <c r="AL89" s="3"/>
    </row>
    <row r="90" spans="1:38" x14ac:dyDescent="0.2">
      <c r="A90">
        <v>264</v>
      </c>
      <c r="B90">
        <v>1</v>
      </c>
      <c r="C90" t="s">
        <v>143</v>
      </c>
      <c r="D90">
        <v>2006</v>
      </c>
      <c r="E90">
        <v>2008</v>
      </c>
      <c r="F90">
        <v>2010</v>
      </c>
      <c r="G90">
        <v>0</v>
      </c>
      <c r="H90" s="3">
        <v>707.76</v>
      </c>
      <c r="I90" s="3">
        <v>235.92</v>
      </c>
      <c r="J90" s="3">
        <v>926.28</v>
      </c>
      <c r="K90" s="3">
        <v>0</v>
      </c>
      <c r="L90" s="3">
        <v>0</v>
      </c>
      <c r="M90" s="3">
        <v>47.52</v>
      </c>
      <c r="N90">
        <v>0</v>
      </c>
      <c r="O90">
        <v>0</v>
      </c>
      <c r="P90" s="3">
        <v>0</v>
      </c>
      <c r="Q90">
        <v>0</v>
      </c>
      <c r="R90">
        <v>0</v>
      </c>
      <c r="S90" s="3">
        <v>0</v>
      </c>
      <c r="T90" s="9">
        <v>1990</v>
      </c>
      <c r="U90" s="9">
        <v>1990</v>
      </c>
      <c r="V90" s="9">
        <v>1999</v>
      </c>
      <c r="W90" s="9">
        <v>0</v>
      </c>
      <c r="X90" s="10">
        <v>0.13460166000000001</v>
      </c>
      <c r="Y90" s="11">
        <v>1269828</v>
      </c>
      <c r="Z90">
        <v>223.09</v>
      </c>
      <c r="AA90" s="3">
        <v>9999.99</v>
      </c>
      <c r="AB90" s="3">
        <v>39.979999999999997</v>
      </c>
      <c r="AC90" s="3">
        <v>0</v>
      </c>
      <c r="AD90" s="3">
        <v>3.96</v>
      </c>
      <c r="AE90" s="34">
        <v>1</v>
      </c>
      <c r="AF90" s="33">
        <v>193.41</v>
      </c>
      <c r="AG90" s="33">
        <v>193.21</v>
      </c>
      <c r="AH90" s="3"/>
      <c r="AI90" s="33"/>
      <c r="AJ90" s="33"/>
      <c r="AK90" s="3"/>
      <c r="AL90" s="3"/>
    </row>
    <row r="91" spans="1:38" x14ac:dyDescent="0.2">
      <c r="A91">
        <v>270</v>
      </c>
      <c r="B91">
        <v>1</v>
      </c>
      <c r="C91" t="s">
        <v>144</v>
      </c>
      <c r="D91">
        <v>2001</v>
      </c>
      <c r="E91">
        <v>2008</v>
      </c>
      <c r="F91">
        <v>0</v>
      </c>
      <c r="G91">
        <v>0</v>
      </c>
      <c r="H91" s="3">
        <v>449</v>
      </c>
      <c r="I91" s="3">
        <v>936.9</v>
      </c>
      <c r="J91" s="3">
        <v>0</v>
      </c>
      <c r="K91" s="3">
        <v>0</v>
      </c>
      <c r="L91" s="3">
        <v>0</v>
      </c>
      <c r="M91" s="3">
        <v>154.88999999999999</v>
      </c>
      <c r="N91">
        <v>2002</v>
      </c>
      <c r="O91">
        <v>2011</v>
      </c>
      <c r="P91" s="3">
        <v>449</v>
      </c>
      <c r="Q91">
        <v>2003</v>
      </c>
      <c r="R91">
        <v>2012</v>
      </c>
      <c r="S91" s="3">
        <v>225</v>
      </c>
      <c r="T91" s="9">
        <v>1995</v>
      </c>
      <c r="U91" s="9">
        <v>1999</v>
      </c>
      <c r="V91" s="9">
        <v>1990</v>
      </c>
      <c r="W91" s="9">
        <v>0</v>
      </c>
      <c r="X91" s="10">
        <v>0</v>
      </c>
      <c r="Y91" s="11">
        <v>78147409</v>
      </c>
      <c r="Z91" s="3">
        <v>9477.59</v>
      </c>
      <c r="AA91" s="3">
        <v>1386.15</v>
      </c>
      <c r="AB91" s="3">
        <v>0</v>
      </c>
      <c r="AC91" s="3">
        <v>138.4</v>
      </c>
      <c r="AD91" s="3">
        <v>15.2</v>
      </c>
      <c r="AE91" s="34">
        <v>1</v>
      </c>
      <c r="AF91" s="33">
        <v>9228.4599999999991</v>
      </c>
      <c r="AG91" s="33">
        <v>9115.5</v>
      </c>
      <c r="AH91" s="3"/>
      <c r="AI91" s="33"/>
      <c r="AJ91" s="33"/>
      <c r="AK91" s="3"/>
      <c r="AL91" s="3"/>
    </row>
    <row r="92" spans="1:38" x14ac:dyDescent="0.2">
      <c r="A92">
        <v>271</v>
      </c>
      <c r="B92">
        <v>1</v>
      </c>
      <c r="C92" t="s">
        <v>145</v>
      </c>
      <c r="D92">
        <v>2001</v>
      </c>
      <c r="E92">
        <v>2006</v>
      </c>
      <c r="F92">
        <v>0</v>
      </c>
      <c r="G92">
        <v>0</v>
      </c>
      <c r="H92" s="3">
        <v>444.18</v>
      </c>
      <c r="I92" s="3">
        <v>325.56</v>
      </c>
      <c r="J92" s="3">
        <v>0</v>
      </c>
      <c r="K92" s="3">
        <v>0</v>
      </c>
      <c r="L92" s="3">
        <v>57.96</v>
      </c>
      <c r="M92" s="3">
        <v>14.08</v>
      </c>
      <c r="N92">
        <v>2002</v>
      </c>
      <c r="O92">
        <v>2011</v>
      </c>
      <c r="P92" s="3">
        <v>665.44</v>
      </c>
      <c r="Q92">
        <v>0</v>
      </c>
      <c r="R92">
        <v>0</v>
      </c>
      <c r="S92" s="3">
        <v>0</v>
      </c>
      <c r="T92" s="9">
        <v>1995</v>
      </c>
      <c r="U92" s="9">
        <v>1990</v>
      </c>
      <c r="V92" s="9">
        <v>0</v>
      </c>
      <c r="W92" s="9">
        <v>0</v>
      </c>
      <c r="X92" s="10">
        <v>0</v>
      </c>
      <c r="Y92" s="11">
        <v>101112982</v>
      </c>
      <c r="Z92" s="3">
        <v>12820.09</v>
      </c>
      <c r="AA92" s="3">
        <v>991</v>
      </c>
      <c r="AB92" s="3">
        <v>0</v>
      </c>
      <c r="AC92" s="3">
        <v>0</v>
      </c>
      <c r="AD92" s="3">
        <v>14.08</v>
      </c>
      <c r="AE92" s="34">
        <v>1</v>
      </c>
      <c r="AF92" s="33">
        <v>12487.65</v>
      </c>
      <c r="AG92" s="33">
        <v>12367.66</v>
      </c>
      <c r="AH92" s="3"/>
      <c r="AI92" s="33"/>
      <c r="AJ92" s="33"/>
      <c r="AK92" s="3"/>
      <c r="AL92" s="3"/>
    </row>
    <row r="93" spans="1:38" x14ac:dyDescent="0.2">
      <c r="A93">
        <v>272</v>
      </c>
      <c r="B93">
        <v>1</v>
      </c>
      <c r="C93" t="s">
        <v>146</v>
      </c>
      <c r="D93">
        <v>2010</v>
      </c>
      <c r="E93">
        <v>0</v>
      </c>
      <c r="F93">
        <v>0</v>
      </c>
      <c r="G93">
        <v>0</v>
      </c>
      <c r="H93" s="3">
        <v>981.25</v>
      </c>
      <c r="I93" s="3">
        <v>0</v>
      </c>
      <c r="J93" s="3">
        <v>0</v>
      </c>
      <c r="K93" s="3">
        <v>0</v>
      </c>
      <c r="L93" s="3">
        <v>0</v>
      </c>
      <c r="M93" s="3">
        <v>7.62</v>
      </c>
      <c r="N93">
        <v>0</v>
      </c>
      <c r="O93">
        <v>0</v>
      </c>
      <c r="P93" s="3">
        <v>0</v>
      </c>
      <c r="Q93">
        <v>0</v>
      </c>
      <c r="R93">
        <v>0</v>
      </c>
      <c r="S93" s="3">
        <v>0</v>
      </c>
      <c r="T93" s="9">
        <v>1990</v>
      </c>
      <c r="U93" s="9">
        <v>0</v>
      </c>
      <c r="V93" s="9">
        <v>0</v>
      </c>
      <c r="W93" s="9">
        <v>0</v>
      </c>
      <c r="X93" s="10">
        <v>0</v>
      </c>
      <c r="Y93" s="11">
        <v>68969935</v>
      </c>
      <c r="Z93" s="3">
        <v>11849.4</v>
      </c>
      <c r="AA93" s="3">
        <v>991</v>
      </c>
      <c r="AB93" s="3">
        <v>0</v>
      </c>
      <c r="AC93" s="3">
        <v>0</v>
      </c>
      <c r="AD93" s="3">
        <v>7.62</v>
      </c>
      <c r="AE93" s="34">
        <v>1</v>
      </c>
      <c r="AF93" s="33">
        <v>11860.42</v>
      </c>
      <c r="AG93" s="33">
        <v>11822.06</v>
      </c>
      <c r="AH93" s="3"/>
      <c r="AI93" s="33"/>
      <c r="AJ93" s="33"/>
      <c r="AK93" s="3"/>
      <c r="AL93" s="3"/>
    </row>
    <row r="94" spans="1:38" x14ac:dyDescent="0.2">
      <c r="A94">
        <v>273</v>
      </c>
      <c r="B94">
        <v>1</v>
      </c>
      <c r="C94" t="s">
        <v>147</v>
      </c>
      <c r="D94">
        <v>2004</v>
      </c>
      <c r="E94">
        <v>2008</v>
      </c>
      <c r="F94">
        <v>0</v>
      </c>
      <c r="G94">
        <v>0</v>
      </c>
      <c r="H94" s="3">
        <v>555.4</v>
      </c>
      <c r="I94" s="3">
        <v>946.27</v>
      </c>
      <c r="J94" s="3">
        <v>0</v>
      </c>
      <c r="K94" s="3">
        <v>0</v>
      </c>
      <c r="L94" s="3">
        <v>0</v>
      </c>
      <c r="M94" s="3">
        <v>13.07</v>
      </c>
      <c r="N94">
        <v>0</v>
      </c>
      <c r="O94">
        <v>0</v>
      </c>
      <c r="P94" s="3">
        <v>0</v>
      </c>
      <c r="Q94">
        <v>2003</v>
      </c>
      <c r="R94">
        <v>2012</v>
      </c>
      <c r="S94" s="3">
        <v>398.32</v>
      </c>
      <c r="T94" s="9">
        <v>1998</v>
      </c>
      <c r="U94" s="9">
        <v>1990</v>
      </c>
      <c r="V94" s="9">
        <v>0</v>
      </c>
      <c r="W94" s="9">
        <v>0</v>
      </c>
      <c r="X94" s="10">
        <v>0</v>
      </c>
      <c r="Y94" s="11">
        <v>60194755</v>
      </c>
      <c r="Z94" s="3">
        <v>7572.72</v>
      </c>
      <c r="AA94" s="3">
        <v>1503.03</v>
      </c>
      <c r="AB94" s="3">
        <v>0</v>
      </c>
      <c r="AC94" s="3">
        <v>0</v>
      </c>
      <c r="AD94" s="3">
        <v>13.07</v>
      </c>
      <c r="AE94" s="34">
        <v>1</v>
      </c>
      <c r="AF94" s="33">
        <v>7498.28</v>
      </c>
      <c r="AG94" s="33">
        <v>7464.08</v>
      </c>
      <c r="AH94" s="3"/>
      <c r="AI94" s="33"/>
      <c r="AJ94" s="33"/>
      <c r="AK94" s="3"/>
      <c r="AL94" s="3"/>
    </row>
    <row r="95" spans="1:38" x14ac:dyDescent="0.2">
      <c r="A95">
        <v>276</v>
      </c>
      <c r="B95">
        <v>1</v>
      </c>
      <c r="C95" t="s">
        <v>148</v>
      </c>
      <c r="D95">
        <v>2006</v>
      </c>
      <c r="E95">
        <v>0</v>
      </c>
      <c r="F95">
        <v>0</v>
      </c>
      <c r="G95">
        <v>0</v>
      </c>
      <c r="H95" s="3">
        <v>2114.7199999999998</v>
      </c>
      <c r="I95" s="3">
        <v>0</v>
      </c>
      <c r="J95" s="3">
        <v>0</v>
      </c>
      <c r="K95" s="3">
        <v>0</v>
      </c>
      <c r="L95" s="3">
        <v>56.37</v>
      </c>
      <c r="M95" s="3">
        <v>16.09</v>
      </c>
      <c r="N95">
        <v>0</v>
      </c>
      <c r="O95">
        <v>0</v>
      </c>
      <c r="P95" s="3">
        <v>0</v>
      </c>
      <c r="Q95">
        <v>0</v>
      </c>
      <c r="R95">
        <v>0</v>
      </c>
      <c r="S95" s="3">
        <v>0</v>
      </c>
      <c r="T95" s="9">
        <v>1990</v>
      </c>
      <c r="U95" s="9">
        <v>0</v>
      </c>
      <c r="V95" s="9">
        <v>0</v>
      </c>
      <c r="W95" s="9">
        <v>0</v>
      </c>
      <c r="X95" s="10">
        <v>0.32607863000000004</v>
      </c>
      <c r="Y95" s="11">
        <v>47609056</v>
      </c>
      <c r="Z95" s="3">
        <v>9042.11</v>
      </c>
      <c r="AA95" s="3">
        <v>1527.62</v>
      </c>
      <c r="AB95" s="3">
        <v>10.64</v>
      </c>
      <c r="AC95" s="3">
        <v>0</v>
      </c>
      <c r="AD95" s="3">
        <v>5.56</v>
      </c>
      <c r="AE95" s="34">
        <v>1</v>
      </c>
      <c r="AF95" s="33">
        <v>8897.32</v>
      </c>
      <c r="AG95" s="33">
        <v>8882.0300000000007</v>
      </c>
      <c r="AH95" s="3"/>
      <c r="AI95" s="33"/>
      <c r="AJ95" s="33"/>
      <c r="AK95" s="3"/>
      <c r="AL95" s="3"/>
    </row>
    <row r="96" spans="1:38" x14ac:dyDescent="0.2">
      <c r="A96">
        <v>277</v>
      </c>
      <c r="B96">
        <v>1</v>
      </c>
      <c r="C96" t="s">
        <v>149</v>
      </c>
      <c r="D96">
        <v>2006</v>
      </c>
      <c r="E96">
        <v>2006</v>
      </c>
      <c r="F96">
        <v>0</v>
      </c>
      <c r="G96">
        <v>0</v>
      </c>
      <c r="H96" s="3">
        <v>614.16</v>
      </c>
      <c r="I96" s="3">
        <v>338</v>
      </c>
      <c r="J96" s="3">
        <v>0</v>
      </c>
      <c r="K96" s="3">
        <v>0</v>
      </c>
      <c r="L96" s="3">
        <v>0</v>
      </c>
      <c r="M96" s="3">
        <v>26.25</v>
      </c>
      <c r="N96">
        <v>0</v>
      </c>
      <c r="O96">
        <v>0</v>
      </c>
      <c r="P96" s="3">
        <v>0</v>
      </c>
      <c r="Q96">
        <v>0</v>
      </c>
      <c r="R96">
        <v>0</v>
      </c>
      <c r="S96" s="3">
        <v>0</v>
      </c>
      <c r="T96" s="9">
        <v>1990</v>
      </c>
      <c r="U96" s="9">
        <v>1995</v>
      </c>
      <c r="V96" s="9">
        <v>0</v>
      </c>
      <c r="W96" s="9">
        <v>0</v>
      </c>
      <c r="X96" s="10">
        <v>8.0080419999999999E-2</v>
      </c>
      <c r="Y96" s="11">
        <v>18633198</v>
      </c>
      <c r="Z96" s="3">
        <v>2992.55</v>
      </c>
      <c r="AA96" s="3">
        <v>991</v>
      </c>
      <c r="AB96" s="3">
        <v>17.8</v>
      </c>
      <c r="AC96" s="3">
        <v>0</v>
      </c>
      <c r="AD96" s="3">
        <v>7.46</v>
      </c>
      <c r="AE96" s="34">
        <v>1</v>
      </c>
      <c r="AF96" s="33">
        <v>2965.84</v>
      </c>
      <c r="AG96" s="33">
        <v>2947.94</v>
      </c>
      <c r="AH96" s="3"/>
      <c r="AI96" s="33"/>
      <c r="AJ96" s="33"/>
      <c r="AK96" s="3"/>
      <c r="AL96" s="3"/>
    </row>
    <row r="97" spans="1:38" x14ac:dyDescent="0.2">
      <c r="A97">
        <v>278</v>
      </c>
      <c r="B97">
        <v>1</v>
      </c>
      <c r="C97" t="s">
        <v>150</v>
      </c>
      <c r="D97">
        <v>2006</v>
      </c>
      <c r="E97">
        <v>0</v>
      </c>
      <c r="F97">
        <v>0</v>
      </c>
      <c r="G97">
        <v>0</v>
      </c>
      <c r="H97" s="3">
        <v>1610.73</v>
      </c>
      <c r="I97" s="3">
        <v>0</v>
      </c>
      <c r="J97" s="3">
        <v>0</v>
      </c>
      <c r="K97" s="3">
        <v>0</v>
      </c>
      <c r="L97" s="3">
        <v>111.61</v>
      </c>
      <c r="M97" s="3">
        <v>56.08</v>
      </c>
      <c r="N97">
        <v>2002</v>
      </c>
      <c r="O97">
        <v>2011</v>
      </c>
      <c r="P97" s="3">
        <v>111.61</v>
      </c>
      <c r="Q97">
        <v>0</v>
      </c>
      <c r="R97">
        <v>0</v>
      </c>
      <c r="S97" s="3">
        <v>0</v>
      </c>
      <c r="T97" s="9">
        <v>1990</v>
      </c>
      <c r="U97" s="9">
        <v>0</v>
      </c>
      <c r="V97" s="9">
        <v>0</v>
      </c>
      <c r="W97" s="9">
        <v>0</v>
      </c>
      <c r="X97" s="10">
        <v>0.18801145999999999</v>
      </c>
      <c r="Y97" s="11">
        <v>19017033</v>
      </c>
      <c r="Z97" s="3">
        <v>2734.1</v>
      </c>
      <c r="AA97" s="3">
        <v>1067.5</v>
      </c>
      <c r="AB97" s="3">
        <v>44.26</v>
      </c>
      <c r="AC97" s="3">
        <v>0</v>
      </c>
      <c r="AD97" s="3">
        <v>11.19</v>
      </c>
      <c r="AE97" s="34">
        <v>1</v>
      </c>
      <c r="AF97" s="33">
        <v>2542.71</v>
      </c>
      <c r="AG97" s="33">
        <v>2535.54</v>
      </c>
      <c r="AH97" s="3"/>
      <c r="AI97" s="33"/>
      <c r="AJ97" s="33"/>
      <c r="AK97" s="3"/>
      <c r="AL97" s="3"/>
    </row>
    <row r="98" spans="1:38" x14ac:dyDescent="0.2">
      <c r="A98">
        <v>279</v>
      </c>
      <c r="B98">
        <v>1</v>
      </c>
      <c r="C98" t="s">
        <v>151</v>
      </c>
      <c r="D98">
        <v>2006</v>
      </c>
      <c r="E98">
        <v>2008</v>
      </c>
      <c r="F98">
        <v>0</v>
      </c>
      <c r="G98">
        <v>0</v>
      </c>
      <c r="H98" s="3">
        <v>231.27</v>
      </c>
      <c r="I98" s="3">
        <v>569.98</v>
      </c>
      <c r="J98" s="3">
        <v>0</v>
      </c>
      <c r="K98" s="3">
        <v>0</v>
      </c>
      <c r="L98" s="3">
        <v>130.47999999999999</v>
      </c>
      <c r="M98" s="3">
        <v>21.81</v>
      </c>
      <c r="N98">
        <v>0</v>
      </c>
      <c r="O98">
        <v>0</v>
      </c>
      <c r="P98" s="3">
        <v>0</v>
      </c>
      <c r="Q98">
        <v>0</v>
      </c>
      <c r="R98">
        <v>0</v>
      </c>
      <c r="S98" s="3">
        <v>0</v>
      </c>
      <c r="T98" s="9">
        <v>1995</v>
      </c>
      <c r="U98" s="9">
        <v>1990</v>
      </c>
      <c r="V98" s="9">
        <v>0</v>
      </c>
      <c r="W98" s="9">
        <v>0</v>
      </c>
      <c r="X98" s="10">
        <v>0</v>
      </c>
      <c r="Y98" s="11">
        <v>78934815</v>
      </c>
      <c r="Z98" s="3">
        <v>25970.83</v>
      </c>
      <c r="AA98" s="3">
        <v>991</v>
      </c>
      <c r="AB98" s="3">
        <v>0</v>
      </c>
      <c r="AC98" s="3">
        <v>19.16</v>
      </c>
      <c r="AD98" s="3">
        <v>2.4500000000000002</v>
      </c>
      <c r="AE98" s="34">
        <v>1</v>
      </c>
      <c r="AF98" s="33">
        <v>26214.080000000002</v>
      </c>
      <c r="AG98" s="33">
        <v>26066.880000000001</v>
      </c>
      <c r="AH98" s="3"/>
      <c r="AI98" s="33"/>
      <c r="AJ98" s="33"/>
      <c r="AK98" s="3"/>
      <c r="AL98" s="3"/>
    </row>
    <row r="99" spans="1:38" x14ac:dyDescent="0.2">
      <c r="A99">
        <v>280</v>
      </c>
      <c r="B99">
        <v>1</v>
      </c>
      <c r="C99" t="s">
        <v>152</v>
      </c>
      <c r="D99">
        <v>2006</v>
      </c>
      <c r="E99">
        <v>0</v>
      </c>
      <c r="F99">
        <v>0</v>
      </c>
      <c r="G99">
        <v>0</v>
      </c>
      <c r="H99" s="3">
        <v>926.83</v>
      </c>
      <c r="I99" s="3">
        <v>0</v>
      </c>
      <c r="J99" s="3">
        <v>0</v>
      </c>
      <c r="K99" s="3">
        <v>0</v>
      </c>
      <c r="L99" s="3">
        <v>0</v>
      </c>
      <c r="M99" s="3">
        <v>29.56</v>
      </c>
      <c r="N99">
        <v>0</v>
      </c>
      <c r="O99">
        <v>0</v>
      </c>
      <c r="P99" s="3">
        <v>0</v>
      </c>
      <c r="Q99">
        <v>0</v>
      </c>
      <c r="R99">
        <v>0</v>
      </c>
      <c r="S99" s="3">
        <v>0</v>
      </c>
      <c r="T99" s="9">
        <v>1990</v>
      </c>
      <c r="U99" s="9">
        <v>0</v>
      </c>
      <c r="V99" s="9">
        <v>0</v>
      </c>
      <c r="W99" s="9">
        <v>0</v>
      </c>
      <c r="X99" s="10">
        <v>0</v>
      </c>
      <c r="Y99" s="11">
        <v>28258817</v>
      </c>
      <c r="Z99" s="3">
        <v>5019.74</v>
      </c>
      <c r="AA99" s="3">
        <v>991</v>
      </c>
      <c r="AB99" s="3">
        <v>0</v>
      </c>
      <c r="AC99" s="3">
        <v>23.45</v>
      </c>
      <c r="AD99" s="3">
        <v>5.25</v>
      </c>
      <c r="AE99" s="34">
        <v>1</v>
      </c>
      <c r="AF99" s="33">
        <v>4995.34</v>
      </c>
      <c r="AG99" s="33">
        <v>4941.83</v>
      </c>
      <c r="AH99" s="3"/>
      <c r="AI99" s="33"/>
      <c r="AJ99" s="33"/>
      <c r="AK99" s="3"/>
      <c r="AL99" s="3"/>
    </row>
    <row r="100" spans="1:38" x14ac:dyDescent="0.2">
      <c r="A100">
        <v>281</v>
      </c>
      <c r="B100">
        <v>1</v>
      </c>
      <c r="C100" t="s">
        <v>153</v>
      </c>
      <c r="D100">
        <v>2002</v>
      </c>
      <c r="E100">
        <v>0</v>
      </c>
      <c r="F100">
        <v>0</v>
      </c>
      <c r="G100">
        <v>0</v>
      </c>
      <c r="H100" s="3">
        <v>842.79</v>
      </c>
      <c r="I100" s="3">
        <v>0</v>
      </c>
      <c r="J100" s="3">
        <v>0</v>
      </c>
      <c r="K100" s="3">
        <v>0</v>
      </c>
      <c r="L100" s="3">
        <v>38.119999999999997</v>
      </c>
      <c r="M100" s="3">
        <v>3.79</v>
      </c>
      <c r="N100">
        <v>0</v>
      </c>
      <c r="O100">
        <v>0</v>
      </c>
      <c r="P100" s="3">
        <v>0</v>
      </c>
      <c r="Q100">
        <v>2003</v>
      </c>
      <c r="R100">
        <v>2012</v>
      </c>
      <c r="S100" s="3">
        <v>837.38</v>
      </c>
      <c r="T100" s="9">
        <v>1990</v>
      </c>
      <c r="U100" s="9">
        <v>0</v>
      </c>
      <c r="V100" s="9">
        <v>0</v>
      </c>
      <c r="W100" s="9">
        <v>0</v>
      </c>
      <c r="X100" s="10">
        <v>0</v>
      </c>
      <c r="Y100" s="11">
        <v>71799958</v>
      </c>
      <c r="Z100" s="3">
        <v>16532.27</v>
      </c>
      <c r="AA100" s="3">
        <v>991</v>
      </c>
      <c r="AB100" s="3">
        <v>0</v>
      </c>
      <c r="AC100" s="3">
        <v>0</v>
      </c>
      <c r="AD100" s="3">
        <v>3.79</v>
      </c>
      <c r="AE100" s="34">
        <v>1</v>
      </c>
      <c r="AF100" s="33">
        <v>16162.3</v>
      </c>
      <c r="AG100" s="33">
        <v>15955.19</v>
      </c>
      <c r="AH100" s="3"/>
      <c r="AI100" s="33"/>
      <c r="AJ100" s="33"/>
      <c r="AK100" s="3"/>
      <c r="AL100" s="3"/>
    </row>
    <row r="101" spans="1:38" x14ac:dyDescent="0.2">
      <c r="A101">
        <v>282</v>
      </c>
      <c r="B101">
        <v>1</v>
      </c>
      <c r="C101" t="s">
        <v>154</v>
      </c>
      <c r="D101">
        <v>2008</v>
      </c>
      <c r="E101">
        <v>0</v>
      </c>
      <c r="F101">
        <v>0</v>
      </c>
      <c r="G101">
        <v>0</v>
      </c>
      <c r="H101" s="3">
        <v>808.06</v>
      </c>
      <c r="I101" s="3">
        <v>0</v>
      </c>
      <c r="J101" s="3">
        <v>0</v>
      </c>
      <c r="K101" s="3">
        <v>0</v>
      </c>
      <c r="L101" s="3">
        <v>0</v>
      </c>
      <c r="M101" s="3">
        <v>806.58</v>
      </c>
      <c r="N101">
        <v>0</v>
      </c>
      <c r="O101">
        <v>0</v>
      </c>
      <c r="P101" s="3">
        <v>0</v>
      </c>
      <c r="Q101">
        <v>0</v>
      </c>
      <c r="R101">
        <v>0</v>
      </c>
      <c r="S101" s="3">
        <v>0</v>
      </c>
      <c r="T101" s="9">
        <v>1990</v>
      </c>
      <c r="U101" s="9">
        <v>0</v>
      </c>
      <c r="V101" s="9">
        <v>0</v>
      </c>
      <c r="W101" s="9">
        <v>0</v>
      </c>
      <c r="X101" s="10">
        <v>0</v>
      </c>
      <c r="Y101" s="11">
        <v>6769775</v>
      </c>
      <c r="Z101" s="3">
        <v>1315</v>
      </c>
      <c r="AA101" s="3">
        <v>991</v>
      </c>
      <c r="AB101" s="3">
        <v>7.46</v>
      </c>
      <c r="AC101" s="3">
        <v>731.74</v>
      </c>
      <c r="AD101" s="3">
        <v>4.34</v>
      </c>
      <c r="AE101" s="34">
        <v>1</v>
      </c>
      <c r="AF101" s="33">
        <v>1296.5899999999999</v>
      </c>
      <c r="AG101" s="33">
        <v>1290.33</v>
      </c>
      <c r="AH101" s="3"/>
      <c r="AI101" s="33"/>
      <c r="AJ101" s="33"/>
      <c r="AK101" s="3"/>
      <c r="AL101" s="3"/>
    </row>
    <row r="102" spans="1:38" x14ac:dyDescent="0.2">
      <c r="A102">
        <v>283</v>
      </c>
      <c r="B102">
        <v>1</v>
      </c>
      <c r="C102" t="s">
        <v>155</v>
      </c>
      <c r="D102">
        <v>2006</v>
      </c>
      <c r="E102">
        <v>0</v>
      </c>
      <c r="F102">
        <v>0</v>
      </c>
      <c r="G102">
        <v>0</v>
      </c>
      <c r="H102" s="3">
        <v>1393.43</v>
      </c>
      <c r="I102" s="3">
        <v>0</v>
      </c>
      <c r="J102" s="3">
        <v>0</v>
      </c>
      <c r="K102" s="3">
        <v>0</v>
      </c>
      <c r="L102" s="3">
        <v>0</v>
      </c>
      <c r="M102" s="3">
        <v>207.08</v>
      </c>
      <c r="N102">
        <v>0</v>
      </c>
      <c r="O102">
        <v>0</v>
      </c>
      <c r="P102" s="3">
        <v>0</v>
      </c>
      <c r="Q102">
        <v>2003</v>
      </c>
      <c r="R102">
        <v>2012</v>
      </c>
      <c r="S102" s="3">
        <v>230</v>
      </c>
      <c r="T102" s="9">
        <v>1990</v>
      </c>
      <c r="U102" s="9">
        <v>0</v>
      </c>
      <c r="V102" s="9">
        <v>0</v>
      </c>
      <c r="W102" s="9">
        <v>0</v>
      </c>
      <c r="X102" s="10">
        <v>0</v>
      </c>
      <c r="Y102" s="11">
        <v>38682353</v>
      </c>
      <c r="Z102" s="3">
        <v>5024.1099999999997</v>
      </c>
      <c r="AA102" s="3">
        <v>1393.48</v>
      </c>
      <c r="AB102" s="3">
        <v>68.39</v>
      </c>
      <c r="AC102" s="3">
        <v>134.55000000000001</v>
      </c>
      <c r="AD102" s="3">
        <v>8.2100000000000009</v>
      </c>
      <c r="AE102" s="34">
        <v>1</v>
      </c>
      <c r="AF102" s="33">
        <v>5028.3</v>
      </c>
      <c r="AG102" s="33">
        <v>4964.3900000000003</v>
      </c>
      <c r="AH102" s="3"/>
      <c r="AI102" s="33"/>
      <c r="AJ102" s="33"/>
      <c r="AK102" s="3"/>
      <c r="AL102" s="3"/>
    </row>
    <row r="103" spans="1:38" x14ac:dyDescent="0.2">
      <c r="A103">
        <v>284</v>
      </c>
      <c r="B103">
        <v>1</v>
      </c>
      <c r="C103" t="s">
        <v>156</v>
      </c>
      <c r="D103">
        <v>2002</v>
      </c>
      <c r="E103">
        <v>0</v>
      </c>
      <c r="F103">
        <v>0</v>
      </c>
      <c r="G103">
        <v>0</v>
      </c>
      <c r="H103" s="3">
        <v>1129.8800000000001</v>
      </c>
      <c r="I103" s="3">
        <v>0</v>
      </c>
      <c r="J103" s="3">
        <v>0</v>
      </c>
      <c r="K103" s="3">
        <v>0</v>
      </c>
      <c r="L103" s="3">
        <v>0</v>
      </c>
      <c r="M103" s="3">
        <v>11.28</v>
      </c>
      <c r="N103">
        <v>0</v>
      </c>
      <c r="O103">
        <v>0</v>
      </c>
      <c r="P103" s="3">
        <v>0</v>
      </c>
      <c r="Q103">
        <v>2003</v>
      </c>
      <c r="R103">
        <v>2012</v>
      </c>
      <c r="S103" s="3">
        <v>837.38</v>
      </c>
      <c r="T103" s="9">
        <v>1994</v>
      </c>
      <c r="U103" s="9">
        <v>0</v>
      </c>
      <c r="V103" s="9">
        <v>0</v>
      </c>
      <c r="W103" s="9">
        <v>0</v>
      </c>
      <c r="X103" s="10">
        <v>0</v>
      </c>
      <c r="Y103" s="11">
        <v>76320131</v>
      </c>
      <c r="Z103" s="3">
        <v>10628.91</v>
      </c>
      <c r="AA103" s="3">
        <v>1067.5</v>
      </c>
      <c r="AB103" s="3">
        <v>0</v>
      </c>
      <c r="AC103" s="3">
        <v>0</v>
      </c>
      <c r="AD103" s="3">
        <v>11.28</v>
      </c>
      <c r="AE103" s="34">
        <v>1</v>
      </c>
      <c r="AF103" s="33">
        <v>10736.56</v>
      </c>
      <c r="AG103" s="33">
        <v>10699.86</v>
      </c>
      <c r="AH103" s="3"/>
      <c r="AI103" s="33"/>
      <c r="AJ103" s="33"/>
      <c r="AK103" s="3"/>
      <c r="AL103" s="3"/>
    </row>
    <row r="104" spans="1:38" x14ac:dyDescent="0.2">
      <c r="A104">
        <v>286</v>
      </c>
      <c r="B104">
        <v>1</v>
      </c>
      <c r="C104" t="s">
        <v>157</v>
      </c>
      <c r="D104">
        <v>2006</v>
      </c>
      <c r="E104">
        <v>2006</v>
      </c>
      <c r="F104">
        <v>0</v>
      </c>
      <c r="G104">
        <v>0</v>
      </c>
      <c r="H104" s="3">
        <v>505.64</v>
      </c>
      <c r="I104" s="3">
        <v>300</v>
      </c>
      <c r="J104" s="3">
        <v>0</v>
      </c>
      <c r="K104" s="3">
        <v>0</v>
      </c>
      <c r="L104" s="3">
        <v>141.41</v>
      </c>
      <c r="M104" s="3">
        <v>3.35</v>
      </c>
      <c r="N104">
        <v>0</v>
      </c>
      <c r="O104">
        <v>0</v>
      </c>
      <c r="P104" s="3">
        <v>0</v>
      </c>
      <c r="Q104">
        <v>2003</v>
      </c>
      <c r="R104">
        <v>2012</v>
      </c>
      <c r="S104" s="3">
        <v>335</v>
      </c>
      <c r="T104" s="9">
        <v>1990</v>
      </c>
      <c r="U104" s="9">
        <v>1995</v>
      </c>
      <c r="V104" s="9">
        <v>0</v>
      </c>
      <c r="W104" s="9">
        <v>0</v>
      </c>
      <c r="X104" s="10">
        <v>0.10769331</v>
      </c>
      <c r="Y104" s="11">
        <v>6254162</v>
      </c>
      <c r="Z104" s="3">
        <v>1640.7</v>
      </c>
      <c r="AA104" s="3">
        <v>991</v>
      </c>
      <c r="AB104" s="3">
        <v>0</v>
      </c>
      <c r="AC104" s="3">
        <v>0</v>
      </c>
      <c r="AD104" s="3">
        <v>3.35</v>
      </c>
      <c r="AE104" s="34">
        <v>1</v>
      </c>
      <c r="AF104" s="33">
        <v>1681.5</v>
      </c>
      <c r="AG104" s="33">
        <v>1670.85</v>
      </c>
      <c r="AH104" s="3"/>
      <c r="AI104" s="33"/>
      <c r="AJ104" s="33"/>
      <c r="AK104" s="3"/>
      <c r="AL104" s="3"/>
    </row>
    <row r="105" spans="1:38" x14ac:dyDescent="0.2">
      <c r="A105">
        <v>294</v>
      </c>
      <c r="B105">
        <v>1</v>
      </c>
      <c r="C105" t="s">
        <v>158</v>
      </c>
      <c r="D105">
        <v>2003</v>
      </c>
      <c r="E105">
        <v>2003</v>
      </c>
      <c r="F105">
        <v>0</v>
      </c>
      <c r="G105">
        <v>0</v>
      </c>
      <c r="H105" s="3">
        <v>315</v>
      </c>
      <c r="I105" s="3">
        <v>499</v>
      </c>
      <c r="J105" s="3">
        <v>0</v>
      </c>
      <c r="K105" s="3">
        <v>0</v>
      </c>
      <c r="L105" s="3">
        <v>0</v>
      </c>
      <c r="M105" s="3">
        <v>0.97</v>
      </c>
      <c r="N105">
        <v>0</v>
      </c>
      <c r="O105">
        <v>0</v>
      </c>
      <c r="P105" s="3">
        <v>0</v>
      </c>
      <c r="Q105">
        <v>2004</v>
      </c>
      <c r="R105">
        <v>2008</v>
      </c>
      <c r="S105" s="3">
        <v>837.38</v>
      </c>
      <c r="T105" s="9">
        <v>1997</v>
      </c>
      <c r="U105" s="9">
        <v>1999</v>
      </c>
      <c r="V105" s="9">
        <v>0</v>
      </c>
      <c r="W105" s="9">
        <v>0</v>
      </c>
      <c r="X105" s="10">
        <v>0</v>
      </c>
      <c r="Y105" s="11">
        <v>1089260</v>
      </c>
      <c r="Z105">
        <v>617.16</v>
      </c>
      <c r="AA105" s="3">
        <v>991</v>
      </c>
      <c r="AB105" s="3">
        <v>0</v>
      </c>
      <c r="AC105" s="3">
        <v>0</v>
      </c>
      <c r="AD105" s="3">
        <v>0.97</v>
      </c>
      <c r="AE105" s="34">
        <v>1</v>
      </c>
      <c r="AF105" s="33">
        <v>591.12</v>
      </c>
      <c r="AG105" s="33">
        <v>589.45000000000005</v>
      </c>
      <c r="AH105" s="3"/>
      <c r="AI105" s="33"/>
      <c r="AJ105" s="33"/>
      <c r="AK105" s="3"/>
      <c r="AL105" s="3"/>
    </row>
    <row r="106" spans="1:38" x14ac:dyDescent="0.2">
      <c r="A106">
        <v>297</v>
      </c>
      <c r="B106">
        <v>1</v>
      </c>
      <c r="C106" t="s">
        <v>159</v>
      </c>
      <c r="D106">
        <v>2006</v>
      </c>
      <c r="E106">
        <v>2008</v>
      </c>
      <c r="F106">
        <v>2010</v>
      </c>
      <c r="G106">
        <v>0</v>
      </c>
      <c r="H106" s="3">
        <v>215.87</v>
      </c>
      <c r="I106" s="3">
        <v>119.84</v>
      </c>
      <c r="J106" s="3">
        <v>325</v>
      </c>
      <c r="K106" s="3">
        <v>0</v>
      </c>
      <c r="L106" s="3">
        <v>0</v>
      </c>
      <c r="M106" s="3">
        <v>0</v>
      </c>
      <c r="N106">
        <v>0</v>
      </c>
      <c r="O106">
        <v>0</v>
      </c>
      <c r="P106" s="3">
        <v>0</v>
      </c>
      <c r="Q106">
        <v>2003</v>
      </c>
      <c r="R106">
        <v>2012</v>
      </c>
      <c r="S106" s="3">
        <v>588.07000000000005</v>
      </c>
      <c r="T106" s="9">
        <v>1990</v>
      </c>
      <c r="U106" s="9">
        <v>1997</v>
      </c>
      <c r="V106" s="9">
        <v>1999</v>
      </c>
      <c r="W106" s="9">
        <v>0</v>
      </c>
      <c r="X106" s="10">
        <v>8.9289430000000003E-2</v>
      </c>
      <c r="Y106" s="11">
        <v>954051</v>
      </c>
      <c r="Z106">
        <v>486.06</v>
      </c>
      <c r="AA106" s="3">
        <v>991</v>
      </c>
      <c r="AB106" s="3">
        <v>0</v>
      </c>
      <c r="AC106" s="3">
        <v>0</v>
      </c>
      <c r="AD106" s="3">
        <v>0.94</v>
      </c>
      <c r="AE106" s="34">
        <v>0</v>
      </c>
      <c r="AF106" s="33">
        <v>441.1</v>
      </c>
      <c r="AG106" s="33">
        <v>438.95</v>
      </c>
      <c r="AH106" s="3"/>
      <c r="AI106" s="33"/>
      <c r="AJ106" s="33"/>
      <c r="AK106" s="3"/>
      <c r="AL106" s="3"/>
    </row>
    <row r="107" spans="1:38" x14ac:dyDescent="0.2">
      <c r="A107">
        <v>299</v>
      </c>
      <c r="B107">
        <v>1</v>
      </c>
      <c r="C107" t="s">
        <v>160</v>
      </c>
      <c r="D107">
        <v>2004</v>
      </c>
      <c r="E107">
        <v>2004</v>
      </c>
      <c r="F107">
        <v>0</v>
      </c>
      <c r="G107">
        <v>0</v>
      </c>
      <c r="H107" s="3">
        <v>188.62</v>
      </c>
      <c r="I107" s="3">
        <v>161.38</v>
      </c>
      <c r="J107" s="3">
        <v>0</v>
      </c>
      <c r="K107" s="3">
        <v>0</v>
      </c>
      <c r="L107" s="3">
        <v>0</v>
      </c>
      <c r="M107" s="3">
        <v>0</v>
      </c>
      <c r="N107">
        <v>0</v>
      </c>
      <c r="O107">
        <v>0</v>
      </c>
      <c r="P107" s="3">
        <v>0</v>
      </c>
      <c r="Q107">
        <v>0</v>
      </c>
      <c r="R107">
        <v>0</v>
      </c>
      <c r="S107" s="3">
        <v>0</v>
      </c>
      <c r="T107" s="9">
        <v>1998</v>
      </c>
      <c r="U107" s="9">
        <v>1998</v>
      </c>
      <c r="V107" s="9">
        <v>0</v>
      </c>
      <c r="W107" s="9">
        <v>0</v>
      </c>
      <c r="X107" s="10">
        <v>0</v>
      </c>
      <c r="Y107" s="11">
        <v>2412645</v>
      </c>
      <c r="Z107" s="3">
        <v>1225.8900000000001</v>
      </c>
      <c r="AA107" s="3">
        <v>991</v>
      </c>
      <c r="AB107" s="3">
        <v>0</v>
      </c>
      <c r="AC107" s="3">
        <v>0</v>
      </c>
      <c r="AD107" s="3">
        <v>0.99</v>
      </c>
      <c r="AE107" s="34">
        <v>0</v>
      </c>
      <c r="AF107" s="33">
        <v>1170.19</v>
      </c>
      <c r="AG107" s="33">
        <v>1157.8399999999999</v>
      </c>
      <c r="AH107" s="3"/>
      <c r="AI107" s="33"/>
      <c r="AJ107" s="33"/>
      <c r="AK107" s="3"/>
      <c r="AL107" s="3"/>
    </row>
    <row r="108" spans="1:38" x14ac:dyDescent="0.2">
      <c r="A108">
        <v>300</v>
      </c>
      <c r="B108">
        <v>1</v>
      </c>
      <c r="C108" t="s">
        <v>161</v>
      </c>
      <c r="D108">
        <v>2008</v>
      </c>
      <c r="E108">
        <v>0</v>
      </c>
      <c r="F108">
        <v>0</v>
      </c>
      <c r="G108">
        <v>0</v>
      </c>
      <c r="H108" s="3">
        <v>225</v>
      </c>
      <c r="I108" s="3">
        <v>0</v>
      </c>
      <c r="J108" s="3">
        <v>0</v>
      </c>
      <c r="K108" s="3">
        <v>0</v>
      </c>
      <c r="L108" s="3">
        <v>0</v>
      </c>
      <c r="M108" s="3">
        <v>1.1000000000000001</v>
      </c>
      <c r="N108">
        <v>0</v>
      </c>
      <c r="O108">
        <v>0</v>
      </c>
      <c r="P108" s="3">
        <v>0</v>
      </c>
      <c r="Q108">
        <v>2003</v>
      </c>
      <c r="R108">
        <v>2012</v>
      </c>
      <c r="S108" s="3">
        <v>1</v>
      </c>
      <c r="T108" s="9">
        <v>1997</v>
      </c>
      <c r="U108" s="9">
        <v>0</v>
      </c>
      <c r="V108" s="9">
        <v>0</v>
      </c>
      <c r="W108" s="9">
        <v>0</v>
      </c>
      <c r="X108" s="10">
        <v>0</v>
      </c>
      <c r="Y108" s="11">
        <v>3766645</v>
      </c>
      <c r="Z108" s="3">
        <v>1852.94</v>
      </c>
      <c r="AA108" s="3">
        <v>991</v>
      </c>
      <c r="AB108" s="3">
        <v>0</v>
      </c>
      <c r="AC108" s="3">
        <v>0</v>
      </c>
      <c r="AD108" s="3">
        <v>1.1000000000000001</v>
      </c>
      <c r="AE108" s="34">
        <v>1</v>
      </c>
      <c r="AF108" s="33">
        <v>1786.21</v>
      </c>
      <c r="AG108" s="33">
        <v>1769.82</v>
      </c>
      <c r="AH108" s="3"/>
      <c r="AI108" s="33"/>
      <c r="AJ108" s="33"/>
      <c r="AK108" s="3"/>
      <c r="AL108" s="3"/>
    </row>
    <row r="109" spans="1:38" x14ac:dyDescent="0.2">
      <c r="A109">
        <v>306</v>
      </c>
      <c r="B109">
        <v>1</v>
      </c>
      <c r="C109" t="s">
        <v>162</v>
      </c>
      <c r="D109">
        <v>2006</v>
      </c>
      <c r="E109">
        <v>0</v>
      </c>
      <c r="F109">
        <v>0</v>
      </c>
      <c r="G109">
        <v>0</v>
      </c>
      <c r="H109" s="3">
        <v>382.82</v>
      </c>
      <c r="I109" s="3">
        <v>0</v>
      </c>
      <c r="J109" s="3">
        <v>0</v>
      </c>
      <c r="K109" s="3">
        <v>0</v>
      </c>
      <c r="L109" s="3">
        <v>100</v>
      </c>
      <c r="M109" s="3">
        <v>0</v>
      </c>
      <c r="N109">
        <v>0</v>
      </c>
      <c r="O109">
        <v>0</v>
      </c>
      <c r="P109" s="3">
        <v>0</v>
      </c>
      <c r="Q109">
        <v>0</v>
      </c>
      <c r="R109">
        <v>0</v>
      </c>
      <c r="S109" s="3">
        <v>0</v>
      </c>
      <c r="T109" s="9">
        <v>1990</v>
      </c>
      <c r="U109" s="9">
        <v>0</v>
      </c>
      <c r="V109" s="9">
        <v>0</v>
      </c>
      <c r="W109" s="9">
        <v>0</v>
      </c>
      <c r="X109" s="10">
        <v>0.11939204</v>
      </c>
      <c r="Y109" s="11">
        <v>797682</v>
      </c>
      <c r="Z109">
        <v>306.42</v>
      </c>
      <c r="AA109" s="3">
        <v>9999.99</v>
      </c>
      <c r="AB109" s="3">
        <v>26.76</v>
      </c>
      <c r="AC109" s="3">
        <v>0</v>
      </c>
      <c r="AD109" s="3">
        <v>2.21</v>
      </c>
      <c r="AE109" s="34">
        <v>0</v>
      </c>
      <c r="AF109" s="33">
        <v>278.70999999999998</v>
      </c>
      <c r="AG109" s="33">
        <v>275.77999999999997</v>
      </c>
      <c r="AH109" s="3"/>
      <c r="AI109" s="33"/>
      <c r="AJ109" s="33"/>
      <c r="AK109" s="3"/>
      <c r="AL109" s="3"/>
    </row>
    <row r="110" spans="1:38" x14ac:dyDescent="0.2">
      <c r="A110">
        <v>308</v>
      </c>
      <c r="B110">
        <v>1</v>
      </c>
      <c r="C110" t="s">
        <v>163</v>
      </c>
      <c r="D110">
        <v>2006</v>
      </c>
      <c r="E110">
        <v>0</v>
      </c>
      <c r="F110">
        <v>0</v>
      </c>
      <c r="G110">
        <v>0</v>
      </c>
      <c r="H110" s="3">
        <v>383.04</v>
      </c>
      <c r="I110" s="3">
        <v>0</v>
      </c>
      <c r="J110" s="3">
        <v>0</v>
      </c>
      <c r="K110" s="3">
        <v>0</v>
      </c>
      <c r="L110" s="3">
        <v>62.04</v>
      </c>
      <c r="M110" s="3">
        <v>4.8</v>
      </c>
      <c r="N110">
        <v>0</v>
      </c>
      <c r="O110">
        <v>0</v>
      </c>
      <c r="P110" s="3">
        <v>0</v>
      </c>
      <c r="Q110">
        <v>2003</v>
      </c>
      <c r="R110">
        <v>2012</v>
      </c>
      <c r="S110" s="3">
        <v>126</v>
      </c>
      <c r="T110" s="9">
        <v>1990</v>
      </c>
      <c r="U110" s="9">
        <v>0</v>
      </c>
      <c r="V110" s="9">
        <v>0</v>
      </c>
      <c r="W110" s="9">
        <v>0</v>
      </c>
      <c r="X110" s="10">
        <v>7.1704900000000002E-2</v>
      </c>
      <c r="Y110" s="11">
        <v>1908184</v>
      </c>
      <c r="Z110">
        <v>439.98</v>
      </c>
      <c r="AA110" s="3">
        <v>991</v>
      </c>
      <c r="AB110" s="3">
        <v>0</v>
      </c>
      <c r="AC110" s="3">
        <v>0</v>
      </c>
      <c r="AD110" s="3">
        <v>4.8</v>
      </c>
      <c r="AE110" s="34">
        <v>1</v>
      </c>
      <c r="AF110" s="33">
        <v>401.57</v>
      </c>
      <c r="AG110" s="33">
        <v>400.09</v>
      </c>
      <c r="AH110" s="3"/>
      <c r="AI110" s="33"/>
      <c r="AJ110" s="33"/>
      <c r="AK110" s="3"/>
      <c r="AL110" s="3"/>
    </row>
    <row r="111" spans="1:38" x14ac:dyDescent="0.2">
      <c r="A111">
        <v>309</v>
      </c>
      <c r="B111">
        <v>1</v>
      </c>
      <c r="C111" t="s">
        <v>164</v>
      </c>
      <c r="D111">
        <v>2006</v>
      </c>
      <c r="E111">
        <v>0</v>
      </c>
      <c r="F111">
        <v>0</v>
      </c>
      <c r="G111">
        <v>0</v>
      </c>
      <c r="H111" s="3">
        <v>336.26</v>
      </c>
      <c r="I111" s="3">
        <v>0</v>
      </c>
      <c r="J111" s="3">
        <v>0</v>
      </c>
      <c r="K111" s="3">
        <v>0</v>
      </c>
      <c r="L111" s="3">
        <v>21.26</v>
      </c>
      <c r="M111" s="3">
        <v>0</v>
      </c>
      <c r="N111">
        <v>0</v>
      </c>
      <c r="O111">
        <v>0</v>
      </c>
      <c r="P111" s="3">
        <v>0</v>
      </c>
      <c r="Q111">
        <v>0</v>
      </c>
      <c r="R111">
        <v>0</v>
      </c>
      <c r="S111" s="3">
        <v>0</v>
      </c>
      <c r="T111" s="9">
        <v>1995</v>
      </c>
      <c r="U111" s="9">
        <v>0</v>
      </c>
      <c r="V111" s="9">
        <v>0</v>
      </c>
      <c r="W111" s="9">
        <v>0</v>
      </c>
      <c r="X111" s="10">
        <v>0</v>
      </c>
      <c r="Y111" s="11">
        <v>7807845</v>
      </c>
      <c r="Z111" s="3">
        <v>2262.35</v>
      </c>
      <c r="AA111" s="3">
        <v>991</v>
      </c>
      <c r="AB111" s="3">
        <v>0</v>
      </c>
      <c r="AC111" s="3">
        <v>0</v>
      </c>
      <c r="AD111" s="3">
        <v>3.52</v>
      </c>
      <c r="AE111" s="34">
        <v>0</v>
      </c>
      <c r="AF111" s="33">
        <v>2121.61</v>
      </c>
      <c r="AG111" s="33">
        <v>2115.94</v>
      </c>
      <c r="AH111" s="3"/>
      <c r="AI111" s="33"/>
      <c r="AJ111" s="33"/>
      <c r="AK111" s="3"/>
      <c r="AL111" s="3"/>
    </row>
    <row r="112" spans="1:38" x14ac:dyDescent="0.2">
      <c r="A112">
        <v>314</v>
      </c>
      <c r="B112">
        <v>1</v>
      </c>
      <c r="C112" t="s">
        <v>165</v>
      </c>
      <c r="D112">
        <v>2006</v>
      </c>
      <c r="E112">
        <v>0</v>
      </c>
      <c r="F112">
        <v>0</v>
      </c>
      <c r="G112">
        <v>0</v>
      </c>
      <c r="H112" s="3">
        <v>415</v>
      </c>
      <c r="I112" s="3">
        <v>0</v>
      </c>
      <c r="J112" s="3">
        <v>0</v>
      </c>
      <c r="K112" s="3">
        <v>0</v>
      </c>
      <c r="L112" s="3">
        <v>0</v>
      </c>
      <c r="M112" s="3">
        <v>0.76</v>
      </c>
      <c r="N112">
        <v>0</v>
      </c>
      <c r="O112">
        <v>0</v>
      </c>
      <c r="P112" s="3">
        <v>0</v>
      </c>
      <c r="Q112">
        <v>2003</v>
      </c>
      <c r="R112">
        <v>2008</v>
      </c>
      <c r="S112" s="3">
        <v>295</v>
      </c>
      <c r="T112" s="9">
        <v>1999</v>
      </c>
      <c r="U112" s="9">
        <v>0</v>
      </c>
      <c r="V112" s="9">
        <v>0</v>
      </c>
      <c r="W112" s="9">
        <v>0</v>
      </c>
      <c r="X112" s="10">
        <v>0</v>
      </c>
      <c r="Y112" s="11">
        <v>1693661</v>
      </c>
      <c r="Z112" s="3">
        <v>1226.76</v>
      </c>
      <c r="AA112" s="3">
        <v>991</v>
      </c>
      <c r="AB112" s="3">
        <v>0</v>
      </c>
      <c r="AC112" s="3">
        <v>0</v>
      </c>
      <c r="AD112" s="3">
        <v>0.76</v>
      </c>
      <c r="AE112" s="34">
        <v>1</v>
      </c>
      <c r="AF112" s="33">
        <v>1203.26</v>
      </c>
      <c r="AG112" s="33">
        <v>1195.1500000000001</v>
      </c>
      <c r="AH112" s="3"/>
      <c r="AI112" s="33"/>
      <c r="AJ112" s="33"/>
      <c r="AK112" s="3"/>
      <c r="AL112" s="3"/>
    </row>
    <row r="113" spans="1:38" x14ac:dyDescent="0.2">
      <c r="A113">
        <v>316</v>
      </c>
      <c r="B113">
        <v>1</v>
      </c>
      <c r="C113" t="s">
        <v>166</v>
      </c>
      <c r="D113">
        <v>2004</v>
      </c>
      <c r="E113">
        <v>2005</v>
      </c>
      <c r="F113">
        <v>2008</v>
      </c>
      <c r="G113">
        <v>2009</v>
      </c>
      <c r="H113" s="3">
        <v>133.1</v>
      </c>
      <c r="I113" s="3">
        <v>50.1</v>
      </c>
      <c r="J113" s="3">
        <v>44.21</v>
      </c>
      <c r="K113" s="3">
        <v>336.11</v>
      </c>
      <c r="L113" s="3">
        <v>0</v>
      </c>
      <c r="M113" s="3">
        <v>7.45</v>
      </c>
      <c r="N113">
        <v>2002</v>
      </c>
      <c r="O113">
        <v>2011</v>
      </c>
      <c r="P113" s="3">
        <v>427.7</v>
      </c>
      <c r="Q113">
        <v>0</v>
      </c>
      <c r="R113">
        <v>0</v>
      </c>
      <c r="S113" s="3">
        <v>0</v>
      </c>
      <c r="T113" s="9">
        <v>1998</v>
      </c>
      <c r="U113" s="9">
        <v>1997</v>
      </c>
      <c r="V113" s="9">
        <v>1990</v>
      </c>
      <c r="W113" s="9">
        <v>1997</v>
      </c>
      <c r="X113" s="10">
        <v>2.465094E-2</v>
      </c>
      <c r="Y113" s="11">
        <v>2538203</v>
      </c>
      <c r="Z113" s="3">
        <v>1743.34</v>
      </c>
      <c r="AA113" s="3">
        <v>991</v>
      </c>
      <c r="AB113" s="3">
        <v>5.18</v>
      </c>
      <c r="AC113" s="3">
        <v>0</v>
      </c>
      <c r="AD113" s="3">
        <v>0.83</v>
      </c>
      <c r="AE113" s="34">
        <v>1</v>
      </c>
      <c r="AF113" s="33">
        <v>1578.02</v>
      </c>
      <c r="AG113" s="33">
        <v>1573.36</v>
      </c>
      <c r="AH113" s="3"/>
      <c r="AI113" s="33"/>
      <c r="AJ113" s="33"/>
      <c r="AK113" s="3"/>
      <c r="AL113" s="3"/>
    </row>
    <row r="114" spans="1:38" x14ac:dyDescent="0.2">
      <c r="A114">
        <v>317</v>
      </c>
      <c r="B114">
        <v>1</v>
      </c>
      <c r="C114" t="s">
        <v>167</v>
      </c>
      <c r="D114">
        <v>2008</v>
      </c>
      <c r="E114">
        <v>0</v>
      </c>
      <c r="F114">
        <v>0</v>
      </c>
      <c r="G114">
        <v>0</v>
      </c>
      <c r="H114" s="3">
        <v>315</v>
      </c>
      <c r="I114" s="3">
        <v>0</v>
      </c>
      <c r="J114" s="3">
        <v>0</v>
      </c>
      <c r="K114" s="3">
        <v>0</v>
      </c>
      <c r="L114" s="3">
        <v>0</v>
      </c>
      <c r="M114" s="3">
        <v>57.76</v>
      </c>
      <c r="N114">
        <v>0</v>
      </c>
      <c r="O114">
        <v>0</v>
      </c>
      <c r="P114" s="3">
        <v>0</v>
      </c>
      <c r="Q114">
        <v>0</v>
      </c>
      <c r="R114">
        <v>0</v>
      </c>
      <c r="S114" s="3">
        <v>0</v>
      </c>
      <c r="T114" s="9">
        <v>1997</v>
      </c>
      <c r="U114" s="9">
        <v>0</v>
      </c>
      <c r="V114" s="9">
        <v>0</v>
      </c>
      <c r="W114" s="9">
        <v>0</v>
      </c>
      <c r="X114" s="10">
        <v>0</v>
      </c>
      <c r="Y114" s="11">
        <v>3744105</v>
      </c>
      <c r="Z114" s="3">
        <v>1300.28</v>
      </c>
      <c r="AA114" s="3">
        <v>9999.99</v>
      </c>
      <c r="AB114" s="3">
        <v>53.66</v>
      </c>
      <c r="AC114" s="3">
        <v>0</v>
      </c>
      <c r="AD114" s="3">
        <v>2.97</v>
      </c>
      <c r="AE114" s="34">
        <v>1</v>
      </c>
      <c r="AF114" s="33">
        <v>1223.06</v>
      </c>
      <c r="AG114" s="33">
        <v>1220.9100000000001</v>
      </c>
      <c r="AH114" s="3"/>
      <c r="AI114" s="33"/>
      <c r="AJ114" s="33"/>
      <c r="AK114" s="3"/>
      <c r="AL114" s="3"/>
    </row>
    <row r="115" spans="1:38" x14ac:dyDescent="0.2">
      <c r="A115">
        <v>318</v>
      </c>
      <c r="B115">
        <v>1</v>
      </c>
      <c r="C115" t="s">
        <v>168</v>
      </c>
      <c r="D115">
        <v>2006</v>
      </c>
      <c r="E115">
        <v>2008</v>
      </c>
      <c r="F115">
        <v>0</v>
      </c>
      <c r="G115">
        <v>0</v>
      </c>
      <c r="H115" s="3">
        <v>218.28</v>
      </c>
      <c r="I115" s="3">
        <v>72.760000000000005</v>
      </c>
      <c r="J115" s="3">
        <v>0</v>
      </c>
      <c r="K115" s="3">
        <v>0</v>
      </c>
      <c r="L115" s="3">
        <v>100</v>
      </c>
      <c r="M115" s="3">
        <v>12.57</v>
      </c>
      <c r="N115">
        <v>0</v>
      </c>
      <c r="O115">
        <v>0</v>
      </c>
      <c r="P115" s="3">
        <v>0</v>
      </c>
      <c r="Q115">
        <v>0</v>
      </c>
      <c r="R115">
        <v>0</v>
      </c>
      <c r="S115" s="3">
        <v>0</v>
      </c>
      <c r="T115" s="9">
        <v>1990</v>
      </c>
      <c r="U115" s="9">
        <v>1990</v>
      </c>
      <c r="V115" s="9">
        <v>0</v>
      </c>
      <c r="W115" s="9">
        <v>0</v>
      </c>
      <c r="X115" s="10">
        <v>4.7718719999999999E-2</v>
      </c>
      <c r="Y115" s="11">
        <v>24913707</v>
      </c>
      <c r="Z115" s="3">
        <v>5031.29</v>
      </c>
      <c r="AA115" s="3">
        <v>9999.99</v>
      </c>
      <c r="AB115" s="3">
        <v>2.4500000000000002</v>
      </c>
      <c r="AC115" s="3">
        <v>0</v>
      </c>
      <c r="AD115" s="3">
        <v>5.94</v>
      </c>
      <c r="AE115" s="34">
        <v>1</v>
      </c>
      <c r="AF115" s="33">
        <v>4655.91</v>
      </c>
      <c r="AG115" s="33">
        <v>4621.3500000000004</v>
      </c>
      <c r="AH115" s="3"/>
      <c r="AI115" s="33"/>
      <c r="AJ115" s="33"/>
      <c r="AK115" s="3"/>
      <c r="AL115" s="3"/>
    </row>
    <row r="116" spans="1:38" x14ac:dyDescent="0.2">
      <c r="A116">
        <v>319</v>
      </c>
      <c r="B116">
        <v>1</v>
      </c>
      <c r="C116" t="s">
        <v>169</v>
      </c>
      <c r="D116">
        <v>2006</v>
      </c>
      <c r="E116">
        <v>2009</v>
      </c>
      <c r="F116">
        <v>0</v>
      </c>
      <c r="G116">
        <v>0</v>
      </c>
      <c r="H116" s="3">
        <v>46.25</v>
      </c>
      <c r="I116" s="3">
        <v>309.01</v>
      </c>
      <c r="J116" s="3">
        <v>0</v>
      </c>
      <c r="K116" s="3">
        <v>0</v>
      </c>
      <c r="L116" s="3">
        <v>0</v>
      </c>
      <c r="M116" s="3">
        <v>178.43</v>
      </c>
      <c r="N116">
        <v>0</v>
      </c>
      <c r="O116">
        <v>0</v>
      </c>
      <c r="P116" s="3">
        <v>0</v>
      </c>
      <c r="Q116">
        <v>0</v>
      </c>
      <c r="R116">
        <v>0</v>
      </c>
      <c r="S116" s="3">
        <v>0</v>
      </c>
      <c r="T116" s="9">
        <v>1990</v>
      </c>
      <c r="U116" s="9">
        <v>1998</v>
      </c>
      <c r="V116" s="9">
        <v>0</v>
      </c>
      <c r="W116" s="9">
        <v>0</v>
      </c>
      <c r="X116" s="10">
        <v>2.3635440000000001E-2</v>
      </c>
      <c r="Y116" s="11">
        <v>1309443</v>
      </c>
      <c r="Z116">
        <v>824.18</v>
      </c>
      <c r="AA116" s="3">
        <v>9999.99</v>
      </c>
      <c r="AB116" s="3">
        <v>62.5</v>
      </c>
      <c r="AC116" s="3">
        <v>112.82</v>
      </c>
      <c r="AD116" s="3">
        <v>1.04</v>
      </c>
      <c r="AE116" s="34">
        <v>1</v>
      </c>
      <c r="AF116" s="33">
        <v>784.62</v>
      </c>
      <c r="AG116" s="33">
        <v>781.51</v>
      </c>
      <c r="AH116" s="3"/>
      <c r="AI116" s="33"/>
      <c r="AJ116" s="33"/>
      <c r="AK116" s="3"/>
      <c r="AL116" s="3"/>
    </row>
    <row r="117" spans="1:38" x14ac:dyDescent="0.2">
      <c r="A117">
        <v>323</v>
      </c>
      <c r="B117">
        <v>2</v>
      </c>
      <c r="C117" t="s">
        <v>170</v>
      </c>
      <c r="D117">
        <v>2006</v>
      </c>
      <c r="E117">
        <v>0</v>
      </c>
      <c r="F117">
        <v>0</v>
      </c>
      <c r="G117">
        <v>0</v>
      </c>
      <c r="H117" s="3">
        <v>813</v>
      </c>
      <c r="I117" s="3">
        <v>0</v>
      </c>
      <c r="J117" s="3">
        <v>0</v>
      </c>
      <c r="K117" s="3">
        <v>0</v>
      </c>
      <c r="L117" s="3">
        <v>100</v>
      </c>
      <c r="M117" s="3">
        <v>277.73</v>
      </c>
      <c r="N117">
        <v>0</v>
      </c>
      <c r="O117">
        <v>0</v>
      </c>
      <c r="P117" s="3">
        <v>0</v>
      </c>
      <c r="Q117">
        <v>2003</v>
      </c>
      <c r="R117">
        <v>2006</v>
      </c>
      <c r="S117" s="3">
        <v>300</v>
      </c>
      <c r="T117" s="9">
        <v>1990</v>
      </c>
      <c r="U117" s="9">
        <v>0</v>
      </c>
      <c r="V117" s="9">
        <v>0</v>
      </c>
      <c r="W117" s="9">
        <v>0</v>
      </c>
      <c r="X117" s="10">
        <v>0.37669845000000002</v>
      </c>
      <c r="Y117" s="11">
        <v>100787</v>
      </c>
      <c r="Z117">
        <v>57.52</v>
      </c>
      <c r="AA117" s="3">
        <v>991</v>
      </c>
      <c r="AB117" s="3">
        <v>307.73</v>
      </c>
      <c r="AC117" s="3">
        <v>0</v>
      </c>
      <c r="AD117" s="3">
        <v>1.1200000000000001</v>
      </c>
      <c r="AE117" s="34">
        <v>1</v>
      </c>
      <c r="AF117" s="33">
        <v>56.59</v>
      </c>
      <c r="AG117" s="33">
        <v>56.59</v>
      </c>
      <c r="AH117" s="3"/>
      <c r="AI117" s="33"/>
      <c r="AJ117" s="33"/>
      <c r="AK117" s="3"/>
      <c r="AL117" s="3"/>
    </row>
    <row r="118" spans="1:38" x14ac:dyDescent="0.2">
      <c r="A118">
        <v>330</v>
      </c>
      <c r="B118">
        <v>1</v>
      </c>
      <c r="C118" t="s">
        <v>171</v>
      </c>
      <c r="D118">
        <v>2006</v>
      </c>
      <c r="E118">
        <v>0</v>
      </c>
      <c r="F118">
        <v>0</v>
      </c>
      <c r="G118">
        <v>0</v>
      </c>
      <c r="H118" s="3">
        <v>731.78</v>
      </c>
      <c r="I118" s="3">
        <v>0</v>
      </c>
      <c r="J118" s="3">
        <v>0</v>
      </c>
      <c r="K118" s="3">
        <v>0</v>
      </c>
      <c r="L118" s="3">
        <v>113.23</v>
      </c>
      <c r="M118" s="3">
        <v>15.36</v>
      </c>
      <c r="N118">
        <v>0</v>
      </c>
      <c r="O118">
        <v>0</v>
      </c>
      <c r="P118" s="3">
        <v>0</v>
      </c>
      <c r="Q118">
        <v>2003</v>
      </c>
      <c r="R118">
        <v>2012</v>
      </c>
      <c r="S118" s="3">
        <v>585.63</v>
      </c>
      <c r="T118" s="9">
        <v>1990</v>
      </c>
      <c r="U118" s="9">
        <v>0</v>
      </c>
      <c r="V118" s="9">
        <v>0</v>
      </c>
      <c r="W118" s="9">
        <v>0</v>
      </c>
      <c r="X118" s="10">
        <v>0.13561625999999999</v>
      </c>
      <c r="Y118" s="11">
        <v>1625514</v>
      </c>
      <c r="Z118">
        <v>371.05</v>
      </c>
      <c r="AA118" s="3">
        <v>9999.99</v>
      </c>
      <c r="AB118" s="3">
        <v>2.86</v>
      </c>
      <c r="AC118" s="3">
        <v>0</v>
      </c>
      <c r="AD118" s="3">
        <v>2.75</v>
      </c>
      <c r="AE118" s="34">
        <v>1</v>
      </c>
      <c r="AF118" s="33">
        <v>353.32</v>
      </c>
      <c r="AG118" s="33">
        <v>352.36</v>
      </c>
      <c r="AH118" s="3"/>
      <c r="AI118" s="33"/>
      <c r="AJ118" s="33"/>
      <c r="AK118" s="3"/>
      <c r="AL118" s="3"/>
    </row>
    <row r="119" spans="1:38" x14ac:dyDescent="0.2">
      <c r="A119">
        <v>332</v>
      </c>
      <c r="B119">
        <v>1</v>
      </c>
      <c r="C119" t="s">
        <v>172</v>
      </c>
      <c r="D119">
        <v>0</v>
      </c>
      <c r="E119">
        <v>0</v>
      </c>
      <c r="F119">
        <v>0</v>
      </c>
      <c r="G119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>
        <v>0</v>
      </c>
      <c r="O119">
        <v>0</v>
      </c>
      <c r="P119" s="3">
        <v>0</v>
      </c>
      <c r="Q119">
        <v>2003</v>
      </c>
      <c r="R119">
        <v>2010</v>
      </c>
      <c r="S119" s="3">
        <v>126</v>
      </c>
      <c r="T119" s="9">
        <v>0</v>
      </c>
      <c r="U119" s="9">
        <v>0</v>
      </c>
      <c r="V119" s="9">
        <v>0</v>
      </c>
      <c r="W119" s="9">
        <v>0</v>
      </c>
      <c r="X119" s="10">
        <v>0</v>
      </c>
      <c r="Y119" s="11">
        <v>3728853</v>
      </c>
      <c r="Z119" s="3">
        <v>2269.5500000000002</v>
      </c>
      <c r="AA119" s="3">
        <v>991</v>
      </c>
      <c r="AB119" s="3">
        <v>0</v>
      </c>
      <c r="AC119" s="3">
        <v>0</v>
      </c>
      <c r="AD119" s="3">
        <v>0.96</v>
      </c>
      <c r="AE119" s="34">
        <v>0</v>
      </c>
      <c r="AF119" s="33">
        <v>2112.59</v>
      </c>
      <c r="AG119" s="33">
        <v>2109.04</v>
      </c>
      <c r="AH119" s="3"/>
      <c r="AI119" s="33"/>
      <c r="AJ119" s="33"/>
      <c r="AK119" s="3"/>
      <c r="AL119" s="3"/>
    </row>
    <row r="120" spans="1:38" x14ac:dyDescent="0.2">
      <c r="A120">
        <v>333</v>
      </c>
      <c r="B120">
        <v>1</v>
      </c>
      <c r="C120" t="s">
        <v>173</v>
      </c>
      <c r="D120">
        <v>2005</v>
      </c>
      <c r="E120">
        <v>0</v>
      </c>
      <c r="F120">
        <v>0</v>
      </c>
      <c r="G120">
        <v>0</v>
      </c>
      <c r="H120" s="3">
        <v>415</v>
      </c>
      <c r="I120" s="3">
        <v>0</v>
      </c>
      <c r="J120" s="3">
        <v>0</v>
      </c>
      <c r="K120" s="3">
        <v>0</v>
      </c>
      <c r="L120" s="3">
        <v>0</v>
      </c>
      <c r="M120" s="3">
        <v>0.52</v>
      </c>
      <c r="N120">
        <v>0</v>
      </c>
      <c r="O120">
        <v>0</v>
      </c>
      <c r="P120" s="3">
        <v>0</v>
      </c>
      <c r="Q120">
        <v>0</v>
      </c>
      <c r="R120">
        <v>0</v>
      </c>
      <c r="S120" s="3">
        <v>0</v>
      </c>
      <c r="T120" s="9">
        <v>1999</v>
      </c>
      <c r="U120" s="9">
        <v>0</v>
      </c>
      <c r="V120" s="9">
        <v>0</v>
      </c>
      <c r="W120" s="9">
        <v>0</v>
      </c>
      <c r="X120" s="10">
        <v>0</v>
      </c>
      <c r="Y120" s="11">
        <v>898621</v>
      </c>
      <c r="Z120">
        <v>896.24</v>
      </c>
      <c r="AA120" s="3">
        <v>991</v>
      </c>
      <c r="AB120" s="3">
        <v>0</v>
      </c>
      <c r="AC120" s="3">
        <v>0</v>
      </c>
      <c r="AD120" s="3">
        <v>0.52</v>
      </c>
      <c r="AE120" s="34">
        <v>1</v>
      </c>
      <c r="AF120" s="33">
        <v>863.59</v>
      </c>
      <c r="AG120" s="33">
        <v>860.95</v>
      </c>
      <c r="AH120" s="3"/>
      <c r="AI120" s="33"/>
      <c r="AJ120" s="33"/>
      <c r="AK120" s="3"/>
      <c r="AL120" s="3"/>
    </row>
    <row r="121" spans="1:38" x14ac:dyDescent="0.2">
      <c r="A121">
        <v>345</v>
      </c>
      <c r="B121">
        <v>1</v>
      </c>
      <c r="C121" t="s">
        <v>174</v>
      </c>
      <c r="D121">
        <v>2004</v>
      </c>
      <c r="E121">
        <v>0</v>
      </c>
      <c r="F121">
        <v>0</v>
      </c>
      <c r="G121">
        <v>0</v>
      </c>
      <c r="H121" s="3">
        <v>315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>
        <v>0</v>
      </c>
      <c r="O121">
        <v>0</v>
      </c>
      <c r="P121" s="3">
        <v>0</v>
      </c>
      <c r="Q121">
        <v>0</v>
      </c>
      <c r="R121">
        <v>0</v>
      </c>
      <c r="S121" s="3">
        <v>0</v>
      </c>
      <c r="T121" s="9">
        <v>1996</v>
      </c>
      <c r="U121" s="9">
        <v>0</v>
      </c>
      <c r="V121" s="9">
        <v>0</v>
      </c>
      <c r="W121" s="9">
        <v>0</v>
      </c>
      <c r="X121" s="10">
        <v>0</v>
      </c>
      <c r="Y121" s="11">
        <v>5515588</v>
      </c>
      <c r="Z121" s="3">
        <v>1974.98</v>
      </c>
      <c r="AA121" s="3">
        <v>991</v>
      </c>
      <c r="AB121" s="3">
        <v>5.17</v>
      </c>
      <c r="AC121" s="3">
        <v>0</v>
      </c>
      <c r="AD121" s="3">
        <v>2.06</v>
      </c>
      <c r="AE121" s="34">
        <v>0</v>
      </c>
      <c r="AF121" s="33">
        <v>1848.41</v>
      </c>
      <c r="AG121" s="33">
        <v>1835.06</v>
      </c>
      <c r="AH121" s="3"/>
      <c r="AI121" s="33"/>
      <c r="AJ121" s="33"/>
      <c r="AK121" s="3"/>
      <c r="AL121" s="3"/>
    </row>
    <row r="122" spans="1:38" x14ac:dyDescent="0.2">
      <c r="A122">
        <v>347</v>
      </c>
      <c r="B122">
        <v>1</v>
      </c>
      <c r="C122" t="s">
        <v>175</v>
      </c>
      <c r="D122">
        <v>2003</v>
      </c>
      <c r="E122">
        <v>0</v>
      </c>
      <c r="F122">
        <v>0</v>
      </c>
      <c r="G122">
        <v>0</v>
      </c>
      <c r="H122" s="3">
        <v>315</v>
      </c>
      <c r="I122" s="3">
        <v>0</v>
      </c>
      <c r="J122" s="3">
        <v>0</v>
      </c>
      <c r="K122" s="3">
        <v>0</v>
      </c>
      <c r="L122" s="3">
        <v>0</v>
      </c>
      <c r="M122" s="3">
        <v>6.97</v>
      </c>
      <c r="N122">
        <v>0</v>
      </c>
      <c r="O122">
        <v>0</v>
      </c>
      <c r="P122" s="3">
        <v>0</v>
      </c>
      <c r="Q122">
        <v>2003</v>
      </c>
      <c r="R122">
        <v>2012</v>
      </c>
      <c r="S122" s="3">
        <v>495</v>
      </c>
      <c r="T122" s="9">
        <v>1997</v>
      </c>
      <c r="U122" s="9">
        <v>0</v>
      </c>
      <c r="V122" s="9">
        <v>0</v>
      </c>
      <c r="W122" s="9">
        <v>0</v>
      </c>
      <c r="X122" s="10">
        <v>0</v>
      </c>
      <c r="Y122" s="11">
        <v>12731996</v>
      </c>
      <c r="Z122" s="3">
        <v>5121.9799999999996</v>
      </c>
      <c r="AA122" s="3">
        <v>991</v>
      </c>
      <c r="AB122" s="3">
        <v>5.97</v>
      </c>
      <c r="AC122" s="3">
        <v>0</v>
      </c>
      <c r="AD122" s="3">
        <v>1.77</v>
      </c>
      <c r="AE122" s="34">
        <v>1</v>
      </c>
      <c r="AF122" s="33">
        <v>4862.4399999999996</v>
      </c>
      <c r="AG122" s="33">
        <v>4828.4399999999996</v>
      </c>
      <c r="AH122" s="3"/>
      <c r="AI122" s="33"/>
      <c r="AJ122" s="33"/>
      <c r="AK122" s="3"/>
      <c r="AL122" s="3"/>
    </row>
    <row r="123" spans="1:38" x14ac:dyDescent="0.2">
      <c r="A123">
        <v>356</v>
      </c>
      <c r="B123">
        <v>1</v>
      </c>
      <c r="C123" t="s">
        <v>176</v>
      </c>
      <c r="D123">
        <v>2008</v>
      </c>
      <c r="E123">
        <v>0</v>
      </c>
      <c r="F123">
        <v>0</v>
      </c>
      <c r="G123">
        <v>0</v>
      </c>
      <c r="H123" s="3">
        <v>1474.01</v>
      </c>
      <c r="I123" s="3">
        <v>0</v>
      </c>
      <c r="J123" s="3">
        <v>0</v>
      </c>
      <c r="K123" s="3">
        <v>0</v>
      </c>
      <c r="L123" s="3">
        <v>117.11</v>
      </c>
      <c r="M123" s="3">
        <v>54.65</v>
      </c>
      <c r="N123">
        <v>0</v>
      </c>
      <c r="O123">
        <v>0</v>
      </c>
      <c r="P123" s="3">
        <v>0</v>
      </c>
      <c r="Q123">
        <v>0</v>
      </c>
      <c r="R123">
        <v>0</v>
      </c>
      <c r="S123" s="3">
        <v>0</v>
      </c>
      <c r="T123" s="9">
        <v>1990</v>
      </c>
      <c r="U123" s="9">
        <v>0</v>
      </c>
      <c r="V123" s="9">
        <v>0</v>
      </c>
      <c r="W123" s="9">
        <v>0</v>
      </c>
      <c r="X123" s="10">
        <v>0.51461314999999996</v>
      </c>
      <c r="Y123" s="11">
        <v>529648</v>
      </c>
      <c r="Z123">
        <v>227.76</v>
      </c>
      <c r="AA123" s="3">
        <v>9999.99</v>
      </c>
      <c r="AB123" s="3">
        <v>61.77</v>
      </c>
      <c r="AC123" s="3">
        <v>0</v>
      </c>
      <c r="AD123" s="3">
        <v>1.66</v>
      </c>
      <c r="AE123" s="34">
        <v>1</v>
      </c>
      <c r="AF123" s="33">
        <v>194.07</v>
      </c>
      <c r="AG123" s="33">
        <v>193.35</v>
      </c>
      <c r="AH123" s="3"/>
      <c r="AI123" s="33"/>
      <c r="AJ123" s="33"/>
      <c r="AK123" s="3"/>
      <c r="AL123" s="3"/>
    </row>
    <row r="124" spans="1:38" x14ac:dyDescent="0.2">
      <c r="A124">
        <v>361</v>
      </c>
      <c r="B124">
        <v>1</v>
      </c>
      <c r="C124" t="s">
        <v>177</v>
      </c>
      <c r="D124">
        <v>2005</v>
      </c>
      <c r="E124">
        <v>0</v>
      </c>
      <c r="F124">
        <v>0</v>
      </c>
      <c r="G124">
        <v>0</v>
      </c>
      <c r="H124" s="3">
        <v>407.2</v>
      </c>
      <c r="I124" s="3">
        <v>0</v>
      </c>
      <c r="J124" s="3">
        <v>0</v>
      </c>
      <c r="K124" s="3">
        <v>0</v>
      </c>
      <c r="L124" s="3">
        <v>86.11</v>
      </c>
      <c r="M124" s="3">
        <v>90.4</v>
      </c>
      <c r="N124">
        <v>0</v>
      </c>
      <c r="O124">
        <v>0</v>
      </c>
      <c r="P124" s="3">
        <v>0</v>
      </c>
      <c r="Q124">
        <v>2003</v>
      </c>
      <c r="R124">
        <v>2012</v>
      </c>
      <c r="S124" s="3">
        <v>560</v>
      </c>
      <c r="T124" s="9">
        <v>1994</v>
      </c>
      <c r="U124" s="9">
        <v>0</v>
      </c>
      <c r="V124" s="9">
        <v>0</v>
      </c>
      <c r="W124" s="9">
        <v>0</v>
      </c>
      <c r="X124" s="10">
        <v>0</v>
      </c>
      <c r="Y124" s="11">
        <v>6252380</v>
      </c>
      <c r="Z124" s="3">
        <v>1983.44</v>
      </c>
      <c r="AA124" s="3">
        <v>991</v>
      </c>
      <c r="AB124" s="3">
        <v>28.88</v>
      </c>
      <c r="AC124" s="3">
        <v>56.08</v>
      </c>
      <c r="AD124" s="3">
        <v>2.77</v>
      </c>
      <c r="AE124" s="34">
        <v>1</v>
      </c>
      <c r="AF124" s="33">
        <v>1824.81</v>
      </c>
      <c r="AG124" s="33">
        <v>1800.71</v>
      </c>
      <c r="AH124" s="3"/>
      <c r="AI124" s="33"/>
      <c r="AJ124" s="33"/>
      <c r="AK124" s="3"/>
      <c r="AL124" s="3"/>
    </row>
    <row r="125" spans="1:38" x14ac:dyDescent="0.2">
      <c r="A125">
        <v>362</v>
      </c>
      <c r="B125">
        <v>1</v>
      </c>
      <c r="C125" t="s">
        <v>178</v>
      </c>
      <c r="D125">
        <v>0</v>
      </c>
      <c r="E125">
        <v>0</v>
      </c>
      <c r="F125">
        <v>0</v>
      </c>
      <c r="G125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>
        <v>0</v>
      </c>
      <c r="O125">
        <v>0</v>
      </c>
      <c r="P125" s="3">
        <v>0</v>
      </c>
      <c r="Q125">
        <v>2003</v>
      </c>
      <c r="R125">
        <v>2012</v>
      </c>
      <c r="S125" s="3">
        <v>1</v>
      </c>
      <c r="T125" s="9">
        <v>0</v>
      </c>
      <c r="U125" s="9">
        <v>0</v>
      </c>
      <c r="V125" s="9">
        <v>0</v>
      </c>
      <c r="W125" s="9">
        <v>0</v>
      </c>
      <c r="X125" s="10">
        <v>0</v>
      </c>
      <c r="Y125" s="11">
        <v>623720</v>
      </c>
      <c r="Z125">
        <v>380.18</v>
      </c>
      <c r="AA125" s="3">
        <v>9999.99</v>
      </c>
      <c r="AB125" s="3">
        <v>0.7</v>
      </c>
      <c r="AC125" s="3">
        <v>0</v>
      </c>
      <c r="AD125" s="3">
        <v>1.22</v>
      </c>
      <c r="AE125" s="34">
        <v>0</v>
      </c>
      <c r="AF125" s="33">
        <v>339.89</v>
      </c>
      <c r="AG125" s="33">
        <v>338.42</v>
      </c>
      <c r="AH125" s="3"/>
      <c r="AI125" s="33"/>
      <c r="AJ125" s="33"/>
      <c r="AK125" s="3"/>
      <c r="AL125" s="3"/>
    </row>
    <row r="126" spans="1:38" x14ac:dyDescent="0.2">
      <c r="A126">
        <v>363</v>
      </c>
      <c r="B126">
        <v>1</v>
      </c>
      <c r="C126" t="s">
        <v>179</v>
      </c>
      <c r="D126">
        <v>0</v>
      </c>
      <c r="E126">
        <v>0</v>
      </c>
      <c r="F126">
        <v>0</v>
      </c>
      <c r="G126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>
        <v>0</v>
      </c>
      <c r="O126">
        <v>0</v>
      </c>
      <c r="P126" s="3">
        <v>0</v>
      </c>
      <c r="Q126">
        <v>2004</v>
      </c>
      <c r="R126">
        <v>2013</v>
      </c>
      <c r="S126" s="3">
        <v>1</v>
      </c>
      <c r="T126" s="9">
        <v>0</v>
      </c>
      <c r="U126" s="9">
        <v>0</v>
      </c>
      <c r="V126" s="9">
        <v>0</v>
      </c>
      <c r="W126" s="9">
        <v>0</v>
      </c>
      <c r="X126" s="10">
        <v>0</v>
      </c>
      <c r="Y126" s="11">
        <v>422220</v>
      </c>
      <c r="Z126">
        <v>327.08999999999997</v>
      </c>
      <c r="AA126" s="3">
        <v>9999.99</v>
      </c>
      <c r="AB126" s="3">
        <v>22.06</v>
      </c>
      <c r="AC126" s="3">
        <v>0</v>
      </c>
      <c r="AD126" s="3">
        <v>0.75</v>
      </c>
      <c r="AE126" s="34">
        <v>0</v>
      </c>
      <c r="AF126" s="33">
        <v>293.7</v>
      </c>
      <c r="AG126" s="33">
        <v>291.57</v>
      </c>
      <c r="AH126" s="3"/>
      <c r="AI126" s="33"/>
      <c r="AJ126" s="33"/>
      <c r="AK126" s="3"/>
      <c r="AL126" s="3"/>
    </row>
    <row r="127" spans="1:38" x14ac:dyDescent="0.2">
      <c r="A127">
        <v>371</v>
      </c>
      <c r="B127">
        <v>1</v>
      </c>
      <c r="C127" t="s">
        <v>180</v>
      </c>
      <c r="D127">
        <v>2006</v>
      </c>
      <c r="E127">
        <v>0</v>
      </c>
      <c r="F127">
        <v>0</v>
      </c>
      <c r="G127">
        <v>0</v>
      </c>
      <c r="H127" s="3">
        <v>638.38</v>
      </c>
      <c r="I127" s="3">
        <v>0</v>
      </c>
      <c r="J127" s="3">
        <v>0</v>
      </c>
      <c r="K127" s="3">
        <v>0</v>
      </c>
      <c r="L127" s="3">
        <v>0</v>
      </c>
      <c r="M127" s="3">
        <v>221.4</v>
      </c>
      <c r="N127">
        <v>2002</v>
      </c>
      <c r="O127">
        <v>2006</v>
      </c>
      <c r="P127" s="3">
        <v>544.41999999999996</v>
      </c>
      <c r="Q127">
        <v>0</v>
      </c>
      <c r="R127">
        <v>0</v>
      </c>
      <c r="S127" s="3">
        <v>0</v>
      </c>
      <c r="T127" s="9">
        <v>1990</v>
      </c>
      <c r="U127" s="9">
        <v>0</v>
      </c>
      <c r="V127" s="9">
        <v>0</v>
      </c>
      <c r="W127" s="9">
        <v>0</v>
      </c>
      <c r="X127" s="10">
        <v>0.17720569</v>
      </c>
      <c r="Y127" s="11">
        <v>529677</v>
      </c>
      <c r="Z127">
        <v>181.1</v>
      </c>
      <c r="AA127" s="3">
        <v>991</v>
      </c>
      <c r="AB127" s="3">
        <v>166.88</v>
      </c>
      <c r="AC127" s="3">
        <v>0</v>
      </c>
      <c r="AD127" s="3">
        <v>1.53</v>
      </c>
      <c r="AE127" s="34">
        <v>1</v>
      </c>
      <c r="AF127" s="33">
        <v>177.96</v>
      </c>
      <c r="AG127" s="33">
        <v>177.96</v>
      </c>
      <c r="AH127" s="3"/>
      <c r="AI127" s="33"/>
      <c r="AJ127" s="33"/>
      <c r="AK127" s="3"/>
      <c r="AL127" s="3"/>
    </row>
    <row r="128" spans="1:38" x14ac:dyDescent="0.2">
      <c r="A128">
        <v>378</v>
      </c>
      <c r="B128">
        <v>1</v>
      </c>
      <c r="C128" t="s">
        <v>181</v>
      </c>
      <c r="D128">
        <v>2003</v>
      </c>
      <c r="E128">
        <v>2008</v>
      </c>
      <c r="F128">
        <v>0</v>
      </c>
      <c r="G128">
        <v>0</v>
      </c>
      <c r="H128" s="3">
        <v>81.569999999999993</v>
      </c>
      <c r="I128" s="3">
        <v>273.63</v>
      </c>
      <c r="J128" s="3">
        <v>0</v>
      </c>
      <c r="K128" s="3">
        <v>0</v>
      </c>
      <c r="L128" s="3">
        <v>0</v>
      </c>
      <c r="M128" s="3">
        <v>0</v>
      </c>
      <c r="N128">
        <v>0</v>
      </c>
      <c r="O128">
        <v>0</v>
      </c>
      <c r="P128" s="3">
        <v>0</v>
      </c>
      <c r="Q128">
        <v>2003</v>
      </c>
      <c r="R128">
        <v>2012</v>
      </c>
      <c r="S128" s="3">
        <v>450</v>
      </c>
      <c r="T128" s="9">
        <v>1997</v>
      </c>
      <c r="U128" s="9">
        <v>1990</v>
      </c>
      <c r="V128" s="9">
        <v>0</v>
      </c>
      <c r="W128" s="9">
        <v>0</v>
      </c>
      <c r="X128" s="10">
        <v>7.8423629999999994E-2</v>
      </c>
      <c r="Y128" s="11">
        <v>2083384</v>
      </c>
      <c r="Z128">
        <v>735.48</v>
      </c>
      <c r="AA128" s="3">
        <v>991</v>
      </c>
      <c r="AB128" s="3">
        <v>0</v>
      </c>
      <c r="AC128" s="3">
        <v>0</v>
      </c>
      <c r="AD128" s="3">
        <v>1.7</v>
      </c>
      <c r="AE128" s="34">
        <v>0</v>
      </c>
      <c r="AF128" s="33">
        <v>688.79</v>
      </c>
      <c r="AG128" s="33">
        <v>682.38</v>
      </c>
      <c r="AH128" s="3"/>
      <c r="AI128" s="33"/>
      <c r="AJ128" s="33"/>
      <c r="AK128" s="3"/>
      <c r="AL128" s="3"/>
    </row>
    <row r="129" spans="1:38" x14ac:dyDescent="0.2">
      <c r="A129">
        <v>381</v>
      </c>
      <c r="B129">
        <v>1</v>
      </c>
      <c r="C129" t="s">
        <v>182</v>
      </c>
      <c r="D129">
        <v>2009</v>
      </c>
      <c r="E129">
        <v>0</v>
      </c>
      <c r="F129">
        <v>0</v>
      </c>
      <c r="G129">
        <v>0</v>
      </c>
      <c r="H129" s="3">
        <v>315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>
        <v>0</v>
      </c>
      <c r="O129">
        <v>0</v>
      </c>
      <c r="P129" s="3">
        <v>0</v>
      </c>
      <c r="Q129">
        <v>0</v>
      </c>
      <c r="R129">
        <v>0</v>
      </c>
      <c r="S129" s="3">
        <v>0</v>
      </c>
      <c r="T129" s="9">
        <v>1997</v>
      </c>
      <c r="U129" s="9">
        <v>0</v>
      </c>
      <c r="V129" s="9">
        <v>0</v>
      </c>
      <c r="W129" s="9">
        <v>0</v>
      </c>
      <c r="X129" s="10">
        <v>0</v>
      </c>
      <c r="Y129" s="11">
        <v>6682637</v>
      </c>
      <c r="Z129" s="3">
        <v>2475.0100000000002</v>
      </c>
      <c r="AA129" s="3">
        <v>9999.99</v>
      </c>
      <c r="AB129" s="3">
        <v>0</v>
      </c>
      <c r="AC129" s="3">
        <v>0</v>
      </c>
      <c r="AD129" s="3">
        <v>2.5099999999999998</v>
      </c>
      <c r="AE129" s="34">
        <v>0</v>
      </c>
      <c r="AF129" s="33">
        <v>2281.19</v>
      </c>
      <c r="AG129" s="33">
        <v>2274.86</v>
      </c>
      <c r="AH129" s="3"/>
      <c r="AI129" s="33"/>
      <c r="AJ129" s="33"/>
      <c r="AK129" s="3"/>
      <c r="AL129" s="3"/>
    </row>
    <row r="130" spans="1:38" x14ac:dyDescent="0.2">
      <c r="A130">
        <v>390</v>
      </c>
      <c r="B130">
        <v>1</v>
      </c>
      <c r="C130" t="s">
        <v>183</v>
      </c>
      <c r="D130">
        <v>0</v>
      </c>
      <c r="E130">
        <v>0</v>
      </c>
      <c r="F130">
        <v>0</v>
      </c>
      <c r="G130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>
        <v>0</v>
      </c>
      <c r="O130">
        <v>0</v>
      </c>
      <c r="P130" s="3">
        <v>0</v>
      </c>
      <c r="Q130">
        <v>2003</v>
      </c>
      <c r="R130">
        <v>2012</v>
      </c>
      <c r="S130" s="3">
        <v>126</v>
      </c>
      <c r="T130" s="9">
        <v>0</v>
      </c>
      <c r="U130" s="9">
        <v>0</v>
      </c>
      <c r="V130" s="9">
        <v>0</v>
      </c>
      <c r="W130" s="9">
        <v>0</v>
      </c>
      <c r="X130" s="10">
        <v>0</v>
      </c>
      <c r="Y130" s="11">
        <v>1855912</v>
      </c>
      <c r="Z130">
        <v>898.96</v>
      </c>
      <c r="AA130" s="3">
        <v>9999.99</v>
      </c>
      <c r="AB130" s="3">
        <v>0</v>
      </c>
      <c r="AC130" s="3">
        <v>23.65</v>
      </c>
      <c r="AD130" s="3">
        <v>1.41</v>
      </c>
      <c r="AE130" s="34">
        <v>0</v>
      </c>
      <c r="AF130" s="33">
        <v>809.04</v>
      </c>
      <c r="AG130" s="33">
        <v>807.15</v>
      </c>
      <c r="AH130" s="3"/>
      <c r="AI130" s="33"/>
      <c r="AJ130" s="33"/>
      <c r="AK130" s="3"/>
      <c r="AL130" s="3"/>
    </row>
    <row r="131" spans="1:38" x14ac:dyDescent="0.2">
      <c r="A131">
        <v>391</v>
      </c>
      <c r="B131">
        <v>1</v>
      </c>
      <c r="C131" t="s">
        <v>184</v>
      </c>
      <c r="D131">
        <v>2005</v>
      </c>
      <c r="E131">
        <v>0</v>
      </c>
      <c r="F131">
        <v>0</v>
      </c>
      <c r="G131">
        <v>0</v>
      </c>
      <c r="H131" s="3">
        <v>415</v>
      </c>
      <c r="I131" s="3">
        <v>0</v>
      </c>
      <c r="J131" s="3">
        <v>0</v>
      </c>
      <c r="K131" s="3">
        <v>0</v>
      </c>
      <c r="L131" s="3">
        <v>0</v>
      </c>
      <c r="M131" s="3">
        <v>2.72</v>
      </c>
      <c r="N131">
        <v>0</v>
      </c>
      <c r="O131">
        <v>0</v>
      </c>
      <c r="P131" s="3">
        <v>0</v>
      </c>
      <c r="Q131">
        <v>2003</v>
      </c>
      <c r="R131">
        <v>2012</v>
      </c>
      <c r="S131" s="3">
        <v>350</v>
      </c>
      <c r="T131" s="9">
        <v>1999</v>
      </c>
      <c r="U131" s="9">
        <v>0</v>
      </c>
      <c r="V131" s="9">
        <v>0</v>
      </c>
      <c r="W131" s="9">
        <v>0</v>
      </c>
      <c r="X131" s="10">
        <v>0</v>
      </c>
      <c r="Y131" s="11">
        <v>1737981</v>
      </c>
      <c r="Z131">
        <v>496.67</v>
      </c>
      <c r="AA131" s="3">
        <v>991</v>
      </c>
      <c r="AB131" s="3">
        <v>0</v>
      </c>
      <c r="AC131" s="3">
        <v>0</v>
      </c>
      <c r="AD131" s="3">
        <v>2.72</v>
      </c>
      <c r="AE131" s="34">
        <v>1</v>
      </c>
      <c r="AF131" s="33">
        <v>493.34</v>
      </c>
      <c r="AG131" s="33">
        <v>490.8</v>
      </c>
      <c r="AH131" s="3"/>
      <c r="AI131" s="33"/>
      <c r="AJ131" s="33"/>
      <c r="AK131" s="3"/>
      <c r="AL131" s="3"/>
    </row>
    <row r="132" spans="1:38" x14ac:dyDescent="0.2">
      <c r="A132">
        <v>392</v>
      </c>
      <c r="B132">
        <v>1</v>
      </c>
      <c r="C132" t="s">
        <v>185</v>
      </c>
      <c r="D132">
        <v>2008</v>
      </c>
      <c r="E132">
        <v>0</v>
      </c>
      <c r="F132">
        <v>0</v>
      </c>
      <c r="G132">
        <v>0</v>
      </c>
      <c r="H132" s="3">
        <v>198.7</v>
      </c>
      <c r="I132" s="3">
        <v>0</v>
      </c>
      <c r="J132" s="3">
        <v>0</v>
      </c>
      <c r="K132" s="3">
        <v>0</v>
      </c>
      <c r="L132" s="3">
        <v>100</v>
      </c>
      <c r="M132" s="3">
        <v>0</v>
      </c>
      <c r="N132">
        <v>0</v>
      </c>
      <c r="O132">
        <v>0</v>
      </c>
      <c r="P132" s="3">
        <v>0</v>
      </c>
      <c r="Q132">
        <v>2003</v>
      </c>
      <c r="R132">
        <v>2012</v>
      </c>
      <c r="S132" s="3">
        <v>250</v>
      </c>
      <c r="T132" s="9">
        <v>1990</v>
      </c>
      <c r="U132" s="9">
        <v>0</v>
      </c>
      <c r="V132" s="9">
        <v>0</v>
      </c>
      <c r="W132" s="9">
        <v>0</v>
      </c>
      <c r="X132" s="10">
        <v>8.8857829999999999E-2</v>
      </c>
      <c r="Y132" s="11">
        <v>1634569</v>
      </c>
      <c r="Z132">
        <v>900.35</v>
      </c>
      <c r="AA132" s="3">
        <v>991</v>
      </c>
      <c r="AB132" s="3">
        <v>0</v>
      </c>
      <c r="AC132" s="3">
        <v>0</v>
      </c>
      <c r="AD132" s="3">
        <v>0.99</v>
      </c>
      <c r="AE132" s="34">
        <v>0</v>
      </c>
      <c r="AF132" s="33">
        <v>830.55</v>
      </c>
      <c r="AG132" s="33">
        <v>827.15</v>
      </c>
      <c r="AH132" s="3"/>
      <c r="AI132" s="33"/>
      <c r="AJ132" s="33"/>
      <c r="AK132" s="3"/>
      <c r="AL132" s="3"/>
    </row>
    <row r="133" spans="1:38" x14ac:dyDescent="0.2">
      <c r="A133">
        <v>394</v>
      </c>
      <c r="B133">
        <v>1</v>
      </c>
      <c r="C133" t="s">
        <v>186</v>
      </c>
      <c r="D133">
        <v>2006</v>
      </c>
      <c r="E133">
        <v>0</v>
      </c>
      <c r="F133">
        <v>0</v>
      </c>
      <c r="G133">
        <v>0</v>
      </c>
      <c r="H133" s="3">
        <v>195.81</v>
      </c>
      <c r="I133" s="3">
        <v>0</v>
      </c>
      <c r="J133" s="3">
        <v>0</v>
      </c>
      <c r="K133" s="3">
        <v>0</v>
      </c>
      <c r="L133" s="3">
        <v>100</v>
      </c>
      <c r="M133" s="3">
        <v>0</v>
      </c>
      <c r="N133">
        <v>0</v>
      </c>
      <c r="O133">
        <v>0</v>
      </c>
      <c r="P133" s="3">
        <v>0</v>
      </c>
      <c r="Q133">
        <v>0</v>
      </c>
      <c r="R133">
        <v>0</v>
      </c>
      <c r="S133" s="3">
        <v>0</v>
      </c>
      <c r="T133" s="9">
        <v>1990</v>
      </c>
      <c r="U133" s="9">
        <v>0</v>
      </c>
      <c r="V133" s="9">
        <v>0</v>
      </c>
      <c r="W133" s="9">
        <v>0</v>
      </c>
      <c r="X133" s="10">
        <v>6.9384500000000002E-2</v>
      </c>
      <c r="Y133" s="11">
        <v>3275939</v>
      </c>
      <c r="Z133" s="3">
        <v>1429.76</v>
      </c>
      <c r="AA133" s="3">
        <v>991</v>
      </c>
      <c r="AB133" s="3">
        <v>0</v>
      </c>
      <c r="AC133" s="3">
        <v>0</v>
      </c>
      <c r="AD133" s="3">
        <v>1.24</v>
      </c>
      <c r="AE133" s="34">
        <v>0</v>
      </c>
      <c r="AF133" s="33">
        <v>1445.94</v>
      </c>
      <c r="AG133" s="33">
        <v>1435.7</v>
      </c>
      <c r="AH133" s="3"/>
      <c r="AI133" s="33"/>
      <c r="AJ133" s="33"/>
      <c r="AK133" s="3"/>
      <c r="AL133" s="3"/>
    </row>
    <row r="134" spans="1:38" x14ac:dyDescent="0.2">
      <c r="A134">
        <v>402</v>
      </c>
      <c r="B134">
        <v>1</v>
      </c>
      <c r="C134" t="s">
        <v>187</v>
      </c>
      <c r="D134">
        <v>2008</v>
      </c>
      <c r="E134">
        <v>0</v>
      </c>
      <c r="F134">
        <v>0</v>
      </c>
      <c r="G134">
        <v>0</v>
      </c>
      <c r="H134" s="3">
        <v>286.98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>
        <v>0</v>
      </c>
      <c r="O134">
        <v>0</v>
      </c>
      <c r="P134" s="3">
        <v>0</v>
      </c>
      <c r="Q134">
        <v>2003</v>
      </c>
      <c r="R134">
        <v>2012</v>
      </c>
      <c r="S134" s="3">
        <v>400</v>
      </c>
      <c r="T134" s="9">
        <v>1990</v>
      </c>
      <c r="U134" s="9">
        <v>0</v>
      </c>
      <c r="V134" s="9">
        <v>0</v>
      </c>
      <c r="W134" s="9">
        <v>0</v>
      </c>
      <c r="X134" s="10">
        <v>7.9739240000000003E-2</v>
      </c>
      <c r="Y134" s="11">
        <v>679057</v>
      </c>
      <c r="Z134">
        <v>232.4</v>
      </c>
      <c r="AA134" s="3">
        <v>991</v>
      </c>
      <c r="AB134" s="3">
        <v>47.86</v>
      </c>
      <c r="AC134" s="3">
        <v>24.54</v>
      </c>
      <c r="AD134" s="3">
        <v>2.2599999999999998</v>
      </c>
      <c r="AE134" s="34">
        <v>0</v>
      </c>
      <c r="AF134" s="33">
        <v>211.2</v>
      </c>
      <c r="AG134" s="33">
        <v>211.17</v>
      </c>
      <c r="AH134" s="3"/>
      <c r="AI134" s="33"/>
      <c r="AJ134" s="33"/>
      <c r="AK134" s="3"/>
      <c r="AL134" s="3"/>
    </row>
    <row r="135" spans="1:38" x14ac:dyDescent="0.2">
      <c r="A135">
        <v>403</v>
      </c>
      <c r="B135">
        <v>1</v>
      </c>
      <c r="C135" t="s">
        <v>188</v>
      </c>
      <c r="D135">
        <v>2005</v>
      </c>
      <c r="E135">
        <v>0</v>
      </c>
      <c r="F135">
        <v>0</v>
      </c>
      <c r="G135">
        <v>0</v>
      </c>
      <c r="H135" s="3">
        <v>483.87</v>
      </c>
      <c r="I135" s="3">
        <v>0</v>
      </c>
      <c r="J135" s="3">
        <v>0</v>
      </c>
      <c r="K135" s="3">
        <v>0</v>
      </c>
      <c r="L135" s="3">
        <v>118.44</v>
      </c>
      <c r="M135" s="3">
        <v>0</v>
      </c>
      <c r="N135">
        <v>0</v>
      </c>
      <c r="O135">
        <v>0</v>
      </c>
      <c r="P135" s="3">
        <v>0</v>
      </c>
      <c r="Q135">
        <v>2003</v>
      </c>
      <c r="R135">
        <v>2012</v>
      </c>
      <c r="S135" s="3">
        <v>400</v>
      </c>
      <c r="T135" s="9">
        <v>1994</v>
      </c>
      <c r="U135" s="9">
        <v>0</v>
      </c>
      <c r="V135" s="9">
        <v>0</v>
      </c>
      <c r="W135" s="9">
        <v>0</v>
      </c>
      <c r="X135" s="10">
        <v>0</v>
      </c>
      <c r="Y135" s="11">
        <v>974835</v>
      </c>
      <c r="Z135">
        <v>302.57</v>
      </c>
      <c r="AA135" s="3">
        <v>9999.99</v>
      </c>
      <c r="AB135" s="3">
        <v>16.34</v>
      </c>
      <c r="AC135" s="3">
        <v>0</v>
      </c>
      <c r="AD135" s="3">
        <v>2.19</v>
      </c>
      <c r="AE135" s="34">
        <v>0</v>
      </c>
      <c r="AF135" s="33">
        <v>273.55</v>
      </c>
      <c r="AG135" s="33">
        <v>273.24</v>
      </c>
      <c r="AH135" s="3"/>
      <c r="AI135" s="33"/>
      <c r="AJ135" s="33"/>
      <c r="AK135" s="3"/>
      <c r="AL135" s="3"/>
    </row>
    <row r="136" spans="1:38" x14ac:dyDescent="0.2">
      <c r="A136">
        <v>404</v>
      </c>
      <c r="B136">
        <v>1</v>
      </c>
      <c r="C136" t="s">
        <v>189</v>
      </c>
      <c r="D136">
        <v>2008</v>
      </c>
      <c r="E136">
        <v>0</v>
      </c>
      <c r="F136">
        <v>0</v>
      </c>
      <c r="G136">
        <v>0</v>
      </c>
      <c r="H136" s="3">
        <v>476.37</v>
      </c>
      <c r="I136" s="3">
        <v>0</v>
      </c>
      <c r="J136" s="3">
        <v>0</v>
      </c>
      <c r="K136" s="3">
        <v>0</v>
      </c>
      <c r="L136" s="3">
        <v>100</v>
      </c>
      <c r="M136" s="3">
        <v>32.54</v>
      </c>
      <c r="N136">
        <v>2002</v>
      </c>
      <c r="O136">
        <v>2011</v>
      </c>
      <c r="P136" s="3">
        <v>613.14</v>
      </c>
      <c r="Q136">
        <v>0</v>
      </c>
      <c r="R136">
        <v>0</v>
      </c>
      <c r="S136" s="3">
        <v>0</v>
      </c>
      <c r="T136" s="9">
        <v>1990</v>
      </c>
      <c r="U136" s="9">
        <v>0</v>
      </c>
      <c r="V136" s="9">
        <v>0</v>
      </c>
      <c r="W136" s="9">
        <v>0</v>
      </c>
      <c r="X136" s="10">
        <v>9.4176979999999993E-2</v>
      </c>
      <c r="Y136" s="11">
        <v>1205873</v>
      </c>
      <c r="Z136">
        <v>293.64</v>
      </c>
      <c r="AA136" s="3">
        <v>991</v>
      </c>
      <c r="AB136" s="3">
        <v>24.23</v>
      </c>
      <c r="AC136" s="3">
        <v>0</v>
      </c>
      <c r="AD136" s="3">
        <v>4.26</v>
      </c>
      <c r="AE136" s="34">
        <v>1</v>
      </c>
      <c r="AF136" s="33">
        <v>281.75</v>
      </c>
      <c r="AG136" s="33">
        <v>281.70999999999998</v>
      </c>
      <c r="AH136" s="3"/>
      <c r="AI136" s="33"/>
      <c r="AJ136" s="33"/>
      <c r="AK136" s="3"/>
      <c r="AL136" s="3"/>
    </row>
    <row r="137" spans="1:38" x14ac:dyDescent="0.2">
      <c r="A137">
        <v>409</v>
      </c>
      <c r="B137">
        <v>1</v>
      </c>
      <c r="C137" t="s">
        <v>190</v>
      </c>
      <c r="D137">
        <v>0</v>
      </c>
      <c r="E137">
        <v>0</v>
      </c>
      <c r="F137">
        <v>0</v>
      </c>
      <c r="G137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1.32</v>
      </c>
      <c r="N137">
        <v>2002</v>
      </c>
      <c r="O137">
        <v>2011</v>
      </c>
      <c r="P137" s="3">
        <v>415</v>
      </c>
      <c r="Q137">
        <v>0</v>
      </c>
      <c r="R137">
        <v>0</v>
      </c>
      <c r="S137" s="3">
        <v>0</v>
      </c>
      <c r="T137" s="9">
        <v>0</v>
      </c>
      <c r="U137" s="9">
        <v>0</v>
      </c>
      <c r="V137" s="9">
        <v>0</v>
      </c>
      <c r="W137" s="9">
        <v>0</v>
      </c>
      <c r="X137" s="10">
        <v>0</v>
      </c>
      <c r="Y137" s="11">
        <v>917112</v>
      </c>
      <c r="Z137">
        <v>428.63</v>
      </c>
      <c r="AA137" s="3">
        <v>991</v>
      </c>
      <c r="AB137" s="3">
        <v>0</v>
      </c>
      <c r="AC137" s="3">
        <v>0</v>
      </c>
      <c r="AD137" s="3">
        <v>1.32</v>
      </c>
      <c r="AE137" s="34">
        <v>1</v>
      </c>
      <c r="AF137" s="33">
        <v>360.9</v>
      </c>
      <c r="AG137" s="33">
        <v>360.77</v>
      </c>
      <c r="AH137" s="3"/>
      <c r="AI137" s="33"/>
      <c r="AJ137" s="33"/>
      <c r="AK137" s="3"/>
      <c r="AL137" s="3"/>
    </row>
    <row r="138" spans="1:38" x14ac:dyDescent="0.2">
      <c r="A138">
        <v>411</v>
      </c>
      <c r="B138">
        <v>1</v>
      </c>
      <c r="C138" t="s">
        <v>191</v>
      </c>
      <c r="D138">
        <v>2005</v>
      </c>
      <c r="E138">
        <v>2008</v>
      </c>
      <c r="F138">
        <v>0</v>
      </c>
      <c r="G138">
        <v>0</v>
      </c>
      <c r="H138" s="3">
        <v>452.27</v>
      </c>
      <c r="I138" s="3">
        <v>334.61</v>
      </c>
      <c r="J138" s="3">
        <v>0</v>
      </c>
      <c r="K138" s="3">
        <v>0</v>
      </c>
      <c r="L138" s="3">
        <v>0</v>
      </c>
      <c r="M138" s="3">
        <v>66.12</v>
      </c>
      <c r="N138">
        <v>0</v>
      </c>
      <c r="O138">
        <v>0</v>
      </c>
      <c r="P138" s="3">
        <v>0</v>
      </c>
      <c r="Q138">
        <v>2003</v>
      </c>
      <c r="R138">
        <v>2012</v>
      </c>
      <c r="S138" s="3">
        <v>325.22000000000003</v>
      </c>
      <c r="T138" s="9">
        <v>1998</v>
      </c>
      <c r="U138" s="9">
        <v>1990</v>
      </c>
      <c r="V138" s="9">
        <v>0</v>
      </c>
      <c r="W138" s="9">
        <v>0</v>
      </c>
      <c r="X138" s="10">
        <v>7.3539370000000007E-2</v>
      </c>
      <c r="Y138" s="11">
        <v>909040</v>
      </c>
      <c r="Z138">
        <v>246.08</v>
      </c>
      <c r="AA138" s="3">
        <v>991</v>
      </c>
      <c r="AB138" s="3">
        <v>27.2</v>
      </c>
      <c r="AC138" s="3">
        <v>0</v>
      </c>
      <c r="AD138" s="3">
        <v>3.09</v>
      </c>
      <c r="AE138" s="34">
        <v>1</v>
      </c>
      <c r="AF138" s="33">
        <v>216.7</v>
      </c>
      <c r="AG138" s="33">
        <v>216.33</v>
      </c>
      <c r="AH138" s="3"/>
      <c r="AI138" s="33"/>
      <c r="AJ138" s="33"/>
      <c r="AK138" s="3"/>
      <c r="AL138" s="3"/>
    </row>
    <row r="139" spans="1:38" x14ac:dyDescent="0.2">
      <c r="A139">
        <v>413</v>
      </c>
      <c r="B139">
        <v>1</v>
      </c>
      <c r="C139" t="s">
        <v>192</v>
      </c>
      <c r="D139">
        <v>2004</v>
      </c>
      <c r="E139">
        <v>0</v>
      </c>
      <c r="F139">
        <v>0</v>
      </c>
      <c r="G139">
        <v>0</v>
      </c>
      <c r="H139" s="3">
        <v>445</v>
      </c>
      <c r="I139" s="3">
        <v>0</v>
      </c>
      <c r="J139" s="3">
        <v>0</v>
      </c>
      <c r="K139" s="3">
        <v>0</v>
      </c>
      <c r="L139" s="3">
        <v>0</v>
      </c>
      <c r="M139" s="3">
        <v>2.5299999999999998</v>
      </c>
      <c r="N139">
        <v>0</v>
      </c>
      <c r="O139">
        <v>0</v>
      </c>
      <c r="P139" s="3">
        <v>0</v>
      </c>
      <c r="Q139">
        <v>0</v>
      </c>
      <c r="R139">
        <v>0</v>
      </c>
      <c r="S139" s="3">
        <v>0</v>
      </c>
      <c r="T139" s="9">
        <v>1998</v>
      </c>
      <c r="U139" s="9">
        <v>0</v>
      </c>
      <c r="V139" s="9">
        <v>0</v>
      </c>
      <c r="W139" s="9">
        <v>0</v>
      </c>
      <c r="X139" s="10">
        <v>0</v>
      </c>
      <c r="Y139" s="11">
        <v>8275805</v>
      </c>
      <c r="Z139" s="3">
        <v>2582.6799999999998</v>
      </c>
      <c r="AA139" s="3">
        <v>991</v>
      </c>
      <c r="AB139" s="3">
        <v>0</v>
      </c>
      <c r="AC139" s="3">
        <v>0</v>
      </c>
      <c r="AD139" s="3">
        <v>2.5299999999999998</v>
      </c>
      <c r="AE139" s="34">
        <v>1</v>
      </c>
      <c r="AF139" s="33">
        <v>2454.11</v>
      </c>
      <c r="AG139" s="33">
        <v>2438.46</v>
      </c>
      <c r="AH139" s="3"/>
      <c r="AI139" s="33"/>
      <c r="AJ139" s="33"/>
      <c r="AK139" s="3"/>
      <c r="AL139" s="3"/>
    </row>
    <row r="140" spans="1:38" x14ac:dyDescent="0.2">
      <c r="A140">
        <v>414</v>
      </c>
      <c r="B140">
        <v>1</v>
      </c>
      <c r="C140" t="s">
        <v>193</v>
      </c>
      <c r="D140">
        <v>2008</v>
      </c>
      <c r="E140">
        <v>2008</v>
      </c>
      <c r="F140">
        <v>0</v>
      </c>
      <c r="G140">
        <v>0</v>
      </c>
      <c r="H140" s="3">
        <v>212.6</v>
      </c>
      <c r="I140" s="3">
        <v>185.41</v>
      </c>
      <c r="J140" s="3">
        <v>0</v>
      </c>
      <c r="K140" s="3">
        <v>0</v>
      </c>
      <c r="L140" s="3">
        <v>100</v>
      </c>
      <c r="M140" s="3">
        <v>0</v>
      </c>
      <c r="N140">
        <v>0</v>
      </c>
      <c r="O140">
        <v>0</v>
      </c>
      <c r="P140" s="3">
        <v>0</v>
      </c>
      <c r="Q140">
        <v>2003</v>
      </c>
      <c r="R140">
        <v>2012</v>
      </c>
      <c r="S140" s="3">
        <v>126</v>
      </c>
      <c r="T140" s="9">
        <v>1990</v>
      </c>
      <c r="U140" s="9">
        <v>1997</v>
      </c>
      <c r="V140" s="9">
        <v>0</v>
      </c>
      <c r="W140" s="9">
        <v>0</v>
      </c>
      <c r="X140" s="10">
        <v>6.3386289999999998E-2</v>
      </c>
      <c r="Y140" s="11">
        <v>1544552</v>
      </c>
      <c r="Z140">
        <v>567.22</v>
      </c>
      <c r="AA140" s="3">
        <v>9999.99</v>
      </c>
      <c r="AB140" s="3">
        <v>0</v>
      </c>
      <c r="AC140" s="3">
        <v>0</v>
      </c>
      <c r="AD140" s="3">
        <v>1.48</v>
      </c>
      <c r="AE140" s="34">
        <v>0</v>
      </c>
      <c r="AF140" s="33">
        <v>508.24</v>
      </c>
      <c r="AG140" s="33">
        <v>507.03</v>
      </c>
      <c r="AH140" s="3"/>
      <c r="AI140" s="33"/>
      <c r="AJ140" s="33"/>
      <c r="AK140" s="3"/>
      <c r="AL140" s="3"/>
    </row>
    <row r="141" spans="1:38" x14ac:dyDescent="0.2">
      <c r="A141">
        <v>415</v>
      </c>
      <c r="B141">
        <v>1</v>
      </c>
      <c r="C141" t="s">
        <v>194</v>
      </c>
      <c r="D141">
        <v>2005</v>
      </c>
      <c r="E141">
        <v>2008</v>
      </c>
      <c r="F141">
        <v>0</v>
      </c>
      <c r="G141">
        <v>0</v>
      </c>
      <c r="H141" s="3">
        <v>378.11</v>
      </c>
      <c r="I141" s="3">
        <v>147.18</v>
      </c>
      <c r="J141" s="3">
        <v>0</v>
      </c>
      <c r="K141" s="3">
        <v>0</v>
      </c>
      <c r="L141" s="3">
        <v>0</v>
      </c>
      <c r="M141" s="3">
        <v>44.48</v>
      </c>
      <c r="N141">
        <v>0</v>
      </c>
      <c r="O141">
        <v>0</v>
      </c>
      <c r="P141" s="3">
        <v>0</v>
      </c>
      <c r="Q141">
        <v>0</v>
      </c>
      <c r="R141">
        <v>0</v>
      </c>
      <c r="S141" s="3">
        <v>0</v>
      </c>
      <c r="T141" s="9">
        <v>1999</v>
      </c>
      <c r="U141" s="9">
        <v>1990</v>
      </c>
      <c r="V141" s="9">
        <v>0</v>
      </c>
      <c r="W141" s="9">
        <v>0</v>
      </c>
      <c r="X141" s="10">
        <v>4.4807880000000001E-2</v>
      </c>
      <c r="Y141" s="11">
        <v>594324</v>
      </c>
      <c r="Z141">
        <v>222.86</v>
      </c>
      <c r="AA141" s="3">
        <v>991</v>
      </c>
      <c r="AB141" s="3">
        <v>41.1</v>
      </c>
      <c r="AC141" s="3">
        <v>0</v>
      </c>
      <c r="AD141" s="3">
        <v>1.5</v>
      </c>
      <c r="AE141" s="34">
        <v>1</v>
      </c>
      <c r="AF141" s="33">
        <v>179.19</v>
      </c>
      <c r="AG141" s="33">
        <v>178.56</v>
      </c>
      <c r="AH141" s="3"/>
      <c r="AI141" s="33"/>
      <c r="AJ141" s="33"/>
      <c r="AK141" s="3"/>
      <c r="AL141" s="3"/>
    </row>
    <row r="142" spans="1:38" x14ac:dyDescent="0.2">
      <c r="A142">
        <v>417</v>
      </c>
      <c r="B142">
        <v>1</v>
      </c>
      <c r="C142" t="s">
        <v>195</v>
      </c>
      <c r="D142">
        <v>2003</v>
      </c>
      <c r="E142">
        <v>0</v>
      </c>
      <c r="F142">
        <v>0</v>
      </c>
      <c r="G142">
        <v>0</v>
      </c>
      <c r="H142" s="3">
        <v>315</v>
      </c>
      <c r="I142" s="3">
        <v>0</v>
      </c>
      <c r="J142" s="3">
        <v>0</v>
      </c>
      <c r="K142" s="3">
        <v>0</v>
      </c>
      <c r="L142" s="3">
        <v>0</v>
      </c>
      <c r="M142" s="3">
        <v>2.95</v>
      </c>
      <c r="N142">
        <v>0</v>
      </c>
      <c r="O142">
        <v>0</v>
      </c>
      <c r="P142" s="3">
        <v>0</v>
      </c>
      <c r="Q142">
        <v>2003</v>
      </c>
      <c r="R142">
        <v>2007</v>
      </c>
      <c r="S142" s="3">
        <v>425</v>
      </c>
      <c r="T142" s="9">
        <v>1997</v>
      </c>
      <c r="U142" s="9">
        <v>0</v>
      </c>
      <c r="V142" s="9">
        <v>0</v>
      </c>
      <c r="W142" s="9">
        <v>0</v>
      </c>
      <c r="X142" s="10">
        <v>0</v>
      </c>
      <c r="Y142" s="11">
        <v>3178388</v>
      </c>
      <c r="Z142">
        <v>919.73</v>
      </c>
      <c r="AA142" s="3">
        <v>991</v>
      </c>
      <c r="AB142" s="3">
        <v>0</v>
      </c>
      <c r="AC142" s="3">
        <v>0</v>
      </c>
      <c r="AD142" s="3">
        <v>2.95</v>
      </c>
      <c r="AE142" s="34">
        <v>1</v>
      </c>
      <c r="AF142" s="33">
        <v>828.97</v>
      </c>
      <c r="AG142" s="33">
        <v>828.06</v>
      </c>
      <c r="AH142" s="3"/>
      <c r="AI142" s="33"/>
      <c r="AJ142" s="33"/>
      <c r="AK142" s="3"/>
      <c r="AL142" s="3"/>
    </row>
    <row r="143" spans="1:38" x14ac:dyDescent="0.2">
      <c r="A143">
        <v>418</v>
      </c>
      <c r="B143">
        <v>1</v>
      </c>
      <c r="C143" t="s">
        <v>196</v>
      </c>
      <c r="D143">
        <v>2006</v>
      </c>
      <c r="E143">
        <v>2009</v>
      </c>
      <c r="F143">
        <v>0</v>
      </c>
      <c r="G143">
        <v>0</v>
      </c>
      <c r="H143" s="3">
        <v>91.26</v>
      </c>
      <c r="I143" s="3">
        <v>350</v>
      </c>
      <c r="J143" s="3">
        <v>0</v>
      </c>
      <c r="K143" s="3">
        <v>0</v>
      </c>
      <c r="L143" s="3">
        <v>72.930000000000007</v>
      </c>
      <c r="M143" s="3">
        <v>57.5</v>
      </c>
      <c r="N143">
        <v>0</v>
      </c>
      <c r="O143">
        <v>0</v>
      </c>
      <c r="P143" s="3">
        <v>0</v>
      </c>
      <c r="Q143">
        <v>0</v>
      </c>
      <c r="R143">
        <v>0</v>
      </c>
      <c r="S143" s="3">
        <v>0</v>
      </c>
      <c r="T143" s="9">
        <v>1990</v>
      </c>
      <c r="U143" s="9">
        <v>1998</v>
      </c>
      <c r="V143" s="9">
        <v>0</v>
      </c>
      <c r="W143" s="9">
        <v>0</v>
      </c>
      <c r="X143" s="10">
        <v>2.221797E-2</v>
      </c>
      <c r="Y143" s="11">
        <v>716706</v>
      </c>
      <c r="Z143">
        <v>214.93</v>
      </c>
      <c r="AA143" s="3">
        <v>991</v>
      </c>
      <c r="AB143" s="3">
        <v>37.72</v>
      </c>
      <c r="AC143" s="3">
        <v>0</v>
      </c>
      <c r="AD143" s="3">
        <v>2.85</v>
      </c>
      <c r="AE143" s="34">
        <v>1</v>
      </c>
      <c r="AF143" s="33">
        <v>208.52</v>
      </c>
      <c r="AG143" s="33">
        <v>208.31</v>
      </c>
      <c r="AH143" s="3"/>
      <c r="AI143" s="33"/>
      <c r="AJ143" s="33"/>
      <c r="AK143" s="3"/>
      <c r="AL143" s="3"/>
    </row>
    <row r="144" spans="1:38" x14ac:dyDescent="0.2">
      <c r="A144">
        <v>423</v>
      </c>
      <c r="B144">
        <v>1</v>
      </c>
      <c r="C144" t="s">
        <v>197</v>
      </c>
      <c r="D144">
        <v>2005</v>
      </c>
      <c r="E144">
        <v>0</v>
      </c>
      <c r="F144">
        <v>0</v>
      </c>
      <c r="G144">
        <v>0</v>
      </c>
      <c r="H144" s="3">
        <v>350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>
        <v>0</v>
      </c>
      <c r="O144">
        <v>0</v>
      </c>
      <c r="P144" s="3">
        <v>0</v>
      </c>
      <c r="Q144">
        <v>2003</v>
      </c>
      <c r="R144">
        <v>2012</v>
      </c>
      <c r="S144" s="3">
        <v>126</v>
      </c>
      <c r="T144" s="9">
        <v>1999</v>
      </c>
      <c r="U144" s="9">
        <v>0</v>
      </c>
      <c r="V144" s="9">
        <v>0</v>
      </c>
      <c r="W144" s="9">
        <v>0</v>
      </c>
      <c r="X144" s="10">
        <v>0</v>
      </c>
      <c r="Y144" s="11">
        <v>8790993</v>
      </c>
      <c r="Z144" s="3">
        <v>3607.7</v>
      </c>
      <c r="AA144" s="3">
        <v>991</v>
      </c>
      <c r="AB144" s="3">
        <v>0</v>
      </c>
      <c r="AC144" s="3">
        <v>0</v>
      </c>
      <c r="AD144" s="3">
        <v>1.65</v>
      </c>
      <c r="AE144" s="34">
        <v>0</v>
      </c>
      <c r="AF144" s="33">
        <v>3604.75</v>
      </c>
      <c r="AG144" s="33">
        <v>3570.92</v>
      </c>
      <c r="AH144" s="3"/>
      <c r="AI144" s="33"/>
      <c r="AJ144" s="33"/>
      <c r="AK144" s="3"/>
      <c r="AL144" s="3"/>
    </row>
    <row r="145" spans="1:38" x14ac:dyDescent="0.2">
      <c r="A145">
        <v>424</v>
      </c>
      <c r="B145">
        <v>1</v>
      </c>
      <c r="C145" t="s">
        <v>198</v>
      </c>
      <c r="D145">
        <v>2010</v>
      </c>
      <c r="E145">
        <v>0</v>
      </c>
      <c r="F145">
        <v>0</v>
      </c>
      <c r="G145">
        <v>0</v>
      </c>
      <c r="H145" s="3">
        <v>415</v>
      </c>
      <c r="I145" s="3">
        <v>0</v>
      </c>
      <c r="J145" s="3">
        <v>0</v>
      </c>
      <c r="K145" s="3">
        <v>0</v>
      </c>
      <c r="L145" s="3">
        <v>0</v>
      </c>
      <c r="M145" s="3">
        <v>0.88</v>
      </c>
      <c r="N145">
        <v>0</v>
      </c>
      <c r="O145">
        <v>0</v>
      </c>
      <c r="P145" s="3">
        <v>0</v>
      </c>
      <c r="Q145">
        <v>0</v>
      </c>
      <c r="R145">
        <v>0</v>
      </c>
      <c r="S145" s="3">
        <v>0</v>
      </c>
      <c r="T145" s="9">
        <v>1999</v>
      </c>
      <c r="U145" s="9">
        <v>0</v>
      </c>
      <c r="V145" s="9">
        <v>0</v>
      </c>
      <c r="W145" s="9">
        <v>0</v>
      </c>
      <c r="X145" s="10">
        <v>0</v>
      </c>
      <c r="Y145" s="11">
        <v>990105</v>
      </c>
      <c r="Z145">
        <v>591.75</v>
      </c>
      <c r="AA145" s="3">
        <v>991</v>
      </c>
      <c r="AB145" s="3">
        <v>0</v>
      </c>
      <c r="AC145" s="3">
        <v>0</v>
      </c>
      <c r="AD145" s="3">
        <v>0.88</v>
      </c>
      <c r="AE145" s="34">
        <v>1</v>
      </c>
      <c r="AF145" s="33">
        <v>551.29</v>
      </c>
      <c r="AG145" s="33">
        <v>550.66999999999996</v>
      </c>
      <c r="AH145" s="3"/>
      <c r="AI145" s="33"/>
      <c r="AJ145" s="33"/>
      <c r="AK145" s="3"/>
      <c r="AL145" s="3"/>
    </row>
    <row r="146" spans="1:38" x14ac:dyDescent="0.2">
      <c r="A146">
        <v>432</v>
      </c>
      <c r="B146">
        <v>1</v>
      </c>
      <c r="C146" t="s">
        <v>199</v>
      </c>
      <c r="D146">
        <v>0</v>
      </c>
      <c r="E146">
        <v>0</v>
      </c>
      <c r="F146">
        <v>0</v>
      </c>
      <c r="G146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>
        <v>0</v>
      </c>
      <c r="O146">
        <v>0</v>
      </c>
      <c r="P146" s="3">
        <v>0</v>
      </c>
      <c r="Q146">
        <v>0</v>
      </c>
      <c r="R146">
        <v>0</v>
      </c>
      <c r="S146" s="3">
        <v>0</v>
      </c>
      <c r="T146" s="9">
        <v>0</v>
      </c>
      <c r="U146" s="9">
        <v>0</v>
      </c>
      <c r="V146" s="9">
        <v>0</v>
      </c>
      <c r="W146" s="9">
        <v>0</v>
      </c>
      <c r="X146" s="10">
        <v>0</v>
      </c>
      <c r="Y146" s="11">
        <v>1480333</v>
      </c>
      <c r="Z146">
        <v>851.27</v>
      </c>
      <c r="AA146" s="3">
        <v>9999.99</v>
      </c>
      <c r="AB146" s="3">
        <v>0</v>
      </c>
      <c r="AC146" s="3">
        <v>0</v>
      </c>
      <c r="AD146" s="3">
        <v>1.01</v>
      </c>
      <c r="AE146" s="34">
        <v>0</v>
      </c>
      <c r="AF146" s="33">
        <v>869.9</v>
      </c>
      <c r="AG146" s="33">
        <v>864.06</v>
      </c>
      <c r="AH146" s="3"/>
      <c r="AI146" s="33"/>
      <c r="AJ146" s="33"/>
      <c r="AK146" s="3"/>
      <c r="AL146" s="3"/>
    </row>
    <row r="147" spans="1:38" x14ac:dyDescent="0.2">
      <c r="A147">
        <v>435</v>
      </c>
      <c r="B147">
        <v>1</v>
      </c>
      <c r="C147" t="s">
        <v>200</v>
      </c>
      <c r="D147">
        <v>0</v>
      </c>
      <c r="E147">
        <v>0</v>
      </c>
      <c r="F147">
        <v>0</v>
      </c>
      <c r="G147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>
        <v>0</v>
      </c>
      <c r="O147">
        <v>0</v>
      </c>
      <c r="P147" s="3">
        <v>0</v>
      </c>
      <c r="Q147">
        <v>0</v>
      </c>
      <c r="R147">
        <v>0</v>
      </c>
      <c r="S147" s="3">
        <v>0</v>
      </c>
      <c r="T147" s="9">
        <v>0</v>
      </c>
      <c r="U147" s="9">
        <v>0</v>
      </c>
      <c r="V147" s="9">
        <v>0</v>
      </c>
      <c r="W147" s="9">
        <v>0</v>
      </c>
      <c r="X147" s="10">
        <v>0</v>
      </c>
      <c r="Y147" s="11">
        <v>1332180</v>
      </c>
      <c r="Z147">
        <v>764.26</v>
      </c>
      <c r="AA147" s="3">
        <v>9999.99</v>
      </c>
      <c r="AB147" s="3">
        <v>0</v>
      </c>
      <c r="AC147" s="3">
        <v>0</v>
      </c>
      <c r="AD147" s="3">
        <v>1.33</v>
      </c>
      <c r="AE147" s="34">
        <v>0</v>
      </c>
      <c r="AF147" s="33">
        <v>732.55</v>
      </c>
      <c r="AG147" s="33">
        <v>725.7</v>
      </c>
      <c r="AH147" s="3"/>
      <c r="AI147" s="33"/>
      <c r="AJ147" s="33"/>
      <c r="AK147" s="3"/>
      <c r="AL147" s="3"/>
    </row>
    <row r="148" spans="1:38" x14ac:dyDescent="0.2">
      <c r="A148">
        <v>441</v>
      </c>
      <c r="B148">
        <v>1</v>
      </c>
      <c r="C148" t="s">
        <v>201</v>
      </c>
      <c r="D148">
        <v>2008</v>
      </c>
      <c r="E148">
        <v>0</v>
      </c>
      <c r="F148">
        <v>0</v>
      </c>
      <c r="G148">
        <v>0</v>
      </c>
      <c r="H148" s="3">
        <v>345</v>
      </c>
      <c r="I148" s="3">
        <v>0</v>
      </c>
      <c r="J148" s="3">
        <v>0</v>
      </c>
      <c r="K148" s="3">
        <v>0</v>
      </c>
      <c r="L148" s="3">
        <v>0</v>
      </c>
      <c r="M148" s="3">
        <v>6.36</v>
      </c>
      <c r="N148">
        <v>0</v>
      </c>
      <c r="O148">
        <v>0</v>
      </c>
      <c r="P148" s="3">
        <v>0</v>
      </c>
      <c r="Q148">
        <v>2003</v>
      </c>
      <c r="R148">
        <v>2012</v>
      </c>
      <c r="S148" s="3">
        <v>200</v>
      </c>
      <c r="T148" s="9">
        <v>1997</v>
      </c>
      <c r="U148" s="9">
        <v>0</v>
      </c>
      <c r="V148" s="9">
        <v>0</v>
      </c>
      <c r="W148" s="9">
        <v>0</v>
      </c>
      <c r="X148" s="10">
        <v>0</v>
      </c>
      <c r="Y148" s="11">
        <v>2259716</v>
      </c>
      <c r="Z148">
        <v>411.73</v>
      </c>
      <c r="AA148" s="3">
        <v>9999.99</v>
      </c>
      <c r="AB148" s="3">
        <v>0</v>
      </c>
      <c r="AC148" s="3">
        <v>0</v>
      </c>
      <c r="AD148" s="3">
        <v>6.36</v>
      </c>
      <c r="AE148" s="34">
        <v>1</v>
      </c>
      <c r="AF148" s="33">
        <v>374.86</v>
      </c>
      <c r="AG148" s="33">
        <v>374.03</v>
      </c>
      <c r="AH148" s="3"/>
      <c r="AI148" s="33"/>
      <c r="AJ148" s="33"/>
      <c r="AK148" s="3"/>
      <c r="AL148" s="3"/>
    </row>
    <row r="149" spans="1:38" x14ac:dyDescent="0.2">
      <c r="A149">
        <v>447</v>
      </c>
      <c r="B149">
        <v>1</v>
      </c>
      <c r="C149" t="s">
        <v>202</v>
      </c>
      <c r="D149">
        <v>2008</v>
      </c>
      <c r="E149">
        <v>0</v>
      </c>
      <c r="F149">
        <v>0</v>
      </c>
      <c r="G149">
        <v>0</v>
      </c>
      <c r="H149" s="3">
        <v>304.38</v>
      </c>
      <c r="I149" s="3">
        <v>0</v>
      </c>
      <c r="J149" s="3">
        <v>0</v>
      </c>
      <c r="K149" s="3">
        <v>0</v>
      </c>
      <c r="L149" s="3">
        <v>100</v>
      </c>
      <c r="M149" s="3">
        <v>39.799999999999997</v>
      </c>
      <c r="N149">
        <v>0</v>
      </c>
      <c r="O149">
        <v>0</v>
      </c>
      <c r="P149" s="3">
        <v>0</v>
      </c>
      <c r="Q149">
        <v>2003</v>
      </c>
      <c r="R149">
        <v>2012</v>
      </c>
      <c r="S149" s="3">
        <v>126</v>
      </c>
      <c r="T149" s="9">
        <v>1990</v>
      </c>
      <c r="U149" s="9">
        <v>0</v>
      </c>
      <c r="V149" s="9">
        <v>0</v>
      </c>
      <c r="W149" s="9">
        <v>0</v>
      </c>
      <c r="X149" s="10">
        <v>0.12994425000000001</v>
      </c>
      <c r="Y149" s="11">
        <v>435968</v>
      </c>
      <c r="Z149">
        <v>229.25</v>
      </c>
      <c r="AA149" s="3">
        <v>9999.99</v>
      </c>
      <c r="AB149" s="3">
        <v>39.770000000000003</v>
      </c>
      <c r="AC149" s="3">
        <v>0</v>
      </c>
      <c r="AD149" s="3">
        <v>1.04</v>
      </c>
      <c r="AE149" s="34">
        <v>1</v>
      </c>
      <c r="AF149" s="33">
        <v>241.27</v>
      </c>
      <c r="AG149" s="33">
        <v>241.01</v>
      </c>
      <c r="AH149" s="3"/>
      <c r="AI149" s="33"/>
      <c r="AJ149" s="33"/>
      <c r="AK149" s="3"/>
      <c r="AL149" s="3"/>
    </row>
    <row r="150" spans="1:38" x14ac:dyDescent="0.2">
      <c r="A150">
        <v>458</v>
      </c>
      <c r="B150">
        <v>1</v>
      </c>
      <c r="C150" t="s">
        <v>203</v>
      </c>
      <c r="D150">
        <v>2006</v>
      </c>
      <c r="E150">
        <v>0</v>
      </c>
      <c r="F150">
        <v>0</v>
      </c>
      <c r="G150">
        <v>0</v>
      </c>
      <c r="H150" s="3">
        <v>573.20000000000005</v>
      </c>
      <c r="I150" s="3">
        <v>0</v>
      </c>
      <c r="J150" s="3">
        <v>0</v>
      </c>
      <c r="K150" s="3">
        <v>0</v>
      </c>
      <c r="L150" s="3">
        <v>117.1</v>
      </c>
      <c r="M150" s="3">
        <v>2.5099999999999998</v>
      </c>
      <c r="N150">
        <v>2002</v>
      </c>
      <c r="O150">
        <v>2011</v>
      </c>
      <c r="P150" s="3">
        <v>516.73</v>
      </c>
      <c r="Q150">
        <v>0</v>
      </c>
      <c r="R150">
        <v>0</v>
      </c>
      <c r="S150" s="3">
        <v>0</v>
      </c>
      <c r="T150" s="9">
        <v>1990</v>
      </c>
      <c r="U150" s="9">
        <v>0</v>
      </c>
      <c r="V150" s="9">
        <v>0</v>
      </c>
      <c r="W150" s="9">
        <v>0</v>
      </c>
      <c r="X150" s="10">
        <v>0.11624694000000001</v>
      </c>
      <c r="Y150" s="11">
        <v>2082213</v>
      </c>
      <c r="Z150">
        <v>520.13</v>
      </c>
      <c r="AA150" s="3">
        <v>991</v>
      </c>
      <c r="AB150" s="3">
        <v>0</v>
      </c>
      <c r="AC150" s="3">
        <v>0</v>
      </c>
      <c r="AD150" s="3">
        <v>2.5099999999999998</v>
      </c>
      <c r="AE150" s="34">
        <v>1</v>
      </c>
      <c r="AF150" s="33">
        <v>488.22</v>
      </c>
      <c r="AG150" s="33">
        <v>487.92</v>
      </c>
      <c r="AH150" s="3"/>
      <c r="AI150" s="33"/>
      <c r="AJ150" s="33"/>
      <c r="AK150" s="3"/>
      <c r="AL150" s="3"/>
    </row>
    <row r="151" spans="1:38" x14ac:dyDescent="0.2">
      <c r="A151">
        <v>463</v>
      </c>
      <c r="B151">
        <v>1</v>
      </c>
      <c r="C151" t="s">
        <v>204</v>
      </c>
      <c r="D151">
        <v>2005</v>
      </c>
      <c r="E151">
        <v>0</v>
      </c>
      <c r="F151">
        <v>0</v>
      </c>
      <c r="G151">
        <v>0</v>
      </c>
      <c r="H151" s="3">
        <v>432.14</v>
      </c>
      <c r="I151" s="3">
        <v>0</v>
      </c>
      <c r="J151" s="3">
        <v>0</v>
      </c>
      <c r="K151" s="3">
        <v>0</v>
      </c>
      <c r="L151" s="3">
        <v>121.95</v>
      </c>
      <c r="M151" s="3">
        <v>0</v>
      </c>
      <c r="N151">
        <v>0</v>
      </c>
      <c r="O151">
        <v>0</v>
      </c>
      <c r="P151" s="3">
        <v>0</v>
      </c>
      <c r="Q151">
        <v>2003</v>
      </c>
      <c r="R151">
        <v>2012</v>
      </c>
      <c r="S151" s="3">
        <v>225</v>
      </c>
      <c r="T151" s="9">
        <v>1994</v>
      </c>
      <c r="U151" s="9">
        <v>0</v>
      </c>
      <c r="V151" s="9">
        <v>0</v>
      </c>
      <c r="W151" s="9">
        <v>0</v>
      </c>
      <c r="X151" s="10">
        <v>0</v>
      </c>
      <c r="Y151" s="11">
        <v>1733961</v>
      </c>
      <c r="Z151" s="3">
        <v>1027.83</v>
      </c>
      <c r="AA151" s="3">
        <v>991</v>
      </c>
      <c r="AB151" s="3">
        <v>19.190000000000001</v>
      </c>
      <c r="AC151" s="3">
        <v>0</v>
      </c>
      <c r="AD151" s="3">
        <v>0.95</v>
      </c>
      <c r="AE151" s="34">
        <v>0</v>
      </c>
      <c r="AF151" s="33">
        <v>951.17</v>
      </c>
      <c r="AG151" s="33">
        <v>950.42</v>
      </c>
      <c r="AH151" s="3"/>
      <c r="AI151" s="33"/>
      <c r="AJ151" s="33"/>
      <c r="AK151" s="3"/>
      <c r="AL151" s="3"/>
    </row>
    <row r="152" spans="1:38" x14ac:dyDescent="0.2">
      <c r="A152">
        <v>465</v>
      </c>
      <c r="B152">
        <v>1</v>
      </c>
      <c r="C152" t="s">
        <v>205</v>
      </c>
      <c r="D152">
        <v>2009</v>
      </c>
      <c r="E152">
        <v>0</v>
      </c>
      <c r="F152">
        <v>0</v>
      </c>
      <c r="G152">
        <v>0</v>
      </c>
      <c r="H152" s="3">
        <v>350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>
        <v>0</v>
      </c>
      <c r="O152">
        <v>0</v>
      </c>
      <c r="P152" s="3">
        <v>0</v>
      </c>
      <c r="Q152">
        <v>0</v>
      </c>
      <c r="R152">
        <v>0</v>
      </c>
      <c r="S152" s="3">
        <v>0</v>
      </c>
      <c r="T152" s="9">
        <v>1998</v>
      </c>
      <c r="U152" s="9">
        <v>0</v>
      </c>
      <c r="V152" s="9">
        <v>0</v>
      </c>
      <c r="W152" s="9">
        <v>0</v>
      </c>
      <c r="X152" s="10">
        <v>0</v>
      </c>
      <c r="Y152" s="11">
        <v>5122361</v>
      </c>
      <c r="Z152" s="3">
        <v>2514.81</v>
      </c>
      <c r="AA152" s="3">
        <v>991</v>
      </c>
      <c r="AB152" s="3">
        <v>0</v>
      </c>
      <c r="AC152" s="3">
        <v>0</v>
      </c>
      <c r="AD152" s="3">
        <v>1.1100000000000001</v>
      </c>
      <c r="AE152" s="34">
        <v>0</v>
      </c>
      <c r="AF152" s="33">
        <v>2379.04</v>
      </c>
      <c r="AG152" s="33">
        <v>2367.16</v>
      </c>
      <c r="AH152" s="3"/>
      <c r="AI152" s="33"/>
      <c r="AJ152" s="33"/>
      <c r="AK152" s="3"/>
      <c r="AL152" s="3"/>
    </row>
    <row r="153" spans="1:38" x14ac:dyDescent="0.2">
      <c r="A153">
        <v>466</v>
      </c>
      <c r="B153">
        <v>1</v>
      </c>
      <c r="C153" t="s">
        <v>206</v>
      </c>
      <c r="D153">
        <v>2005</v>
      </c>
      <c r="E153">
        <v>0</v>
      </c>
      <c r="F153">
        <v>0</v>
      </c>
      <c r="G153">
        <v>0</v>
      </c>
      <c r="H153" s="3">
        <v>350</v>
      </c>
      <c r="I153" s="3">
        <v>0</v>
      </c>
      <c r="J153" s="3">
        <v>0</v>
      </c>
      <c r="K153" s="3">
        <v>0</v>
      </c>
      <c r="L153" s="3">
        <v>0</v>
      </c>
      <c r="M153" s="3">
        <v>1.08</v>
      </c>
      <c r="N153">
        <v>0</v>
      </c>
      <c r="O153">
        <v>0</v>
      </c>
      <c r="P153" s="3">
        <v>0</v>
      </c>
      <c r="Q153">
        <v>2003</v>
      </c>
      <c r="R153">
        <v>2007</v>
      </c>
      <c r="S153" s="3">
        <v>126</v>
      </c>
      <c r="T153" s="9">
        <v>1999</v>
      </c>
      <c r="U153" s="9">
        <v>0</v>
      </c>
      <c r="V153" s="9">
        <v>0</v>
      </c>
      <c r="W153" s="9">
        <v>0</v>
      </c>
      <c r="X153" s="10">
        <v>0</v>
      </c>
      <c r="Y153" s="11">
        <v>4354007</v>
      </c>
      <c r="Z153" s="3">
        <v>2450.33</v>
      </c>
      <c r="AA153" s="3">
        <v>991</v>
      </c>
      <c r="AB153" s="3">
        <v>0</v>
      </c>
      <c r="AC153" s="3">
        <v>0</v>
      </c>
      <c r="AD153" s="3">
        <v>1.08</v>
      </c>
      <c r="AE153" s="34">
        <v>1</v>
      </c>
      <c r="AF153" s="33">
        <v>2429.77</v>
      </c>
      <c r="AG153" s="33">
        <v>2407.29</v>
      </c>
      <c r="AH153" s="3"/>
      <c r="AI153" s="33"/>
      <c r="AJ153" s="33"/>
      <c r="AK153" s="3"/>
      <c r="AL153" s="3"/>
    </row>
    <row r="154" spans="1:38" x14ac:dyDescent="0.2">
      <c r="A154">
        <v>473</v>
      </c>
      <c r="B154">
        <v>1</v>
      </c>
      <c r="C154" t="s">
        <v>207</v>
      </c>
      <c r="D154">
        <v>2008</v>
      </c>
      <c r="E154">
        <v>0</v>
      </c>
      <c r="F154">
        <v>0</v>
      </c>
      <c r="G154">
        <v>0</v>
      </c>
      <c r="H154" s="3">
        <v>255.26</v>
      </c>
      <c r="I154" s="3">
        <v>0</v>
      </c>
      <c r="J154" s="3">
        <v>0</v>
      </c>
      <c r="K154" s="3">
        <v>0</v>
      </c>
      <c r="L154" s="3">
        <v>37.79</v>
      </c>
      <c r="M154" s="3">
        <v>0</v>
      </c>
      <c r="N154">
        <v>0</v>
      </c>
      <c r="O154">
        <v>0</v>
      </c>
      <c r="P154" s="3">
        <v>0</v>
      </c>
      <c r="Q154">
        <v>0</v>
      </c>
      <c r="R154">
        <v>0</v>
      </c>
      <c r="S154" s="3">
        <v>0</v>
      </c>
      <c r="T154" s="9">
        <v>1990</v>
      </c>
      <c r="U154" s="9">
        <v>0</v>
      </c>
      <c r="V154" s="9">
        <v>0</v>
      </c>
      <c r="W154" s="9">
        <v>0</v>
      </c>
      <c r="X154" s="10">
        <v>6.0048799999999999E-2</v>
      </c>
      <c r="Y154" s="11">
        <v>1955175</v>
      </c>
      <c r="Z154">
        <v>566.53</v>
      </c>
      <c r="AA154" s="3">
        <v>9999.99</v>
      </c>
      <c r="AB154" s="3">
        <v>0</v>
      </c>
      <c r="AC154" s="3">
        <v>0</v>
      </c>
      <c r="AD154" s="3">
        <v>2.87</v>
      </c>
      <c r="AE154" s="34">
        <v>0</v>
      </c>
      <c r="AF154" s="33">
        <v>614.19000000000005</v>
      </c>
      <c r="AG154" s="33">
        <v>613.07000000000005</v>
      </c>
      <c r="AH154" s="3"/>
      <c r="AI154" s="33"/>
      <c r="AJ154" s="33"/>
      <c r="AK154" s="3"/>
      <c r="AL154" s="3"/>
    </row>
    <row r="155" spans="1:38" x14ac:dyDescent="0.2">
      <c r="A155">
        <v>477</v>
      </c>
      <c r="B155">
        <v>1</v>
      </c>
      <c r="C155" t="s">
        <v>208</v>
      </c>
      <c r="D155">
        <v>2008</v>
      </c>
      <c r="E155">
        <v>0</v>
      </c>
      <c r="F155">
        <v>0</v>
      </c>
      <c r="G155">
        <v>0</v>
      </c>
      <c r="H155" s="3">
        <v>315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>
        <v>0</v>
      </c>
      <c r="O155">
        <v>0</v>
      </c>
      <c r="P155" s="3">
        <v>0</v>
      </c>
      <c r="Q155">
        <v>0</v>
      </c>
      <c r="R155">
        <v>0</v>
      </c>
      <c r="S155" s="3">
        <v>0</v>
      </c>
      <c r="T155" s="9">
        <v>1997</v>
      </c>
      <c r="U155" s="9">
        <v>0</v>
      </c>
      <c r="V155" s="9">
        <v>0</v>
      </c>
      <c r="W155" s="9">
        <v>0</v>
      </c>
      <c r="X155" s="10">
        <v>0</v>
      </c>
      <c r="Y155" s="11">
        <v>6794372</v>
      </c>
      <c r="Z155" s="3">
        <v>3703.38</v>
      </c>
      <c r="AA155" s="3">
        <v>991</v>
      </c>
      <c r="AB155" s="3">
        <v>10.4</v>
      </c>
      <c r="AC155" s="3">
        <v>0</v>
      </c>
      <c r="AD155" s="3">
        <v>1.04</v>
      </c>
      <c r="AE155" s="34">
        <v>0</v>
      </c>
      <c r="AF155" s="33">
        <v>4063.8</v>
      </c>
      <c r="AG155" s="33">
        <v>4039.93</v>
      </c>
      <c r="AH155" s="3"/>
      <c r="AI155" s="33"/>
      <c r="AJ155" s="33"/>
      <c r="AK155" s="3"/>
      <c r="AL155" s="3"/>
    </row>
    <row r="156" spans="1:38" x14ac:dyDescent="0.2">
      <c r="A156">
        <v>480</v>
      </c>
      <c r="B156">
        <v>1</v>
      </c>
      <c r="C156" t="s">
        <v>209</v>
      </c>
      <c r="D156">
        <v>0</v>
      </c>
      <c r="E156">
        <v>0</v>
      </c>
      <c r="F156">
        <v>0</v>
      </c>
      <c r="G156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>
        <v>0</v>
      </c>
      <c r="O156">
        <v>0</v>
      </c>
      <c r="P156" s="3">
        <v>0</v>
      </c>
      <c r="Q156">
        <v>2003</v>
      </c>
      <c r="R156">
        <v>2012</v>
      </c>
      <c r="S156" s="3">
        <v>1</v>
      </c>
      <c r="T156" s="9">
        <v>0</v>
      </c>
      <c r="U156" s="9">
        <v>0</v>
      </c>
      <c r="V156" s="9">
        <v>0</v>
      </c>
      <c r="W156" s="9">
        <v>0</v>
      </c>
      <c r="X156" s="10">
        <v>0</v>
      </c>
      <c r="Y156" s="11">
        <v>2696382</v>
      </c>
      <c r="Z156">
        <v>984.17</v>
      </c>
      <c r="AA156" s="3">
        <v>9999.99</v>
      </c>
      <c r="AB156" s="3">
        <v>0</v>
      </c>
      <c r="AC156" s="3">
        <v>0</v>
      </c>
      <c r="AD156" s="3">
        <v>2.86</v>
      </c>
      <c r="AE156" s="34">
        <v>0</v>
      </c>
      <c r="AF156" s="33">
        <v>957.87</v>
      </c>
      <c r="AG156" s="33">
        <v>947.32</v>
      </c>
      <c r="AH156" s="3"/>
      <c r="AI156" s="33"/>
      <c r="AJ156" s="33"/>
      <c r="AK156" s="3"/>
      <c r="AL156" s="3"/>
    </row>
    <row r="157" spans="1:38" x14ac:dyDescent="0.2">
      <c r="A157">
        <v>482</v>
      </c>
      <c r="B157">
        <v>1</v>
      </c>
      <c r="C157" t="s">
        <v>210</v>
      </c>
      <c r="D157">
        <v>2005</v>
      </c>
      <c r="E157">
        <v>0</v>
      </c>
      <c r="F157">
        <v>0</v>
      </c>
      <c r="G157">
        <v>0</v>
      </c>
      <c r="H157" s="3">
        <v>428.9</v>
      </c>
      <c r="I157" s="3">
        <v>0</v>
      </c>
      <c r="J157" s="3">
        <v>0</v>
      </c>
      <c r="K157" s="3">
        <v>0</v>
      </c>
      <c r="L157" s="3">
        <v>121.55</v>
      </c>
      <c r="M157" s="3">
        <v>0</v>
      </c>
      <c r="N157">
        <v>0</v>
      </c>
      <c r="O157">
        <v>0</v>
      </c>
      <c r="P157" s="3">
        <v>0</v>
      </c>
      <c r="Q157">
        <v>0</v>
      </c>
      <c r="R157">
        <v>0</v>
      </c>
      <c r="S157" s="3">
        <v>0</v>
      </c>
      <c r="T157" s="9">
        <v>1994</v>
      </c>
      <c r="U157" s="9">
        <v>0</v>
      </c>
      <c r="V157" s="9">
        <v>0</v>
      </c>
      <c r="W157" s="9">
        <v>0</v>
      </c>
      <c r="X157" s="10">
        <v>0</v>
      </c>
      <c r="Y157" s="11">
        <v>6242096</v>
      </c>
      <c r="Z157" s="3">
        <v>3883.02</v>
      </c>
      <c r="AA157" s="3">
        <v>991</v>
      </c>
      <c r="AB157" s="3">
        <v>0</v>
      </c>
      <c r="AC157" s="3">
        <v>0</v>
      </c>
      <c r="AD157" s="3">
        <v>0.98</v>
      </c>
      <c r="AE157" s="34">
        <v>0</v>
      </c>
      <c r="AF157" s="33">
        <v>3464.86</v>
      </c>
      <c r="AG157" s="33">
        <v>3453.06</v>
      </c>
      <c r="AH157" s="3"/>
      <c r="AI157" s="33"/>
      <c r="AJ157" s="33"/>
      <c r="AK157" s="3"/>
      <c r="AL157" s="3"/>
    </row>
    <row r="158" spans="1:38" x14ac:dyDescent="0.2">
      <c r="A158">
        <v>484</v>
      </c>
      <c r="B158">
        <v>1</v>
      </c>
      <c r="C158" t="s">
        <v>211</v>
      </c>
      <c r="D158">
        <v>2006</v>
      </c>
      <c r="E158">
        <v>0</v>
      </c>
      <c r="F158">
        <v>0</v>
      </c>
      <c r="G158">
        <v>0</v>
      </c>
      <c r="H158" s="3">
        <v>440.79</v>
      </c>
      <c r="I158" s="3">
        <v>0</v>
      </c>
      <c r="J158" s="3">
        <v>0</v>
      </c>
      <c r="K158" s="3">
        <v>0</v>
      </c>
      <c r="L158" s="3">
        <v>129.27000000000001</v>
      </c>
      <c r="M158" s="3">
        <v>0</v>
      </c>
      <c r="N158">
        <v>0</v>
      </c>
      <c r="O158">
        <v>0</v>
      </c>
      <c r="P158" s="3">
        <v>0</v>
      </c>
      <c r="Q158">
        <v>0</v>
      </c>
      <c r="R158">
        <v>0</v>
      </c>
      <c r="S158" s="3">
        <v>0</v>
      </c>
      <c r="T158" s="9">
        <v>1995</v>
      </c>
      <c r="U158" s="9">
        <v>0</v>
      </c>
      <c r="V158" s="9">
        <v>0</v>
      </c>
      <c r="W158" s="9">
        <v>0</v>
      </c>
      <c r="X158" s="10">
        <v>0</v>
      </c>
      <c r="Y158" s="11">
        <v>1665643</v>
      </c>
      <c r="Z158" s="3">
        <v>1131.3399999999999</v>
      </c>
      <c r="AA158" s="3">
        <v>991</v>
      </c>
      <c r="AB158" s="3">
        <v>0</v>
      </c>
      <c r="AC158" s="3">
        <v>0</v>
      </c>
      <c r="AD158" s="3">
        <v>0.75</v>
      </c>
      <c r="AE158" s="34">
        <v>0</v>
      </c>
      <c r="AF158" s="33">
        <v>1036.33</v>
      </c>
      <c r="AG158" s="33">
        <v>1031.8499999999999</v>
      </c>
      <c r="AH158" s="3"/>
      <c r="AI158" s="33"/>
      <c r="AJ158" s="33"/>
      <c r="AK158" s="3"/>
      <c r="AL158" s="3"/>
    </row>
    <row r="159" spans="1:38" x14ac:dyDescent="0.2">
      <c r="A159">
        <v>485</v>
      </c>
      <c r="B159">
        <v>1</v>
      </c>
      <c r="C159" t="s">
        <v>212</v>
      </c>
      <c r="D159">
        <v>2010</v>
      </c>
      <c r="E159">
        <v>0</v>
      </c>
      <c r="F159">
        <v>0</v>
      </c>
      <c r="G159">
        <v>0</v>
      </c>
      <c r="H159" s="3">
        <v>415</v>
      </c>
      <c r="I159" s="3">
        <v>0</v>
      </c>
      <c r="J159" s="3">
        <v>0</v>
      </c>
      <c r="K159" s="3">
        <v>0</v>
      </c>
      <c r="L159" s="3">
        <v>0</v>
      </c>
      <c r="M159" s="3">
        <v>1.04</v>
      </c>
      <c r="N159">
        <v>0</v>
      </c>
      <c r="O159">
        <v>0</v>
      </c>
      <c r="P159" s="3">
        <v>0</v>
      </c>
      <c r="Q159">
        <v>0</v>
      </c>
      <c r="R159">
        <v>0</v>
      </c>
      <c r="S159" s="3">
        <v>0</v>
      </c>
      <c r="T159" s="9">
        <v>1999</v>
      </c>
      <c r="U159" s="9">
        <v>0</v>
      </c>
      <c r="V159" s="9">
        <v>0</v>
      </c>
      <c r="W159" s="9">
        <v>0</v>
      </c>
      <c r="X159" s="10">
        <v>0</v>
      </c>
      <c r="Y159" s="11">
        <v>1413632</v>
      </c>
      <c r="Z159">
        <v>854.9</v>
      </c>
      <c r="AA159" s="3">
        <v>991</v>
      </c>
      <c r="AB159" s="3">
        <v>0</v>
      </c>
      <c r="AC159" s="3">
        <v>0</v>
      </c>
      <c r="AD159" s="3">
        <v>1.04</v>
      </c>
      <c r="AE159" s="34">
        <v>1</v>
      </c>
      <c r="AF159" s="33">
        <v>831.32</v>
      </c>
      <c r="AG159" s="33">
        <v>828.1</v>
      </c>
      <c r="AH159" s="3"/>
      <c r="AI159" s="33"/>
      <c r="AJ159" s="33"/>
      <c r="AK159" s="3"/>
      <c r="AL159" s="3"/>
    </row>
    <row r="160" spans="1:38" x14ac:dyDescent="0.2">
      <c r="A160">
        <v>486</v>
      </c>
      <c r="B160">
        <v>1</v>
      </c>
      <c r="C160" t="s">
        <v>213</v>
      </c>
      <c r="D160">
        <v>2002</v>
      </c>
      <c r="E160">
        <v>0</v>
      </c>
      <c r="F160">
        <v>0</v>
      </c>
      <c r="G160">
        <v>0</v>
      </c>
      <c r="H160" s="3">
        <v>385.81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>
        <v>0</v>
      </c>
      <c r="O160">
        <v>0</v>
      </c>
      <c r="P160" s="3">
        <v>0</v>
      </c>
      <c r="Q160">
        <v>2003</v>
      </c>
      <c r="R160">
        <v>2012</v>
      </c>
      <c r="S160" s="3">
        <v>800</v>
      </c>
      <c r="T160" s="9">
        <v>1996</v>
      </c>
      <c r="U160" s="9">
        <v>0</v>
      </c>
      <c r="V160" s="9">
        <v>0</v>
      </c>
      <c r="W160" s="9">
        <v>0</v>
      </c>
      <c r="X160" s="10">
        <v>0</v>
      </c>
      <c r="Y160" s="11">
        <v>664302</v>
      </c>
      <c r="Z160">
        <v>443.84</v>
      </c>
      <c r="AA160" s="3">
        <v>991</v>
      </c>
      <c r="AB160" s="3">
        <v>0</v>
      </c>
      <c r="AC160" s="3">
        <v>0</v>
      </c>
      <c r="AD160" s="3">
        <v>0.96</v>
      </c>
      <c r="AE160" s="34">
        <v>0</v>
      </c>
      <c r="AF160" s="33">
        <v>454.02</v>
      </c>
      <c r="AG160" s="33">
        <v>451.3</v>
      </c>
      <c r="AH160" s="3"/>
      <c r="AI160" s="33"/>
      <c r="AJ160" s="33"/>
      <c r="AK160" s="3"/>
      <c r="AL160" s="3"/>
    </row>
    <row r="161" spans="1:38" x14ac:dyDescent="0.2">
      <c r="A161">
        <v>487</v>
      </c>
      <c r="B161">
        <v>1</v>
      </c>
      <c r="C161" t="s">
        <v>214</v>
      </c>
      <c r="D161">
        <v>2006</v>
      </c>
      <c r="E161">
        <v>2006</v>
      </c>
      <c r="F161">
        <v>0</v>
      </c>
      <c r="G161">
        <v>0</v>
      </c>
      <c r="H161" s="3">
        <v>305</v>
      </c>
      <c r="I161" s="3">
        <v>240</v>
      </c>
      <c r="J161" s="3">
        <v>0</v>
      </c>
      <c r="K161" s="3">
        <v>0</v>
      </c>
      <c r="L161" s="3">
        <v>0</v>
      </c>
      <c r="M161" s="3">
        <v>0.51</v>
      </c>
      <c r="N161">
        <v>0</v>
      </c>
      <c r="O161">
        <v>0</v>
      </c>
      <c r="P161" s="3">
        <v>0</v>
      </c>
      <c r="Q161">
        <v>0</v>
      </c>
      <c r="R161">
        <v>0</v>
      </c>
      <c r="S161" s="3">
        <v>0</v>
      </c>
      <c r="T161" s="9">
        <v>1995</v>
      </c>
      <c r="U161" s="9">
        <v>1997</v>
      </c>
      <c r="V161" s="9">
        <v>0</v>
      </c>
      <c r="W161" s="9">
        <v>0</v>
      </c>
      <c r="X161" s="10">
        <v>0</v>
      </c>
      <c r="Y161" s="11">
        <v>535979</v>
      </c>
      <c r="Z161">
        <v>506.75</v>
      </c>
      <c r="AA161" s="3">
        <v>991</v>
      </c>
      <c r="AB161" s="3">
        <v>0</v>
      </c>
      <c r="AC161" s="3">
        <v>0</v>
      </c>
      <c r="AD161" s="3">
        <v>0.51</v>
      </c>
      <c r="AE161" s="34">
        <v>1</v>
      </c>
      <c r="AF161" s="33">
        <v>462.35</v>
      </c>
      <c r="AG161" s="33">
        <v>459.72</v>
      </c>
      <c r="AH161" s="3"/>
      <c r="AI161" s="33"/>
      <c r="AJ161" s="33"/>
      <c r="AK161" s="3"/>
      <c r="AL161" s="3"/>
    </row>
    <row r="162" spans="1:38" x14ac:dyDescent="0.2">
      <c r="A162">
        <v>492</v>
      </c>
      <c r="B162">
        <v>1</v>
      </c>
      <c r="C162" t="s">
        <v>215</v>
      </c>
      <c r="D162">
        <v>2001</v>
      </c>
      <c r="E162">
        <v>2008</v>
      </c>
      <c r="F162">
        <v>0</v>
      </c>
      <c r="G162">
        <v>0</v>
      </c>
      <c r="H162" s="3">
        <v>269.12</v>
      </c>
      <c r="I162" s="3">
        <v>118.13</v>
      </c>
      <c r="J162" s="3">
        <v>0</v>
      </c>
      <c r="K162" s="3">
        <v>0</v>
      </c>
      <c r="L162" s="3">
        <v>52.22</v>
      </c>
      <c r="M162" s="3">
        <v>1.41</v>
      </c>
      <c r="N162">
        <v>2002</v>
      </c>
      <c r="O162">
        <v>2011</v>
      </c>
      <c r="P162" s="3">
        <v>347.82</v>
      </c>
      <c r="Q162">
        <v>2003</v>
      </c>
      <c r="R162">
        <v>2012</v>
      </c>
      <c r="S162" s="3">
        <v>246.54</v>
      </c>
      <c r="T162" s="9">
        <v>1995</v>
      </c>
      <c r="U162" s="9">
        <v>1999</v>
      </c>
      <c r="V162" s="9">
        <v>1990</v>
      </c>
      <c r="W162" s="9">
        <v>0</v>
      </c>
      <c r="X162" s="10">
        <v>4.4333070000000002E-2</v>
      </c>
      <c r="Y162" s="11">
        <v>10477091</v>
      </c>
      <c r="Z162" s="3">
        <v>4843.24</v>
      </c>
      <c r="AA162" s="3">
        <v>991</v>
      </c>
      <c r="AB162" s="3">
        <v>0</v>
      </c>
      <c r="AC162" s="3">
        <v>0</v>
      </c>
      <c r="AD162" s="3">
        <v>1.41</v>
      </c>
      <c r="AE162" s="34">
        <v>1</v>
      </c>
      <c r="AF162" s="33">
        <v>4804.67</v>
      </c>
      <c r="AG162" s="33">
        <v>4715.8500000000004</v>
      </c>
      <c r="AH162" s="3"/>
      <c r="AI162" s="33"/>
      <c r="AJ162" s="33"/>
      <c r="AK162" s="3"/>
      <c r="AL162" s="3"/>
    </row>
    <row r="163" spans="1:38" x14ac:dyDescent="0.2">
      <c r="A163">
        <v>495</v>
      </c>
      <c r="B163">
        <v>1</v>
      </c>
      <c r="C163" t="s">
        <v>216</v>
      </c>
      <c r="D163">
        <v>2001</v>
      </c>
      <c r="E163">
        <v>0</v>
      </c>
      <c r="F163">
        <v>0</v>
      </c>
      <c r="G163">
        <v>0</v>
      </c>
      <c r="H163" s="3">
        <v>615.51</v>
      </c>
      <c r="I163" s="3">
        <v>0</v>
      </c>
      <c r="J163" s="3">
        <v>0</v>
      </c>
      <c r="K163" s="3">
        <v>0</v>
      </c>
      <c r="L163" s="3">
        <v>0</v>
      </c>
      <c r="M163" s="3">
        <v>1.34</v>
      </c>
      <c r="N163">
        <v>2002</v>
      </c>
      <c r="O163">
        <v>2011</v>
      </c>
      <c r="P163" s="3">
        <v>601.47</v>
      </c>
      <c r="Q163">
        <v>2003</v>
      </c>
      <c r="R163">
        <v>2011</v>
      </c>
      <c r="S163" s="3">
        <v>265</v>
      </c>
      <c r="T163" s="9">
        <v>1990</v>
      </c>
      <c r="U163" s="9">
        <v>0</v>
      </c>
      <c r="V163" s="9">
        <v>0</v>
      </c>
      <c r="W163" s="9">
        <v>0</v>
      </c>
      <c r="X163" s="10">
        <v>0.18225701999999999</v>
      </c>
      <c r="Y163" s="11">
        <v>1177833</v>
      </c>
      <c r="Z163">
        <v>429.58</v>
      </c>
      <c r="AA163" s="3">
        <v>991</v>
      </c>
      <c r="AB163" s="3">
        <v>0</v>
      </c>
      <c r="AC163" s="3">
        <v>0</v>
      </c>
      <c r="AD163" s="3">
        <v>1.34</v>
      </c>
      <c r="AE163" s="34">
        <v>1</v>
      </c>
      <c r="AF163" s="33">
        <v>402.79</v>
      </c>
      <c r="AG163" s="33">
        <v>402.61</v>
      </c>
      <c r="AH163" s="3"/>
      <c r="AI163" s="33"/>
      <c r="AJ163" s="33"/>
      <c r="AK163" s="3"/>
      <c r="AL163" s="3"/>
    </row>
    <row r="164" spans="1:38" x14ac:dyDescent="0.2">
      <c r="A164">
        <v>497</v>
      </c>
      <c r="B164">
        <v>1</v>
      </c>
      <c r="C164" t="s">
        <v>217</v>
      </c>
      <c r="D164">
        <v>2002</v>
      </c>
      <c r="E164">
        <v>2006</v>
      </c>
      <c r="F164">
        <v>0</v>
      </c>
      <c r="G164">
        <v>0</v>
      </c>
      <c r="H164" s="3">
        <v>600</v>
      </c>
      <c r="I164" s="3">
        <v>364.92</v>
      </c>
      <c r="J164" s="3">
        <v>0</v>
      </c>
      <c r="K164" s="3">
        <v>0</v>
      </c>
      <c r="L164" s="3">
        <v>0</v>
      </c>
      <c r="M164" s="3">
        <v>19.41</v>
      </c>
      <c r="N164">
        <v>0</v>
      </c>
      <c r="O164">
        <v>0</v>
      </c>
      <c r="P164" s="3">
        <v>0</v>
      </c>
      <c r="Q164">
        <v>2003</v>
      </c>
      <c r="R164">
        <v>2012</v>
      </c>
      <c r="S164" s="3">
        <v>837</v>
      </c>
      <c r="T164" s="9">
        <v>1997</v>
      </c>
      <c r="U164" s="9">
        <v>1990</v>
      </c>
      <c r="V164" s="9">
        <v>0</v>
      </c>
      <c r="W164" s="9">
        <v>0</v>
      </c>
      <c r="X164" s="10">
        <v>0.14134247999999999</v>
      </c>
      <c r="Y164" s="11">
        <v>661469</v>
      </c>
      <c r="Z164">
        <v>315.57</v>
      </c>
      <c r="AA164" s="3">
        <v>991</v>
      </c>
      <c r="AB164" s="3">
        <v>18.98</v>
      </c>
      <c r="AC164" s="3">
        <v>0</v>
      </c>
      <c r="AD164" s="3">
        <v>1.08</v>
      </c>
      <c r="AE164" s="34">
        <v>1</v>
      </c>
      <c r="AF164" s="33">
        <v>292.77</v>
      </c>
      <c r="AG164" s="33">
        <v>291.72000000000003</v>
      </c>
      <c r="AH164" s="3"/>
      <c r="AI164" s="33"/>
      <c r="AJ164" s="33"/>
      <c r="AK164" s="3"/>
      <c r="AL164" s="3"/>
    </row>
    <row r="165" spans="1:38" x14ac:dyDescent="0.2">
      <c r="A165">
        <v>499</v>
      </c>
      <c r="B165">
        <v>1</v>
      </c>
      <c r="C165" t="s">
        <v>218</v>
      </c>
      <c r="D165">
        <v>2006</v>
      </c>
      <c r="E165">
        <v>2008</v>
      </c>
      <c r="F165">
        <v>0</v>
      </c>
      <c r="G165">
        <v>0</v>
      </c>
      <c r="H165" s="3">
        <v>267.85000000000002</v>
      </c>
      <c r="I165" s="3">
        <v>289.20999999999998</v>
      </c>
      <c r="J165" s="3">
        <v>0</v>
      </c>
      <c r="K165" s="3">
        <v>0</v>
      </c>
      <c r="L165" s="3">
        <v>0</v>
      </c>
      <c r="M165" s="3">
        <v>1.38</v>
      </c>
      <c r="N165">
        <v>2002</v>
      </c>
      <c r="O165">
        <v>2011</v>
      </c>
      <c r="P165" s="3">
        <v>400</v>
      </c>
      <c r="Q165">
        <v>0</v>
      </c>
      <c r="R165">
        <v>0</v>
      </c>
      <c r="S165" s="3">
        <v>0</v>
      </c>
      <c r="T165" s="9">
        <v>1990</v>
      </c>
      <c r="U165" s="9">
        <v>1997</v>
      </c>
      <c r="V165" s="9">
        <v>0</v>
      </c>
      <c r="W165" s="9">
        <v>0</v>
      </c>
      <c r="X165" s="10">
        <v>8.3061129999999997E-2</v>
      </c>
      <c r="Y165" s="11">
        <v>1272706</v>
      </c>
      <c r="Z165">
        <v>486.12</v>
      </c>
      <c r="AA165" s="3">
        <v>991</v>
      </c>
      <c r="AB165" s="3">
        <v>0</v>
      </c>
      <c r="AC165" s="3">
        <v>0</v>
      </c>
      <c r="AD165" s="3">
        <v>1.38</v>
      </c>
      <c r="AE165" s="34">
        <v>1</v>
      </c>
      <c r="AF165" s="33">
        <v>466.01</v>
      </c>
      <c r="AG165" s="33">
        <v>465.69</v>
      </c>
      <c r="AH165" s="3"/>
      <c r="AI165" s="33"/>
      <c r="AJ165" s="33"/>
      <c r="AK165" s="3"/>
      <c r="AL165" s="3"/>
    </row>
    <row r="166" spans="1:38" x14ac:dyDescent="0.2">
      <c r="A166">
        <v>500</v>
      </c>
      <c r="B166">
        <v>1</v>
      </c>
      <c r="C166" t="s">
        <v>219</v>
      </c>
      <c r="D166">
        <v>2006</v>
      </c>
      <c r="E166">
        <v>0</v>
      </c>
      <c r="F166">
        <v>0</v>
      </c>
      <c r="G166">
        <v>0</v>
      </c>
      <c r="H166" s="3">
        <v>664.57</v>
      </c>
      <c r="I166" s="3">
        <v>0</v>
      </c>
      <c r="J166" s="3">
        <v>0</v>
      </c>
      <c r="K166" s="3">
        <v>0</v>
      </c>
      <c r="L166" s="3">
        <v>92.98</v>
      </c>
      <c r="M166" s="3">
        <v>26.43</v>
      </c>
      <c r="N166">
        <v>0</v>
      </c>
      <c r="O166">
        <v>0</v>
      </c>
      <c r="P166" s="3">
        <v>0</v>
      </c>
      <c r="Q166">
        <v>0</v>
      </c>
      <c r="R166">
        <v>0</v>
      </c>
      <c r="S166" s="3">
        <v>0</v>
      </c>
      <c r="T166" s="9">
        <v>1990</v>
      </c>
      <c r="U166" s="9">
        <v>0</v>
      </c>
      <c r="V166" s="9">
        <v>0</v>
      </c>
      <c r="W166" s="9">
        <v>0</v>
      </c>
      <c r="X166" s="10">
        <v>0.16627597000000002</v>
      </c>
      <c r="Y166" s="11">
        <v>2457387</v>
      </c>
      <c r="Z166">
        <v>757.31</v>
      </c>
      <c r="AA166" s="3">
        <v>9999.99</v>
      </c>
      <c r="AB166" s="3">
        <v>25.03</v>
      </c>
      <c r="AC166" s="3">
        <v>0</v>
      </c>
      <c r="AD166" s="3">
        <v>1.92</v>
      </c>
      <c r="AE166" s="34">
        <v>1</v>
      </c>
      <c r="AF166" s="33">
        <v>732.97</v>
      </c>
      <c r="AG166" s="33">
        <v>731.94</v>
      </c>
      <c r="AH166" s="3"/>
      <c r="AI166" s="33"/>
      <c r="AJ166" s="33"/>
      <c r="AK166" s="3"/>
      <c r="AL166" s="3"/>
    </row>
    <row r="167" spans="1:38" x14ac:dyDescent="0.2">
      <c r="A167">
        <v>505</v>
      </c>
      <c r="B167">
        <v>1</v>
      </c>
      <c r="C167" t="s">
        <v>220</v>
      </c>
      <c r="D167">
        <v>2002</v>
      </c>
      <c r="E167">
        <v>2002</v>
      </c>
      <c r="F167">
        <v>0</v>
      </c>
      <c r="G167">
        <v>0</v>
      </c>
      <c r="H167" s="3">
        <v>500.21</v>
      </c>
      <c r="I167" s="3">
        <v>166.74</v>
      </c>
      <c r="J167" s="3">
        <v>0</v>
      </c>
      <c r="K167" s="3">
        <v>0</v>
      </c>
      <c r="L167" s="3">
        <v>114.99</v>
      </c>
      <c r="M167" s="3">
        <v>1.81</v>
      </c>
      <c r="N167">
        <v>0</v>
      </c>
      <c r="O167">
        <v>0</v>
      </c>
      <c r="P167" s="3">
        <v>0</v>
      </c>
      <c r="Q167">
        <v>2003</v>
      </c>
      <c r="R167">
        <v>2012</v>
      </c>
      <c r="S167" s="3">
        <v>900</v>
      </c>
      <c r="T167" s="9">
        <v>1990</v>
      </c>
      <c r="U167" s="9">
        <v>1990</v>
      </c>
      <c r="V167" s="9">
        <v>0</v>
      </c>
      <c r="W167" s="9">
        <v>0</v>
      </c>
      <c r="X167" s="10">
        <v>0.16667320000000002</v>
      </c>
      <c r="Y167" s="11">
        <v>2034985</v>
      </c>
      <c r="Z167">
        <v>626.39</v>
      </c>
      <c r="AA167" s="3">
        <v>9999.99</v>
      </c>
      <c r="AB167" s="3">
        <v>0</v>
      </c>
      <c r="AC167" s="3">
        <v>0</v>
      </c>
      <c r="AD167" s="3">
        <v>1.81</v>
      </c>
      <c r="AE167" s="34">
        <v>1</v>
      </c>
      <c r="AF167" s="33">
        <v>586.69000000000005</v>
      </c>
      <c r="AG167" s="33">
        <v>585.4</v>
      </c>
      <c r="AH167" s="3"/>
      <c r="AI167" s="33"/>
      <c r="AJ167" s="33"/>
      <c r="AK167" s="3"/>
      <c r="AL167" s="3"/>
    </row>
    <row r="168" spans="1:38" x14ac:dyDescent="0.2">
      <c r="A168">
        <v>507</v>
      </c>
      <c r="B168">
        <v>1</v>
      </c>
      <c r="C168" t="s">
        <v>221</v>
      </c>
      <c r="D168">
        <v>2004</v>
      </c>
      <c r="E168">
        <v>2006</v>
      </c>
      <c r="F168">
        <v>0</v>
      </c>
      <c r="G168">
        <v>0</v>
      </c>
      <c r="H168" s="3">
        <v>600</v>
      </c>
      <c r="I168" s="3">
        <v>621.70000000000005</v>
      </c>
      <c r="J168" s="3">
        <v>0</v>
      </c>
      <c r="K168" s="3">
        <v>0</v>
      </c>
      <c r="L168" s="3">
        <v>0</v>
      </c>
      <c r="M168" s="3">
        <v>5.59</v>
      </c>
      <c r="N168">
        <v>0</v>
      </c>
      <c r="O168">
        <v>0</v>
      </c>
      <c r="P168" s="3">
        <v>0</v>
      </c>
      <c r="Q168">
        <v>0</v>
      </c>
      <c r="R168">
        <v>0</v>
      </c>
      <c r="S168" s="3">
        <v>0</v>
      </c>
      <c r="T168" s="9">
        <v>1997</v>
      </c>
      <c r="U168" s="9">
        <v>1990</v>
      </c>
      <c r="V168" s="9">
        <v>0</v>
      </c>
      <c r="W168" s="9">
        <v>0</v>
      </c>
      <c r="X168" s="10">
        <v>0.12914318</v>
      </c>
      <c r="Y168" s="11">
        <v>1698558</v>
      </c>
      <c r="Z168">
        <v>434.59</v>
      </c>
      <c r="AA168" s="3">
        <v>991</v>
      </c>
      <c r="AB168" s="3">
        <v>0</v>
      </c>
      <c r="AC168" s="3">
        <v>0</v>
      </c>
      <c r="AD168" s="3">
        <v>1.81</v>
      </c>
      <c r="AE168" s="34">
        <v>1</v>
      </c>
      <c r="AF168" s="33">
        <v>348.99</v>
      </c>
      <c r="AG168" s="33">
        <v>348.57</v>
      </c>
      <c r="AH168" s="3"/>
      <c r="AI168" s="33"/>
      <c r="AJ168" s="33"/>
      <c r="AK168" s="3"/>
      <c r="AL168" s="3"/>
    </row>
    <row r="169" spans="1:38" x14ac:dyDescent="0.2">
      <c r="A169">
        <v>508</v>
      </c>
      <c r="B169">
        <v>1</v>
      </c>
      <c r="C169" t="s">
        <v>222</v>
      </c>
      <c r="D169">
        <v>2008</v>
      </c>
      <c r="E169">
        <v>2008</v>
      </c>
      <c r="F169">
        <v>0</v>
      </c>
      <c r="G169">
        <v>0</v>
      </c>
      <c r="H169" s="3">
        <v>184.01</v>
      </c>
      <c r="I169" s="3">
        <v>285</v>
      </c>
      <c r="J169" s="3">
        <v>0</v>
      </c>
      <c r="K169" s="3">
        <v>0</v>
      </c>
      <c r="L169" s="3">
        <v>100</v>
      </c>
      <c r="M169" s="3">
        <v>1.31</v>
      </c>
      <c r="N169">
        <v>2002</v>
      </c>
      <c r="O169">
        <v>2008</v>
      </c>
      <c r="P169" s="3">
        <v>126.62</v>
      </c>
      <c r="Q169">
        <v>0</v>
      </c>
      <c r="R169">
        <v>0</v>
      </c>
      <c r="S169" s="3">
        <v>0</v>
      </c>
      <c r="T169" s="9">
        <v>1990</v>
      </c>
      <c r="U169" s="9">
        <v>1997</v>
      </c>
      <c r="V169" s="9">
        <v>0</v>
      </c>
      <c r="W169" s="9">
        <v>0</v>
      </c>
      <c r="X169" s="10">
        <v>6.7090720000000006E-2</v>
      </c>
      <c r="Y169" s="11">
        <v>5060128</v>
      </c>
      <c r="Z169" s="3">
        <v>2272.5</v>
      </c>
      <c r="AA169" s="3">
        <v>991</v>
      </c>
      <c r="AB169" s="3">
        <v>0</v>
      </c>
      <c r="AC169" s="3">
        <v>0</v>
      </c>
      <c r="AD169" s="3">
        <v>1.31</v>
      </c>
      <c r="AE169" s="34">
        <v>1</v>
      </c>
      <c r="AF169" s="33">
        <v>2189.52</v>
      </c>
      <c r="AG169" s="33">
        <v>2178.9699999999998</v>
      </c>
      <c r="AH169" s="3"/>
      <c r="AI169" s="33"/>
      <c r="AJ169" s="33"/>
      <c r="AK169" s="3"/>
      <c r="AL169" s="3"/>
    </row>
    <row r="170" spans="1:38" x14ac:dyDescent="0.2">
      <c r="A170">
        <v>511</v>
      </c>
      <c r="B170">
        <v>1</v>
      </c>
      <c r="C170" t="s">
        <v>223</v>
      </c>
      <c r="D170">
        <v>2008</v>
      </c>
      <c r="E170">
        <v>0</v>
      </c>
      <c r="F170">
        <v>0</v>
      </c>
      <c r="G170">
        <v>0</v>
      </c>
      <c r="H170" s="3">
        <v>318.29000000000002</v>
      </c>
      <c r="I170" s="3">
        <v>0</v>
      </c>
      <c r="J170" s="3">
        <v>0</v>
      </c>
      <c r="K170" s="3">
        <v>0</v>
      </c>
      <c r="L170" s="3">
        <v>100</v>
      </c>
      <c r="M170" s="3">
        <v>0</v>
      </c>
      <c r="N170">
        <v>0</v>
      </c>
      <c r="O170">
        <v>0</v>
      </c>
      <c r="P170" s="3">
        <v>0</v>
      </c>
      <c r="Q170">
        <v>2003</v>
      </c>
      <c r="R170">
        <v>2012</v>
      </c>
      <c r="S170" s="3">
        <v>450</v>
      </c>
      <c r="T170" s="9">
        <v>1990</v>
      </c>
      <c r="U170" s="9">
        <v>0</v>
      </c>
      <c r="V170" s="9">
        <v>0</v>
      </c>
      <c r="W170" s="9">
        <v>0</v>
      </c>
      <c r="X170" s="10">
        <v>0.10086756</v>
      </c>
      <c r="Y170" s="11">
        <v>1701172</v>
      </c>
      <c r="Z170">
        <v>664.03</v>
      </c>
      <c r="AA170" s="3">
        <v>991</v>
      </c>
      <c r="AB170" s="3">
        <v>0</v>
      </c>
      <c r="AC170" s="3">
        <v>0</v>
      </c>
      <c r="AD170" s="3">
        <v>1.2</v>
      </c>
      <c r="AE170" s="34">
        <v>0</v>
      </c>
      <c r="AF170" s="33">
        <v>632</v>
      </c>
      <c r="AG170" s="33">
        <v>630.71</v>
      </c>
      <c r="AH170" s="3"/>
      <c r="AI170" s="33"/>
      <c r="AJ170" s="33"/>
      <c r="AK170" s="3"/>
      <c r="AL170" s="3"/>
    </row>
    <row r="171" spans="1:38" x14ac:dyDescent="0.2">
      <c r="A171">
        <v>513</v>
      </c>
      <c r="B171">
        <v>1</v>
      </c>
      <c r="C171" t="s">
        <v>224</v>
      </c>
      <c r="D171">
        <v>2006</v>
      </c>
      <c r="E171">
        <v>0</v>
      </c>
      <c r="F171">
        <v>0</v>
      </c>
      <c r="G171">
        <v>0</v>
      </c>
      <c r="H171" s="3">
        <v>699.68</v>
      </c>
      <c r="I171" s="3">
        <v>0</v>
      </c>
      <c r="J171" s="3">
        <v>0</v>
      </c>
      <c r="K171" s="3">
        <v>0</v>
      </c>
      <c r="L171" s="3">
        <v>102.35</v>
      </c>
      <c r="M171" s="3">
        <v>53.87</v>
      </c>
      <c r="N171">
        <v>0</v>
      </c>
      <c r="O171">
        <v>0</v>
      </c>
      <c r="P171" s="3">
        <v>0</v>
      </c>
      <c r="Q171">
        <v>2003</v>
      </c>
      <c r="R171">
        <v>2007</v>
      </c>
      <c r="S171" s="3">
        <v>620</v>
      </c>
      <c r="T171" s="9">
        <v>1990</v>
      </c>
      <c r="U171" s="9">
        <v>0</v>
      </c>
      <c r="V171" s="9">
        <v>0</v>
      </c>
      <c r="W171" s="9">
        <v>0</v>
      </c>
      <c r="X171" s="10">
        <v>0.13893247</v>
      </c>
      <c r="Y171" s="11">
        <v>922205</v>
      </c>
      <c r="Z171">
        <v>225.55</v>
      </c>
      <c r="AA171" s="3">
        <v>991</v>
      </c>
      <c r="AB171" s="3">
        <v>52.34</v>
      </c>
      <c r="AC171" s="3">
        <v>0</v>
      </c>
      <c r="AD171" s="3">
        <v>2.52</v>
      </c>
      <c r="AE171" s="34">
        <v>1</v>
      </c>
      <c r="AF171" s="33">
        <v>203.03</v>
      </c>
      <c r="AG171" s="33">
        <v>202.59</v>
      </c>
      <c r="AH171" s="3"/>
      <c r="AI171" s="33"/>
      <c r="AJ171" s="33"/>
      <c r="AK171" s="3"/>
      <c r="AL171" s="3"/>
    </row>
    <row r="172" spans="1:38" x14ac:dyDescent="0.2">
      <c r="A172">
        <v>514</v>
      </c>
      <c r="B172">
        <v>1</v>
      </c>
      <c r="C172" t="s">
        <v>225</v>
      </c>
      <c r="D172">
        <v>2001</v>
      </c>
      <c r="E172">
        <v>2006</v>
      </c>
      <c r="F172">
        <v>0</v>
      </c>
      <c r="G172">
        <v>0</v>
      </c>
      <c r="H172" s="3">
        <v>372</v>
      </c>
      <c r="I172" s="3">
        <v>492.48</v>
      </c>
      <c r="J172" s="3">
        <v>0</v>
      </c>
      <c r="K172" s="3">
        <v>0</v>
      </c>
      <c r="L172" s="3">
        <v>114.22</v>
      </c>
      <c r="M172" s="3">
        <v>48.65</v>
      </c>
      <c r="N172">
        <v>2002</v>
      </c>
      <c r="O172">
        <v>2006</v>
      </c>
      <c r="P172" s="3">
        <v>372</v>
      </c>
      <c r="Q172">
        <v>0</v>
      </c>
      <c r="R172">
        <v>0</v>
      </c>
      <c r="S172" s="3">
        <v>0</v>
      </c>
      <c r="T172" s="9">
        <v>1995</v>
      </c>
      <c r="U172" s="9">
        <v>1990</v>
      </c>
      <c r="V172" s="9">
        <v>0</v>
      </c>
      <c r="W172" s="9">
        <v>0</v>
      </c>
      <c r="X172" s="10">
        <v>0.15088966000000001</v>
      </c>
      <c r="Y172" s="11">
        <v>725333</v>
      </c>
      <c r="Z172">
        <v>273.73</v>
      </c>
      <c r="AA172" s="3">
        <v>991</v>
      </c>
      <c r="AB172" s="3">
        <v>22.07</v>
      </c>
      <c r="AC172" s="3">
        <v>0</v>
      </c>
      <c r="AD172" s="3">
        <v>1.55</v>
      </c>
      <c r="AE172" s="34">
        <v>1</v>
      </c>
      <c r="AF172" s="33">
        <v>263.37</v>
      </c>
      <c r="AG172" s="33">
        <v>263.36</v>
      </c>
      <c r="AH172" s="3"/>
      <c r="AI172" s="33"/>
      <c r="AJ172" s="33"/>
      <c r="AK172" s="3"/>
      <c r="AL172" s="3"/>
    </row>
    <row r="173" spans="1:38" x14ac:dyDescent="0.2">
      <c r="A173">
        <v>516</v>
      </c>
      <c r="B173">
        <v>1</v>
      </c>
      <c r="C173" t="s">
        <v>226</v>
      </c>
      <c r="D173">
        <v>2006</v>
      </c>
      <c r="E173">
        <v>0</v>
      </c>
      <c r="F173">
        <v>0</v>
      </c>
      <c r="G173">
        <v>0</v>
      </c>
      <c r="H173" s="3">
        <v>1369.48</v>
      </c>
      <c r="I173" s="3">
        <v>0</v>
      </c>
      <c r="J173" s="3">
        <v>0</v>
      </c>
      <c r="K173" s="3">
        <v>0</v>
      </c>
      <c r="L173" s="3">
        <v>111.4</v>
      </c>
      <c r="M173" s="3">
        <v>58.52</v>
      </c>
      <c r="N173">
        <v>0</v>
      </c>
      <c r="O173">
        <v>0</v>
      </c>
      <c r="P173" s="3">
        <v>0</v>
      </c>
      <c r="Q173">
        <v>2003</v>
      </c>
      <c r="R173">
        <v>2007</v>
      </c>
      <c r="S173" s="3">
        <v>320</v>
      </c>
      <c r="T173" s="9">
        <v>1990</v>
      </c>
      <c r="U173" s="9">
        <v>0</v>
      </c>
      <c r="V173" s="9">
        <v>0</v>
      </c>
      <c r="W173" s="9">
        <v>0</v>
      </c>
      <c r="X173" s="10">
        <v>0.2594379</v>
      </c>
      <c r="Y173" s="11">
        <v>733911</v>
      </c>
      <c r="Z173">
        <v>171.25</v>
      </c>
      <c r="AA173" s="3">
        <v>991</v>
      </c>
      <c r="AB173" s="3">
        <v>95.82</v>
      </c>
      <c r="AC173" s="3">
        <v>0</v>
      </c>
      <c r="AD173" s="3">
        <v>2.56</v>
      </c>
      <c r="AE173" s="34">
        <v>1</v>
      </c>
      <c r="AF173" s="33">
        <v>147.63</v>
      </c>
      <c r="AG173" s="33">
        <v>147.44</v>
      </c>
      <c r="AH173" s="3"/>
      <c r="AI173" s="33"/>
      <c r="AJ173" s="33"/>
      <c r="AK173" s="3"/>
      <c r="AL173" s="3"/>
    </row>
    <row r="174" spans="1:38" x14ac:dyDescent="0.2">
      <c r="A174">
        <v>518</v>
      </c>
      <c r="B174">
        <v>1</v>
      </c>
      <c r="C174" t="s">
        <v>227</v>
      </c>
      <c r="D174">
        <v>2003</v>
      </c>
      <c r="E174">
        <v>0</v>
      </c>
      <c r="F174">
        <v>0</v>
      </c>
      <c r="G174">
        <v>0</v>
      </c>
      <c r="H174" s="3">
        <v>210.29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>
        <v>0</v>
      </c>
      <c r="O174">
        <v>0</v>
      </c>
      <c r="P174" s="3">
        <v>0</v>
      </c>
      <c r="Q174">
        <v>0</v>
      </c>
      <c r="R174">
        <v>0</v>
      </c>
      <c r="S174" s="3">
        <v>0</v>
      </c>
      <c r="T174" s="9">
        <v>1996</v>
      </c>
      <c r="U174" s="9">
        <v>0</v>
      </c>
      <c r="V174" s="9">
        <v>0</v>
      </c>
      <c r="W174" s="9">
        <v>0</v>
      </c>
      <c r="X174" s="10">
        <v>0</v>
      </c>
      <c r="Y174" s="11">
        <v>7313051</v>
      </c>
      <c r="Z174" s="3">
        <v>2918.84</v>
      </c>
      <c r="AA174" s="3">
        <v>991</v>
      </c>
      <c r="AB174" s="3">
        <v>0</v>
      </c>
      <c r="AC174" s="3">
        <v>0</v>
      </c>
      <c r="AD174" s="3">
        <v>1.37</v>
      </c>
      <c r="AE174" s="34">
        <v>0</v>
      </c>
      <c r="AF174" s="33">
        <v>2767.06</v>
      </c>
      <c r="AG174" s="33">
        <v>2719.89</v>
      </c>
      <c r="AH174" s="3"/>
      <c r="AI174" s="33"/>
      <c r="AJ174" s="33"/>
      <c r="AK174" s="3"/>
      <c r="AL174" s="3"/>
    </row>
    <row r="175" spans="1:38" x14ac:dyDescent="0.2">
      <c r="A175">
        <v>531</v>
      </c>
      <c r="B175">
        <v>1</v>
      </c>
      <c r="C175" t="s">
        <v>228</v>
      </c>
      <c r="D175">
        <v>2006</v>
      </c>
      <c r="E175">
        <v>2008</v>
      </c>
      <c r="F175">
        <v>0</v>
      </c>
      <c r="G175">
        <v>0</v>
      </c>
      <c r="H175" s="3">
        <v>214.15</v>
      </c>
      <c r="I175" s="3">
        <v>176.55</v>
      </c>
      <c r="J175" s="3">
        <v>0</v>
      </c>
      <c r="K175" s="3">
        <v>0</v>
      </c>
      <c r="L175" s="3">
        <v>100</v>
      </c>
      <c r="M175" s="3">
        <v>0</v>
      </c>
      <c r="N175">
        <v>0</v>
      </c>
      <c r="O175">
        <v>0</v>
      </c>
      <c r="P175" s="3">
        <v>0</v>
      </c>
      <c r="Q175">
        <v>2003</v>
      </c>
      <c r="R175">
        <v>2012</v>
      </c>
      <c r="S175" s="3">
        <v>126</v>
      </c>
      <c r="T175" s="9">
        <v>1995</v>
      </c>
      <c r="U175" s="9">
        <v>1990</v>
      </c>
      <c r="V175" s="9">
        <v>0</v>
      </c>
      <c r="W175" s="9">
        <v>0</v>
      </c>
      <c r="X175" s="10">
        <v>7.8863970000000005E-2</v>
      </c>
      <c r="Y175" s="11">
        <v>2903624</v>
      </c>
      <c r="Z175" s="3">
        <v>1597.56</v>
      </c>
      <c r="AA175" s="3">
        <v>991</v>
      </c>
      <c r="AB175" s="3">
        <v>0</v>
      </c>
      <c r="AC175" s="3">
        <v>0</v>
      </c>
      <c r="AD175" s="3">
        <v>0.95</v>
      </c>
      <c r="AE175" s="34">
        <v>0</v>
      </c>
      <c r="AF175" s="33">
        <v>1670.22</v>
      </c>
      <c r="AG175" s="33">
        <v>1668.94</v>
      </c>
      <c r="AH175" s="3"/>
      <c r="AI175" s="33"/>
      <c r="AJ175" s="33"/>
      <c r="AK175" s="3"/>
      <c r="AL175" s="3"/>
    </row>
    <row r="176" spans="1:38" x14ac:dyDescent="0.2">
      <c r="A176">
        <v>533</v>
      </c>
      <c r="B176">
        <v>1</v>
      </c>
      <c r="C176" t="s">
        <v>229</v>
      </c>
      <c r="D176">
        <v>0</v>
      </c>
      <c r="E176">
        <v>0</v>
      </c>
      <c r="F176">
        <v>0</v>
      </c>
      <c r="G176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>
        <v>0</v>
      </c>
      <c r="O176">
        <v>0</v>
      </c>
      <c r="P176" s="3">
        <v>0</v>
      </c>
      <c r="Q176">
        <v>2003</v>
      </c>
      <c r="R176">
        <v>2012</v>
      </c>
      <c r="S176" s="3">
        <v>126</v>
      </c>
      <c r="T176" s="9">
        <v>0</v>
      </c>
      <c r="U176" s="9">
        <v>0</v>
      </c>
      <c r="V176" s="9">
        <v>0</v>
      </c>
      <c r="W176" s="9">
        <v>0</v>
      </c>
      <c r="X176" s="10">
        <v>0</v>
      </c>
      <c r="Y176" s="11">
        <v>1620543</v>
      </c>
      <c r="Z176">
        <v>893.58</v>
      </c>
      <c r="AA176" s="3">
        <v>991</v>
      </c>
      <c r="AB176" s="3">
        <v>0</v>
      </c>
      <c r="AC176" s="3">
        <v>0</v>
      </c>
      <c r="AD176" s="3">
        <v>0.9</v>
      </c>
      <c r="AE176" s="34">
        <v>0</v>
      </c>
      <c r="AF176" s="33">
        <v>907.66</v>
      </c>
      <c r="AG176" s="33">
        <v>902</v>
      </c>
      <c r="AH176" s="3"/>
      <c r="AI176" s="33"/>
      <c r="AJ176" s="33"/>
      <c r="AK176" s="3"/>
      <c r="AL176" s="3"/>
    </row>
    <row r="177" spans="1:38" x14ac:dyDescent="0.2">
      <c r="A177">
        <v>534</v>
      </c>
      <c r="B177">
        <v>1</v>
      </c>
      <c r="C177" t="s">
        <v>230</v>
      </c>
      <c r="D177">
        <v>2006</v>
      </c>
      <c r="E177">
        <v>2009</v>
      </c>
      <c r="F177">
        <v>0</v>
      </c>
      <c r="G177">
        <v>0</v>
      </c>
      <c r="H177" s="3">
        <v>122.35</v>
      </c>
      <c r="I177" s="3">
        <v>227.65</v>
      </c>
      <c r="J177" s="3">
        <v>0</v>
      </c>
      <c r="K177" s="3">
        <v>0</v>
      </c>
      <c r="L177" s="3">
        <v>0</v>
      </c>
      <c r="M177" s="3">
        <v>0</v>
      </c>
      <c r="N177">
        <v>0</v>
      </c>
      <c r="O177">
        <v>0</v>
      </c>
      <c r="P177" s="3">
        <v>0</v>
      </c>
      <c r="Q177">
        <v>2003</v>
      </c>
      <c r="R177">
        <v>2012</v>
      </c>
      <c r="S177" s="3">
        <v>200</v>
      </c>
      <c r="T177" s="9">
        <v>1995</v>
      </c>
      <c r="U177" s="9">
        <v>1998</v>
      </c>
      <c r="V177" s="9">
        <v>0</v>
      </c>
      <c r="W177" s="9">
        <v>0</v>
      </c>
      <c r="X177" s="10">
        <v>0</v>
      </c>
      <c r="Y177" s="11">
        <v>3168020</v>
      </c>
      <c r="Z177" s="3">
        <v>1978.8</v>
      </c>
      <c r="AA177" s="3">
        <v>991</v>
      </c>
      <c r="AB177" s="3">
        <v>0</v>
      </c>
      <c r="AC177" s="3">
        <v>0</v>
      </c>
      <c r="AD177" s="3">
        <v>0.72</v>
      </c>
      <c r="AE177" s="34">
        <v>0</v>
      </c>
      <c r="AF177" s="33">
        <v>1928.24</v>
      </c>
      <c r="AG177" s="33">
        <v>1924.84</v>
      </c>
      <c r="AH177" s="3"/>
      <c r="AI177" s="33"/>
      <c r="AJ177" s="33"/>
      <c r="AK177" s="3"/>
      <c r="AL177" s="3"/>
    </row>
    <row r="178" spans="1:38" x14ac:dyDescent="0.2">
      <c r="A178">
        <v>535</v>
      </c>
      <c r="B178">
        <v>1</v>
      </c>
      <c r="C178" t="s">
        <v>231</v>
      </c>
      <c r="D178">
        <v>2008</v>
      </c>
      <c r="E178">
        <v>0</v>
      </c>
      <c r="F178">
        <v>0</v>
      </c>
      <c r="G178">
        <v>0</v>
      </c>
      <c r="H178" s="3">
        <v>623.91999999999996</v>
      </c>
      <c r="I178" s="3">
        <v>0</v>
      </c>
      <c r="J178" s="3">
        <v>0</v>
      </c>
      <c r="K178" s="3">
        <v>0</v>
      </c>
      <c r="L178" s="3">
        <v>133.37</v>
      </c>
      <c r="M178" s="3">
        <v>2.61</v>
      </c>
      <c r="N178">
        <v>0</v>
      </c>
      <c r="O178">
        <v>0</v>
      </c>
      <c r="P178" s="3">
        <v>0</v>
      </c>
      <c r="Q178">
        <v>2003</v>
      </c>
      <c r="R178">
        <v>2008</v>
      </c>
      <c r="S178" s="3">
        <v>360</v>
      </c>
      <c r="T178" s="9">
        <v>1990</v>
      </c>
      <c r="U178" s="9">
        <v>0</v>
      </c>
      <c r="V178" s="9">
        <v>0</v>
      </c>
      <c r="W178" s="9">
        <v>0</v>
      </c>
      <c r="X178" s="10">
        <v>0.15842381</v>
      </c>
      <c r="Y178" s="11">
        <v>60752620</v>
      </c>
      <c r="Z178" s="3">
        <v>19000.560000000001</v>
      </c>
      <c r="AA178" s="3">
        <v>991</v>
      </c>
      <c r="AB178" s="3">
        <v>0</v>
      </c>
      <c r="AC178" s="3">
        <v>0</v>
      </c>
      <c r="AD178" s="3">
        <v>2.61</v>
      </c>
      <c r="AE178" s="34">
        <v>1</v>
      </c>
      <c r="AF178" s="33">
        <v>19610.560000000001</v>
      </c>
      <c r="AG178" s="33">
        <v>19491.47</v>
      </c>
      <c r="AH178" s="3"/>
      <c r="AI178" s="33"/>
      <c r="AJ178" s="33"/>
      <c r="AK178" s="3"/>
      <c r="AL178" s="3"/>
    </row>
    <row r="179" spans="1:38" x14ac:dyDescent="0.2">
      <c r="A179">
        <v>542</v>
      </c>
      <c r="B179">
        <v>1</v>
      </c>
      <c r="C179" t="s">
        <v>232</v>
      </c>
      <c r="D179">
        <v>0</v>
      </c>
      <c r="E179">
        <v>0</v>
      </c>
      <c r="F179">
        <v>0</v>
      </c>
      <c r="G179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>
        <v>0</v>
      </c>
      <c r="O179">
        <v>0</v>
      </c>
      <c r="P179" s="3">
        <v>0</v>
      </c>
      <c r="Q179">
        <v>0</v>
      </c>
      <c r="R179">
        <v>0</v>
      </c>
      <c r="S179" s="3">
        <v>0</v>
      </c>
      <c r="T179" s="9">
        <v>0</v>
      </c>
      <c r="U179" s="9">
        <v>0</v>
      </c>
      <c r="V179" s="9">
        <v>0</v>
      </c>
      <c r="W179" s="9">
        <v>0</v>
      </c>
      <c r="X179" s="10">
        <v>0</v>
      </c>
      <c r="Y179" s="11">
        <v>4009756</v>
      </c>
      <c r="Z179">
        <v>669.46</v>
      </c>
      <c r="AA179" s="3">
        <v>991</v>
      </c>
      <c r="AB179" s="3">
        <v>0</v>
      </c>
      <c r="AC179" s="3">
        <v>0</v>
      </c>
      <c r="AD179" s="3">
        <v>9.0500000000000007</v>
      </c>
      <c r="AE179" s="34">
        <v>0</v>
      </c>
      <c r="AF179" s="33">
        <v>644.62</v>
      </c>
      <c r="AG179" s="33">
        <v>643.61</v>
      </c>
      <c r="AH179" s="3"/>
      <c r="AI179" s="33"/>
      <c r="AJ179" s="33"/>
      <c r="AK179" s="3"/>
      <c r="AL179" s="3"/>
    </row>
    <row r="180" spans="1:38" x14ac:dyDescent="0.2">
      <c r="A180">
        <v>544</v>
      </c>
      <c r="B180">
        <v>1</v>
      </c>
      <c r="C180" t="s">
        <v>233</v>
      </c>
      <c r="D180">
        <v>2007</v>
      </c>
      <c r="E180">
        <v>2010</v>
      </c>
      <c r="F180">
        <v>0</v>
      </c>
      <c r="G180">
        <v>0</v>
      </c>
      <c r="H180" s="3">
        <v>269.54000000000002</v>
      </c>
      <c r="I180" s="3">
        <v>145.46</v>
      </c>
      <c r="J180" s="3">
        <v>0</v>
      </c>
      <c r="K180" s="3">
        <v>0</v>
      </c>
      <c r="L180" s="3">
        <v>0</v>
      </c>
      <c r="M180" s="3">
        <v>1.72</v>
      </c>
      <c r="N180">
        <v>0</v>
      </c>
      <c r="O180">
        <v>0</v>
      </c>
      <c r="P180" s="3">
        <v>0</v>
      </c>
      <c r="Q180">
        <v>2003</v>
      </c>
      <c r="R180">
        <v>2012</v>
      </c>
      <c r="S180" s="3">
        <v>415</v>
      </c>
      <c r="T180" s="9">
        <v>1996</v>
      </c>
      <c r="U180" s="9">
        <v>1999</v>
      </c>
      <c r="V180" s="9">
        <v>0</v>
      </c>
      <c r="W180" s="9">
        <v>0</v>
      </c>
      <c r="X180" s="10">
        <v>0</v>
      </c>
      <c r="Y180" s="11">
        <v>9536015</v>
      </c>
      <c r="Z180" s="3">
        <v>3629.77</v>
      </c>
      <c r="AA180" s="3">
        <v>991</v>
      </c>
      <c r="AB180" s="3">
        <v>0</v>
      </c>
      <c r="AC180" s="3">
        <v>0</v>
      </c>
      <c r="AD180" s="3">
        <v>1.72</v>
      </c>
      <c r="AE180" s="34">
        <v>1</v>
      </c>
      <c r="AF180" s="33">
        <v>3300.15</v>
      </c>
      <c r="AG180" s="33">
        <v>3291.81</v>
      </c>
      <c r="AH180" s="3"/>
      <c r="AI180" s="33"/>
      <c r="AJ180" s="33"/>
      <c r="AK180" s="3"/>
      <c r="AL180" s="3"/>
    </row>
    <row r="181" spans="1:38" x14ac:dyDescent="0.2">
      <c r="A181">
        <v>545</v>
      </c>
      <c r="B181">
        <v>1</v>
      </c>
      <c r="C181" t="s">
        <v>234</v>
      </c>
      <c r="D181">
        <v>2010</v>
      </c>
      <c r="E181">
        <v>0</v>
      </c>
      <c r="F181">
        <v>0</v>
      </c>
      <c r="G181">
        <v>0</v>
      </c>
      <c r="H181" s="3">
        <v>415</v>
      </c>
      <c r="I181" s="3">
        <v>0</v>
      </c>
      <c r="J181" s="3">
        <v>0</v>
      </c>
      <c r="K181" s="3">
        <v>0</v>
      </c>
      <c r="L181" s="3">
        <v>0</v>
      </c>
      <c r="M181" s="3">
        <v>2.4300000000000002</v>
      </c>
      <c r="N181">
        <v>2003</v>
      </c>
      <c r="O181">
        <v>2012</v>
      </c>
      <c r="P181" s="3">
        <v>400</v>
      </c>
      <c r="Q181">
        <v>0</v>
      </c>
      <c r="R181">
        <v>0</v>
      </c>
      <c r="S181" s="3">
        <v>0</v>
      </c>
      <c r="T181" s="9">
        <v>1999</v>
      </c>
      <c r="U181" s="9">
        <v>0</v>
      </c>
      <c r="V181" s="9">
        <v>0</v>
      </c>
      <c r="W181" s="9">
        <v>0</v>
      </c>
      <c r="X181" s="10">
        <v>0</v>
      </c>
      <c r="Y181" s="11">
        <v>1467139</v>
      </c>
      <c r="Z181">
        <v>498.19</v>
      </c>
      <c r="AA181" s="3">
        <v>9999.99</v>
      </c>
      <c r="AB181" s="3">
        <v>0</v>
      </c>
      <c r="AC181" s="3">
        <v>0</v>
      </c>
      <c r="AD181" s="3">
        <v>2.4300000000000002</v>
      </c>
      <c r="AE181" s="34">
        <v>1</v>
      </c>
      <c r="AF181" s="33">
        <v>458.09</v>
      </c>
      <c r="AG181" s="33">
        <v>448.87</v>
      </c>
      <c r="AH181" s="3"/>
      <c r="AI181" s="33"/>
      <c r="AJ181" s="33"/>
      <c r="AK181" s="3"/>
      <c r="AL181" s="3"/>
    </row>
    <row r="182" spans="1:38" x14ac:dyDescent="0.2">
      <c r="A182">
        <v>547</v>
      </c>
      <c r="B182">
        <v>1</v>
      </c>
      <c r="C182" t="s">
        <v>235</v>
      </c>
      <c r="D182">
        <v>2006</v>
      </c>
      <c r="E182">
        <v>0</v>
      </c>
      <c r="F182">
        <v>0</v>
      </c>
      <c r="G182">
        <v>0</v>
      </c>
      <c r="H182" s="3">
        <v>425.54</v>
      </c>
      <c r="I182" s="3">
        <v>0</v>
      </c>
      <c r="J182" s="3">
        <v>0</v>
      </c>
      <c r="K182" s="3">
        <v>0</v>
      </c>
      <c r="L182" s="3">
        <v>104.64</v>
      </c>
      <c r="M182" s="3">
        <v>0</v>
      </c>
      <c r="N182">
        <v>0</v>
      </c>
      <c r="O182">
        <v>0</v>
      </c>
      <c r="P182" s="3">
        <v>0</v>
      </c>
      <c r="Q182">
        <v>2003</v>
      </c>
      <c r="R182">
        <v>2012</v>
      </c>
      <c r="S182" s="3">
        <v>400</v>
      </c>
      <c r="T182" s="9">
        <v>1995</v>
      </c>
      <c r="U182" s="9">
        <v>0</v>
      </c>
      <c r="V182" s="9">
        <v>0</v>
      </c>
      <c r="W182" s="9">
        <v>0</v>
      </c>
      <c r="X182" s="10">
        <v>0</v>
      </c>
      <c r="Y182" s="11">
        <v>1184536</v>
      </c>
      <c r="Z182">
        <v>668.49</v>
      </c>
      <c r="AA182" s="3">
        <v>9999.99</v>
      </c>
      <c r="AB182" s="3">
        <v>0</v>
      </c>
      <c r="AC182" s="3">
        <v>0</v>
      </c>
      <c r="AD182" s="3">
        <v>1.19</v>
      </c>
      <c r="AE182" s="34">
        <v>0</v>
      </c>
      <c r="AF182" s="33">
        <v>609.22</v>
      </c>
      <c r="AG182" s="33">
        <v>605.96</v>
      </c>
      <c r="AH182" s="3"/>
      <c r="AI182" s="33"/>
      <c r="AJ182" s="33"/>
      <c r="AK182" s="3"/>
      <c r="AL182" s="3"/>
    </row>
    <row r="183" spans="1:38" x14ac:dyDescent="0.2">
      <c r="A183">
        <v>548</v>
      </c>
      <c r="B183">
        <v>1</v>
      </c>
      <c r="C183" t="s">
        <v>236</v>
      </c>
      <c r="D183">
        <v>0</v>
      </c>
      <c r="E183">
        <v>0</v>
      </c>
      <c r="F183">
        <v>0</v>
      </c>
      <c r="G18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>
        <v>0</v>
      </c>
      <c r="O183">
        <v>0</v>
      </c>
      <c r="P183" s="3">
        <v>0</v>
      </c>
      <c r="Q183">
        <v>0</v>
      </c>
      <c r="R183">
        <v>0</v>
      </c>
      <c r="S183" s="3">
        <v>0</v>
      </c>
      <c r="T183" s="9">
        <v>0</v>
      </c>
      <c r="U183" s="9">
        <v>0</v>
      </c>
      <c r="V183" s="9">
        <v>0</v>
      </c>
      <c r="W183" s="9">
        <v>0</v>
      </c>
      <c r="X183" s="10">
        <v>0</v>
      </c>
      <c r="Y183" s="11">
        <v>4787662</v>
      </c>
      <c r="Z183" s="3">
        <v>1634.66</v>
      </c>
      <c r="AA183" s="3">
        <v>991</v>
      </c>
      <c r="AB183" s="3">
        <v>0</v>
      </c>
      <c r="AC183" s="3">
        <v>0</v>
      </c>
      <c r="AD183" s="3">
        <v>3.29</v>
      </c>
      <c r="AE183" s="34">
        <v>0</v>
      </c>
      <c r="AF183" s="33">
        <v>1537.38</v>
      </c>
      <c r="AG183" s="33">
        <v>1530.96</v>
      </c>
      <c r="AH183" s="3"/>
      <c r="AI183" s="33"/>
      <c r="AJ183" s="33"/>
      <c r="AK183" s="3"/>
      <c r="AL183" s="3"/>
    </row>
    <row r="184" spans="1:38" x14ac:dyDescent="0.2">
      <c r="A184">
        <v>549</v>
      </c>
      <c r="B184">
        <v>1</v>
      </c>
      <c r="C184" t="s">
        <v>237</v>
      </c>
      <c r="D184">
        <v>0</v>
      </c>
      <c r="E184">
        <v>0</v>
      </c>
      <c r="F184">
        <v>0</v>
      </c>
      <c r="G184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23.8</v>
      </c>
      <c r="N184">
        <v>2002</v>
      </c>
      <c r="O184">
        <v>2011</v>
      </c>
      <c r="P184" s="3">
        <v>415</v>
      </c>
      <c r="Q184">
        <v>0</v>
      </c>
      <c r="R184">
        <v>0</v>
      </c>
      <c r="S184" s="3">
        <v>0</v>
      </c>
      <c r="T184" s="9">
        <v>0</v>
      </c>
      <c r="U184" s="9">
        <v>0</v>
      </c>
      <c r="V184" s="9">
        <v>0</v>
      </c>
      <c r="W184" s="9">
        <v>0</v>
      </c>
      <c r="X184" s="10">
        <v>0</v>
      </c>
      <c r="Y184" s="11">
        <v>5749274</v>
      </c>
      <c r="Z184" s="3">
        <v>2048.6799999999998</v>
      </c>
      <c r="AA184" s="3">
        <v>991</v>
      </c>
      <c r="AB184" s="3">
        <v>23.01</v>
      </c>
      <c r="AC184" s="3">
        <v>0</v>
      </c>
      <c r="AD184" s="3">
        <v>2.72</v>
      </c>
      <c r="AE184" s="34">
        <v>1</v>
      </c>
      <c r="AF184" s="33">
        <v>1971.61</v>
      </c>
      <c r="AG184" s="33">
        <v>1928.71</v>
      </c>
      <c r="AH184" s="3"/>
      <c r="AI184" s="33"/>
      <c r="AJ184" s="33"/>
      <c r="AK184" s="3"/>
      <c r="AL184" s="3"/>
    </row>
    <row r="185" spans="1:38" x14ac:dyDescent="0.2">
      <c r="A185">
        <v>550</v>
      </c>
      <c r="B185">
        <v>1</v>
      </c>
      <c r="C185" t="s">
        <v>238</v>
      </c>
      <c r="D185">
        <v>2010</v>
      </c>
      <c r="E185">
        <v>0</v>
      </c>
      <c r="F185">
        <v>0</v>
      </c>
      <c r="G185">
        <v>0</v>
      </c>
      <c r="H185" s="3">
        <v>193.24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>
        <v>0</v>
      </c>
      <c r="O185">
        <v>0</v>
      </c>
      <c r="P185" s="3">
        <v>0</v>
      </c>
      <c r="Q185">
        <v>0</v>
      </c>
      <c r="R185">
        <v>0</v>
      </c>
      <c r="S185" s="3">
        <v>0</v>
      </c>
      <c r="T185" s="9">
        <v>1999</v>
      </c>
      <c r="U185" s="9">
        <v>0</v>
      </c>
      <c r="V185" s="9">
        <v>0</v>
      </c>
      <c r="W185" s="9">
        <v>0</v>
      </c>
      <c r="X185" s="10">
        <v>0</v>
      </c>
      <c r="Y185" s="11">
        <v>909208</v>
      </c>
      <c r="Z185">
        <v>466.45</v>
      </c>
      <c r="AA185" s="3">
        <v>991</v>
      </c>
      <c r="AB185" s="3">
        <v>0</v>
      </c>
      <c r="AC185" s="3">
        <v>0</v>
      </c>
      <c r="AD185" s="3">
        <v>1.1000000000000001</v>
      </c>
      <c r="AE185" s="34">
        <v>0</v>
      </c>
      <c r="AF185" s="33">
        <v>452.38</v>
      </c>
      <c r="AG185" s="33">
        <v>452.29</v>
      </c>
      <c r="AH185" s="3"/>
      <c r="AI185" s="33"/>
      <c r="AJ185" s="33"/>
      <c r="AK185" s="3"/>
      <c r="AL185" s="3"/>
    </row>
    <row r="186" spans="1:38" x14ac:dyDescent="0.2">
      <c r="A186">
        <v>553</v>
      </c>
      <c r="B186">
        <v>1</v>
      </c>
      <c r="C186" t="s">
        <v>239</v>
      </c>
      <c r="D186">
        <v>2006</v>
      </c>
      <c r="E186">
        <v>0</v>
      </c>
      <c r="F186">
        <v>0</v>
      </c>
      <c r="G186">
        <v>0</v>
      </c>
      <c r="H186" s="3">
        <v>439.14</v>
      </c>
      <c r="I186" s="3">
        <v>0</v>
      </c>
      <c r="J186" s="3">
        <v>0</v>
      </c>
      <c r="K186" s="3">
        <v>0</v>
      </c>
      <c r="L186" s="3">
        <v>124.34</v>
      </c>
      <c r="M186" s="3">
        <v>0.77</v>
      </c>
      <c r="N186">
        <v>0</v>
      </c>
      <c r="O186">
        <v>0</v>
      </c>
      <c r="P186" s="3">
        <v>0</v>
      </c>
      <c r="Q186">
        <v>2003</v>
      </c>
      <c r="R186">
        <v>2012</v>
      </c>
      <c r="S186" s="3">
        <v>200</v>
      </c>
      <c r="T186" s="9">
        <v>1995</v>
      </c>
      <c r="U186" s="9">
        <v>0</v>
      </c>
      <c r="V186" s="9">
        <v>0</v>
      </c>
      <c r="W186" s="9">
        <v>0</v>
      </c>
      <c r="X186" s="10">
        <v>0</v>
      </c>
      <c r="Y186" s="11">
        <v>1051475</v>
      </c>
      <c r="Z186">
        <v>841.93</v>
      </c>
      <c r="AA186" s="3">
        <v>991</v>
      </c>
      <c r="AB186" s="3">
        <v>0</v>
      </c>
      <c r="AC186" s="3">
        <v>0</v>
      </c>
      <c r="AD186" s="3">
        <v>0.77</v>
      </c>
      <c r="AE186" s="34">
        <v>1</v>
      </c>
      <c r="AF186" s="33">
        <v>794.51</v>
      </c>
      <c r="AG186" s="33">
        <v>793.34</v>
      </c>
      <c r="AH186" s="3"/>
      <c r="AI186" s="33"/>
      <c r="AJ186" s="33"/>
      <c r="AK186" s="3"/>
      <c r="AL186" s="3"/>
    </row>
    <row r="187" spans="1:38" x14ac:dyDescent="0.2">
      <c r="A187">
        <v>561</v>
      </c>
      <c r="B187">
        <v>1</v>
      </c>
      <c r="C187" t="s">
        <v>240</v>
      </c>
      <c r="D187">
        <v>2005</v>
      </c>
      <c r="E187">
        <v>2008</v>
      </c>
      <c r="F187">
        <v>0</v>
      </c>
      <c r="G187">
        <v>0</v>
      </c>
      <c r="H187" s="3">
        <v>208.02</v>
      </c>
      <c r="I187" s="3">
        <v>333.2</v>
      </c>
      <c r="J187" s="3">
        <v>0</v>
      </c>
      <c r="K187" s="3">
        <v>0</v>
      </c>
      <c r="L187" s="3">
        <v>116.69</v>
      </c>
      <c r="M187" s="3">
        <v>105.83</v>
      </c>
      <c r="N187">
        <v>0</v>
      </c>
      <c r="O187">
        <v>0</v>
      </c>
      <c r="P187" s="3">
        <v>0</v>
      </c>
      <c r="Q187">
        <v>0</v>
      </c>
      <c r="R187">
        <v>0</v>
      </c>
      <c r="S187" s="3">
        <v>0</v>
      </c>
      <c r="T187" s="9">
        <v>1994</v>
      </c>
      <c r="U187" s="9">
        <v>1990</v>
      </c>
      <c r="V187" s="9">
        <v>0</v>
      </c>
      <c r="W187" s="9">
        <v>0</v>
      </c>
      <c r="X187" s="10">
        <v>0.14961115</v>
      </c>
      <c r="Y187" s="11">
        <v>354137</v>
      </c>
      <c r="Z187">
        <v>195.86</v>
      </c>
      <c r="AA187" s="3">
        <v>9999.99</v>
      </c>
      <c r="AB187" s="3">
        <v>86.71</v>
      </c>
      <c r="AC187" s="3">
        <v>0</v>
      </c>
      <c r="AD187" s="3">
        <v>0.87</v>
      </c>
      <c r="AE187" s="34">
        <v>1</v>
      </c>
      <c r="AF187" s="33">
        <v>171.69</v>
      </c>
      <c r="AG187" s="33">
        <v>169.34</v>
      </c>
      <c r="AH187" s="3"/>
      <c r="AI187" s="33"/>
      <c r="AJ187" s="33"/>
      <c r="AK187" s="3"/>
      <c r="AL187" s="3"/>
    </row>
    <row r="188" spans="1:38" x14ac:dyDescent="0.2">
      <c r="A188">
        <v>564</v>
      </c>
      <c r="B188">
        <v>1</v>
      </c>
      <c r="C188" t="s">
        <v>241</v>
      </c>
      <c r="D188">
        <v>2008</v>
      </c>
      <c r="E188">
        <v>2008</v>
      </c>
      <c r="F188">
        <v>0</v>
      </c>
      <c r="G188">
        <v>0</v>
      </c>
      <c r="H188" s="3">
        <v>206.96</v>
      </c>
      <c r="I188" s="3">
        <v>234.95</v>
      </c>
      <c r="J188" s="3">
        <v>0</v>
      </c>
      <c r="K188" s="3">
        <v>0</v>
      </c>
      <c r="L188" s="3">
        <v>100</v>
      </c>
      <c r="M188" s="3">
        <v>1.26</v>
      </c>
      <c r="N188">
        <v>0</v>
      </c>
      <c r="O188">
        <v>0</v>
      </c>
      <c r="P188" s="3">
        <v>0</v>
      </c>
      <c r="Q188">
        <v>2003</v>
      </c>
      <c r="R188">
        <v>2012</v>
      </c>
      <c r="S188" s="3">
        <v>126</v>
      </c>
      <c r="T188" s="9">
        <v>1990</v>
      </c>
      <c r="U188" s="9">
        <v>1997</v>
      </c>
      <c r="V188" s="9">
        <v>0</v>
      </c>
      <c r="W188" s="9">
        <v>0</v>
      </c>
      <c r="X188" s="10">
        <v>9.4628219999999999E-2</v>
      </c>
      <c r="Y188" s="11">
        <v>4590351</v>
      </c>
      <c r="Z188" s="3">
        <v>2585.21</v>
      </c>
      <c r="AA188" s="3">
        <v>991</v>
      </c>
      <c r="AB188" s="3">
        <v>0</v>
      </c>
      <c r="AC188" s="3">
        <v>0</v>
      </c>
      <c r="AD188" s="3">
        <v>1.26</v>
      </c>
      <c r="AE188" s="34">
        <v>1</v>
      </c>
      <c r="AF188" s="33">
        <v>2517.9299999999998</v>
      </c>
      <c r="AG188" s="33">
        <v>2493.46</v>
      </c>
      <c r="AH188" s="3"/>
      <c r="AI188" s="33"/>
      <c r="AJ188" s="33"/>
      <c r="AK188" s="3"/>
      <c r="AL188" s="3"/>
    </row>
    <row r="189" spans="1:38" x14ac:dyDescent="0.2">
      <c r="A189">
        <v>577</v>
      </c>
      <c r="B189">
        <v>1</v>
      </c>
      <c r="C189" t="s">
        <v>242</v>
      </c>
      <c r="D189">
        <v>2001</v>
      </c>
      <c r="E189">
        <v>0</v>
      </c>
      <c r="F189">
        <v>0</v>
      </c>
      <c r="G189">
        <v>0</v>
      </c>
      <c r="H189" s="3">
        <v>448.38</v>
      </c>
      <c r="I189" s="3">
        <v>0</v>
      </c>
      <c r="J189" s="3">
        <v>0</v>
      </c>
      <c r="K189" s="3">
        <v>0</v>
      </c>
      <c r="L189" s="3">
        <v>131.63</v>
      </c>
      <c r="M189" s="3">
        <v>0</v>
      </c>
      <c r="N189">
        <v>2002</v>
      </c>
      <c r="O189">
        <v>2011</v>
      </c>
      <c r="P189" s="3">
        <v>317</v>
      </c>
      <c r="Q189">
        <v>2003</v>
      </c>
      <c r="R189">
        <v>2012</v>
      </c>
      <c r="S189" s="3">
        <v>126</v>
      </c>
      <c r="T189" s="9">
        <v>1995</v>
      </c>
      <c r="U189" s="9">
        <v>0</v>
      </c>
      <c r="V189" s="9">
        <v>0</v>
      </c>
      <c r="W189" s="9">
        <v>0</v>
      </c>
      <c r="X189" s="10">
        <v>0</v>
      </c>
      <c r="Y189" s="11">
        <v>1157992</v>
      </c>
      <c r="Z189">
        <v>575.65</v>
      </c>
      <c r="AA189" s="3">
        <v>9999.99</v>
      </c>
      <c r="AB189" s="3">
        <v>0</v>
      </c>
      <c r="AC189" s="3">
        <v>0</v>
      </c>
      <c r="AD189" s="3">
        <v>1.5</v>
      </c>
      <c r="AE189" s="34">
        <v>0</v>
      </c>
      <c r="AF189" s="33">
        <v>505.49</v>
      </c>
      <c r="AG189" s="33">
        <v>504.22</v>
      </c>
      <c r="AH189" s="3"/>
      <c r="AI189" s="33"/>
      <c r="AJ189" s="33"/>
      <c r="AK189" s="3"/>
      <c r="AL189" s="3"/>
    </row>
    <row r="190" spans="1:38" x14ac:dyDescent="0.2">
      <c r="A190">
        <v>578</v>
      </c>
      <c r="B190">
        <v>1</v>
      </c>
      <c r="C190" t="s">
        <v>243</v>
      </c>
      <c r="D190">
        <v>0</v>
      </c>
      <c r="E190">
        <v>0</v>
      </c>
      <c r="F190">
        <v>0</v>
      </c>
      <c r="G190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13.26</v>
      </c>
      <c r="N190">
        <v>2002</v>
      </c>
      <c r="O190">
        <v>2011</v>
      </c>
      <c r="P190" s="3">
        <v>415</v>
      </c>
      <c r="Q190">
        <v>2003</v>
      </c>
      <c r="R190">
        <v>2012</v>
      </c>
      <c r="S190" s="3">
        <v>823.77</v>
      </c>
      <c r="T190" s="9">
        <v>0</v>
      </c>
      <c r="U190" s="9">
        <v>0</v>
      </c>
      <c r="V190" s="9">
        <v>0</v>
      </c>
      <c r="W190" s="9">
        <v>0</v>
      </c>
      <c r="X190" s="10">
        <v>0</v>
      </c>
      <c r="Y190" s="11">
        <v>4262898</v>
      </c>
      <c r="Z190" s="3">
        <v>2029.2</v>
      </c>
      <c r="AA190" s="3">
        <v>991</v>
      </c>
      <c r="AB190" s="3">
        <v>10.72</v>
      </c>
      <c r="AC190" s="3">
        <v>0</v>
      </c>
      <c r="AD190" s="3">
        <v>1.32</v>
      </c>
      <c r="AE190" s="34">
        <v>1</v>
      </c>
      <c r="AF190" s="33">
        <v>1953.67</v>
      </c>
      <c r="AG190" s="33">
        <v>1947.08</v>
      </c>
      <c r="AH190" s="3"/>
      <c r="AI190" s="33"/>
      <c r="AJ190" s="33"/>
      <c r="AK190" s="3"/>
      <c r="AL190" s="3"/>
    </row>
    <row r="191" spans="1:38" x14ac:dyDescent="0.2">
      <c r="A191">
        <v>581</v>
      </c>
      <c r="B191">
        <v>1</v>
      </c>
      <c r="C191" t="s">
        <v>244</v>
      </c>
      <c r="D191">
        <v>2008</v>
      </c>
      <c r="E191">
        <v>0</v>
      </c>
      <c r="F191">
        <v>0</v>
      </c>
      <c r="G191">
        <v>0</v>
      </c>
      <c r="H191" s="3">
        <v>406.46</v>
      </c>
      <c r="I191" s="3">
        <v>0</v>
      </c>
      <c r="J191" s="3">
        <v>0</v>
      </c>
      <c r="K191" s="3">
        <v>0</v>
      </c>
      <c r="L191" s="3">
        <v>100</v>
      </c>
      <c r="M191" s="3">
        <v>28.36</v>
      </c>
      <c r="N191">
        <v>2002</v>
      </c>
      <c r="O191">
        <v>2011</v>
      </c>
      <c r="P191" s="3">
        <v>686.75</v>
      </c>
      <c r="Q191">
        <v>0</v>
      </c>
      <c r="R191">
        <v>0</v>
      </c>
      <c r="S191" s="3">
        <v>0</v>
      </c>
      <c r="T191" s="9">
        <v>1990</v>
      </c>
      <c r="U191" s="9">
        <v>0</v>
      </c>
      <c r="V191" s="9">
        <v>0</v>
      </c>
      <c r="W191" s="9">
        <v>0</v>
      </c>
      <c r="X191" s="10">
        <v>7.3922219999999997E-2</v>
      </c>
      <c r="Y191" s="11">
        <v>1264047</v>
      </c>
      <c r="Z191">
        <v>283.16000000000003</v>
      </c>
      <c r="AA191" s="3">
        <v>9999.99</v>
      </c>
      <c r="AB191" s="3">
        <v>31.86</v>
      </c>
      <c r="AC191" s="3">
        <v>0</v>
      </c>
      <c r="AD191" s="3">
        <v>2.86</v>
      </c>
      <c r="AE191" s="34">
        <v>1</v>
      </c>
      <c r="AF191" s="33">
        <v>242.68</v>
      </c>
      <c r="AG191" s="33">
        <v>242.44</v>
      </c>
      <c r="AH191" s="3"/>
      <c r="AI191" s="33"/>
      <c r="AJ191" s="33"/>
      <c r="AK191" s="3"/>
      <c r="AL191" s="3"/>
    </row>
    <row r="192" spans="1:38" x14ac:dyDescent="0.2">
      <c r="A192">
        <v>584</v>
      </c>
      <c r="B192">
        <v>1</v>
      </c>
      <c r="C192" t="s">
        <v>245</v>
      </c>
      <c r="D192">
        <v>2006</v>
      </c>
      <c r="E192">
        <v>0</v>
      </c>
      <c r="F192">
        <v>0</v>
      </c>
      <c r="G192">
        <v>0</v>
      </c>
      <c r="H192" s="3">
        <v>232.3</v>
      </c>
      <c r="I192" s="3">
        <v>0</v>
      </c>
      <c r="J192" s="3">
        <v>0</v>
      </c>
      <c r="K192" s="3">
        <v>0</v>
      </c>
      <c r="L192" s="3">
        <v>100</v>
      </c>
      <c r="M192" s="3">
        <v>92.28</v>
      </c>
      <c r="N192">
        <v>2002</v>
      </c>
      <c r="O192">
        <v>2011</v>
      </c>
      <c r="P192" s="3">
        <v>400</v>
      </c>
      <c r="Q192">
        <v>0</v>
      </c>
      <c r="R192">
        <v>0</v>
      </c>
      <c r="S192" s="3">
        <v>0</v>
      </c>
      <c r="T192" s="9">
        <v>1990</v>
      </c>
      <c r="U192" s="9">
        <v>0</v>
      </c>
      <c r="V192" s="9">
        <v>0</v>
      </c>
      <c r="W192" s="9">
        <v>0</v>
      </c>
      <c r="X192" s="10">
        <v>6.974081E-2</v>
      </c>
      <c r="Y192" s="11">
        <v>513959</v>
      </c>
      <c r="Z192">
        <v>190.05</v>
      </c>
      <c r="AA192" s="3">
        <v>991</v>
      </c>
      <c r="AB192" s="3">
        <v>89.15</v>
      </c>
      <c r="AC192" s="3">
        <v>0</v>
      </c>
      <c r="AD192" s="3">
        <v>2.88</v>
      </c>
      <c r="AE192" s="34">
        <v>1</v>
      </c>
      <c r="AF192" s="33">
        <v>170.16</v>
      </c>
      <c r="AG192" s="33">
        <v>170.03</v>
      </c>
      <c r="AH192" s="3"/>
      <c r="AI192" s="33"/>
      <c r="AJ192" s="33"/>
      <c r="AK192" s="3"/>
      <c r="AL192" s="3"/>
    </row>
    <row r="193" spans="1:38" x14ac:dyDescent="0.2">
      <c r="A193">
        <v>592</v>
      </c>
      <c r="B193">
        <v>1</v>
      </c>
      <c r="C193" t="s">
        <v>246</v>
      </c>
      <c r="D193">
        <v>2006</v>
      </c>
      <c r="E193">
        <v>0</v>
      </c>
      <c r="F193">
        <v>0</v>
      </c>
      <c r="G193">
        <v>0</v>
      </c>
      <c r="H193" s="3">
        <v>1381.93</v>
      </c>
      <c r="I193" s="3">
        <v>0</v>
      </c>
      <c r="J193" s="3">
        <v>0</v>
      </c>
      <c r="K193" s="3">
        <v>0</v>
      </c>
      <c r="L193" s="3">
        <v>72.44</v>
      </c>
      <c r="M193" s="3">
        <v>86.51</v>
      </c>
      <c r="N193">
        <v>0</v>
      </c>
      <c r="O193">
        <v>0</v>
      </c>
      <c r="P193" s="3">
        <v>0</v>
      </c>
      <c r="Q193">
        <v>0</v>
      </c>
      <c r="R193">
        <v>0</v>
      </c>
      <c r="S193" s="3">
        <v>0</v>
      </c>
      <c r="T193" s="9">
        <v>1990</v>
      </c>
      <c r="U193" s="9">
        <v>0</v>
      </c>
      <c r="V193" s="9">
        <v>0</v>
      </c>
      <c r="W193" s="9">
        <v>0</v>
      </c>
      <c r="X193" s="10">
        <v>0.25873263000000002</v>
      </c>
      <c r="Y193" s="11">
        <v>802962</v>
      </c>
      <c r="Z193">
        <v>185.17</v>
      </c>
      <c r="AA193" s="3">
        <v>9999.99</v>
      </c>
      <c r="AB193" s="3">
        <v>72.42</v>
      </c>
      <c r="AC193" s="3">
        <v>0</v>
      </c>
      <c r="AD193" s="3">
        <v>1.71</v>
      </c>
      <c r="AE193" s="34">
        <v>1</v>
      </c>
      <c r="AF193" s="33">
        <v>184.33</v>
      </c>
      <c r="AG193" s="33">
        <v>184.26</v>
      </c>
      <c r="AH193" s="3"/>
      <c r="AI193" s="33"/>
      <c r="AJ193" s="33"/>
      <c r="AK193" s="3"/>
      <c r="AL193" s="3"/>
    </row>
    <row r="194" spans="1:38" x14ac:dyDescent="0.2">
      <c r="A194">
        <v>593</v>
      </c>
      <c r="B194">
        <v>1</v>
      </c>
      <c r="C194" t="s">
        <v>247</v>
      </c>
      <c r="D194">
        <v>0</v>
      </c>
      <c r="E194">
        <v>0</v>
      </c>
      <c r="F194">
        <v>0</v>
      </c>
      <c r="G194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61.54</v>
      </c>
      <c r="N194">
        <v>0</v>
      </c>
      <c r="O194">
        <v>0</v>
      </c>
      <c r="P194" s="3">
        <v>0</v>
      </c>
      <c r="Q194">
        <v>2003</v>
      </c>
      <c r="R194">
        <v>2012</v>
      </c>
      <c r="S194" s="3">
        <v>350</v>
      </c>
      <c r="T194" s="9">
        <v>0</v>
      </c>
      <c r="U194" s="9">
        <v>0</v>
      </c>
      <c r="V194" s="9">
        <v>0</v>
      </c>
      <c r="W194" s="9">
        <v>0</v>
      </c>
      <c r="X194" s="10">
        <v>0</v>
      </c>
      <c r="Y194" s="11">
        <v>4571575</v>
      </c>
      <c r="Z194" s="3">
        <v>1960.1</v>
      </c>
      <c r="AA194" s="3">
        <v>991</v>
      </c>
      <c r="AB194" s="3">
        <v>0</v>
      </c>
      <c r="AC194" s="3">
        <v>61.24</v>
      </c>
      <c r="AD194" s="3">
        <v>1.39</v>
      </c>
      <c r="AE194" s="34">
        <v>1</v>
      </c>
      <c r="AF194" s="33">
        <v>1796.14</v>
      </c>
      <c r="AG194" s="33">
        <v>1788.76</v>
      </c>
      <c r="AH194" s="3"/>
      <c r="AI194" s="33"/>
      <c r="AJ194" s="33"/>
      <c r="AK194" s="3"/>
      <c r="AL194" s="3"/>
    </row>
    <row r="195" spans="1:38" x14ac:dyDescent="0.2">
      <c r="A195">
        <v>595</v>
      </c>
      <c r="B195">
        <v>1</v>
      </c>
      <c r="C195" t="s">
        <v>248</v>
      </c>
      <c r="D195">
        <v>0</v>
      </c>
      <c r="E195">
        <v>0</v>
      </c>
      <c r="F195">
        <v>0</v>
      </c>
      <c r="G195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>
        <v>0</v>
      </c>
      <c r="O195">
        <v>0</v>
      </c>
      <c r="P195" s="3">
        <v>0</v>
      </c>
      <c r="Q195">
        <v>2003</v>
      </c>
      <c r="R195">
        <v>2012</v>
      </c>
      <c r="S195" s="3">
        <v>126</v>
      </c>
      <c r="T195" s="9">
        <v>0</v>
      </c>
      <c r="U195" s="9">
        <v>0</v>
      </c>
      <c r="V195" s="9">
        <v>0</v>
      </c>
      <c r="W195" s="9">
        <v>0</v>
      </c>
      <c r="X195" s="10">
        <v>0</v>
      </c>
      <c r="Y195" s="11">
        <v>4433496</v>
      </c>
      <c r="Z195" s="3">
        <v>2093.7800000000002</v>
      </c>
      <c r="AA195" s="3">
        <v>991</v>
      </c>
      <c r="AB195" s="3">
        <v>166.83</v>
      </c>
      <c r="AC195" s="3">
        <v>0</v>
      </c>
      <c r="AD195" s="3">
        <v>1.1000000000000001</v>
      </c>
      <c r="AE195" s="34">
        <v>0</v>
      </c>
      <c r="AF195" s="33">
        <v>1937.85</v>
      </c>
      <c r="AG195" s="33">
        <v>1935.17</v>
      </c>
      <c r="AH195" s="3"/>
      <c r="AI195" s="33"/>
      <c r="AJ195" s="33"/>
      <c r="AK195" s="3"/>
      <c r="AL195" s="3"/>
    </row>
    <row r="196" spans="1:38" x14ac:dyDescent="0.2">
      <c r="A196">
        <v>599</v>
      </c>
      <c r="B196">
        <v>1</v>
      </c>
      <c r="C196" t="s">
        <v>249</v>
      </c>
      <c r="D196">
        <v>0</v>
      </c>
      <c r="E196">
        <v>0</v>
      </c>
      <c r="F196">
        <v>0</v>
      </c>
      <c r="G196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1.24</v>
      </c>
      <c r="N196">
        <v>2002</v>
      </c>
      <c r="O196">
        <v>2011</v>
      </c>
      <c r="P196" s="3">
        <v>415</v>
      </c>
      <c r="Q196">
        <v>0</v>
      </c>
      <c r="R196">
        <v>0</v>
      </c>
      <c r="S196" s="3">
        <v>0</v>
      </c>
      <c r="T196" s="9">
        <v>0</v>
      </c>
      <c r="U196" s="9">
        <v>0</v>
      </c>
      <c r="V196" s="9">
        <v>0</v>
      </c>
      <c r="W196" s="9">
        <v>0</v>
      </c>
      <c r="X196" s="10">
        <v>0</v>
      </c>
      <c r="Y196" s="11">
        <v>1564124</v>
      </c>
      <c r="Z196">
        <v>599.67999999999995</v>
      </c>
      <c r="AA196" s="3">
        <v>9999.99</v>
      </c>
      <c r="AB196" s="3">
        <v>0</v>
      </c>
      <c r="AC196" s="3">
        <v>0</v>
      </c>
      <c r="AD196" s="3">
        <v>1.24</v>
      </c>
      <c r="AE196" s="34">
        <v>1</v>
      </c>
      <c r="AF196" s="33">
        <v>573.16</v>
      </c>
      <c r="AG196" s="33">
        <v>572.63</v>
      </c>
      <c r="AH196" s="3"/>
      <c r="AI196" s="33"/>
      <c r="AJ196" s="33"/>
      <c r="AK196" s="3"/>
      <c r="AL196" s="3"/>
    </row>
    <row r="197" spans="1:38" x14ac:dyDescent="0.2">
      <c r="A197">
        <v>600</v>
      </c>
      <c r="B197">
        <v>1</v>
      </c>
      <c r="C197" t="s">
        <v>250</v>
      </c>
      <c r="D197">
        <v>2006</v>
      </c>
      <c r="E197">
        <v>0</v>
      </c>
      <c r="F197">
        <v>0</v>
      </c>
      <c r="G197">
        <v>0</v>
      </c>
      <c r="H197" s="3">
        <v>1243.74</v>
      </c>
      <c r="I197" s="3">
        <v>0</v>
      </c>
      <c r="J197" s="3">
        <v>0</v>
      </c>
      <c r="K197" s="3">
        <v>0</v>
      </c>
      <c r="L197" s="3">
        <v>135.01</v>
      </c>
      <c r="M197" s="3">
        <v>126.5</v>
      </c>
      <c r="N197">
        <v>0</v>
      </c>
      <c r="O197">
        <v>0</v>
      </c>
      <c r="P197" s="3">
        <v>0</v>
      </c>
      <c r="Q197">
        <v>0</v>
      </c>
      <c r="R197">
        <v>0</v>
      </c>
      <c r="S197" s="3">
        <v>0</v>
      </c>
      <c r="T197" s="9">
        <v>1990</v>
      </c>
      <c r="U197" s="9">
        <v>0</v>
      </c>
      <c r="V197" s="9">
        <v>0</v>
      </c>
      <c r="W197" s="9">
        <v>0</v>
      </c>
      <c r="X197" s="10">
        <v>0.21099928000000001</v>
      </c>
      <c r="Y197" s="11">
        <v>1233401</v>
      </c>
      <c r="Z197">
        <v>257.73</v>
      </c>
      <c r="AA197" s="3">
        <v>1100.51</v>
      </c>
      <c r="AB197" s="3">
        <v>119.53</v>
      </c>
      <c r="AC197" s="3">
        <v>0</v>
      </c>
      <c r="AD197" s="3">
        <v>2.63</v>
      </c>
      <c r="AE197" s="34">
        <v>1</v>
      </c>
      <c r="AF197" s="33">
        <v>274.16000000000003</v>
      </c>
      <c r="AG197" s="33">
        <v>274.04000000000002</v>
      </c>
      <c r="AH197" s="3"/>
      <c r="AI197" s="33"/>
      <c r="AJ197" s="33"/>
      <c r="AK197" s="3"/>
      <c r="AL197" s="3"/>
    </row>
    <row r="198" spans="1:38" x14ac:dyDescent="0.2">
      <c r="A198">
        <v>601</v>
      </c>
      <c r="B198">
        <v>1</v>
      </c>
      <c r="C198" t="s">
        <v>251</v>
      </c>
      <c r="D198">
        <v>2006</v>
      </c>
      <c r="E198">
        <v>2008</v>
      </c>
      <c r="F198">
        <v>0</v>
      </c>
      <c r="G198">
        <v>0</v>
      </c>
      <c r="H198" s="3">
        <v>119.98</v>
      </c>
      <c r="I198" s="3">
        <v>39.99</v>
      </c>
      <c r="J198" s="3">
        <v>0</v>
      </c>
      <c r="K198" s="3">
        <v>0</v>
      </c>
      <c r="L198" s="3">
        <v>0</v>
      </c>
      <c r="M198" s="3">
        <v>0</v>
      </c>
      <c r="N198">
        <v>0</v>
      </c>
      <c r="O198">
        <v>0</v>
      </c>
      <c r="P198" s="3">
        <v>0</v>
      </c>
      <c r="Q198">
        <v>2003</v>
      </c>
      <c r="R198">
        <v>2012</v>
      </c>
      <c r="S198" s="3">
        <v>126</v>
      </c>
      <c r="T198" s="9">
        <v>1990</v>
      </c>
      <c r="U198" s="9">
        <v>1990</v>
      </c>
      <c r="V198" s="9">
        <v>0</v>
      </c>
      <c r="W198" s="9">
        <v>0</v>
      </c>
      <c r="X198" s="10">
        <v>8.3519659999999996E-2</v>
      </c>
      <c r="Y198" s="11">
        <v>1196143</v>
      </c>
      <c r="Z198">
        <v>769.21</v>
      </c>
      <c r="AA198" s="3">
        <v>9999.99</v>
      </c>
      <c r="AB198" s="3">
        <v>0</v>
      </c>
      <c r="AC198" s="3">
        <v>31.55</v>
      </c>
      <c r="AD198" s="3">
        <v>0.96</v>
      </c>
      <c r="AE198" s="34">
        <v>0</v>
      </c>
      <c r="AF198" s="33">
        <v>782.31</v>
      </c>
      <c r="AG198" s="33">
        <v>781.94</v>
      </c>
      <c r="AH198" s="3"/>
      <c r="AI198" s="33"/>
      <c r="AJ198" s="33"/>
      <c r="AK198" s="3"/>
      <c r="AL198" s="3"/>
    </row>
    <row r="199" spans="1:38" x14ac:dyDescent="0.2">
      <c r="A199">
        <v>611</v>
      </c>
      <c r="B199">
        <v>1</v>
      </c>
      <c r="C199" t="s">
        <v>252</v>
      </c>
      <c r="D199">
        <v>2004</v>
      </c>
      <c r="E199">
        <v>2006</v>
      </c>
      <c r="F199">
        <v>0</v>
      </c>
      <c r="G199">
        <v>0</v>
      </c>
      <c r="H199" s="3">
        <v>291.14999999999998</v>
      </c>
      <c r="I199" s="3">
        <v>446.12</v>
      </c>
      <c r="J199" s="3">
        <v>0</v>
      </c>
      <c r="K199" s="3">
        <v>0</v>
      </c>
      <c r="L199" s="3">
        <v>0</v>
      </c>
      <c r="M199" s="3">
        <v>142.36000000000001</v>
      </c>
      <c r="N199">
        <v>0</v>
      </c>
      <c r="O199">
        <v>0</v>
      </c>
      <c r="P199" s="3">
        <v>0</v>
      </c>
      <c r="Q199">
        <v>0</v>
      </c>
      <c r="R199">
        <v>0</v>
      </c>
      <c r="S199" s="3">
        <v>0</v>
      </c>
      <c r="T199" s="9">
        <v>1997</v>
      </c>
      <c r="U199" s="9">
        <v>1990</v>
      </c>
      <c r="V199" s="9">
        <v>0</v>
      </c>
      <c r="W199" s="9">
        <v>0</v>
      </c>
      <c r="X199" s="10">
        <v>0.11605567</v>
      </c>
      <c r="Y199" s="11">
        <v>438579</v>
      </c>
      <c r="Z199">
        <v>140.53</v>
      </c>
      <c r="AA199" s="3">
        <v>991</v>
      </c>
      <c r="AB199" s="3">
        <v>127.64</v>
      </c>
      <c r="AC199" s="3">
        <v>0</v>
      </c>
      <c r="AD199" s="3">
        <v>1.3</v>
      </c>
      <c r="AE199" s="34">
        <v>1</v>
      </c>
      <c r="AF199" s="33">
        <v>117.06</v>
      </c>
      <c r="AG199" s="33">
        <v>116.93</v>
      </c>
      <c r="AH199" s="3"/>
      <c r="AI199" s="33"/>
      <c r="AJ199" s="33"/>
      <c r="AK199" s="3"/>
      <c r="AL199" s="3"/>
    </row>
    <row r="200" spans="1:38" x14ac:dyDescent="0.2">
      <c r="A200">
        <v>621</v>
      </c>
      <c r="B200">
        <v>1</v>
      </c>
      <c r="C200" t="s">
        <v>253</v>
      </c>
      <c r="D200">
        <v>2008</v>
      </c>
      <c r="E200">
        <v>0</v>
      </c>
      <c r="F200">
        <v>0</v>
      </c>
      <c r="G200">
        <v>0</v>
      </c>
      <c r="H200" s="3">
        <v>845.29</v>
      </c>
      <c r="I200" s="3">
        <v>0</v>
      </c>
      <c r="J200" s="3">
        <v>0</v>
      </c>
      <c r="K200" s="3">
        <v>0</v>
      </c>
      <c r="L200" s="3">
        <v>118.56</v>
      </c>
      <c r="M200" s="3">
        <v>4.3499999999999996</v>
      </c>
      <c r="N200">
        <v>0</v>
      </c>
      <c r="O200">
        <v>0</v>
      </c>
      <c r="P200" s="3">
        <v>0</v>
      </c>
      <c r="Q200">
        <v>0</v>
      </c>
      <c r="R200">
        <v>0</v>
      </c>
      <c r="S200" s="3">
        <v>0</v>
      </c>
      <c r="T200" s="9">
        <v>1990</v>
      </c>
      <c r="U200" s="9">
        <v>0</v>
      </c>
      <c r="V200" s="9">
        <v>0</v>
      </c>
      <c r="W200" s="9">
        <v>0</v>
      </c>
      <c r="X200" s="10">
        <v>0.15302249000000001</v>
      </c>
      <c r="Y200" s="11">
        <v>61520577</v>
      </c>
      <c r="Z200" s="3">
        <v>13717.72</v>
      </c>
      <c r="AA200" s="3">
        <v>991</v>
      </c>
      <c r="AB200" s="3">
        <v>0</v>
      </c>
      <c r="AC200" s="3">
        <v>0</v>
      </c>
      <c r="AD200" s="3">
        <v>4.3499999999999996</v>
      </c>
      <c r="AE200" s="34">
        <v>1</v>
      </c>
      <c r="AF200" s="33">
        <v>12833.62</v>
      </c>
      <c r="AG200" s="33">
        <v>12621.61</v>
      </c>
      <c r="AH200" s="3"/>
      <c r="AI200" s="33"/>
      <c r="AJ200" s="33"/>
      <c r="AK200" s="3"/>
      <c r="AL200" s="3"/>
    </row>
    <row r="201" spans="1:38" x14ac:dyDescent="0.2">
      <c r="A201">
        <v>622</v>
      </c>
      <c r="B201">
        <v>1</v>
      </c>
      <c r="C201" t="s">
        <v>254</v>
      </c>
      <c r="D201">
        <v>2001</v>
      </c>
      <c r="E201">
        <v>2002</v>
      </c>
      <c r="F201">
        <v>0</v>
      </c>
      <c r="G201">
        <v>0</v>
      </c>
      <c r="H201" s="3">
        <v>13.44</v>
      </c>
      <c r="I201" s="3">
        <v>483.73</v>
      </c>
      <c r="J201" s="3">
        <v>0</v>
      </c>
      <c r="K201" s="3">
        <v>0</v>
      </c>
      <c r="L201" s="3">
        <v>0</v>
      </c>
      <c r="M201" s="3">
        <v>0</v>
      </c>
      <c r="N201">
        <v>2002</v>
      </c>
      <c r="O201">
        <v>2008</v>
      </c>
      <c r="P201" s="3">
        <v>297</v>
      </c>
      <c r="Q201">
        <v>0</v>
      </c>
      <c r="R201">
        <v>0</v>
      </c>
      <c r="S201" s="3">
        <v>0</v>
      </c>
      <c r="T201" s="9">
        <v>1995</v>
      </c>
      <c r="U201" s="9">
        <v>1995</v>
      </c>
      <c r="V201" s="9">
        <v>0</v>
      </c>
      <c r="W201" s="9">
        <v>0</v>
      </c>
      <c r="X201" s="10">
        <v>0</v>
      </c>
      <c r="Y201" s="11">
        <v>58212631</v>
      </c>
      <c r="Z201" s="3">
        <v>13552.86</v>
      </c>
      <c r="AA201" s="3">
        <v>991</v>
      </c>
      <c r="AB201" s="3">
        <v>0</v>
      </c>
      <c r="AC201" s="3">
        <v>0</v>
      </c>
      <c r="AD201" s="3">
        <v>4.55</v>
      </c>
      <c r="AE201" s="34">
        <v>0</v>
      </c>
      <c r="AF201" s="33">
        <v>13860.47</v>
      </c>
      <c r="AG201" s="33">
        <v>13764.8</v>
      </c>
      <c r="AH201" s="3"/>
      <c r="AI201" s="33"/>
      <c r="AJ201" s="33"/>
      <c r="AK201" s="3"/>
      <c r="AL201" s="3"/>
    </row>
    <row r="202" spans="1:38" x14ac:dyDescent="0.2">
      <c r="A202">
        <v>623</v>
      </c>
      <c r="B202">
        <v>1</v>
      </c>
      <c r="C202" t="s">
        <v>255</v>
      </c>
      <c r="D202">
        <v>2008</v>
      </c>
      <c r="E202">
        <v>0</v>
      </c>
      <c r="F202">
        <v>0</v>
      </c>
      <c r="G202">
        <v>0</v>
      </c>
      <c r="H202" s="3">
        <v>1364.93</v>
      </c>
      <c r="I202" s="3">
        <v>0</v>
      </c>
      <c r="J202" s="3">
        <v>0</v>
      </c>
      <c r="K202" s="3">
        <v>0</v>
      </c>
      <c r="L202" s="3">
        <v>6.58</v>
      </c>
      <c r="M202" s="3">
        <v>5.74</v>
      </c>
      <c r="N202">
        <v>0</v>
      </c>
      <c r="O202">
        <v>0</v>
      </c>
      <c r="P202" s="3">
        <v>0</v>
      </c>
      <c r="Q202">
        <v>0</v>
      </c>
      <c r="R202">
        <v>0</v>
      </c>
      <c r="S202" s="3">
        <v>0</v>
      </c>
      <c r="T202" s="9">
        <v>1990</v>
      </c>
      <c r="U202" s="9">
        <v>0</v>
      </c>
      <c r="V202" s="9">
        <v>0</v>
      </c>
      <c r="W202" s="9">
        <v>0</v>
      </c>
      <c r="X202" s="10">
        <v>0</v>
      </c>
      <c r="Y202" s="11">
        <v>42179597</v>
      </c>
      <c r="Z202" s="3">
        <v>7585.93</v>
      </c>
      <c r="AA202" s="3">
        <v>1364.07</v>
      </c>
      <c r="AB202" s="3">
        <v>0</v>
      </c>
      <c r="AC202" s="3">
        <v>0</v>
      </c>
      <c r="AD202" s="3">
        <v>5.74</v>
      </c>
      <c r="AE202" s="34">
        <v>1</v>
      </c>
      <c r="AF202" s="33">
        <v>7423.6</v>
      </c>
      <c r="AG202" s="33">
        <v>7344.41</v>
      </c>
      <c r="AH202" s="3"/>
      <c r="AI202" s="33"/>
      <c r="AJ202" s="33"/>
      <c r="AK202" s="3"/>
      <c r="AL202" s="3"/>
    </row>
    <row r="203" spans="1:38" x14ac:dyDescent="0.2">
      <c r="A203">
        <v>624</v>
      </c>
      <c r="B203">
        <v>1</v>
      </c>
      <c r="C203" t="s">
        <v>256</v>
      </c>
      <c r="D203">
        <v>2002</v>
      </c>
      <c r="E203">
        <v>2002</v>
      </c>
      <c r="F203">
        <v>2008</v>
      </c>
      <c r="G203">
        <v>0</v>
      </c>
      <c r="H203" s="3">
        <v>292.08</v>
      </c>
      <c r="I203" s="3">
        <v>108.92</v>
      </c>
      <c r="J203" s="3">
        <v>380.68</v>
      </c>
      <c r="K203" s="3">
        <v>0</v>
      </c>
      <c r="L203" s="3">
        <v>122.71</v>
      </c>
      <c r="M203" s="3">
        <v>3.12</v>
      </c>
      <c r="N203">
        <v>2003</v>
      </c>
      <c r="O203">
        <v>2008</v>
      </c>
      <c r="P203" s="3">
        <v>530</v>
      </c>
      <c r="Q203">
        <v>0</v>
      </c>
      <c r="R203">
        <v>0</v>
      </c>
      <c r="S203" s="3">
        <v>0</v>
      </c>
      <c r="T203" s="9">
        <v>1997</v>
      </c>
      <c r="U203" s="9">
        <v>1997</v>
      </c>
      <c r="V203" s="9">
        <v>1990</v>
      </c>
      <c r="W203" s="9">
        <v>0</v>
      </c>
      <c r="X203" s="10">
        <v>0</v>
      </c>
      <c r="Y203" s="11">
        <v>39730393</v>
      </c>
      <c r="Z203" s="3">
        <v>10825.28</v>
      </c>
      <c r="AA203" s="3">
        <v>991</v>
      </c>
      <c r="AB203" s="3">
        <v>0</v>
      </c>
      <c r="AC203" s="3">
        <v>0</v>
      </c>
      <c r="AD203" s="3">
        <v>3.12</v>
      </c>
      <c r="AE203" s="34">
        <v>1</v>
      </c>
      <c r="AF203" s="33">
        <v>10387.969999999999</v>
      </c>
      <c r="AG203" s="33">
        <v>10333.629999999999</v>
      </c>
      <c r="AH203" s="3"/>
      <c r="AI203" s="33"/>
      <c r="AJ203" s="33"/>
      <c r="AK203" s="3"/>
      <c r="AL203" s="3"/>
    </row>
    <row r="204" spans="1:38" x14ac:dyDescent="0.2">
      <c r="A204">
        <v>625</v>
      </c>
      <c r="B204">
        <v>1</v>
      </c>
      <c r="C204" t="s">
        <v>257</v>
      </c>
      <c r="D204">
        <v>0</v>
      </c>
      <c r="E204">
        <v>0</v>
      </c>
      <c r="F204">
        <v>0</v>
      </c>
      <c r="G204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2.57</v>
      </c>
      <c r="N204">
        <v>2002</v>
      </c>
      <c r="O204">
        <v>2006</v>
      </c>
      <c r="P204" s="3">
        <v>415</v>
      </c>
      <c r="Q204">
        <v>0</v>
      </c>
      <c r="R204">
        <v>0</v>
      </c>
      <c r="S204" s="3">
        <v>0</v>
      </c>
      <c r="T204" s="9">
        <v>0</v>
      </c>
      <c r="U204" s="9">
        <v>0</v>
      </c>
      <c r="V204" s="9">
        <v>0</v>
      </c>
      <c r="W204" s="9">
        <v>0</v>
      </c>
      <c r="X204" s="10">
        <v>0</v>
      </c>
      <c r="Y204" s="11">
        <v>158975655</v>
      </c>
      <c r="Z204" s="3">
        <v>57014.41</v>
      </c>
      <c r="AA204" s="3">
        <v>991</v>
      </c>
      <c r="AB204" s="3">
        <v>0</v>
      </c>
      <c r="AC204" s="3">
        <v>0</v>
      </c>
      <c r="AD204" s="3">
        <v>2.57</v>
      </c>
      <c r="AE204" s="34">
        <v>1</v>
      </c>
      <c r="AF204" s="33">
        <v>55635.39</v>
      </c>
      <c r="AG204" s="33">
        <v>53544.78</v>
      </c>
      <c r="AH204" s="3"/>
      <c r="AI204" s="33"/>
      <c r="AJ204" s="33"/>
      <c r="AK204" s="3"/>
      <c r="AL204" s="3"/>
    </row>
    <row r="205" spans="1:38" x14ac:dyDescent="0.2">
      <c r="A205">
        <v>627</v>
      </c>
      <c r="B205">
        <v>1</v>
      </c>
      <c r="C205" t="s">
        <v>258</v>
      </c>
      <c r="D205">
        <v>2005</v>
      </c>
      <c r="E205">
        <v>2006</v>
      </c>
      <c r="F205">
        <v>2008</v>
      </c>
      <c r="G205">
        <v>0</v>
      </c>
      <c r="H205" s="3">
        <v>760.89</v>
      </c>
      <c r="I205" s="3">
        <v>315</v>
      </c>
      <c r="J205" s="3">
        <v>130.75</v>
      </c>
      <c r="K205" s="3">
        <v>0</v>
      </c>
      <c r="L205" s="3">
        <v>58.55</v>
      </c>
      <c r="M205" s="3">
        <v>51.47</v>
      </c>
      <c r="N205">
        <v>0</v>
      </c>
      <c r="O205">
        <v>0</v>
      </c>
      <c r="P205" s="3">
        <v>0</v>
      </c>
      <c r="Q205">
        <v>0</v>
      </c>
      <c r="R205">
        <v>0</v>
      </c>
      <c r="S205" s="3">
        <v>0</v>
      </c>
      <c r="T205" s="9">
        <v>1999</v>
      </c>
      <c r="U205" s="9">
        <v>1995</v>
      </c>
      <c r="V205" s="9">
        <v>1990</v>
      </c>
      <c r="W205" s="9">
        <v>0</v>
      </c>
      <c r="X205" s="10">
        <v>3.028604E-2</v>
      </c>
      <c r="Y205" s="11">
        <v>874513</v>
      </c>
      <c r="Z205">
        <v>249.51</v>
      </c>
      <c r="AA205" s="3">
        <v>9999.99</v>
      </c>
      <c r="AB205" s="3">
        <v>34.74</v>
      </c>
      <c r="AC205" s="3">
        <v>0</v>
      </c>
      <c r="AD205" s="3">
        <v>2.59</v>
      </c>
      <c r="AE205" s="34">
        <v>1</v>
      </c>
      <c r="AF205" s="33">
        <v>212.72</v>
      </c>
      <c r="AG205" s="33">
        <v>212.72</v>
      </c>
      <c r="AH205" s="3"/>
      <c r="AI205" s="33"/>
      <c r="AJ205" s="33"/>
      <c r="AK205" s="3"/>
      <c r="AL205" s="3"/>
    </row>
    <row r="206" spans="1:38" x14ac:dyDescent="0.2">
      <c r="A206">
        <v>628</v>
      </c>
      <c r="B206">
        <v>1</v>
      </c>
      <c r="C206" t="s">
        <v>259</v>
      </c>
      <c r="D206">
        <v>2008</v>
      </c>
      <c r="E206">
        <v>0</v>
      </c>
      <c r="F206">
        <v>0</v>
      </c>
      <c r="G206">
        <v>0</v>
      </c>
      <c r="H206" s="3">
        <v>650</v>
      </c>
      <c r="I206" s="3">
        <v>0</v>
      </c>
      <c r="J206" s="3">
        <v>0</v>
      </c>
      <c r="K206" s="3">
        <v>0</v>
      </c>
      <c r="L206" s="3">
        <v>0</v>
      </c>
      <c r="M206" s="3">
        <v>128.68</v>
      </c>
      <c r="N206">
        <v>0</v>
      </c>
      <c r="O206">
        <v>0</v>
      </c>
      <c r="P206" s="3">
        <v>0</v>
      </c>
      <c r="Q206">
        <v>2003</v>
      </c>
      <c r="R206">
        <v>2012</v>
      </c>
      <c r="S206" s="3">
        <v>473.7</v>
      </c>
      <c r="T206" s="9">
        <v>1997</v>
      </c>
      <c r="U206" s="9">
        <v>0</v>
      </c>
      <c r="V206" s="9">
        <v>0</v>
      </c>
      <c r="W206" s="9">
        <v>0</v>
      </c>
      <c r="X206" s="10">
        <v>0</v>
      </c>
      <c r="Y206" s="11">
        <v>654131</v>
      </c>
      <c r="Z206">
        <v>169.45</v>
      </c>
      <c r="AA206" s="3">
        <v>991</v>
      </c>
      <c r="AB206" s="3">
        <v>92.91</v>
      </c>
      <c r="AC206" s="3">
        <v>0</v>
      </c>
      <c r="AD206" s="3">
        <v>3.36</v>
      </c>
      <c r="AE206" s="34">
        <v>1</v>
      </c>
      <c r="AF206" s="33">
        <v>165</v>
      </c>
      <c r="AG206" s="33">
        <v>164.74</v>
      </c>
      <c r="AH206" s="3"/>
      <c r="AI206" s="33"/>
      <c r="AJ206" s="33"/>
      <c r="AK206" s="3"/>
      <c r="AL206" s="3"/>
    </row>
    <row r="207" spans="1:38" x14ac:dyDescent="0.2">
      <c r="A207">
        <v>630</v>
      </c>
      <c r="B207">
        <v>1</v>
      </c>
      <c r="C207" t="s">
        <v>260</v>
      </c>
      <c r="D207">
        <v>2005</v>
      </c>
      <c r="E207">
        <v>0</v>
      </c>
      <c r="F207">
        <v>0</v>
      </c>
      <c r="G207">
        <v>0</v>
      </c>
      <c r="H207" s="3">
        <v>415</v>
      </c>
      <c r="I207" s="3">
        <v>0</v>
      </c>
      <c r="J207" s="3">
        <v>0</v>
      </c>
      <c r="K207" s="3">
        <v>0</v>
      </c>
      <c r="L207" s="3">
        <v>0</v>
      </c>
      <c r="M207" s="3">
        <v>0.48</v>
      </c>
      <c r="N207">
        <v>0</v>
      </c>
      <c r="O207">
        <v>0</v>
      </c>
      <c r="P207" s="3">
        <v>0</v>
      </c>
      <c r="Q207">
        <v>0</v>
      </c>
      <c r="R207">
        <v>0</v>
      </c>
      <c r="S207" s="3">
        <v>0</v>
      </c>
      <c r="T207" s="9">
        <v>1999</v>
      </c>
      <c r="U207" s="9">
        <v>0</v>
      </c>
      <c r="V207" s="9">
        <v>0</v>
      </c>
      <c r="W207" s="9">
        <v>0</v>
      </c>
      <c r="X207" s="10">
        <v>0</v>
      </c>
      <c r="Y207" s="11">
        <v>671028</v>
      </c>
      <c r="Z207">
        <v>515.54999999999995</v>
      </c>
      <c r="AA207" s="3">
        <v>9999.99</v>
      </c>
      <c r="AB207" s="3">
        <v>0</v>
      </c>
      <c r="AC207" s="3">
        <v>0</v>
      </c>
      <c r="AD207" s="3">
        <v>0.48</v>
      </c>
      <c r="AE207" s="34">
        <v>1</v>
      </c>
      <c r="AF207" s="33">
        <v>464.17</v>
      </c>
      <c r="AG207" s="33">
        <v>462.95</v>
      </c>
      <c r="AH207" s="3"/>
      <c r="AI207" s="33"/>
      <c r="AJ207" s="33"/>
      <c r="AK207" s="3"/>
      <c r="AL207" s="3"/>
    </row>
    <row r="208" spans="1:38" x14ac:dyDescent="0.2">
      <c r="A208">
        <v>635</v>
      </c>
      <c r="B208">
        <v>1</v>
      </c>
      <c r="C208" t="s">
        <v>261</v>
      </c>
      <c r="D208">
        <v>2003</v>
      </c>
      <c r="E208">
        <v>0</v>
      </c>
      <c r="F208">
        <v>0</v>
      </c>
      <c r="G208">
        <v>0</v>
      </c>
      <c r="H208" s="3">
        <v>616.41</v>
      </c>
      <c r="I208" s="3">
        <v>0</v>
      </c>
      <c r="J208" s="3">
        <v>0</v>
      </c>
      <c r="K208" s="3">
        <v>0</v>
      </c>
      <c r="L208" s="3">
        <v>0</v>
      </c>
      <c r="M208" s="3">
        <v>72.12</v>
      </c>
      <c r="N208">
        <v>0</v>
      </c>
      <c r="O208">
        <v>0</v>
      </c>
      <c r="P208" s="3">
        <v>0</v>
      </c>
      <c r="Q208">
        <v>0</v>
      </c>
      <c r="R208">
        <v>0</v>
      </c>
      <c r="S208" s="3">
        <v>0</v>
      </c>
      <c r="T208" s="9">
        <v>1997</v>
      </c>
      <c r="U208" s="9">
        <v>0</v>
      </c>
      <c r="V208" s="9">
        <v>0</v>
      </c>
      <c r="W208" s="9">
        <v>0</v>
      </c>
      <c r="X208" s="10">
        <v>0</v>
      </c>
      <c r="Y208" s="11">
        <v>778326</v>
      </c>
      <c r="Z208">
        <v>194.4</v>
      </c>
      <c r="AA208" s="3">
        <v>991</v>
      </c>
      <c r="AB208" s="3">
        <v>66.06</v>
      </c>
      <c r="AC208" s="3">
        <v>0</v>
      </c>
      <c r="AD208" s="3">
        <v>2.48</v>
      </c>
      <c r="AE208" s="34">
        <v>1</v>
      </c>
      <c r="AF208" s="33">
        <v>165.88</v>
      </c>
      <c r="AG208" s="33">
        <v>165.16</v>
      </c>
      <c r="AH208" s="3"/>
      <c r="AI208" s="33"/>
      <c r="AJ208" s="33"/>
      <c r="AK208" s="3"/>
      <c r="AL208" s="3"/>
    </row>
    <row r="209" spans="1:38" x14ac:dyDescent="0.2">
      <c r="A209">
        <v>640</v>
      </c>
      <c r="B209">
        <v>1</v>
      </c>
      <c r="C209" t="s">
        <v>262</v>
      </c>
      <c r="D209">
        <v>2006</v>
      </c>
      <c r="E209">
        <v>0</v>
      </c>
      <c r="F209">
        <v>0</v>
      </c>
      <c r="G209">
        <v>0</v>
      </c>
      <c r="H209" s="3">
        <v>263.58</v>
      </c>
      <c r="I209" s="3">
        <v>0</v>
      </c>
      <c r="J209" s="3">
        <v>0</v>
      </c>
      <c r="K209" s="3">
        <v>0</v>
      </c>
      <c r="L209" s="3">
        <v>100</v>
      </c>
      <c r="M209" s="3">
        <v>2.0099999999999998</v>
      </c>
      <c r="N209">
        <v>0</v>
      </c>
      <c r="O209">
        <v>0</v>
      </c>
      <c r="P209" s="3">
        <v>0</v>
      </c>
      <c r="Q209">
        <v>0</v>
      </c>
      <c r="R209">
        <v>0</v>
      </c>
      <c r="S209" s="3">
        <v>0</v>
      </c>
      <c r="T209" s="9">
        <v>1990</v>
      </c>
      <c r="U209" s="9">
        <v>0</v>
      </c>
      <c r="V209" s="9">
        <v>0</v>
      </c>
      <c r="W209" s="9">
        <v>0</v>
      </c>
      <c r="X209" s="10">
        <v>5.8599190000000002E-2</v>
      </c>
      <c r="Y209" s="11">
        <v>2162892</v>
      </c>
      <c r="Z209">
        <v>592.28</v>
      </c>
      <c r="AA209" s="3">
        <v>991</v>
      </c>
      <c r="AB209" s="3">
        <v>0</v>
      </c>
      <c r="AC209" s="3">
        <v>0</v>
      </c>
      <c r="AD209" s="3">
        <v>2.0099999999999998</v>
      </c>
      <c r="AE209" s="34">
        <v>1</v>
      </c>
      <c r="AF209" s="33">
        <v>496.58</v>
      </c>
      <c r="AG209" s="33">
        <v>496.01</v>
      </c>
      <c r="AH209" s="3"/>
      <c r="AI209" s="33"/>
      <c r="AJ209" s="33"/>
      <c r="AK209" s="3"/>
      <c r="AL209" s="3"/>
    </row>
    <row r="210" spans="1:38" x14ac:dyDescent="0.2">
      <c r="A210">
        <v>656</v>
      </c>
      <c r="B210">
        <v>1</v>
      </c>
      <c r="C210" t="s">
        <v>263</v>
      </c>
      <c r="D210">
        <v>2006</v>
      </c>
      <c r="E210">
        <v>0</v>
      </c>
      <c r="F210">
        <v>0</v>
      </c>
      <c r="G210">
        <v>0</v>
      </c>
      <c r="H210" s="3">
        <v>442</v>
      </c>
      <c r="I210" s="3">
        <v>0</v>
      </c>
      <c r="J210" s="3">
        <v>0</v>
      </c>
      <c r="K210" s="3">
        <v>0</v>
      </c>
      <c r="L210" s="3">
        <v>0</v>
      </c>
      <c r="M210" s="3">
        <v>1.42</v>
      </c>
      <c r="N210">
        <v>0</v>
      </c>
      <c r="O210">
        <v>0</v>
      </c>
      <c r="P210" s="3">
        <v>0</v>
      </c>
      <c r="Q210">
        <v>0</v>
      </c>
      <c r="R210">
        <v>0</v>
      </c>
      <c r="S210" s="3">
        <v>0</v>
      </c>
      <c r="T210" s="9">
        <v>1995</v>
      </c>
      <c r="U210" s="9">
        <v>0</v>
      </c>
      <c r="V210" s="9">
        <v>0</v>
      </c>
      <c r="W210" s="9">
        <v>0</v>
      </c>
      <c r="X210" s="10">
        <v>0</v>
      </c>
      <c r="Y210" s="11">
        <v>12854507</v>
      </c>
      <c r="Z210" s="3">
        <v>5099.13</v>
      </c>
      <c r="AA210" s="3">
        <v>991</v>
      </c>
      <c r="AB210" s="3">
        <v>0</v>
      </c>
      <c r="AC210" s="3">
        <v>0</v>
      </c>
      <c r="AD210" s="3">
        <v>1.42</v>
      </c>
      <c r="AE210" s="34">
        <v>1</v>
      </c>
      <c r="AF210" s="33">
        <v>5043.3500000000004</v>
      </c>
      <c r="AG210" s="33">
        <v>4992.8999999999996</v>
      </c>
      <c r="AH210" s="3"/>
      <c r="AI210" s="33"/>
      <c r="AJ210" s="33"/>
      <c r="AK210" s="3"/>
      <c r="AL210" s="3"/>
    </row>
    <row r="211" spans="1:38" x14ac:dyDescent="0.2">
      <c r="A211">
        <v>659</v>
      </c>
      <c r="B211">
        <v>1</v>
      </c>
      <c r="C211" t="s">
        <v>264</v>
      </c>
      <c r="D211">
        <v>2004</v>
      </c>
      <c r="E211">
        <v>0</v>
      </c>
      <c r="F211">
        <v>0</v>
      </c>
      <c r="G211">
        <v>0</v>
      </c>
      <c r="H211" s="3">
        <v>500</v>
      </c>
      <c r="I211" s="3">
        <v>0</v>
      </c>
      <c r="J211" s="3">
        <v>0</v>
      </c>
      <c r="K211" s="3">
        <v>0</v>
      </c>
      <c r="L211" s="3">
        <v>0</v>
      </c>
      <c r="M211" s="3">
        <v>2.4</v>
      </c>
      <c r="N211">
        <v>0</v>
      </c>
      <c r="O211">
        <v>0</v>
      </c>
      <c r="P211" s="3">
        <v>0</v>
      </c>
      <c r="Q211">
        <v>0</v>
      </c>
      <c r="R211">
        <v>0</v>
      </c>
      <c r="S211" s="3">
        <v>0</v>
      </c>
      <c r="T211" s="9">
        <v>1997</v>
      </c>
      <c r="U211" s="9">
        <v>0</v>
      </c>
      <c r="V211" s="9">
        <v>0</v>
      </c>
      <c r="W211" s="9">
        <v>0</v>
      </c>
      <c r="X211" s="10">
        <v>0</v>
      </c>
      <c r="Y211" s="11">
        <v>13149097</v>
      </c>
      <c r="Z211" s="3">
        <v>4375.2</v>
      </c>
      <c r="AA211" s="3">
        <v>991</v>
      </c>
      <c r="AB211" s="3">
        <v>0</v>
      </c>
      <c r="AC211" s="3">
        <v>0</v>
      </c>
      <c r="AD211" s="3">
        <v>2.4</v>
      </c>
      <c r="AE211" s="34">
        <v>1</v>
      </c>
      <c r="AF211" s="33">
        <v>4472.84</v>
      </c>
      <c r="AG211" s="33">
        <v>4450.8599999999997</v>
      </c>
      <c r="AH211" s="3"/>
      <c r="AI211" s="33"/>
      <c r="AJ211" s="33"/>
      <c r="AK211" s="3"/>
      <c r="AL211" s="3"/>
    </row>
    <row r="212" spans="1:38" x14ac:dyDescent="0.2">
      <c r="A212">
        <v>671</v>
      </c>
      <c r="B212">
        <v>1</v>
      </c>
      <c r="C212" t="s">
        <v>265</v>
      </c>
      <c r="D212">
        <v>2006</v>
      </c>
      <c r="E212">
        <v>0</v>
      </c>
      <c r="F212">
        <v>0</v>
      </c>
      <c r="G212">
        <v>0</v>
      </c>
      <c r="H212" s="3">
        <v>752.76</v>
      </c>
      <c r="I212" s="3">
        <v>0</v>
      </c>
      <c r="J212" s="3">
        <v>0</v>
      </c>
      <c r="K212" s="3">
        <v>0</v>
      </c>
      <c r="L212" s="3">
        <v>109.97</v>
      </c>
      <c r="M212" s="3">
        <v>2.37</v>
      </c>
      <c r="N212">
        <v>0</v>
      </c>
      <c r="O212">
        <v>0</v>
      </c>
      <c r="P212" s="3">
        <v>0</v>
      </c>
      <c r="Q212">
        <v>0</v>
      </c>
      <c r="R212">
        <v>0</v>
      </c>
      <c r="S212" s="3">
        <v>0</v>
      </c>
      <c r="T212" s="9">
        <v>1990</v>
      </c>
      <c r="U212" s="9">
        <v>0</v>
      </c>
      <c r="V212" s="9">
        <v>0</v>
      </c>
      <c r="W212" s="9">
        <v>0</v>
      </c>
      <c r="X212" s="10">
        <v>0.20227290000000001</v>
      </c>
      <c r="Y212" s="11">
        <v>1334075</v>
      </c>
      <c r="Z212">
        <v>441.54</v>
      </c>
      <c r="AA212" s="3">
        <v>991</v>
      </c>
      <c r="AB212" s="3">
        <v>0</v>
      </c>
      <c r="AC212" s="3">
        <v>0</v>
      </c>
      <c r="AD212" s="3">
        <v>1.86</v>
      </c>
      <c r="AE212" s="34">
        <v>1</v>
      </c>
      <c r="AF212" s="33">
        <v>419.68</v>
      </c>
      <c r="AG212" s="33">
        <v>419.36</v>
      </c>
      <c r="AH212" s="3"/>
      <c r="AI212" s="33"/>
      <c r="AJ212" s="33"/>
      <c r="AK212" s="3"/>
      <c r="AL212" s="3"/>
    </row>
    <row r="213" spans="1:38" x14ac:dyDescent="0.2">
      <c r="A213">
        <v>676</v>
      </c>
      <c r="B213">
        <v>1</v>
      </c>
      <c r="C213" t="s">
        <v>266</v>
      </c>
      <c r="D213">
        <v>2005</v>
      </c>
      <c r="E213">
        <v>2008</v>
      </c>
      <c r="F213">
        <v>0</v>
      </c>
      <c r="G213">
        <v>0</v>
      </c>
      <c r="H213" s="3">
        <v>1251.56</v>
      </c>
      <c r="I213" s="3">
        <v>310.24</v>
      </c>
      <c r="J213" s="3">
        <v>0</v>
      </c>
      <c r="K213" s="3">
        <v>0</v>
      </c>
      <c r="L213" s="3">
        <v>0</v>
      </c>
      <c r="M213" s="3">
        <v>23.12</v>
      </c>
      <c r="N213">
        <v>0</v>
      </c>
      <c r="O213">
        <v>0</v>
      </c>
      <c r="P213" s="3">
        <v>0</v>
      </c>
      <c r="Q213">
        <v>0</v>
      </c>
      <c r="R213">
        <v>0</v>
      </c>
      <c r="S213" s="3">
        <v>0</v>
      </c>
      <c r="T213" s="9">
        <v>1999</v>
      </c>
      <c r="U213" s="9">
        <v>1990</v>
      </c>
      <c r="V213" s="9">
        <v>0</v>
      </c>
      <c r="W213" s="9">
        <v>0</v>
      </c>
      <c r="X213" s="10">
        <v>0.15201240999999999</v>
      </c>
      <c r="Y213" s="11">
        <v>415333</v>
      </c>
      <c r="Z213">
        <v>250.66</v>
      </c>
      <c r="AA213" s="3">
        <v>9999.99</v>
      </c>
      <c r="AB213" s="3">
        <v>36.46</v>
      </c>
      <c r="AC213" s="3">
        <v>0</v>
      </c>
      <c r="AD213" s="3">
        <v>0.6</v>
      </c>
      <c r="AE213" s="34">
        <v>1</v>
      </c>
      <c r="AF213" s="33">
        <v>248.41</v>
      </c>
      <c r="AG213" s="33">
        <v>246.9</v>
      </c>
      <c r="AH213" s="3"/>
      <c r="AI213" s="33"/>
      <c r="AJ213" s="33"/>
      <c r="AK213" s="3"/>
      <c r="AL213" s="3"/>
    </row>
    <row r="214" spans="1:38" x14ac:dyDescent="0.2">
      <c r="A214">
        <v>682</v>
      </c>
      <c r="B214">
        <v>1</v>
      </c>
      <c r="C214" t="s">
        <v>267</v>
      </c>
      <c r="D214">
        <v>2008</v>
      </c>
      <c r="E214">
        <v>0</v>
      </c>
      <c r="F214">
        <v>0</v>
      </c>
      <c r="G214">
        <v>0</v>
      </c>
      <c r="H214" s="3">
        <v>315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>
        <v>0</v>
      </c>
      <c r="O214">
        <v>0</v>
      </c>
      <c r="P214" s="3">
        <v>0</v>
      </c>
      <c r="Q214">
        <v>2003</v>
      </c>
      <c r="R214">
        <v>2012</v>
      </c>
      <c r="S214" s="3">
        <v>126</v>
      </c>
      <c r="T214" s="9">
        <v>1997</v>
      </c>
      <c r="U214" s="9">
        <v>0</v>
      </c>
      <c r="V214" s="9">
        <v>0</v>
      </c>
      <c r="W214" s="9">
        <v>0</v>
      </c>
      <c r="X214" s="10">
        <v>0</v>
      </c>
      <c r="Y214" s="11">
        <v>2809699</v>
      </c>
      <c r="Z214" s="3">
        <v>1745.34</v>
      </c>
      <c r="AA214" s="3">
        <v>991</v>
      </c>
      <c r="AB214" s="3">
        <v>0</v>
      </c>
      <c r="AC214" s="3">
        <v>0</v>
      </c>
      <c r="AD214" s="3">
        <v>0.87</v>
      </c>
      <c r="AE214" s="34">
        <v>0</v>
      </c>
      <c r="AF214" s="33">
        <v>1691.8</v>
      </c>
      <c r="AG214" s="33">
        <v>1691.21</v>
      </c>
      <c r="AH214" s="3"/>
      <c r="AI214" s="33"/>
      <c r="AJ214" s="33"/>
      <c r="AK214" s="3"/>
      <c r="AL214" s="3"/>
    </row>
    <row r="215" spans="1:38" x14ac:dyDescent="0.2">
      <c r="A215">
        <v>690</v>
      </c>
      <c r="B215">
        <v>1</v>
      </c>
      <c r="C215" t="s">
        <v>268</v>
      </c>
      <c r="D215">
        <v>2008</v>
      </c>
      <c r="E215">
        <v>0</v>
      </c>
      <c r="F215">
        <v>0</v>
      </c>
      <c r="G215">
        <v>0</v>
      </c>
      <c r="H215" s="3">
        <v>315</v>
      </c>
      <c r="I215" s="3">
        <v>0</v>
      </c>
      <c r="J215" s="3">
        <v>0</v>
      </c>
      <c r="K215" s="3">
        <v>0</v>
      </c>
      <c r="L215" s="3">
        <v>0</v>
      </c>
      <c r="M215" s="3">
        <v>4.17</v>
      </c>
      <c r="N215">
        <v>0</v>
      </c>
      <c r="O215">
        <v>0</v>
      </c>
      <c r="P215" s="3">
        <v>0</v>
      </c>
      <c r="Q215">
        <v>2003</v>
      </c>
      <c r="R215">
        <v>2012</v>
      </c>
      <c r="S215" s="3">
        <v>126</v>
      </c>
      <c r="T215" s="9">
        <v>1997</v>
      </c>
      <c r="U215" s="9">
        <v>0</v>
      </c>
      <c r="V215" s="9">
        <v>0</v>
      </c>
      <c r="W215" s="9">
        <v>0</v>
      </c>
      <c r="X215" s="10">
        <v>0</v>
      </c>
      <c r="Y215" s="11">
        <v>2896417</v>
      </c>
      <c r="Z215" s="3">
        <v>1623.93</v>
      </c>
      <c r="AA215" s="3">
        <v>9999.99</v>
      </c>
      <c r="AB215" s="3">
        <v>0</v>
      </c>
      <c r="AC215" s="3">
        <v>2.92</v>
      </c>
      <c r="AD215" s="3">
        <v>1.26</v>
      </c>
      <c r="AE215" s="34">
        <v>1</v>
      </c>
      <c r="AF215" s="33">
        <v>1512.2</v>
      </c>
      <c r="AG215" s="33">
        <v>1503.24</v>
      </c>
      <c r="AH215" s="3"/>
      <c r="AI215" s="33"/>
      <c r="AJ215" s="33"/>
      <c r="AK215" s="3"/>
      <c r="AL215" s="3"/>
    </row>
    <row r="216" spans="1:38" x14ac:dyDescent="0.2">
      <c r="A216">
        <v>695</v>
      </c>
      <c r="B216">
        <v>1</v>
      </c>
      <c r="C216" t="s">
        <v>269</v>
      </c>
      <c r="D216">
        <v>2006</v>
      </c>
      <c r="E216">
        <v>2008</v>
      </c>
      <c r="F216">
        <v>2009</v>
      </c>
      <c r="G216">
        <v>0</v>
      </c>
      <c r="H216" s="3">
        <v>105</v>
      </c>
      <c r="I216" s="3">
        <v>109.68</v>
      </c>
      <c r="J216" s="3">
        <v>158.41</v>
      </c>
      <c r="K216" s="3">
        <v>0</v>
      </c>
      <c r="L216" s="3">
        <v>0</v>
      </c>
      <c r="M216" s="3">
        <v>225.28</v>
      </c>
      <c r="N216">
        <v>0</v>
      </c>
      <c r="O216">
        <v>0</v>
      </c>
      <c r="P216" s="3">
        <v>0</v>
      </c>
      <c r="Q216">
        <v>0</v>
      </c>
      <c r="R216">
        <v>0</v>
      </c>
      <c r="S216" s="3">
        <v>0</v>
      </c>
      <c r="T216" s="9">
        <v>1995</v>
      </c>
      <c r="U216" s="9">
        <v>1990</v>
      </c>
      <c r="V216" s="9">
        <v>1998</v>
      </c>
      <c r="W216" s="9">
        <v>0</v>
      </c>
      <c r="X216" s="10">
        <v>6.6824350000000005E-2</v>
      </c>
      <c r="Y216" s="11">
        <v>1420671</v>
      </c>
      <c r="Z216" s="3">
        <v>1066.1099999999999</v>
      </c>
      <c r="AA216" s="3">
        <v>991</v>
      </c>
      <c r="AB216" s="3">
        <v>16.3</v>
      </c>
      <c r="AC216" s="3">
        <v>206.56</v>
      </c>
      <c r="AD216" s="3">
        <v>0.63</v>
      </c>
      <c r="AE216" s="34">
        <v>1</v>
      </c>
      <c r="AF216" s="33">
        <v>921.81</v>
      </c>
      <c r="AG216" s="33">
        <v>910.79</v>
      </c>
      <c r="AH216" s="3"/>
      <c r="AI216" s="33"/>
      <c r="AJ216" s="33"/>
      <c r="AK216" s="3"/>
      <c r="AL216" s="3"/>
    </row>
    <row r="217" spans="1:38" x14ac:dyDescent="0.2">
      <c r="A217">
        <v>696</v>
      </c>
      <c r="B217">
        <v>1</v>
      </c>
      <c r="C217" t="s">
        <v>270</v>
      </c>
      <c r="D217">
        <v>2008</v>
      </c>
      <c r="E217">
        <v>0</v>
      </c>
      <c r="F217">
        <v>0</v>
      </c>
      <c r="G217">
        <v>0</v>
      </c>
      <c r="H217" s="3">
        <v>96.06</v>
      </c>
      <c r="I217" s="3">
        <v>0</v>
      </c>
      <c r="J217" s="3">
        <v>0</v>
      </c>
      <c r="K217" s="3">
        <v>0</v>
      </c>
      <c r="L217" s="3">
        <v>0</v>
      </c>
      <c r="M217" s="3">
        <v>207.06</v>
      </c>
      <c r="N217">
        <v>2002</v>
      </c>
      <c r="O217">
        <v>2011</v>
      </c>
      <c r="P217" s="3">
        <v>315.93</v>
      </c>
      <c r="Q217">
        <v>0</v>
      </c>
      <c r="R217">
        <v>0</v>
      </c>
      <c r="S217" s="3">
        <v>0</v>
      </c>
      <c r="T217" s="9">
        <v>1990</v>
      </c>
      <c r="U217" s="9">
        <v>0</v>
      </c>
      <c r="V217" s="9">
        <v>0</v>
      </c>
      <c r="W217" s="9">
        <v>0</v>
      </c>
      <c r="X217" s="10">
        <v>2.531052E-2</v>
      </c>
      <c r="Y217" s="11">
        <v>2596912</v>
      </c>
      <c r="Z217">
        <v>842.8</v>
      </c>
      <c r="AA217" s="3">
        <v>991</v>
      </c>
      <c r="AB217" s="3">
        <v>0</v>
      </c>
      <c r="AC217" s="3">
        <v>200.38</v>
      </c>
      <c r="AD217" s="3">
        <v>3.86</v>
      </c>
      <c r="AE217" s="34">
        <v>1</v>
      </c>
      <c r="AF217" s="33">
        <v>735.93</v>
      </c>
      <c r="AG217" s="33">
        <v>732.16</v>
      </c>
      <c r="AH217" s="3"/>
      <c r="AI217" s="33"/>
      <c r="AJ217" s="33"/>
      <c r="AK217" s="3"/>
      <c r="AL217" s="3"/>
    </row>
    <row r="218" spans="1:38" x14ac:dyDescent="0.2">
      <c r="A218">
        <v>698</v>
      </c>
      <c r="B218">
        <v>1</v>
      </c>
      <c r="C218" t="s">
        <v>271</v>
      </c>
      <c r="D218">
        <v>2007</v>
      </c>
      <c r="E218">
        <v>2008</v>
      </c>
      <c r="F218">
        <v>0</v>
      </c>
      <c r="G218">
        <v>0</v>
      </c>
      <c r="H218" s="3">
        <v>133.46</v>
      </c>
      <c r="I218" s="3">
        <v>281.54000000000002</v>
      </c>
      <c r="J218" s="3">
        <v>0</v>
      </c>
      <c r="K218" s="3">
        <v>0</v>
      </c>
      <c r="L218" s="3">
        <v>100</v>
      </c>
      <c r="M218" s="3">
        <v>0</v>
      </c>
      <c r="N218">
        <v>0</v>
      </c>
      <c r="O218">
        <v>0</v>
      </c>
      <c r="P218" s="3">
        <v>0</v>
      </c>
      <c r="Q218">
        <v>0</v>
      </c>
      <c r="R218">
        <v>0</v>
      </c>
      <c r="S218" s="3">
        <v>0</v>
      </c>
      <c r="T218" s="9">
        <v>1996</v>
      </c>
      <c r="U218" s="9">
        <v>1990</v>
      </c>
      <c r="V218" s="9">
        <v>0</v>
      </c>
      <c r="W218" s="9">
        <v>0</v>
      </c>
      <c r="X218" s="10">
        <v>0</v>
      </c>
      <c r="Y218" s="11">
        <v>1364109</v>
      </c>
      <c r="Z218">
        <v>380.08</v>
      </c>
      <c r="AA218" s="3">
        <v>9999.99</v>
      </c>
      <c r="AB218" s="3">
        <v>0.3</v>
      </c>
      <c r="AC218" s="3">
        <v>0</v>
      </c>
      <c r="AD218" s="3">
        <v>4.04</v>
      </c>
      <c r="AE218" s="34">
        <v>0</v>
      </c>
      <c r="AF218" s="33">
        <v>355.01</v>
      </c>
      <c r="AG218" s="33">
        <v>349.38</v>
      </c>
      <c r="AH218" s="3"/>
      <c r="AI218" s="33"/>
      <c r="AJ218" s="33"/>
      <c r="AK218" s="3"/>
      <c r="AL218" s="3"/>
    </row>
    <row r="219" spans="1:38" x14ac:dyDescent="0.2">
      <c r="A219">
        <v>700</v>
      </c>
      <c r="B219">
        <v>1</v>
      </c>
      <c r="C219" t="s">
        <v>272</v>
      </c>
      <c r="D219">
        <v>2005</v>
      </c>
      <c r="E219">
        <v>2009</v>
      </c>
      <c r="F219">
        <v>0</v>
      </c>
      <c r="G219">
        <v>0</v>
      </c>
      <c r="H219" s="3">
        <v>367.96</v>
      </c>
      <c r="I219" s="3">
        <v>67.239999999999995</v>
      </c>
      <c r="J219" s="3">
        <v>0</v>
      </c>
      <c r="K219" s="3">
        <v>0</v>
      </c>
      <c r="L219" s="3">
        <v>120.2</v>
      </c>
      <c r="M219" s="3">
        <v>0</v>
      </c>
      <c r="N219">
        <v>0</v>
      </c>
      <c r="O219">
        <v>0</v>
      </c>
      <c r="P219" s="3">
        <v>0</v>
      </c>
      <c r="Q219">
        <v>0</v>
      </c>
      <c r="R219">
        <v>0</v>
      </c>
      <c r="S219" s="3">
        <v>0</v>
      </c>
      <c r="T219" s="9">
        <v>1994</v>
      </c>
      <c r="U219" s="9">
        <v>1998</v>
      </c>
      <c r="V219" s="9">
        <v>0</v>
      </c>
      <c r="W219" s="9">
        <v>0</v>
      </c>
      <c r="X219" s="10">
        <v>0</v>
      </c>
      <c r="Y219" s="11">
        <v>6158144</v>
      </c>
      <c r="Z219" s="3">
        <v>2147.5300000000002</v>
      </c>
      <c r="AA219" s="3">
        <v>991</v>
      </c>
      <c r="AB219" s="3">
        <v>0</v>
      </c>
      <c r="AC219" s="3">
        <v>0</v>
      </c>
      <c r="AD219" s="3">
        <v>2.2799999999999998</v>
      </c>
      <c r="AE219" s="34">
        <v>0</v>
      </c>
      <c r="AF219" s="33">
        <v>2072.8200000000002</v>
      </c>
      <c r="AG219" s="33">
        <v>2068.52</v>
      </c>
      <c r="AH219" s="3"/>
      <c r="AI219" s="33"/>
      <c r="AJ219" s="33"/>
      <c r="AK219" s="3"/>
      <c r="AL219" s="3"/>
    </row>
    <row r="220" spans="1:38" x14ac:dyDescent="0.2">
      <c r="A220">
        <v>701</v>
      </c>
      <c r="B220">
        <v>1</v>
      </c>
      <c r="C220" t="s">
        <v>273</v>
      </c>
      <c r="D220">
        <v>2008</v>
      </c>
      <c r="E220">
        <v>2009</v>
      </c>
      <c r="F220">
        <v>0</v>
      </c>
      <c r="G220">
        <v>0</v>
      </c>
      <c r="H220" s="3">
        <v>212.7</v>
      </c>
      <c r="I220" s="3">
        <v>144.91</v>
      </c>
      <c r="J220" s="3">
        <v>0</v>
      </c>
      <c r="K220" s="3">
        <v>0</v>
      </c>
      <c r="L220" s="3">
        <v>0</v>
      </c>
      <c r="M220" s="3">
        <v>103.81</v>
      </c>
      <c r="N220">
        <v>0</v>
      </c>
      <c r="O220">
        <v>0</v>
      </c>
      <c r="P220" s="3">
        <v>0</v>
      </c>
      <c r="Q220">
        <v>0</v>
      </c>
      <c r="R220">
        <v>0</v>
      </c>
      <c r="S220" s="3">
        <v>0</v>
      </c>
      <c r="T220" s="9">
        <v>1990</v>
      </c>
      <c r="U220" s="9">
        <v>1998</v>
      </c>
      <c r="V220" s="9">
        <v>0</v>
      </c>
      <c r="W220" s="9">
        <v>0</v>
      </c>
      <c r="X220" s="10">
        <v>9.0424409999999997E-2</v>
      </c>
      <c r="Y220" s="11">
        <v>6323211</v>
      </c>
      <c r="Z220" s="3">
        <v>3311.1</v>
      </c>
      <c r="AA220" s="3">
        <v>991</v>
      </c>
      <c r="AB220" s="3">
        <v>53.64</v>
      </c>
      <c r="AC220" s="3">
        <v>46.14</v>
      </c>
      <c r="AD220" s="3">
        <v>1.19</v>
      </c>
      <c r="AE220" s="34">
        <v>1</v>
      </c>
      <c r="AF220" s="33">
        <v>3000.64</v>
      </c>
      <c r="AG220" s="33">
        <v>2980.65</v>
      </c>
      <c r="AH220" s="3"/>
      <c r="AI220" s="33"/>
      <c r="AJ220" s="33"/>
      <c r="AK220" s="3"/>
      <c r="AL220" s="3"/>
    </row>
    <row r="221" spans="1:38" x14ac:dyDescent="0.2">
      <c r="A221">
        <v>704</v>
      </c>
      <c r="B221">
        <v>1</v>
      </c>
      <c r="C221" t="s">
        <v>274</v>
      </c>
      <c r="D221">
        <v>2009</v>
      </c>
      <c r="E221">
        <v>0</v>
      </c>
      <c r="F221">
        <v>0</v>
      </c>
      <c r="G221">
        <v>0</v>
      </c>
      <c r="H221" s="3">
        <v>350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>
        <v>0</v>
      </c>
      <c r="O221">
        <v>0</v>
      </c>
      <c r="P221" s="3">
        <v>0</v>
      </c>
      <c r="Q221">
        <v>2003</v>
      </c>
      <c r="R221">
        <v>2012</v>
      </c>
      <c r="S221" s="3">
        <v>1</v>
      </c>
      <c r="T221" s="9">
        <v>1998</v>
      </c>
      <c r="U221" s="9">
        <v>0</v>
      </c>
      <c r="V221" s="9">
        <v>0</v>
      </c>
      <c r="W221" s="9">
        <v>0</v>
      </c>
      <c r="X221" s="10">
        <v>0</v>
      </c>
      <c r="Y221" s="11">
        <v>5316382</v>
      </c>
      <c r="Z221" s="3">
        <v>2400.06</v>
      </c>
      <c r="AA221" s="3">
        <v>991</v>
      </c>
      <c r="AB221" s="3">
        <v>0</v>
      </c>
      <c r="AC221" s="3">
        <v>0</v>
      </c>
      <c r="AD221" s="3">
        <v>1.1399999999999999</v>
      </c>
      <c r="AE221" s="34">
        <v>0</v>
      </c>
      <c r="AF221" s="33">
        <v>2285.3200000000002</v>
      </c>
      <c r="AG221" s="33">
        <v>2281.64</v>
      </c>
      <c r="AH221" s="3"/>
      <c r="AI221" s="33"/>
      <c r="AJ221" s="33"/>
      <c r="AK221" s="3"/>
      <c r="AL221" s="3"/>
    </row>
    <row r="222" spans="1:38" x14ac:dyDescent="0.2">
      <c r="A222">
        <v>706</v>
      </c>
      <c r="B222">
        <v>1</v>
      </c>
      <c r="C222" t="s">
        <v>275</v>
      </c>
      <c r="D222">
        <v>2008</v>
      </c>
      <c r="E222">
        <v>2009</v>
      </c>
      <c r="F222">
        <v>0</v>
      </c>
      <c r="G222">
        <v>0</v>
      </c>
      <c r="H222" s="3">
        <v>59.11</v>
      </c>
      <c r="I222" s="3">
        <v>299.25</v>
      </c>
      <c r="J222" s="3">
        <v>0</v>
      </c>
      <c r="K222" s="3">
        <v>0</v>
      </c>
      <c r="L222" s="3">
        <v>0</v>
      </c>
      <c r="M222" s="3">
        <v>120.43</v>
      </c>
      <c r="N222">
        <v>0</v>
      </c>
      <c r="O222">
        <v>0</v>
      </c>
      <c r="P222" s="3">
        <v>0</v>
      </c>
      <c r="Q222">
        <v>0</v>
      </c>
      <c r="R222">
        <v>0</v>
      </c>
      <c r="S222" s="3">
        <v>0</v>
      </c>
      <c r="T222" s="9">
        <v>1990</v>
      </c>
      <c r="U222" s="9">
        <v>1998</v>
      </c>
      <c r="V222" s="9">
        <v>0</v>
      </c>
      <c r="W222" s="9">
        <v>0</v>
      </c>
      <c r="X222" s="10">
        <v>2.480711E-2</v>
      </c>
      <c r="Y222" s="11">
        <v>3566745</v>
      </c>
      <c r="Z222" s="3">
        <v>1843.59</v>
      </c>
      <c r="AA222" s="3">
        <v>991</v>
      </c>
      <c r="AB222" s="3">
        <v>29</v>
      </c>
      <c r="AC222" s="3">
        <v>86.23</v>
      </c>
      <c r="AD222" s="3">
        <v>1.1399999999999999</v>
      </c>
      <c r="AE222" s="34">
        <v>1</v>
      </c>
      <c r="AF222" s="33">
        <v>1722.93</v>
      </c>
      <c r="AG222" s="33">
        <v>1717.38</v>
      </c>
      <c r="AH222" s="3"/>
      <c r="AI222" s="33"/>
      <c r="AJ222" s="33"/>
      <c r="AK222" s="3"/>
      <c r="AL222" s="3"/>
    </row>
    <row r="223" spans="1:38" x14ac:dyDescent="0.2">
      <c r="A223">
        <v>707</v>
      </c>
      <c r="B223">
        <v>1</v>
      </c>
      <c r="C223" t="s">
        <v>276</v>
      </c>
      <c r="D223">
        <v>2009</v>
      </c>
      <c r="E223">
        <v>2010</v>
      </c>
      <c r="F223">
        <v>0</v>
      </c>
      <c r="G223">
        <v>0</v>
      </c>
      <c r="H223" s="3">
        <v>350</v>
      </c>
      <c r="I223" s="3">
        <v>65</v>
      </c>
      <c r="J223" s="3">
        <v>0</v>
      </c>
      <c r="K223" s="3">
        <v>0</v>
      </c>
      <c r="L223" s="3">
        <v>0</v>
      </c>
      <c r="M223" s="3">
        <v>265.5</v>
      </c>
      <c r="N223">
        <v>0</v>
      </c>
      <c r="O223">
        <v>0</v>
      </c>
      <c r="P223" s="3">
        <v>0</v>
      </c>
      <c r="Q223">
        <v>2003</v>
      </c>
      <c r="R223">
        <v>2012</v>
      </c>
      <c r="S223" s="3">
        <v>571.88</v>
      </c>
      <c r="T223" s="9">
        <v>1998</v>
      </c>
      <c r="U223" s="9">
        <v>1999</v>
      </c>
      <c r="V223" s="9">
        <v>0</v>
      </c>
      <c r="W223" s="9">
        <v>0</v>
      </c>
      <c r="X223" s="10">
        <v>0</v>
      </c>
      <c r="Y223" s="11">
        <v>1546</v>
      </c>
      <c r="Z223">
        <v>91.12</v>
      </c>
      <c r="AA223" s="3">
        <v>991</v>
      </c>
      <c r="AB223" s="3">
        <v>273.31</v>
      </c>
      <c r="AC223" s="3">
        <v>3.54</v>
      </c>
      <c r="AD223" s="3">
        <v>0.01</v>
      </c>
      <c r="AE223" s="34">
        <v>1</v>
      </c>
      <c r="AF223" s="33">
        <v>117.59</v>
      </c>
      <c r="AG223" s="33">
        <v>117.58</v>
      </c>
      <c r="AH223" s="3"/>
      <c r="AI223" s="33"/>
      <c r="AJ223" s="33"/>
      <c r="AK223" s="3"/>
      <c r="AL223" s="3"/>
    </row>
    <row r="224" spans="1:38" x14ac:dyDescent="0.2">
      <c r="A224">
        <v>709</v>
      </c>
      <c r="B224">
        <v>1</v>
      </c>
      <c r="C224" t="s">
        <v>277</v>
      </c>
      <c r="D224">
        <v>2003</v>
      </c>
      <c r="E224">
        <v>0</v>
      </c>
      <c r="F224">
        <v>0</v>
      </c>
      <c r="G224">
        <v>0</v>
      </c>
      <c r="H224" s="3">
        <v>315</v>
      </c>
      <c r="I224" s="3">
        <v>0</v>
      </c>
      <c r="J224" s="3">
        <v>0</v>
      </c>
      <c r="K224" s="3">
        <v>0</v>
      </c>
      <c r="L224" s="3">
        <v>0</v>
      </c>
      <c r="M224" s="3">
        <v>96.63</v>
      </c>
      <c r="N224">
        <v>0</v>
      </c>
      <c r="O224">
        <v>0</v>
      </c>
      <c r="P224" s="3">
        <v>0</v>
      </c>
      <c r="Q224">
        <v>0</v>
      </c>
      <c r="R224">
        <v>0</v>
      </c>
      <c r="S224" s="3">
        <v>0</v>
      </c>
      <c r="T224" s="9">
        <v>1997</v>
      </c>
      <c r="U224" s="9">
        <v>0</v>
      </c>
      <c r="V224" s="9">
        <v>0</v>
      </c>
      <c r="W224" s="9">
        <v>0</v>
      </c>
      <c r="X224" s="10">
        <v>0</v>
      </c>
      <c r="Y224" s="11">
        <v>34590148</v>
      </c>
      <c r="Z224" s="3">
        <v>15169.77</v>
      </c>
      <c r="AA224" s="3">
        <v>991</v>
      </c>
      <c r="AB224" s="3">
        <v>0</v>
      </c>
      <c r="AC224" s="3">
        <v>95.64</v>
      </c>
      <c r="AD224" s="3">
        <v>1.41</v>
      </c>
      <c r="AE224" s="34">
        <v>1</v>
      </c>
      <c r="AF224" s="33">
        <v>13976.18</v>
      </c>
      <c r="AG224" s="33">
        <v>13878.61</v>
      </c>
      <c r="AH224" s="3"/>
      <c r="AI224" s="33"/>
      <c r="AJ224" s="33"/>
      <c r="AK224" s="3"/>
      <c r="AL224" s="3"/>
    </row>
    <row r="225" spans="1:38" x14ac:dyDescent="0.2">
      <c r="A225">
        <v>712</v>
      </c>
      <c r="B225">
        <v>1</v>
      </c>
      <c r="C225" t="s">
        <v>278</v>
      </c>
      <c r="D225">
        <v>2002</v>
      </c>
      <c r="E225">
        <v>2002</v>
      </c>
      <c r="F225">
        <v>0</v>
      </c>
      <c r="G225">
        <v>0</v>
      </c>
      <c r="H225" s="3">
        <v>265.35000000000002</v>
      </c>
      <c r="I225" s="3">
        <v>56.16</v>
      </c>
      <c r="J225" s="3">
        <v>0</v>
      </c>
      <c r="K225" s="3">
        <v>0</v>
      </c>
      <c r="L225" s="3">
        <v>0</v>
      </c>
      <c r="M225" s="3">
        <v>155.63999999999999</v>
      </c>
      <c r="N225">
        <v>0</v>
      </c>
      <c r="O225">
        <v>0</v>
      </c>
      <c r="P225" s="3">
        <v>0</v>
      </c>
      <c r="Q225">
        <v>2002</v>
      </c>
      <c r="R225">
        <v>2011</v>
      </c>
      <c r="S225" s="3">
        <v>561.04</v>
      </c>
      <c r="T225" s="9">
        <v>1997</v>
      </c>
      <c r="U225" s="9">
        <v>1990</v>
      </c>
      <c r="V225" s="9">
        <v>0</v>
      </c>
      <c r="W225" s="9">
        <v>0</v>
      </c>
      <c r="X225" s="10">
        <v>2.1559109999999999E-2</v>
      </c>
      <c r="Y225" s="11">
        <v>1892232</v>
      </c>
      <c r="Z225">
        <v>894.76</v>
      </c>
      <c r="AA225" s="3">
        <v>991</v>
      </c>
      <c r="AB225" s="3">
        <v>94.7</v>
      </c>
      <c r="AC225" s="3">
        <v>63.14</v>
      </c>
      <c r="AD225" s="3">
        <v>1.64</v>
      </c>
      <c r="AE225" s="34">
        <v>1</v>
      </c>
      <c r="AF225" s="33">
        <v>826.89</v>
      </c>
      <c r="AG225" s="33">
        <v>824.08</v>
      </c>
      <c r="AH225" s="3"/>
      <c r="AI225" s="33"/>
      <c r="AJ225" s="33"/>
      <c r="AK225" s="3"/>
      <c r="AL225" s="3"/>
    </row>
    <row r="226" spans="1:38" x14ac:dyDescent="0.2">
      <c r="A226">
        <v>716</v>
      </c>
      <c r="B226">
        <v>1</v>
      </c>
      <c r="C226" t="s">
        <v>279</v>
      </c>
      <c r="D226">
        <v>2008</v>
      </c>
      <c r="E226">
        <v>0</v>
      </c>
      <c r="F226">
        <v>0</v>
      </c>
      <c r="G226">
        <v>0</v>
      </c>
      <c r="H226" s="3">
        <v>378.86</v>
      </c>
      <c r="I226" s="3">
        <v>0</v>
      </c>
      <c r="J226" s="3">
        <v>0</v>
      </c>
      <c r="K226" s="3">
        <v>0</v>
      </c>
      <c r="L226" s="3">
        <v>35.96</v>
      </c>
      <c r="M226" s="3">
        <v>1.68</v>
      </c>
      <c r="N226">
        <v>0</v>
      </c>
      <c r="O226">
        <v>0</v>
      </c>
      <c r="P226" s="3">
        <v>0</v>
      </c>
      <c r="Q226">
        <v>0</v>
      </c>
      <c r="R226">
        <v>0</v>
      </c>
      <c r="S226" s="3">
        <v>0</v>
      </c>
      <c r="T226" s="9">
        <v>1990</v>
      </c>
      <c r="U226" s="9">
        <v>0</v>
      </c>
      <c r="V226" s="9">
        <v>0</v>
      </c>
      <c r="W226" s="9">
        <v>0</v>
      </c>
      <c r="X226" s="10">
        <v>0.12192012000000001</v>
      </c>
      <c r="Y226" s="11">
        <v>3543996</v>
      </c>
      <c r="Z226" s="3">
        <v>1404.75</v>
      </c>
      <c r="AA226" s="3">
        <v>991</v>
      </c>
      <c r="AB226" s="3">
        <v>0</v>
      </c>
      <c r="AC226" s="3">
        <v>0</v>
      </c>
      <c r="AD226" s="3">
        <v>1.68</v>
      </c>
      <c r="AE226" s="34">
        <v>1</v>
      </c>
      <c r="AF226" s="33">
        <v>1649.44</v>
      </c>
      <c r="AG226" s="33">
        <v>1639.71</v>
      </c>
      <c r="AH226" s="3"/>
      <c r="AI226" s="33"/>
      <c r="AJ226" s="33"/>
      <c r="AK226" s="3"/>
      <c r="AL226" s="3"/>
    </row>
    <row r="227" spans="1:38" x14ac:dyDescent="0.2">
      <c r="A227">
        <v>717</v>
      </c>
      <c r="B227">
        <v>1</v>
      </c>
      <c r="C227" t="s">
        <v>280</v>
      </c>
      <c r="D227">
        <v>2001</v>
      </c>
      <c r="E227">
        <v>0</v>
      </c>
      <c r="F227">
        <v>0</v>
      </c>
      <c r="G227">
        <v>0</v>
      </c>
      <c r="H227" s="3">
        <v>322</v>
      </c>
      <c r="I227" s="3">
        <v>0</v>
      </c>
      <c r="J227" s="3">
        <v>0</v>
      </c>
      <c r="K227" s="3">
        <v>0</v>
      </c>
      <c r="L227" s="3">
        <v>45.93</v>
      </c>
      <c r="M227" s="3">
        <v>0</v>
      </c>
      <c r="N227">
        <v>2002</v>
      </c>
      <c r="O227">
        <v>2006</v>
      </c>
      <c r="P227" s="3">
        <v>276</v>
      </c>
      <c r="Q227">
        <v>0</v>
      </c>
      <c r="R227">
        <v>0</v>
      </c>
      <c r="S227" s="3">
        <v>0</v>
      </c>
      <c r="T227" s="9">
        <v>1995</v>
      </c>
      <c r="U227" s="9">
        <v>0</v>
      </c>
      <c r="V227" s="9">
        <v>0</v>
      </c>
      <c r="W227" s="9">
        <v>0</v>
      </c>
      <c r="X227" s="10">
        <v>0</v>
      </c>
      <c r="Y227" s="11">
        <v>4025912</v>
      </c>
      <c r="Z227" s="3">
        <v>1684.33</v>
      </c>
      <c r="AA227" s="3">
        <v>991</v>
      </c>
      <c r="AB227" s="3">
        <v>0</v>
      </c>
      <c r="AC227" s="3">
        <v>0</v>
      </c>
      <c r="AD227" s="3">
        <v>1.88</v>
      </c>
      <c r="AE227" s="34">
        <v>0</v>
      </c>
      <c r="AF227" s="33">
        <v>1794.69</v>
      </c>
      <c r="AG227" s="33">
        <v>1771.23</v>
      </c>
      <c r="AH227" s="3"/>
      <c r="AI227" s="33"/>
      <c r="AJ227" s="33"/>
      <c r="AK227" s="3"/>
      <c r="AL227" s="3"/>
    </row>
    <row r="228" spans="1:38" x14ac:dyDescent="0.2">
      <c r="A228">
        <v>719</v>
      </c>
      <c r="B228">
        <v>1</v>
      </c>
      <c r="C228" t="s">
        <v>281</v>
      </c>
      <c r="D228">
        <v>2009</v>
      </c>
      <c r="E228">
        <v>0</v>
      </c>
      <c r="F228">
        <v>0</v>
      </c>
      <c r="G228">
        <v>0</v>
      </c>
      <c r="H228" s="3">
        <v>698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>
        <v>0</v>
      </c>
      <c r="O228">
        <v>0</v>
      </c>
      <c r="P228" s="3">
        <v>0</v>
      </c>
      <c r="Q228">
        <v>0</v>
      </c>
      <c r="R228">
        <v>0</v>
      </c>
      <c r="S228" s="3">
        <v>0</v>
      </c>
      <c r="T228" s="9">
        <v>1998</v>
      </c>
      <c r="U228" s="9">
        <v>0</v>
      </c>
      <c r="V228" s="9">
        <v>0</v>
      </c>
      <c r="W228" s="9">
        <v>0</v>
      </c>
      <c r="X228" s="10">
        <v>0</v>
      </c>
      <c r="Y228" s="11">
        <v>18335054</v>
      </c>
      <c r="Z228" s="3">
        <v>5739.79</v>
      </c>
      <c r="AA228" s="3">
        <v>991</v>
      </c>
      <c r="AB228" s="3">
        <v>0</v>
      </c>
      <c r="AC228" s="3">
        <v>0</v>
      </c>
      <c r="AD228" s="3">
        <v>2.52</v>
      </c>
      <c r="AE228" s="34">
        <v>0</v>
      </c>
      <c r="AF228" s="33">
        <v>6594.88</v>
      </c>
      <c r="AG228" s="33">
        <v>6564.78</v>
      </c>
      <c r="AH228" s="3"/>
      <c r="AI228" s="33"/>
      <c r="AJ228" s="33"/>
      <c r="AK228" s="3"/>
      <c r="AL228" s="3"/>
    </row>
    <row r="229" spans="1:38" x14ac:dyDescent="0.2">
      <c r="A229">
        <v>720</v>
      </c>
      <c r="B229">
        <v>1</v>
      </c>
      <c r="C229" t="s">
        <v>282</v>
      </c>
      <c r="D229">
        <v>2003</v>
      </c>
      <c r="E229">
        <v>0</v>
      </c>
      <c r="F229">
        <v>0</v>
      </c>
      <c r="G229">
        <v>0</v>
      </c>
      <c r="H229" s="3">
        <v>675</v>
      </c>
      <c r="I229" s="3">
        <v>0</v>
      </c>
      <c r="J229" s="3">
        <v>0</v>
      </c>
      <c r="K229" s="3">
        <v>0</v>
      </c>
      <c r="L229" s="3">
        <v>0</v>
      </c>
      <c r="M229" s="3">
        <v>2.8</v>
      </c>
      <c r="N229">
        <v>0</v>
      </c>
      <c r="O229">
        <v>0</v>
      </c>
      <c r="P229" s="3">
        <v>0</v>
      </c>
      <c r="Q229">
        <v>0</v>
      </c>
      <c r="R229">
        <v>0</v>
      </c>
      <c r="S229" s="3">
        <v>0</v>
      </c>
      <c r="T229" s="9">
        <v>1997</v>
      </c>
      <c r="U229" s="9">
        <v>0</v>
      </c>
      <c r="V229" s="9">
        <v>0</v>
      </c>
      <c r="W229" s="9">
        <v>0</v>
      </c>
      <c r="X229" s="10">
        <v>0</v>
      </c>
      <c r="Y229" s="11">
        <v>16364670</v>
      </c>
      <c r="Z229" s="3">
        <v>4658.6899999999996</v>
      </c>
      <c r="AA229" s="3">
        <v>991</v>
      </c>
      <c r="AB229" s="3">
        <v>0</v>
      </c>
      <c r="AC229" s="3">
        <v>0</v>
      </c>
      <c r="AD229" s="3">
        <v>2.8</v>
      </c>
      <c r="AE229" s="34">
        <v>1</v>
      </c>
      <c r="AF229" s="33">
        <v>5744.19</v>
      </c>
      <c r="AG229" s="33">
        <v>5688.05</v>
      </c>
      <c r="AH229" s="3"/>
      <c r="AI229" s="33"/>
      <c r="AJ229" s="33"/>
      <c r="AK229" s="3"/>
      <c r="AL229" s="3"/>
    </row>
    <row r="230" spans="1:38" x14ac:dyDescent="0.2">
      <c r="A230">
        <v>721</v>
      </c>
      <c r="B230">
        <v>1</v>
      </c>
      <c r="C230" t="s">
        <v>283</v>
      </c>
      <c r="D230">
        <v>2001</v>
      </c>
      <c r="E230">
        <v>0</v>
      </c>
      <c r="F230">
        <v>0</v>
      </c>
      <c r="G230">
        <v>0</v>
      </c>
      <c r="H230" s="3">
        <v>367.41</v>
      </c>
      <c r="I230" s="3">
        <v>0</v>
      </c>
      <c r="J230" s="3">
        <v>0</v>
      </c>
      <c r="K230" s="3">
        <v>0</v>
      </c>
      <c r="L230" s="3">
        <v>52.41</v>
      </c>
      <c r="M230" s="3">
        <v>1.62</v>
      </c>
      <c r="N230">
        <v>2002</v>
      </c>
      <c r="O230">
        <v>2006</v>
      </c>
      <c r="P230" s="3">
        <v>415</v>
      </c>
      <c r="Q230">
        <v>0</v>
      </c>
      <c r="R230">
        <v>0</v>
      </c>
      <c r="S230" s="3">
        <v>0</v>
      </c>
      <c r="T230" s="9">
        <v>1995</v>
      </c>
      <c r="U230" s="9">
        <v>0</v>
      </c>
      <c r="V230" s="9">
        <v>0</v>
      </c>
      <c r="W230" s="9">
        <v>0</v>
      </c>
      <c r="X230" s="10">
        <v>0</v>
      </c>
      <c r="Y230" s="11">
        <v>7292698</v>
      </c>
      <c r="Z230" s="3">
        <v>2958.73</v>
      </c>
      <c r="AA230" s="3">
        <v>991</v>
      </c>
      <c r="AB230" s="3">
        <v>0</v>
      </c>
      <c r="AC230" s="3">
        <v>0</v>
      </c>
      <c r="AD230" s="3">
        <v>1.62</v>
      </c>
      <c r="AE230" s="34">
        <v>1</v>
      </c>
      <c r="AF230" s="33">
        <v>3285.96</v>
      </c>
      <c r="AG230" s="33">
        <v>3264.45</v>
      </c>
      <c r="AH230" s="3"/>
      <c r="AI230" s="33"/>
      <c r="AJ230" s="33"/>
      <c r="AK230" s="3"/>
      <c r="AL230" s="3"/>
    </row>
    <row r="231" spans="1:38" x14ac:dyDescent="0.2">
      <c r="A231">
        <v>726</v>
      </c>
      <c r="B231">
        <v>1</v>
      </c>
      <c r="C231" t="s">
        <v>284</v>
      </c>
      <c r="D231">
        <v>2001</v>
      </c>
      <c r="E231">
        <v>2010</v>
      </c>
      <c r="F231">
        <v>0</v>
      </c>
      <c r="G231">
        <v>0</v>
      </c>
      <c r="H231" s="3">
        <v>787.07</v>
      </c>
      <c r="I231" s="3">
        <v>315</v>
      </c>
      <c r="J231" s="3">
        <v>0</v>
      </c>
      <c r="K231" s="3">
        <v>0</v>
      </c>
      <c r="L231" s="3">
        <v>111.79</v>
      </c>
      <c r="M231" s="3">
        <v>68.66</v>
      </c>
      <c r="N231">
        <v>0</v>
      </c>
      <c r="O231">
        <v>0</v>
      </c>
      <c r="P231" s="3">
        <v>0</v>
      </c>
      <c r="Q231">
        <v>0</v>
      </c>
      <c r="R231">
        <v>0</v>
      </c>
      <c r="S231" s="3">
        <v>0</v>
      </c>
      <c r="T231" s="9">
        <v>1990</v>
      </c>
      <c r="U231" s="9">
        <v>1999</v>
      </c>
      <c r="V231" s="9">
        <v>1999</v>
      </c>
      <c r="W231" s="9">
        <v>0</v>
      </c>
      <c r="X231" s="10">
        <v>6.1662769999999999E-2</v>
      </c>
      <c r="Y231" s="11">
        <v>25005120</v>
      </c>
      <c r="Z231" s="3">
        <v>2412.96</v>
      </c>
      <c r="AA231" s="3">
        <v>1428.12</v>
      </c>
      <c r="AB231" s="3">
        <v>30.67</v>
      </c>
      <c r="AC231" s="3">
        <v>0</v>
      </c>
      <c r="AD231" s="3">
        <v>37.799999999999997</v>
      </c>
      <c r="AE231" s="34">
        <v>1</v>
      </c>
      <c r="AF231" s="33">
        <v>2815.28</v>
      </c>
      <c r="AG231" s="33">
        <v>2808.33</v>
      </c>
      <c r="AH231" s="3"/>
      <c r="AI231" s="33"/>
      <c r="AJ231" s="33"/>
      <c r="AK231" s="3"/>
      <c r="AL231" s="3"/>
    </row>
    <row r="232" spans="1:38" x14ac:dyDescent="0.2">
      <c r="A232">
        <v>727</v>
      </c>
      <c r="B232">
        <v>1</v>
      </c>
      <c r="C232" t="s">
        <v>285</v>
      </c>
      <c r="D232">
        <v>2010</v>
      </c>
      <c r="E232">
        <v>0</v>
      </c>
      <c r="F232">
        <v>0</v>
      </c>
      <c r="G232">
        <v>0</v>
      </c>
      <c r="H232" s="3">
        <v>415</v>
      </c>
      <c r="I232" s="3">
        <v>0</v>
      </c>
      <c r="J232" s="3">
        <v>0</v>
      </c>
      <c r="K232" s="3">
        <v>0</v>
      </c>
      <c r="L232" s="3">
        <v>0</v>
      </c>
      <c r="M232" s="3">
        <v>5.96</v>
      </c>
      <c r="N232">
        <v>0</v>
      </c>
      <c r="O232">
        <v>0</v>
      </c>
      <c r="P232" s="3">
        <v>0</v>
      </c>
      <c r="Q232">
        <v>0</v>
      </c>
      <c r="R232">
        <v>0</v>
      </c>
      <c r="S232" s="3">
        <v>0</v>
      </c>
      <c r="T232" s="9">
        <v>1999</v>
      </c>
      <c r="U232" s="9">
        <v>0</v>
      </c>
      <c r="V232" s="9">
        <v>0</v>
      </c>
      <c r="W232" s="9">
        <v>0</v>
      </c>
      <c r="X232" s="10">
        <v>0</v>
      </c>
      <c r="Y232" s="11">
        <v>4915189</v>
      </c>
      <c r="Z232" s="3">
        <v>3036.88</v>
      </c>
      <c r="AA232" s="3">
        <v>991</v>
      </c>
      <c r="AB232" s="3">
        <v>6.31</v>
      </c>
      <c r="AC232" s="3">
        <v>0</v>
      </c>
      <c r="AD232" s="3">
        <v>0.87</v>
      </c>
      <c r="AE232" s="34">
        <v>1</v>
      </c>
      <c r="AF232" s="33">
        <v>3673.78</v>
      </c>
      <c r="AG232" s="33">
        <v>3658.22</v>
      </c>
      <c r="AH232" s="3"/>
      <c r="AI232" s="33"/>
      <c r="AJ232" s="33"/>
      <c r="AK232" s="3"/>
      <c r="AL232" s="3"/>
    </row>
    <row r="233" spans="1:38" x14ac:dyDescent="0.2">
      <c r="A233">
        <v>728</v>
      </c>
      <c r="B233">
        <v>1</v>
      </c>
      <c r="C233" t="s">
        <v>286</v>
      </c>
      <c r="D233">
        <v>2009</v>
      </c>
      <c r="E233">
        <v>2009</v>
      </c>
      <c r="F233">
        <v>0</v>
      </c>
      <c r="G233">
        <v>0</v>
      </c>
      <c r="H233" s="3">
        <v>81.22</v>
      </c>
      <c r="I233" s="3">
        <v>407.18</v>
      </c>
      <c r="J233" s="3">
        <v>0</v>
      </c>
      <c r="K233" s="3">
        <v>0</v>
      </c>
      <c r="L233" s="3">
        <v>0</v>
      </c>
      <c r="M233" s="3">
        <v>42.05</v>
      </c>
      <c r="N233">
        <v>2002</v>
      </c>
      <c r="O233">
        <v>2011</v>
      </c>
      <c r="P233" s="3">
        <v>195</v>
      </c>
      <c r="Q233">
        <v>0</v>
      </c>
      <c r="R233">
        <v>0</v>
      </c>
      <c r="S233" s="3">
        <v>0</v>
      </c>
      <c r="T233" s="9">
        <v>1997</v>
      </c>
      <c r="U233" s="9">
        <v>1997</v>
      </c>
      <c r="V233" s="9">
        <v>0</v>
      </c>
      <c r="W233" s="9">
        <v>0</v>
      </c>
      <c r="X233" s="10">
        <v>0</v>
      </c>
      <c r="Y233" s="11">
        <v>26684219</v>
      </c>
      <c r="Z233" s="3">
        <v>10661.08</v>
      </c>
      <c r="AA233" s="3">
        <v>991</v>
      </c>
      <c r="AB233" s="3">
        <v>40.19</v>
      </c>
      <c r="AC233" s="3">
        <v>0</v>
      </c>
      <c r="AD233" s="3">
        <v>1.78</v>
      </c>
      <c r="AE233" s="34">
        <v>1</v>
      </c>
      <c r="AF233" s="33">
        <v>11908.68</v>
      </c>
      <c r="AG233" s="33">
        <v>11853.64</v>
      </c>
      <c r="AH233" s="3"/>
      <c r="AI233" s="33"/>
      <c r="AJ233" s="33"/>
      <c r="AK233" s="3"/>
      <c r="AL233" s="3"/>
    </row>
    <row r="234" spans="1:38" x14ac:dyDescent="0.2">
      <c r="A234">
        <v>738</v>
      </c>
      <c r="B234">
        <v>1</v>
      </c>
      <c r="C234" t="s">
        <v>287</v>
      </c>
      <c r="D234">
        <v>2003</v>
      </c>
      <c r="E234">
        <v>2005</v>
      </c>
      <c r="F234">
        <v>0</v>
      </c>
      <c r="G234">
        <v>0</v>
      </c>
      <c r="H234" s="3">
        <v>125</v>
      </c>
      <c r="I234" s="3">
        <v>240</v>
      </c>
      <c r="J234" s="3">
        <v>0</v>
      </c>
      <c r="K234" s="3">
        <v>0</v>
      </c>
      <c r="L234" s="3">
        <v>0</v>
      </c>
      <c r="M234" s="3">
        <v>0</v>
      </c>
      <c r="N234">
        <v>0</v>
      </c>
      <c r="O234">
        <v>0</v>
      </c>
      <c r="P234" s="3">
        <v>0</v>
      </c>
      <c r="Q234">
        <v>2003</v>
      </c>
      <c r="R234">
        <v>2007</v>
      </c>
      <c r="S234" s="3">
        <v>300</v>
      </c>
      <c r="T234" s="9">
        <v>1997</v>
      </c>
      <c r="U234" s="9">
        <v>1999</v>
      </c>
      <c r="V234" s="9">
        <v>0</v>
      </c>
      <c r="W234" s="9">
        <v>0</v>
      </c>
      <c r="X234" s="10">
        <v>0</v>
      </c>
      <c r="Y234" s="11">
        <v>1602089</v>
      </c>
      <c r="Z234" s="3">
        <v>1240.54</v>
      </c>
      <c r="AA234" s="3">
        <v>991</v>
      </c>
      <c r="AB234" s="3">
        <v>0</v>
      </c>
      <c r="AC234" s="3">
        <v>0</v>
      </c>
      <c r="AD234" s="3">
        <v>0.49</v>
      </c>
      <c r="AE234" s="34">
        <v>0</v>
      </c>
      <c r="AF234" s="33">
        <v>1152.8599999999999</v>
      </c>
      <c r="AG234" s="33">
        <v>1143.33</v>
      </c>
      <c r="AH234" s="3"/>
      <c r="AI234" s="33"/>
      <c r="AJ234" s="33"/>
      <c r="AK234" s="3"/>
      <c r="AL234" s="3"/>
    </row>
    <row r="235" spans="1:38" x14ac:dyDescent="0.2">
      <c r="A235">
        <v>739</v>
      </c>
      <c r="B235">
        <v>1</v>
      </c>
      <c r="C235" t="s">
        <v>288</v>
      </c>
      <c r="D235">
        <v>2008</v>
      </c>
      <c r="E235">
        <v>2010</v>
      </c>
      <c r="F235">
        <v>0</v>
      </c>
      <c r="G235">
        <v>0</v>
      </c>
      <c r="H235" s="3">
        <v>177.24</v>
      </c>
      <c r="I235" s="3">
        <v>235.98</v>
      </c>
      <c r="J235" s="3">
        <v>0</v>
      </c>
      <c r="K235" s="3">
        <v>0</v>
      </c>
      <c r="L235" s="3">
        <v>0</v>
      </c>
      <c r="M235" s="3">
        <v>0.93</v>
      </c>
      <c r="N235">
        <v>0</v>
      </c>
      <c r="O235">
        <v>0</v>
      </c>
      <c r="P235" s="3">
        <v>0</v>
      </c>
      <c r="Q235">
        <v>0</v>
      </c>
      <c r="R235">
        <v>0</v>
      </c>
      <c r="S235" s="3">
        <v>0</v>
      </c>
      <c r="T235" s="9">
        <v>1990</v>
      </c>
      <c r="U235" s="9">
        <v>1999</v>
      </c>
      <c r="V235" s="9">
        <v>0</v>
      </c>
      <c r="W235" s="9">
        <v>0</v>
      </c>
      <c r="X235" s="10">
        <v>8.3385799999999996E-2</v>
      </c>
      <c r="Y235" s="11">
        <v>1798589</v>
      </c>
      <c r="Z235" s="3">
        <v>1042.24</v>
      </c>
      <c r="AA235" s="3">
        <v>991</v>
      </c>
      <c r="AB235" s="3">
        <v>0</v>
      </c>
      <c r="AC235" s="3">
        <v>0</v>
      </c>
      <c r="AD235" s="3">
        <v>0.93</v>
      </c>
      <c r="AE235" s="34">
        <v>1</v>
      </c>
      <c r="AF235" s="33">
        <v>977.94</v>
      </c>
      <c r="AG235" s="33">
        <v>971.75</v>
      </c>
      <c r="AH235" s="3"/>
      <c r="AI235" s="33"/>
      <c r="AJ235" s="33"/>
      <c r="AK235" s="3"/>
      <c r="AL235" s="3"/>
    </row>
    <row r="236" spans="1:38" x14ac:dyDescent="0.2">
      <c r="A236">
        <v>740</v>
      </c>
      <c r="B236">
        <v>1</v>
      </c>
      <c r="C236" t="s">
        <v>289</v>
      </c>
      <c r="D236">
        <v>2003</v>
      </c>
      <c r="E236">
        <v>0</v>
      </c>
      <c r="F236">
        <v>0</v>
      </c>
      <c r="G236">
        <v>0</v>
      </c>
      <c r="H236" s="3">
        <v>276.07</v>
      </c>
      <c r="I236" s="3">
        <v>0</v>
      </c>
      <c r="J236" s="3">
        <v>0</v>
      </c>
      <c r="K236" s="3">
        <v>0</v>
      </c>
      <c r="L236" s="3">
        <v>0</v>
      </c>
      <c r="M236" s="3">
        <v>24.42</v>
      </c>
      <c r="N236">
        <v>0</v>
      </c>
      <c r="O236">
        <v>0</v>
      </c>
      <c r="P236" s="3">
        <v>0</v>
      </c>
      <c r="Q236">
        <v>2004</v>
      </c>
      <c r="R236">
        <v>2006</v>
      </c>
      <c r="S236" s="3">
        <v>444.44</v>
      </c>
      <c r="T236" s="9">
        <v>1997</v>
      </c>
      <c r="U236" s="9">
        <v>0</v>
      </c>
      <c r="V236" s="9">
        <v>0</v>
      </c>
      <c r="W236" s="9">
        <v>0</v>
      </c>
      <c r="X236" s="10">
        <v>0</v>
      </c>
      <c r="Y236" s="11">
        <v>3379374</v>
      </c>
      <c r="Z236" s="3">
        <v>1846.89</v>
      </c>
      <c r="AA236" s="3">
        <v>991</v>
      </c>
      <c r="AB236" s="3">
        <v>22.11</v>
      </c>
      <c r="AC236" s="3">
        <v>0</v>
      </c>
      <c r="AD236" s="3">
        <v>1.05</v>
      </c>
      <c r="AE236" s="34">
        <v>1</v>
      </c>
      <c r="AF236" s="33">
        <v>1759.45</v>
      </c>
      <c r="AG236" s="33">
        <v>1752.85</v>
      </c>
      <c r="AH236" s="3"/>
      <c r="AI236" s="33"/>
      <c r="AJ236" s="33"/>
      <c r="AK236" s="3"/>
      <c r="AL236" s="3"/>
    </row>
    <row r="237" spans="1:38" x14ac:dyDescent="0.2">
      <c r="A237">
        <v>741</v>
      </c>
      <c r="B237">
        <v>1</v>
      </c>
      <c r="C237" t="s">
        <v>290</v>
      </c>
      <c r="D237">
        <v>2009</v>
      </c>
      <c r="E237">
        <v>0</v>
      </c>
      <c r="F237">
        <v>0</v>
      </c>
      <c r="G237">
        <v>0</v>
      </c>
      <c r="H237" s="3">
        <v>315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>
        <v>0</v>
      </c>
      <c r="O237">
        <v>0</v>
      </c>
      <c r="P237" s="3">
        <v>0</v>
      </c>
      <c r="Q237">
        <v>0</v>
      </c>
      <c r="R237">
        <v>0</v>
      </c>
      <c r="S237" s="3">
        <v>0</v>
      </c>
      <c r="T237" s="9">
        <v>1997</v>
      </c>
      <c r="U237" s="9">
        <v>0</v>
      </c>
      <c r="V237" s="9">
        <v>0</v>
      </c>
      <c r="W237" s="9">
        <v>0</v>
      </c>
      <c r="X237" s="10">
        <v>0</v>
      </c>
      <c r="Y237" s="11">
        <v>2914488</v>
      </c>
      <c r="Z237" s="3">
        <v>1368.73</v>
      </c>
      <c r="AA237" s="3">
        <v>991</v>
      </c>
      <c r="AB237" s="3">
        <v>0</v>
      </c>
      <c r="AC237" s="3">
        <v>0</v>
      </c>
      <c r="AD237" s="3">
        <v>1.28</v>
      </c>
      <c r="AE237" s="34">
        <v>0</v>
      </c>
      <c r="AF237" s="33">
        <v>1281.67</v>
      </c>
      <c r="AG237" s="33">
        <v>1279.83</v>
      </c>
      <c r="AH237" s="3"/>
      <c r="AI237" s="33"/>
      <c r="AJ237" s="33"/>
      <c r="AK237" s="3"/>
      <c r="AL237" s="3"/>
    </row>
    <row r="238" spans="1:38" x14ac:dyDescent="0.2">
      <c r="A238">
        <v>742</v>
      </c>
      <c r="B238">
        <v>1</v>
      </c>
      <c r="C238" t="s">
        <v>291</v>
      </c>
      <c r="D238">
        <v>2008</v>
      </c>
      <c r="E238">
        <v>2009</v>
      </c>
      <c r="F238">
        <v>0</v>
      </c>
      <c r="G238">
        <v>0</v>
      </c>
      <c r="H238" s="3">
        <v>176.04</v>
      </c>
      <c r="I238" s="3">
        <v>332.07</v>
      </c>
      <c r="J238" s="3">
        <v>0</v>
      </c>
      <c r="K238" s="3">
        <v>0</v>
      </c>
      <c r="L238" s="3">
        <v>0</v>
      </c>
      <c r="M238" s="3">
        <v>3.21</v>
      </c>
      <c r="N238">
        <v>0</v>
      </c>
      <c r="O238">
        <v>0</v>
      </c>
      <c r="P238" s="3">
        <v>0</v>
      </c>
      <c r="Q238">
        <v>0</v>
      </c>
      <c r="R238">
        <v>0</v>
      </c>
      <c r="S238" s="3">
        <v>0</v>
      </c>
      <c r="T238" s="9">
        <v>1990</v>
      </c>
      <c r="U238" s="9">
        <v>1998</v>
      </c>
      <c r="V238" s="9">
        <v>0</v>
      </c>
      <c r="W238" s="9">
        <v>0</v>
      </c>
      <c r="X238" s="10">
        <v>4.042544E-2</v>
      </c>
      <c r="Y238" s="11">
        <v>44988264</v>
      </c>
      <c r="Z238" s="3">
        <v>12724.77</v>
      </c>
      <c r="AA238" s="3">
        <v>991</v>
      </c>
      <c r="AB238" s="3">
        <v>0</v>
      </c>
      <c r="AC238" s="3">
        <v>0</v>
      </c>
      <c r="AD238" s="3">
        <v>3.21</v>
      </c>
      <c r="AE238" s="34">
        <v>1</v>
      </c>
      <c r="AF238" s="33">
        <v>11876.42</v>
      </c>
      <c r="AG238" s="33">
        <v>11765.66</v>
      </c>
      <c r="AH238" s="3"/>
      <c r="AI238" s="33"/>
      <c r="AJ238" s="33"/>
      <c r="AK238" s="3"/>
      <c r="AL238" s="3"/>
    </row>
    <row r="239" spans="1:38" x14ac:dyDescent="0.2">
      <c r="A239">
        <v>743</v>
      </c>
      <c r="B239">
        <v>1</v>
      </c>
      <c r="C239" t="s">
        <v>292</v>
      </c>
      <c r="D239">
        <v>2003</v>
      </c>
      <c r="E239">
        <v>0</v>
      </c>
      <c r="F239">
        <v>0</v>
      </c>
      <c r="G239">
        <v>0</v>
      </c>
      <c r="H239" s="3">
        <v>214.47</v>
      </c>
      <c r="I239" s="3">
        <v>0</v>
      </c>
      <c r="J239" s="3">
        <v>0</v>
      </c>
      <c r="K239" s="3">
        <v>0</v>
      </c>
      <c r="L239" s="3">
        <v>0</v>
      </c>
      <c r="M239" s="3">
        <v>1.04</v>
      </c>
      <c r="N239">
        <v>0</v>
      </c>
      <c r="O239">
        <v>0</v>
      </c>
      <c r="P239" s="3">
        <v>0</v>
      </c>
      <c r="Q239">
        <v>0</v>
      </c>
      <c r="R239">
        <v>0</v>
      </c>
      <c r="S239" s="3">
        <v>0</v>
      </c>
      <c r="T239" s="9">
        <v>1997</v>
      </c>
      <c r="U239" s="9">
        <v>0</v>
      </c>
      <c r="V239" s="9">
        <v>0</v>
      </c>
      <c r="W239" s="9">
        <v>0</v>
      </c>
      <c r="X239" s="10">
        <v>0</v>
      </c>
      <c r="Y239" s="11">
        <v>2827954</v>
      </c>
      <c r="Z239" s="3">
        <v>1470.22</v>
      </c>
      <c r="AA239" s="3">
        <v>991</v>
      </c>
      <c r="AB239" s="3">
        <v>0</v>
      </c>
      <c r="AC239" s="3">
        <v>0</v>
      </c>
      <c r="AD239" s="3">
        <v>1.04</v>
      </c>
      <c r="AE239" s="34">
        <v>1</v>
      </c>
      <c r="AF239" s="33">
        <v>1367.77</v>
      </c>
      <c r="AG239" s="33">
        <v>1364.51</v>
      </c>
      <c r="AH239" s="3"/>
      <c r="AI239" s="33"/>
      <c r="AJ239" s="33"/>
      <c r="AK239" s="3"/>
      <c r="AL239" s="3"/>
    </row>
    <row r="240" spans="1:38" x14ac:dyDescent="0.2">
      <c r="A240">
        <v>745</v>
      </c>
      <c r="B240">
        <v>1</v>
      </c>
      <c r="C240" t="s">
        <v>293</v>
      </c>
      <c r="D240">
        <v>2006</v>
      </c>
      <c r="E240">
        <v>2009</v>
      </c>
      <c r="F240">
        <v>0</v>
      </c>
      <c r="G240">
        <v>0</v>
      </c>
      <c r="H240" s="3">
        <v>82.96</v>
      </c>
      <c r="I240" s="3">
        <v>315</v>
      </c>
      <c r="J240" s="3">
        <v>0</v>
      </c>
      <c r="K240" s="3">
        <v>0</v>
      </c>
      <c r="L240" s="3">
        <v>52.09</v>
      </c>
      <c r="M240" s="3">
        <v>0.76</v>
      </c>
      <c r="N240">
        <v>0</v>
      </c>
      <c r="O240">
        <v>0</v>
      </c>
      <c r="P240" s="3">
        <v>0</v>
      </c>
      <c r="Q240">
        <v>0</v>
      </c>
      <c r="R240">
        <v>0</v>
      </c>
      <c r="S240" s="3">
        <v>0</v>
      </c>
      <c r="T240" s="9">
        <v>1990</v>
      </c>
      <c r="U240" s="9">
        <v>1998</v>
      </c>
      <c r="V240" s="9">
        <v>0</v>
      </c>
      <c r="W240" s="9">
        <v>0</v>
      </c>
      <c r="X240" s="10">
        <v>4.2567460000000001E-2</v>
      </c>
      <c r="Y240" s="11">
        <v>3034533</v>
      </c>
      <c r="Z240" s="3">
        <v>1917.75</v>
      </c>
      <c r="AA240" s="3">
        <v>991</v>
      </c>
      <c r="AB240" s="3">
        <v>0</v>
      </c>
      <c r="AC240" s="3">
        <v>0</v>
      </c>
      <c r="AD240" s="3">
        <v>0.76</v>
      </c>
      <c r="AE240" s="34">
        <v>1</v>
      </c>
      <c r="AF240" s="33">
        <v>1794.7</v>
      </c>
      <c r="AG240" s="33">
        <v>1786.55</v>
      </c>
      <c r="AH240" s="3"/>
      <c r="AI240" s="33"/>
      <c r="AJ240" s="33"/>
      <c r="AK240" s="3"/>
      <c r="AL240" s="3"/>
    </row>
    <row r="241" spans="1:38" x14ac:dyDescent="0.2">
      <c r="A241">
        <v>748</v>
      </c>
      <c r="B241">
        <v>1</v>
      </c>
      <c r="C241" t="s">
        <v>294</v>
      </c>
      <c r="D241">
        <v>2006</v>
      </c>
      <c r="E241">
        <v>0</v>
      </c>
      <c r="F241">
        <v>0</v>
      </c>
      <c r="G241">
        <v>0</v>
      </c>
      <c r="H241" s="3">
        <v>430.25</v>
      </c>
      <c r="I241" s="3">
        <v>0</v>
      </c>
      <c r="J241" s="3">
        <v>0</v>
      </c>
      <c r="K241" s="3">
        <v>0</v>
      </c>
      <c r="L241" s="3">
        <v>112.12</v>
      </c>
      <c r="M241" s="3">
        <v>0</v>
      </c>
      <c r="N241">
        <v>0</v>
      </c>
      <c r="O241">
        <v>0</v>
      </c>
      <c r="P241" s="3">
        <v>0</v>
      </c>
      <c r="Q241">
        <v>2003</v>
      </c>
      <c r="R241">
        <v>2012</v>
      </c>
      <c r="S241" s="3">
        <v>300</v>
      </c>
      <c r="T241" s="9">
        <v>1995</v>
      </c>
      <c r="U241" s="9">
        <v>0</v>
      </c>
      <c r="V241" s="9">
        <v>0</v>
      </c>
      <c r="W241" s="9">
        <v>0</v>
      </c>
      <c r="X241" s="10">
        <v>0</v>
      </c>
      <c r="Y241" s="11">
        <v>6071551</v>
      </c>
      <c r="Z241" s="3">
        <v>3058.83</v>
      </c>
      <c r="AA241" s="3">
        <v>991</v>
      </c>
      <c r="AB241" s="3">
        <v>14.44</v>
      </c>
      <c r="AC241" s="3">
        <v>0</v>
      </c>
      <c r="AD241" s="3">
        <v>1.23</v>
      </c>
      <c r="AE241" s="34">
        <v>0</v>
      </c>
      <c r="AF241" s="33">
        <v>3161.99</v>
      </c>
      <c r="AG241" s="33">
        <v>3144.95</v>
      </c>
      <c r="AH241" s="3"/>
      <c r="AI241" s="33"/>
      <c r="AJ241" s="33"/>
      <c r="AK241" s="3"/>
      <c r="AL241" s="3"/>
    </row>
    <row r="242" spans="1:38" x14ac:dyDescent="0.2">
      <c r="A242">
        <v>750</v>
      </c>
      <c r="B242">
        <v>1</v>
      </c>
      <c r="C242" t="s">
        <v>295</v>
      </c>
      <c r="D242">
        <v>2009</v>
      </c>
      <c r="E242">
        <v>0</v>
      </c>
      <c r="F242">
        <v>0</v>
      </c>
      <c r="G242">
        <v>0</v>
      </c>
      <c r="H242" s="3">
        <v>350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>
        <v>0</v>
      </c>
      <c r="O242">
        <v>0</v>
      </c>
      <c r="P242" s="3">
        <v>0</v>
      </c>
      <c r="Q242">
        <v>2003</v>
      </c>
      <c r="R242">
        <v>2012</v>
      </c>
      <c r="S242" s="3">
        <v>126</v>
      </c>
      <c r="T242" s="9">
        <v>1998</v>
      </c>
      <c r="U242" s="9">
        <v>0</v>
      </c>
      <c r="V242" s="9">
        <v>0</v>
      </c>
      <c r="W242" s="9">
        <v>0</v>
      </c>
      <c r="X242" s="10">
        <v>0</v>
      </c>
      <c r="Y242" s="11">
        <v>5791180</v>
      </c>
      <c r="Z242" s="3">
        <v>2558.23</v>
      </c>
      <c r="AA242" s="3">
        <v>991</v>
      </c>
      <c r="AB242" s="3">
        <v>0</v>
      </c>
      <c r="AC242" s="3">
        <v>0</v>
      </c>
      <c r="AD242" s="3">
        <v>1.34</v>
      </c>
      <c r="AE242" s="34">
        <v>0</v>
      </c>
      <c r="AF242" s="33">
        <v>2563.36</v>
      </c>
      <c r="AG242" s="33">
        <v>2510.92</v>
      </c>
      <c r="AH242" s="3"/>
      <c r="AI242" s="33"/>
      <c r="AJ242" s="33"/>
      <c r="AK242" s="3"/>
      <c r="AL242" s="3"/>
    </row>
    <row r="243" spans="1:38" x14ac:dyDescent="0.2">
      <c r="A243">
        <v>756</v>
      </c>
      <c r="B243">
        <v>1</v>
      </c>
      <c r="C243" t="s">
        <v>296</v>
      </c>
      <c r="D243">
        <v>2008</v>
      </c>
      <c r="E243">
        <v>2008</v>
      </c>
      <c r="F243">
        <v>0</v>
      </c>
      <c r="G243">
        <v>0</v>
      </c>
      <c r="H243" s="3">
        <v>165.08</v>
      </c>
      <c r="I243" s="3">
        <v>267.25</v>
      </c>
      <c r="J243" s="3">
        <v>0</v>
      </c>
      <c r="K243" s="3">
        <v>0</v>
      </c>
      <c r="L243" s="3">
        <v>81.62</v>
      </c>
      <c r="M243" s="3">
        <v>0</v>
      </c>
      <c r="N243">
        <v>0</v>
      </c>
      <c r="O243">
        <v>0</v>
      </c>
      <c r="P243" s="3">
        <v>0</v>
      </c>
      <c r="Q243">
        <v>2003</v>
      </c>
      <c r="R243">
        <v>2012</v>
      </c>
      <c r="S243" s="3">
        <v>350</v>
      </c>
      <c r="T243" s="9">
        <v>1990</v>
      </c>
      <c r="U243" s="9">
        <v>1997</v>
      </c>
      <c r="V243" s="9">
        <v>0</v>
      </c>
      <c r="W243" s="9">
        <v>0</v>
      </c>
      <c r="X243" s="10">
        <v>5.5688469999999997E-2</v>
      </c>
      <c r="Y243" s="11">
        <v>2414937</v>
      </c>
      <c r="Z243" s="3">
        <v>1003.45</v>
      </c>
      <c r="AA243" s="3">
        <v>991</v>
      </c>
      <c r="AB243" s="3">
        <v>0</v>
      </c>
      <c r="AC243" s="3">
        <v>17.45</v>
      </c>
      <c r="AD243" s="3">
        <v>1.22</v>
      </c>
      <c r="AE243" s="34">
        <v>0</v>
      </c>
      <c r="AF243" s="33">
        <v>942.01</v>
      </c>
      <c r="AG243" s="33">
        <v>940.81</v>
      </c>
      <c r="AH243" s="3"/>
      <c r="AI243" s="33"/>
      <c r="AJ243" s="33"/>
      <c r="AK243" s="3"/>
      <c r="AL243" s="3"/>
    </row>
    <row r="244" spans="1:38" x14ac:dyDescent="0.2">
      <c r="A244">
        <v>761</v>
      </c>
      <c r="B244">
        <v>1</v>
      </c>
      <c r="C244" t="s">
        <v>297</v>
      </c>
      <c r="D244">
        <v>2005</v>
      </c>
      <c r="E244">
        <v>2006</v>
      </c>
      <c r="F244">
        <v>0</v>
      </c>
      <c r="G244">
        <v>0</v>
      </c>
      <c r="H244" s="3">
        <v>247.11</v>
      </c>
      <c r="I244" s="3">
        <v>224.86</v>
      </c>
      <c r="J244" s="3">
        <v>0</v>
      </c>
      <c r="K244" s="3">
        <v>0</v>
      </c>
      <c r="L244" s="3">
        <v>58.36</v>
      </c>
      <c r="M244" s="3">
        <v>1.85</v>
      </c>
      <c r="N244">
        <v>0</v>
      </c>
      <c r="O244">
        <v>0</v>
      </c>
      <c r="P244" s="3">
        <v>0</v>
      </c>
      <c r="Q244">
        <v>0</v>
      </c>
      <c r="R244">
        <v>0</v>
      </c>
      <c r="S244" s="3">
        <v>0</v>
      </c>
      <c r="T244" s="9">
        <v>1994</v>
      </c>
      <c r="U244" s="9">
        <v>1990</v>
      </c>
      <c r="V244" s="9">
        <v>0</v>
      </c>
      <c r="W244" s="9">
        <v>0</v>
      </c>
      <c r="X244" s="10">
        <v>6.7829109999999998E-2</v>
      </c>
      <c r="Y244" s="11">
        <v>16114950</v>
      </c>
      <c r="Z244" s="3">
        <v>5987.36</v>
      </c>
      <c r="AA244" s="3">
        <v>991</v>
      </c>
      <c r="AB244" s="3">
        <v>0</v>
      </c>
      <c r="AC244" s="3">
        <v>0</v>
      </c>
      <c r="AD244" s="3">
        <v>1.85</v>
      </c>
      <c r="AE244" s="34">
        <v>1</v>
      </c>
      <c r="AF244" s="33">
        <v>5826.01</v>
      </c>
      <c r="AG244" s="33">
        <v>5732.95</v>
      </c>
      <c r="AH244" s="3"/>
      <c r="AI244" s="33"/>
      <c r="AJ244" s="33"/>
      <c r="AK244" s="3"/>
      <c r="AL244" s="3"/>
    </row>
    <row r="245" spans="1:38" x14ac:dyDescent="0.2">
      <c r="A245">
        <v>763</v>
      </c>
      <c r="B245">
        <v>1</v>
      </c>
      <c r="C245" t="s">
        <v>298</v>
      </c>
      <c r="D245">
        <v>2006</v>
      </c>
      <c r="E245">
        <v>2006</v>
      </c>
      <c r="F245">
        <v>0</v>
      </c>
      <c r="G245">
        <v>0</v>
      </c>
      <c r="H245" s="3">
        <v>337.74</v>
      </c>
      <c r="I245" s="3">
        <v>405.29</v>
      </c>
      <c r="J245" s="3">
        <v>0</v>
      </c>
      <c r="K245" s="3">
        <v>0</v>
      </c>
      <c r="L245" s="3">
        <v>104.94</v>
      </c>
      <c r="M245" s="3">
        <v>1.85</v>
      </c>
      <c r="N245">
        <v>0</v>
      </c>
      <c r="O245">
        <v>0</v>
      </c>
      <c r="P245" s="3">
        <v>0</v>
      </c>
      <c r="Q245">
        <v>0</v>
      </c>
      <c r="R245">
        <v>0</v>
      </c>
      <c r="S245" s="3">
        <v>0</v>
      </c>
      <c r="T245" s="9">
        <v>1990</v>
      </c>
      <c r="U245" s="9">
        <v>1995</v>
      </c>
      <c r="V245" s="9">
        <v>0</v>
      </c>
      <c r="W245" s="9">
        <v>0</v>
      </c>
      <c r="X245" s="10">
        <v>9.4853400000000004E-2</v>
      </c>
      <c r="Y245" s="11">
        <v>1792903</v>
      </c>
      <c r="Z245">
        <v>620.20000000000005</v>
      </c>
      <c r="AA245" s="3">
        <v>991</v>
      </c>
      <c r="AB245" s="3">
        <v>0</v>
      </c>
      <c r="AC245" s="3">
        <v>0</v>
      </c>
      <c r="AD245" s="3">
        <v>1.85</v>
      </c>
      <c r="AE245" s="34">
        <v>1</v>
      </c>
      <c r="AF245" s="33">
        <v>668.58</v>
      </c>
      <c r="AG245" s="33">
        <v>667.71</v>
      </c>
      <c r="AH245" s="3"/>
      <c r="AI245" s="33"/>
      <c r="AJ245" s="33"/>
      <c r="AK245" s="3"/>
      <c r="AL245" s="3"/>
    </row>
    <row r="246" spans="1:38" x14ac:dyDescent="0.2">
      <c r="A246">
        <v>768</v>
      </c>
      <c r="B246">
        <v>1</v>
      </c>
      <c r="C246" t="s">
        <v>299</v>
      </c>
      <c r="D246">
        <v>2008</v>
      </c>
      <c r="E246">
        <v>0</v>
      </c>
      <c r="F246">
        <v>0</v>
      </c>
      <c r="G246">
        <v>0</v>
      </c>
      <c r="H246" s="3">
        <v>557.88</v>
      </c>
      <c r="I246" s="3">
        <v>0</v>
      </c>
      <c r="J246" s="3">
        <v>0</v>
      </c>
      <c r="K246" s="3">
        <v>0</v>
      </c>
      <c r="L246" s="3">
        <v>118.18</v>
      </c>
      <c r="M246" s="3">
        <v>21.95</v>
      </c>
      <c r="N246">
        <v>0</v>
      </c>
      <c r="O246">
        <v>0</v>
      </c>
      <c r="P246" s="3">
        <v>0</v>
      </c>
      <c r="Q246">
        <v>0</v>
      </c>
      <c r="R246">
        <v>0</v>
      </c>
      <c r="S246" s="3">
        <v>0</v>
      </c>
      <c r="T246" s="9">
        <v>1990</v>
      </c>
      <c r="U246" s="9">
        <v>0</v>
      </c>
      <c r="V246" s="9">
        <v>0</v>
      </c>
      <c r="W246" s="9">
        <v>0</v>
      </c>
      <c r="X246" s="10">
        <v>0.21755995</v>
      </c>
      <c r="Y246" s="11">
        <v>631635</v>
      </c>
      <c r="Z246">
        <v>303.39999999999998</v>
      </c>
      <c r="AA246" s="3">
        <v>991</v>
      </c>
      <c r="AB246" s="3">
        <v>18.77</v>
      </c>
      <c r="AC246" s="3">
        <v>0</v>
      </c>
      <c r="AD246" s="3">
        <v>1.05</v>
      </c>
      <c r="AE246" s="34">
        <v>1</v>
      </c>
      <c r="AF246" s="33">
        <v>254.96</v>
      </c>
      <c r="AG246" s="33">
        <v>254.85</v>
      </c>
      <c r="AH246" s="3"/>
      <c r="AI246" s="33"/>
      <c r="AJ246" s="33"/>
      <c r="AK246" s="3"/>
      <c r="AL246" s="3"/>
    </row>
    <row r="247" spans="1:38" x14ac:dyDescent="0.2">
      <c r="A247">
        <v>769</v>
      </c>
      <c r="B247">
        <v>1</v>
      </c>
      <c r="C247" t="s">
        <v>300</v>
      </c>
      <c r="D247">
        <v>2008</v>
      </c>
      <c r="E247">
        <v>0</v>
      </c>
      <c r="F247">
        <v>0</v>
      </c>
      <c r="G247">
        <v>0</v>
      </c>
      <c r="H247" s="3">
        <v>315</v>
      </c>
      <c r="I247" s="3">
        <v>0</v>
      </c>
      <c r="J247" s="3">
        <v>0</v>
      </c>
      <c r="K247" s="3">
        <v>0</v>
      </c>
      <c r="L247" s="3">
        <v>0</v>
      </c>
      <c r="M247" s="3">
        <v>1.5</v>
      </c>
      <c r="N247">
        <v>2002</v>
      </c>
      <c r="O247">
        <v>2011</v>
      </c>
      <c r="P247" s="3">
        <v>400</v>
      </c>
      <c r="Q247">
        <v>0</v>
      </c>
      <c r="R247">
        <v>0</v>
      </c>
      <c r="S247" s="3">
        <v>0</v>
      </c>
      <c r="T247" s="9">
        <v>1997</v>
      </c>
      <c r="U247" s="9">
        <v>0</v>
      </c>
      <c r="V247" s="9">
        <v>0</v>
      </c>
      <c r="W247" s="9">
        <v>0</v>
      </c>
      <c r="X247" s="10">
        <v>0</v>
      </c>
      <c r="Y247" s="11">
        <v>3057171</v>
      </c>
      <c r="Z247" s="3">
        <v>1127.67</v>
      </c>
      <c r="AA247" s="3">
        <v>991</v>
      </c>
      <c r="AB247" s="3">
        <v>0</v>
      </c>
      <c r="AC247" s="3">
        <v>0</v>
      </c>
      <c r="AD247" s="3">
        <v>1.5</v>
      </c>
      <c r="AE247" s="34">
        <v>1</v>
      </c>
      <c r="AF247" s="33">
        <v>984.35</v>
      </c>
      <c r="AG247" s="33">
        <v>983.3</v>
      </c>
      <c r="AH247" s="3"/>
      <c r="AI247" s="33"/>
      <c r="AJ247" s="33"/>
      <c r="AK247" s="3"/>
      <c r="AL247" s="3"/>
    </row>
    <row r="248" spans="1:38" x14ac:dyDescent="0.2">
      <c r="A248">
        <v>771</v>
      </c>
      <c r="B248">
        <v>1</v>
      </c>
      <c r="C248" t="s">
        <v>301</v>
      </c>
      <c r="D248">
        <v>2006</v>
      </c>
      <c r="E248">
        <v>2008</v>
      </c>
      <c r="F248">
        <v>0</v>
      </c>
      <c r="G248">
        <v>0</v>
      </c>
      <c r="H248" s="3">
        <v>744.29</v>
      </c>
      <c r="I248" s="3">
        <v>289.08999999999997</v>
      </c>
      <c r="J248" s="3">
        <v>0</v>
      </c>
      <c r="K248" s="3">
        <v>0</v>
      </c>
      <c r="L248" s="3">
        <v>0</v>
      </c>
      <c r="M248" s="3">
        <v>5.65</v>
      </c>
      <c r="N248">
        <v>0</v>
      </c>
      <c r="O248">
        <v>0</v>
      </c>
      <c r="P248" s="3">
        <v>0</v>
      </c>
      <c r="Q248">
        <v>2003</v>
      </c>
      <c r="R248">
        <v>2007</v>
      </c>
      <c r="S248" s="3">
        <v>320</v>
      </c>
      <c r="T248" s="9">
        <v>1990</v>
      </c>
      <c r="U248" s="9">
        <v>1997</v>
      </c>
      <c r="V248" s="9">
        <v>0</v>
      </c>
      <c r="W248" s="9">
        <v>0</v>
      </c>
      <c r="X248" s="10">
        <v>0.13592939000000001</v>
      </c>
      <c r="Y248" s="11">
        <v>1415267</v>
      </c>
      <c r="Z248">
        <v>318.36</v>
      </c>
      <c r="AA248" s="3">
        <v>1036.97</v>
      </c>
      <c r="AB248" s="3">
        <v>14.64</v>
      </c>
      <c r="AC248" s="3">
        <v>0</v>
      </c>
      <c r="AD248" s="3">
        <v>2.4</v>
      </c>
      <c r="AE248" s="34">
        <v>1</v>
      </c>
      <c r="AF248" s="33">
        <v>290.27999999999997</v>
      </c>
      <c r="AG248" s="33">
        <v>290.11</v>
      </c>
      <c r="AH248" s="3"/>
      <c r="AI248" s="33"/>
      <c r="AJ248" s="33"/>
      <c r="AK248" s="3"/>
      <c r="AL248" s="3"/>
    </row>
    <row r="249" spans="1:38" x14ac:dyDescent="0.2">
      <c r="A249">
        <v>775</v>
      </c>
      <c r="B249">
        <v>1</v>
      </c>
      <c r="C249" t="s">
        <v>302</v>
      </c>
      <c r="D249">
        <v>2006</v>
      </c>
      <c r="E249">
        <v>2008</v>
      </c>
      <c r="F249">
        <v>0</v>
      </c>
      <c r="G249">
        <v>0</v>
      </c>
      <c r="H249" s="3">
        <v>418.1</v>
      </c>
      <c r="I249" s="3">
        <v>200</v>
      </c>
      <c r="J249" s="3">
        <v>0</v>
      </c>
      <c r="K249" s="3">
        <v>0</v>
      </c>
      <c r="L249" s="3">
        <v>100</v>
      </c>
      <c r="M249" s="3">
        <v>1.48</v>
      </c>
      <c r="N249">
        <v>0</v>
      </c>
      <c r="O249">
        <v>0</v>
      </c>
      <c r="P249" s="3">
        <v>0</v>
      </c>
      <c r="Q249">
        <v>0</v>
      </c>
      <c r="R249">
        <v>0</v>
      </c>
      <c r="S249" s="3">
        <v>0</v>
      </c>
      <c r="T249" s="9">
        <v>1990</v>
      </c>
      <c r="U249" s="9">
        <v>1997</v>
      </c>
      <c r="V249" s="9">
        <v>0</v>
      </c>
      <c r="W249" s="9">
        <v>0</v>
      </c>
      <c r="X249" s="10">
        <v>0.12831143</v>
      </c>
      <c r="Y249" s="11">
        <v>1887106</v>
      </c>
      <c r="Z249">
        <v>713.33</v>
      </c>
      <c r="AA249" s="3">
        <v>9999.99</v>
      </c>
      <c r="AB249" s="3">
        <v>0</v>
      </c>
      <c r="AC249" s="3">
        <v>0</v>
      </c>
      <c r="AD249" s="3">
        <v>1.48</v>
      </c>
      <c r="AE249" s="34">
        <v>1</v>
      </c>
      <c r="AF249" s="33">
        <v>677.07</v>
      </c>
      <c r="AG249" s="33">
        <v>675.57</v>
      </c>
      <c r="AH249" s="3"/>
      <c r="AI249" s="33"/>
      <c r="AJ249" s="33"/>
      <c r="AK249" s="3"/>
      <c r="AL249" s="3"/>
    </row>
    <row r="250" spans="1:38" x14ac:dyDescent="0.2">
      <c r="A250">
        <v>777</v>
      </c>
      <c r="B250">
        <v>1</v>
      </c>
      <c r="C250" t="s">
        <v>303</v>
      </c>
      <c r="D250">
        <v>2003</v>
      </c>
      <c r="E250">
        <v>0</v>
      </c>
      <c r="F250">
        <v>0</v>
      </c>
      <c r="G250">
        <v>0</v>
      </c>
      <c r="H250" s="3">
        <v>315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>
        <v>0</v>
      </c>
      <c r="O250">
        <v>0</v>
      </c>
      <c r="P250" s="3">
        <v>0</v>
      </c>
      <c r="Q250">
        <v>2003</v>
      </c>
      <c r="R250">
        <v>2007</v>
      </c>
      <c r="S250" s="3">
        <v>315</v>
      </c>
      <c r="T250" s="9">
        <v>1997</v>
      </c>
      <c r="U250" s="9">
        <v>0</v>
      </c>
      <c r="V250" s="9">
        <v>0</v>
      </c>
      <c r="W250" s="9">
        <v>0</v>
      </c>
      <c r="X250" s="10">
        <v>0</v>
      </c>
      <c r="Y250" s="11">
        <v>3057596</v>
      </c>
      <c r="Z250" s="3">
        <v>1372.83</v>
      </c>
      <c r="AA250" s="3">
        <v>991</v>
      </c>
      <c r="AB250" s="3">
        <v>0</v>
      </c>
      <c r="AC250" s="3">
        <v>0</v>
      </c>
      <c r="AD250" s="3">
        <v>1.22</v>
      </c>
      <c r="AE250" s="34">
        <v>0</v>
      </c>
      <c r="AF250" s="33">
        <v>1262.72</v>
      </c>
      <c r="AG250" s="33">
        <v>1255.6400000000001</v>
      </c>
      <c r="AH250" s="3"/>
      <c r="AI250" s="33"/>
      <c r="AJ250" s="33"/>
      <c r="AK250" s="3"/>
      <c r="AL250" s="3"/>
    </row>
    <row r="251" spans="1:38" x14ac:dyDescent="0.2">
      <c r="A251">
        <v>786</v>
      </c>
      <c r="B251">
        <v>1</v>
      </c>
      <c r="C251" t="s">
        <v>304</v>
      </c>
      <c r="D251">
        <v>2003</v>
      </c>
      <c r="E251">
        <v>0</v>
      </c>
      <c r="F251">
        <v>0</v>
      </c>
      <c r="G251">
        <v>0</v>
      </c>
      <c r="H251" s="3">
        <v>315</v>
      </c>
      <c r="I251" s="3">
        <v>0</v>
      </c>
      <c r="J251" s="3">
        <v>0</v>
      </c>
      <c r="K251" s="3">
        <v>0</v>
      </c>
      <c r="L251" s="3">
        <v>0</v>
      </c>
      <c r="M251" s="3">
        <v>1.64</v>
      </c>
      <c r="N251">
        <v>0</v>
      </c>
      <c r="O251">
        <v>0</v>
      </c>
      <c r="P251" s="3">
        <v>0</v>
      </c>
      <c r="Q251">
        <v>2003</v>
      </c>
      <c r="R251">
        <v>2012</v>
      </c>
      <c r="S251" s="3">
        <v>126</v>
      </c>
      <c r="T251" s="9">
        <v>1997</v>
      </c>
      <c r="U251" s="9">
        <v>0</v>
      </c>
      <c r="V251" s="9">
        <v>0</v>
      </c>
      <c r="W251" s="9">
        <v>0</v>
      </c>
      <c r="X251" s="10">
        <v>0</v>
      </c>
      <c r="Y251" s="11">
        <v>461542</v>
      </c>
      <c r="Z251">
        <v>589.49</v>
      </c>
      <c r="AA251" s="3">
        <v>991</v>
      </c>
      <c r="AB251" s="3">
        <v>0</v>
      </c>
      <c r="AC251" s="3">
        <v>0</v>
      </c>
      <c r="AD251" s="3">
        <v>0.33</v>
      </c>
      <c r="AE251" s="34">
        <v>1</v>
      </c>
      <c r="AF251" s="33">
        <v>506.44</v>
      </c>
      <c r="AG251" s="33">
        <v>502.5</v>
      </c>
      <c r="AH251" s="3"/>
      <c r="AI251" s="33"/>
      <c r="AJ251" s="33"/>
      <c r="AK251" s="3"/>
      <c r="AL251" s="3"/>
    </row>
    <row r="252" spans="1:38" x14ac:dyDescent="0.2">
      <c r="A252">
        <v>787</v>
      </c>
      <c r="B252">
        <v>1</v>
      </c>
      <c r="C252" t="s">
        <v>305</v>
      </c>
      <c r="D252">
        <v>2010</v>
      </c>
      <c r="E252">
        <v>0</v>
      </c>
      <c r="F252">
        <v>0</v>
      </c>
      <c r="G252">
        <v>0</v>
      </c>
      <c r="H252" s="3">
        <v>415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>
        <v>0</v>
      </c>
      <c r="O252">
        <v>0</v>
      </c>
      <c r="P252" s="3">
        <v>0</v>
      </c>
      <c r="Q252">
        <v>2003</v>
      </c>
      <c r="R252">
        <v>2012</v>
      </c>
      <c r="S252" s="3">
        <v>126</v>
      </c>
      <c r="T252" s="9">
        <v>1999</v>
      </c>
      <c r="U252" s="9">
        <v>0</v>
      </c>
      <c r="V252" s="9">
        <v>0</v>
      </c>
      <c r="W252" s="9">
        <v>0</v>
      </c>
      <c r="X252" s="10">
        <v>0</v>
      </c>
      <c r="Y252" s="11">
        <v>644393</v>
      </c>
      <c r="Z252">
        <v>504.98</v>
      </c>
      <c r="AA252" s="3">
        <v>991</v>
      </c>
      <c r="AB252" s="3">
        <v>0</v>
      </c>
      <c r="AC252" s="3">
        <v>0</v>
      </c>
      <c r="AD252" s="3">
        <v>0.66</v>
      </c>
      <c r="AE252" s="34">
        <v>0</v>
      </c>
      <c r="AF252" s="33">
        <v>472.52</v>
      </c>
      <c r="AG252" s="33">
        <v>471.84</v>
      </c>
      <c r="AH252" s="3"/>
      <c r="AI252" s="33"/>
      <c r="AJ252" s="33"/>
      <c r="AK252" s="3"/>
      <c r="AL252" s="3"/>
    </row>
    <row r="253" spans="1:38" x14ac:dyDescent="0.2">
      <c r="A253">
        <v>801</v>
      </c>
      <c r="B253">
        <v>1</v>
      </c>
      <c r="C253" t="s">
        <v>306</v>
      </c>
      <c r="D253">
        <v>2008</v>
      </c>
      <c r="E253">
        <v>2009</v>
      </c>
      <c r="F253">
        <v>0</v>
      </c>
      <c r="G253">
        <v>0</v>
      </c>
      <c r="H253" s="3">
        <v>480.95</v>
      </c>
      <c r="I253" s="3">
        <v>1318.3</v>
      </c>
      <c r="J253" s="3">
        <v>0</v>
      </c>
      <c r="K253" s="3">
        <v>0</v>
      </c>
      <c r="L253" s="3">
        <v>42.18</v>
      </c>
      <c r="M253" s="3">
        <v>145.05000000000001</v>
      </c>
      <c r="N253">
        <v>0</v>
      </c>
      <c r="O253">
        <v>0</v>
      </c>
      <c r="P253" s="3">
        <v>0</v>
      </c>
      <c r="Q253">
        <v>0</v>
      </c>
      <c r="R253">
        <v>0</v>
      </c>
      <c r="S253" s="3">
        <v>0</v>
      </c>
      <c r="T253" s="9">
        <v>1990</v>
      </c>
      <c r="U253" s="9">
        <v>1998</v>
      </c>
      <c r="V253" s="9">
        <v>0</v>
      </c>
      <c r="W253" s="9">
        <v>0</v>
      </c>
      <c r="X253" s="10">
        <v>0.21328083</v>
      </c>
      <c r="Y253" s="11">
        <v>343968</v>
      </c>
      <c r="Z253">
        <v>187.88</v>
      </c>
      <c r="AA253" s="3">
        <v>9999.99</v>
      </c>
      <c r="AB253" s="3">
        <v>83.15</v>
      </c>
      <c r="AC253" s="3">
        <v>55.01</v>
      </c>
      <c r="AD253" s="3">
        <v>1.17</v>
      </c>
      <c r="AE253" s="34">
        <v>1</v>
      </c>
      <c r="AF253" s="33">
        <v>173.16</v>
      </c>
      <c r="AG253" s="33">
        <v>173.13</v>
      </c>
      <c r="AH253" s="3"/>
      <c r="AI253" s="33"/>
      <c r="AJ253" s="33"/>
      <c r="AK253" s="3"/>
      <c r="AL253" s="3"/>
    </row>
    <row r="254" spans="1:38" x14ac:dyDescent="0.2">
      <c r="A254">
        <v>803</v>
      </c>
      <c r="B254">
        <v>1</v>
      </c>
      <c r="C254" t="s">
        <v>307</v>
      </c>
      <c r="D254">
        <v>2006</v>
      </c>
      <c r="E254">
        <v>0</v>
      </c>
      <c r="F254">
        <v>0</v>
      </c>
      <c r="G254">
        <v>0</v>
      </c>
      <c r="H254" s="3">
        <v>772.3</v>
      </c>
      <c r="I254" s="3">
        <v>0</v>
      </c>
      <c r="J254" s="3">
        <v>0</v>
      </c>
      <c r="K254" s="3">
        <v>0</v>
      </c>
      <c r="L254" s="3">
        <v>115.2</v>
      </c>
      <c r="M254" s="3">
        <v>2.2400000000000002</v>
      </c>
      <c r="N254">
        <v>0</v>
      </c>
      <c r="O254">
        <v>0</v>
      </c>
      <c r="P254" s="3">
        <v>0</v>
      </c>
      <c r="Q254">
        <v>0</v>
      </c>
      <c r="R254">
        <v>0</v>
      </c>
      <c r="S254" s="3">
        <v>0</v>
      </c>
      <c r="T254" s="9">
        <v>1990</v>
      </c>
      <c r="U254" s="9">
        <v>0</v>
      </c>
      <c r="V254" s="9">
        <v>0</v>
      </c>
      <c r="W254" s="9">
        <v>0</v>
      </c>
      <c r="X254" s="10">
        <v>0.15093081999999999</v>
      </c>
      <c r="Y254" s="11">
        <v>2205482</v>
      </c>
      <c r="Z254">
        <v>530.89</v>
      </c>
      <c r="AA254" s="3">
        <v>9999.99</v>
      </c>
      <c r="AB254" s="3">
        <v>0</v>
      </c>
      <c r="AC254" s="3">
        <v>0</v>
      </c>
      <c r="AD254" s="3">
        <v>2.2400000000000002</v>
      </c>
      <c r="AE254" s="34">
        <v>1</v>
      </c>
      <c r="AF254" s="33">
        <v>472.78</v>
      </c>
      <c r="AG254" s="33">
        <v>472.65</v>
      </c>
      <c r="AH254" s="3"/>
      <c r="AI254" s="33"/>
      <c r="AJ254" s="33"/>
      <c r="AK254" s="3"/>
      <c r="AL254" s="3"/>
    </row>
    <row r="255" spans="1:38" x14ac:dyDescent="0.2">
      <c r="A255">
        <v>806</v>
      </c>
      <c r="B255">
        <v>1</v>
      </c>
      <c r="C255" t="s">
        <v>308</v>
      </c>
      <c r="D255">
        <v>2004</v>
      </c>
      <c r="E255">
        <v>0</v>
      </c>
      <c r="F255">
        <v>0</v>
      </c>
      <c r="G255">
        <v>0</v>
      </c>
      <c r="H255" s="3">
        <v>350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>
        <v>0</v>
      </c>
      <c r="O255">
        <v>0</v>
      </c>
      <c r="P255" s="3">
        <v>0</v>
      </c>
      <c r="Q255">
        <v>2003</v>
      </c>
      <c r="R255">
        <v>2007</v>
      </c>
      <c r="S255" s="3">
        <v>350</v>
      </c>
      <c r="T255" s="9">
        <v>1998</v>
      </c>
      <c r="U255" s="9">
        <v>0</v>
      </c>
      <c r="V255" s="9">
        <v>0</v>
      </c>
      <c r="W255" s="9">
        <v>0</v>
      </c>
      <c r="X255" s="10">
        <v>0</v>
      </c>
      <c r="Y255" s="11">
        <v>1148021</v>
      </c>
      <c r="Z255">
        <v>646.07000000000005</v>
      </c>
      <c r="AA255" s="3">
        <v>991</v>
      </c>
      <c r="AB255" s="3">
        <v>0</v>
      </c>
      <c r="AC255" s="3">
        <v>0</v>
      </c>
      <c r="AD255" s="3">
        <v>0.81</v>
      </c>
      <c r="AE255" s="34">
        <v>0</v>
      </c>
      <c r="AF255" s="33">
        <v>632</v>
      </c>
      <c r="AG255" s="33">
        <v>630.5</v>
      </c>
      <c r="AH255" s="3"/>
      <c r="AI255" s="33"/>
      <c r="AJ255" s="33"/>
      <c r="AK255" s="3"/>
      <c r="AL255" s="3"/>
    </row>
    <row r="256" spans="1:38" x14ac:dyDescent="0.2">
      <c r="A256">
        <v>810</v>
      </c>
      <c r="B256">
        <v>1</v>
      </c>
      <c r="C256" t="s">
        <v>309</v>
      </c>
      <c r="D256">
        <v>0</v>
      </c>
      <c r="E256">
        <v>0</v>
      </c>
      <c r="F256">
        <v>0</v>
      </c>
      <c r="G256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>
        <v>0</v>
      </c>
      <c r="O256">
        <v>0</v>
      </c>
      <c r="P256" s="3">
        <v>0</v>
      </c>
      <c r="Q256">
        <v>2003</v>
      </c>
      <c r="R256">
        <v>2012</v>
      </c>
      <c r="S256" s="3">
        <v>126</v>
      </c>
      <c r="T256" s="9">
        <v>0</v>
      </c>
      <c r="U256" s="9">
        <v>0</v>
      </c>
      <c r="V256" s="9">
        <v>0</v>
      </c>
      <c r="W256" s="9">
        <v>0</v>
      </c>
      <c r="X256" s="10">
        <v>0</v>
      </c>
      <c r="Y256" s="11">
        <v>2392730</v>
      </c>
      <c r="Z256" s="3">
        <v>1309.5899999999999</v>
      </c>
      <c r="AA256" s="3">
        <v>991</v>
      </c>
      <c r="AB256" s="3">
        <v>0</v>
      </c>
      <c r="AC256" s="3">
        <v>0</v>
      </c>
      <c r="AD256" s="3">
        <v>1.03</v>
      </c>
      <c r="AE256" s="34">
        <v>0</v>
      </c>
      <c r="AF256" s="33">
        <v>1224.8399999999999</v>
      </c>
      <c r="AG256" s="33">
        <v>1218.05</v>
      </c>
      <c r="AH256" s="3"/>
      <c r="AI256" s="33"/>
      <c r="AJ256" s="33"/>
      <c r="AK256" s="3"/>
      <c r="AL256" s="3"/>
    </row>
    <row r="257" spans="1:38" x14ac:dyDescent="0.2">
      <c r="A257">
        <v>811</v>
      </c>
      <c r="B257">
        <v>1</v>
      </c>
      <c r="C257" t="s">
        <v>310</v>
      </c>
      <c r="D257">
        <v>0</v>
      </c>
      <c r="E257">
        <v>0</v>
      </c>
      <c r="F257">
        <v>0</v>
      </c>
      <c r="G257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3.51</v>
      </c>
      <c r="N257">
        <v>2002</v>
      </c>
      <c r="O257">
        <v>2006</v>
      </c>
      <c r="P257" s="3">
        <v>415</v>
      </c>
      <c r="Q257">
        <v>2003</v>
      </c>
      <c r="R257">
        <v>2012</v>
      </c>
      <c r="S257" s="3">
        <v>126</v>
      </c>
      <c r="T257" s="9">
        <v>0</v>
      </c>
      <c r="U257" s="9">
        <v>0</v>
      </c>
      <c r="V257" s="9">
        <v>0</v>
      </c>
      <c r="W257" s="9">
        <v>0</v>
      </c>
      <c r="X257" s="10">
        <v>0</v>
      </c>
      <c r="Y257" s="11">
        <v>2503095</v>
      </c>
      <c r="Z257">
        <v>949.63</v>
      </c>
      <c r="AA257" s="3">
        <v>991</v>
      </c>
      <c r="AB257" s="3">
        <v>5.1100000000000003</v>
      </c>
      <c r="AC257" s="3">
        <v>0</v>
      </c>
      <c r="AD257" s="3">
        <v>1.88</v>
      </c>
      <c r="AE257" s="34">
        <v>1</v>
      </c>
      <c r="AF257" s="33">
        <v>907.11</v>
      </c>
      <c r="AG257" s="33">
        <v>901.36</v>
      </c>
      <c r="AH257" s="3"/>
      <c r="AI257" s="33"/>
      <c r="AJ257" s="33"/>
      <c r="AK257" s="3"/>
      <c r="AL257" s="3"/>
    </row>
    <row r="258" spans="1:38" x14ac:dyDescent="0.2">
      <c r="A258">
        <v>813</v>
      </c>
      <c r="B258">
        <v>1</v>
      </c>
      <c r="C258" t="s">
        <v>311</v>
      </c>
      <c r="D258">
        <v>0</v>
      </c>
      <c r="E258">
        <v>0</v>
      </c>
      <c r="F258">
        <v>0</v>
      </c>
      <c r="G258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>
        <v>0</v>
      </c>
      <c r="O258">
        <v>0</v>
      </c>
      <c r="P258" s="3">
        <v>0</v>
      </c>
      <c r="Q258">
        <v>0</v>
      </c>
      <c r="R258">
        <v>0</v>
      </c>
      <c r="S258" s="3">
        <v>0</v>
      </c>
      <c r="T258" s="9">
        <v>0</v>
      </c>
      <c r="U258" s="9">
        <v>0</v>
      </c>
      <c r="V258" s="9">
        <v>0</v>
      </c>
      <c r="W258" s="9">
        <v>0</v>
      </c>
      <c r="X258" s="10">
        <v>0</v>
      </c>
      <c r="Y258" s="11">
        <v>4192797</v>
      </c>
      <c r="Z258" s="3">
        <v>1766.34</v>
      </c>
      <c r="AA258" s="3">
        <v>991</v>
      </c>
      <c r="AB258" s="3">
        <v>0</v>
      </c>
      <c r="AC258" s="3">
        <v>0</v>
      </c>
      <c r="AD258" s="3">
        <v>1.28</v>
      </c>
      <c r="AE258" s="34">
        <v>0</v>
      </c>
      <c r="AF258" s="33">
        <v>1677.49</v>
      </c>
      <c r="AG258" s="33">
        <v>1672.92</v>
      </c>
      <c r="AH258" s="3"/>
      <c r="AI258" s="33"/>
      <c r="AJ258" s="33"/>
      <c r="AK258" s="3"/>
      <c r="AL258" s="3"/>
    </row>
    <row r="259" spans="1:38" x14ac:dyDescent="0.2">
      <c r="A259">
        <v>815</v>
      </c>
      <c r="B259">
        <v>2</v>
      </c>
      <c r="C259" t="s">
        <v>312</v>
      </c>
      <c r="D259">
        <v>0</v>
      </c>
      <c r="E259">
        <v>0</v>
      </c>
      <c r="F259">
        <v>0</v>
      </c>
      <c r="G259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1065.1099999999999</v>
      </c>
      <c r="N259">
        <v>0</v>
      </c>
      <c r="O259">
        <v>0</v>
      </c>
      <c r="P259" s="3">
        <v>0</v>
      </c>
      <c r="Q259">
        <v>0</v>
      </c>
      <c r="R259">
        <v>0</v>
      </c>
      <c r="S259" s="3">
        <v>0</v>
      </c>
      <c r="T259" s="9">
        <v>0</v>
      </c>
      <c r="U259" s="9">
        <v>0</v>
      </c>
      <c r="V259" s="9">
        <v>0</v>
      </c>
      <c r="W259" s="9">
        <v>0</v>
      </c>
      <c r="X259" s="10">
        <v>0</v>
      </c>
      <c r="Y259" s="11">
        <v>464295</v>
      </c>
      <c r="Z259">
        <v>33.380000000000003</v>
      </c>
      <c r="AA259" s="3">
        <v>991</v>
      </c>
      <c r="AB259" s="3">
        <v>729.5</v>
      </c>
      <c r="AC259" s="3">
        <v>602.4</v>
      </c>
      <c r="AD259" s="3">
        <v>6.14</v>
      </c>
      <c r="AE259" s="34">
        <v>1</v>
      </c>
      <c r="AF259" s="33">
        <v>34.51</v>
      </c>
      <c r="AG259" s="33">
        <v>34.479999999999997</v>
      </c>
      <c r="AH259" s="3"/>
      <c r="AI259" s="33"/>
      <c r="AJ259" s="33"/>
      <c r="AK259" s="3"/>
      <c r="AL259" s="3"/>
    </row>
    <row r="260" spans="1:38" x14ac:dyDescent="0.2">
      <c r="A260">
        <v>818</v>
      </c>
      <c r="B260">
        <v>1</v>
      </c>
      <c r="C260" t="s">
        <v>313</v>
      </c>
      <c r="D260">
        <v>2005</v>
      </c>
      <c r="E260">
        <v>0</v>
      </c>
      <c r="F260">
        <v>0</v>
      </c>
      <c r="G260">
        <v>0</v>
      </c>
      <c r="H260" s="3">
        <v>350</v>
      </c>
      <c r="I260" s="3">
        <v>0</v>
      </c>
      <c r="J260" s="3">
        <v>0</v>
      </c>
      <c r="K260" s="3">
        <v>0</v>
      </c>
      <c r="L260" s="3">
        <v>0</v>
      </c>
      <c r="M260" s="3">
        <v>70.680000000000007</v>
      </c>
      <c r="N260">
        <v>0</v>
      </c>
      <c r="O260">
        <v>0</v>
      </c>
      <c r="P260" s="3">
        <v>0</v>
      </c>
      <c r="Q260">
        <v>0</v>
      </c>
      <c r="R260">
        <v>0</v>
      </c>
      <c r="S260" s="3">
        <v>0</v>
      </c>
      <c r="T260" s="9">
        <v>1999</v>
      </c>
      <c r="U260" s="9">
        <v>0</v>
      </c>
      <c r="V260" s="9">
        <v>0</v>
      </c>
      <c r="W260" s="9">
        <v>0</v>
      </c>
      <c r="X260" s="10">
        <v>0</v>
      </c>
      <c r="Y260" s="11">
        <v>572776</v>
      </c>
      <c r="Z260">
        <v>424.73</v>
      </c>
      <c r="AA260" s="3">
        <v>991</v>
      </c>
      <c r="AB260" s="3">
        <v>0</v>
      </c>
      <c r="AC260" s="3">
        <v>55.35</v>
      </c>
      <c r="AD260" s="3">
        <v>0.86</v>
      </c>
      <c r="AE260" s="34">
        <v>1</v>
      </c>
      <c r="AF260" s="33">
        <v>426.53</v>
      </c>
      <c r="AG260" s="33">
        <v>416.62</v>
      </c>
      <c r="AH260" s="3"/>
      <c r="AI260" s="33"/>
      <c r="AJ260" s="33"/>
      <c r="AK260" s="3"/>
      <c r="AL260" s="3"/>
    </row>
    <row r="261" spans="1:38" x14ac:dyDescent="0.2">
      <c r="A261">
        <v>820</v>
      </c>
      <c r="B261">
        <v>1</v>
      </c>
      <c r="C261" t="s">
        <v>314</v>
      </c>
      <c r="D261">
        <v>2009</v>
      </c>
      <c r="E261">
        <v>0</v>
      </c>
      <c r="F261">
        <v>0</v>
      </c>
      <c r="G261">
        <v>0</v>
      </c>
      <c r="H261" s="3">
        <v>350</v>
      </c>
      <c r="I261" s="3">
        <v>0</v>
      </c>
      <c r="J261" s="3">
        <v>0</v>
      </c>
      <c r="K261" s="3">
        <v>0</v>
      </c>
      <c r="L261" s="3">
        <v>0</v>
      </c>
      <c r="M261" s="3">
        <v>0.67</v>
      </c>
      <c r="N261">
        <v>0</v>
      </c>
      <c r="O261">
        <v>0</v>
      </c>
      <c r="P261" s="3">
        <v>0</v>
      </c>
      <c r="Q261">
        <v>0</v>
      </c>
      <c r="R261">
        <v>0</v>
      </c>
      <c r="S261" s="3">
        <v>0</v>
      </c>
      <c r="T261" s="9">
        <v>1998</v>
      </c>
      <c r="U261" s="9">
        <v>0</v>
      </c>
      <c r="V261" s="9">
        <v>0</v>
      </c>
      <c r="W261" s="9">
        <v>0</v>
      </c>
      <c r="X261" s="10">
        <v>0</v>
      </c>
      <c r="Y261" s="11">
        <v>812128</v>
      </c>
      <c r="Z261">
        <v>678.5</v>
      </c>
      <c r="AA261" s="3">
        <v>991</v>
      </c>
      <c r="AB261" s="3">
        <v>0</v>
      </c>
      <c r="AC261" s="3">
        <v>0</v>
      </c>
      <c r="AD261" s="3">
        <v>0.67</v>
      </c>
      <c r="AE261" s="34">
        <v>1</v>
      </c>
      <c r="AF261" s="33">
        <v>695.26</v>
      </c>
      <c r="AG261" s="33">
        <v>682.2</v>
      </c>
      <c r="AH261" s="3"/>
      <c r="AI261" s="33"/>
      <c r="AJ261" s="33"/>
      <c r="AK261" s="3"/>
      <c r="AL261" s="3"/>
    </row>
    <row r="262" spans="1:38" x14ac:dyDescent="0.2">
      <c r="A262">
        <v>821</v>
      </c>
      <c r="B262">
        <v>1</v>
      </c>
      <c r="C262" t="s">
        <v>315</v>
      </c>
      <c r="D262">
        <v>0</v>
      </c>
      <c r="E262">
        <v>0</v>
      </c>
      <c r="F262">
        <v>0</v>
      </c>
      <c r="G262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>
        <v>0</v>
      </c>
      <c r="O262">
        <v>0</v>
      </c>
      <c r="P262" s="3">
        <v>0</v>
      </c>
      <c r="Q262">
        <v>0</v>
      </c>
      <c r="R262">
        <v>0</v>
      </c>
      <c r="S262" s="3">
        <v>0</v>
      </c>
      <c r="T262" s="9">
        <v>0</v>
      </c>
      <c r="U262" s="9">
        <v>0</v>
      </c>
      <c r="V262" s="9">
        <v>0</v>
      </c>
      <c r="W262" s="9">
        <v>0</v>
      </c>
      <c r="X262" s="10">
        <v>0</v>
      </c>
      <c r="Y262" s="11">
        <v>1098133</v>
      </c>
      <c r="Z262">
        <v>795.13</v>
      </c>
      <c r="AA262" s="3">
        <v>991</v>
      </c>
      <c r="AB262" s="3">
        <v>0</v>
      </c>
      <c r="AC262" s="3">
        <v>34.72</v>
      </c>
      <c r="AD262" s="3">
        <v>0.89</v>
      </c>
      <c r="AE262" s="34">
        <v>0</v>
      </c>
      <c r="AF262" s="33">
        <v>821.36</v>
      </c>
      <c r="AG262" s="33">
        <v>806.4</v>
      </c>
      <c r="AH262" s="3"/>
      <c r="AI262" s="33"/>
      <c r="AJ262" s="33"/>
      <c r="AK262" s="3"/>
      <c r="AL262" s="3"/>
    </row>
    <row r="263" spans="1:38" x14ac:dyDescent="0.2">
      <c r="A263">
        <v>829</v>
      </c>
      <c r="B263">
        <v>1</v>
      </c>
      <c r="C263" t="s">
        <v>316</v>
      </c>
      <c r="D263">
        <v>2002</v>
      </c>
      <c r="E263">
        <v>0</v>
      </c>
      <c r="F263">
        <v>0</v>
      </c>
      <c r="G263">
        <v>0</v>
      </c>
      <c r="H263" s="3">
        <v>367.41</v>
      </c>
      <c r="I263" s="3">
        <v>0</v>
      </c>
      <c r="J263" s="3">
        <v>0</v>
      </c>
      <c r="K263" s="3">
        <v>0</v>
      </c>
      <c r="L263" s="3">
        <v>52.41</v>
      </c>
      <c r="M263" s="3">
        <v>0</v>
      </c>
      <c r="N263">
        <v>0</v>
      </c>
      <c r="O263">
        <v>0</v>
      </c>
      <c r="P263" s="3">
        <v>0</v>
      </c>
      <c r="Q263">
        <v>0</v>
      </c>
      <c r="R263">
        <v>0</v>
      </c>
      <c r="S263" s="3">
        <v>0</v>
      </c>
      <c r="T263" s="9">
        <v>1995</v>
      </c>
      <c r="U263" s="9">
        <v>0</v>
      </c>
      <c r="V263" s="9">
        <v>0</v>
      </c>
      <c r="W263" s="9">
        <v>0</v>
      </c>
      <c r="X263" s="10">
        <v>0</v>
      </c>
      <c r="Y263" s="11">
        <v>6073637</v>
      </c>
      <c r="Z263" s="3">
        <v>2604.23</v>
      </c>
      <c r="AA263" s="3">
        <v>991</v>
      </c>
      <c r="AB263" s="3">
        <v>0</v>
      </c>
      <c r="AC263" s="3">
        <v>0</v>
      </c>
      <c r="AD263" s="3">
        <v>1.42</v>
      </c>
      <c r="AE263" s="34">
        <v>0</v>
      </c>
      <c r="AF263" s="33">
        <v>2446.02</v>
      </c>
      <c r="AG263" s="33">
        <v>2390.41</v>
      </c>
      <c r="AH263" s="3"/>
      <c r="AI263" s="33"/>
      <c r="AJ263" s="33"/>
      <c r="AK263" s="3"/>
      <c r="AL263" s="3"/>
    </row>
    <row r="264" spans="1:38" x14ac:dyDescent="0.2">
      <c r="A264">
        <v>831</v>
      </c>
      <c r="B264">
        <v>1</v>
      </c>
      <c r="C264" t="s">
        <v>317</v>
      </c>
      <c r="D264">
        <v>2002</v>
      </c>
      <c r="E264">
        <v>0</v>
      </c>
      <c r="F264">
        <v>0</v>
      </c>
      <c r="G264">
        <v>0</v>
      </c>
      <c r="H264" s="3">
        <v>438.57</v>
      </c>
      <c r="I264" s="3">
        <v>0</v>
      </c>
      <c r="J264" s="3">
        <v>0</v>
      </c>
      <c r="K264" s="3">
        <v>0</v>
      </c>
      <c r="L264" s="3">
        <v>120.38</v>
      </c>
      <c r="M264" s="3">
        <v>0</v>
      </c>
      <c r="N264">
        <v>0</v>
      </c>
      <c r="O264">
        <v>0</v>
      </c>
      <c r="P264" s="3">
        <v>0</v>
      </c>
      <c r="Q264">
        <v>2003</v>
      </c>
      <c r="R264">
        <v>2007</v>
      </c>
      <c r="S264" s="3">
        <v>650</v>
      </c>
      <c r="T264" s="9">
        <v>1995</v>
      </c>
      <c r="U264" s="9">
        <v>0</v>
      </c>
      <c r="V264" s="9">
        <v>0</v>
      </c>
      <c r="W264" s="9">
        <v>0</v>
      </c>
      <c r="X264" s="10">
        <v>0</v>
      </c>
      <c r="Y264" s="11">
        <v>26753955</v>
      </c>
      <c r="Z264" s="3">
        <v>9363.2099999999991</v>
      </c>
      <c r="AA264" s="3">
        <v>991</v>
      </c>
      <c r="AB264" s="3">
        <v>17.579999999999998</v>
      </c>
      <c r="AC264" s="3">
        <v>0</v>
      </c>
      <c r="AD264" s="3">
        <v>2.2799999999999998</v>
      </c>
      <c r="AE264" s="34">
        <v>0</v>
      </c>
      <c r="AF264" s="33">
        <v>9455.16</v>
      </c>
      <c r="AG264" s="33">
        <v>9248.24</v>
      </c>
      <c r="AH264" s="3"/>
      <c r="AI264" s="33"/>
      <c r="AJ264" s="33"/>
      <c r="AK264" s="3"/>
      <c r="AL264" s="3"/>
    </row>
    <row r="265" spans="1:38" x14ac:dyDescent="0.2">
      <c r="A265">
        <v>832</v>
      </c>
      <c r="B265">
        <v>1</v>
      </c>
      <c r="C265" t="s">
        <v>318</v>
      </c>
      <c r="D265">
        <v>2002</v>
      </c>
      <c r="E265">
        <v>2005</v>
      </c>
      <c r="F265">
        <v>2005</v>
      </c>
      <c r="G265">
        <v>2008</v>
      </c>
      <c r="H265" s="3">
        <v>164.9</v>
      </c>
      <c r="I265" s="3">
        <v>105</v>
      </c>
      <c r="J265" s="3">
        <v>75</v>
      </c>
      <c r="K265" s="3">
        <v>418.38</v>
      </c>
      <c r="L265" s="3">
        <v>0</v>
      </c>
      <c r="M265" s="3">
        <v>8.01</v>
      </c>
      <c r="N265">
        <v>0</v>
      </c>
      <c r="O265">
        <v>0</v>
      </c>
      <c r="P265" s="3">
        <v>0</v>
      </c>
      <c r="Q265">
        <v>2003</v>
      </c>
      <c r="R265">
        <v>2012</v>
      </c>
      <c r="S265" s="3">
        <v>397</v>
      </c>
      <c r="T265" s="9">
        <v>1996</v>
      </c>
      <c r="U265" s="9">
        <v>1994</v>
      </c>
      <c r="V265" s="9">
        <v>1994</v>
      </c>
      <c r="W265" s="9">
        <v>1990</v>
      </c>
      <c r="X265" s="10">
        <v>9.4194849999999997E-2</v>
      </c>
      <c r="Y265" s="11">
        <v>12717384</v>
      </c>
      <c r="Z265" s="3">
        <v>3526.71</v>
      </c>
      <c r="AA265" s="3">
        <v>991</v>
      </c>
      <c r="AB265" s="3">
        <v>4.5999999999999996</v>
      </c>
      <c r="AC265" s="3">
        <v>0</v>
      </c>
      <c r="AD265" s="3">
        <v>3.49</v>
      </c>
      <c r="AE265" s="34">
        <v>1</v>
      </c>
      <c r="AF265" s="33">
        <v>3516.85</v>
      </c>
      <c r="AG265" s="33">
        <v>3500.07</v>
      </c>
      <c r="AH265" s="3"/>
      <c r="AI265" s="33"/>
      <c r="AJ265" s="33"/>
      <c r="AK265" s="3"/>
      <c r="AL265" s="3"/>
    </row>
    <row r="266" spans="1:38" x14ac:dyDescent="0.2">
      <c r="A266">
        <v>833</v>
      </c>
      <c r="B266">
        <v>1</v>
      </c>
      <c r="C266" t="s">
        <v>319</v>
      </c>
      <c r="D266">
        <v>2004</v>
      </c>
      <c r="E266">
        <v>2004</v>
      </c>
      <c r="F266">
        <v>2008</v>
      </c>
      <c r="G266">
        <v>0</v>
      </c>
      <c r="H266" s="3">
        <v>100</v>
      </c>
      <c r="I266" s="3">
        <v>300</v>
      </c>
      <c r="J266" s="3">
        <v>438.97</v>
      </c>
      <c r="K266" s="3">
        <v>0</v>
      </c>
      <c r="L266" s="3">
        <v>100</v>
      </c>
      <c r="M266" s="3">
        <v>2.02</v>
      </c>
      <c r="N266">
        <v>0</v>
      </c>
      <c r="O266">
        <v>0</v>
      </c>
      <c r="P266" s="3">
        <v>0</v>
      </c>
      <c r="Q266">
        <v>2003</v>
      </c>
      <c r="R266">
        <v>2010</v>
      </c>
      <c r="S266" s="3">
        <v>378</v>
      </c>
      <c r="T266" s="9">
        <v>1998</v>
      </c>
      <c r="U266" s="9">
        <v>1998</v>
      </c>
      <c r="V266" s="9">
        <v>1990</v>
      </c>
      <c r="W266" s="9">
        <v>0</v>
      </c>
      <c r="X266" s="10">
        <v>0.13060494</v>
      </c>
      <c r="Y266" s="11">
        <v>49072929</v>
      </c>
      <c r="Z266" s="3">
        <v>17983.82</v>
      </c>
      <c r="AA266" s="3">
        <v>991</v>
      </c>
      <c r="AB266" s="3">
        <v>0</v>
      </c>
      <c r="AC266" s="3">
        <v>0</v>
      </c>
      <c r="AD266" s="3">
        <v>2.02</v>
      </c>
      <c r="AE266" s="34">
        <v>1</v>
      </c>
      <c r="AF266" s="33">
        <v>18695.5</v>
      </c>
      <c r="AG266" s="33">
        <v>18587.939999999999</v>
      </c>
      <c r="AH266" s="3"/>
      <c r="AI266" s="33"/>
      <c r="AJ266" s="33"/>
      <c r="AK266" s="3"/>
      <c r="AL266" s="3"/>
    </row>
    <row r="267" spans="1:38" x14ac:dyDescent="0.2">
      <c r="A267">
        <v>834</v>
      </c>
      <c r="B267">
        <v>1</v>
      </c>
      <c r="C267" t="s">
        <v>320</v>
      </c>
      <c r="D267">
        <v>2008</v>
      </c>
      <c r="E267">
        <v>0</v>
      </c>
      <c r="F267">
        <v>0</v>
      </c>
      <c r="G267">
        <v>0</v>
      </c>
      <c r="H267" s="3">
        <v>735.85</v>
      </c>
      <c r="I267" s="3">
        <v>0</v>
      </c>
      <c r="J267" s="3">
        <v>0</v>
      </c>
      <c r="K267" s="3">
        <v>0</v>
      </c>
      <c r="L267" s="3">
        <v>112.28</v>
      </c>
      <c r="M267" s="3">
        <v>4.32</v>
      </c>
      <c r="N267">
        <v>0</v>
      </c>
      <c r="O267">
        <v>0</v>
      </c>
      <c r="P267" s="3">
        <v>0</v>
      </c>
      <c r="Q267">
        <v>0</v>
      </c>
      <c r="R267">
        <v>0</v>
      </c>
      <c r="S267" s="3">
        <v>0</v>
      </c>
      <c r="T267" s="9">
        <v>1990</v>
      </c>
      <c r="U267" s="9">
        <v>0</v>
      </c>
      <c r="V267" s="9">
        <v>0</v>
      </c>
      <c r="W267" s="9">
        <v>0</v>
      </c>
      <c r="X267" s="10">
        <v>0.14430883999999999</v>
      </c>
      <c r="Y267" s="11">
        <v>45349881</v>
      </c>
      <c r="Z267" s="3">
        <v>10954.45</v>
      </c>
      <c r="AA267" s="3">
        <v>991</v>
      </c>
      <c r="AB267" s="3">
        <v>0</v>
      </c>
      <c r="AC267" s="3">
        <v>0</v>
      </c>
      <c r="AD267" s="3">
        <v>4.32</v>
      </c>
      <c r="AE267" s="34">
        <v>1</v>
      </c>
      <c r="AF267" s="33">
        <v>11031.87</v>
      </c>
      <c r="AG267" s="33">
        <v>10958.46</v>
      </c>
      <c r="AH267" s="3"/>
      <c r="AI267" s="33"/>
      <c r="AJ267" s="33"/>
      <c r="AK267" s="3"/>
      <c r="AL267" s="3"/>
    </row>
    <row r="268" spans="1:38" x14ac:dyDescent="0.2">
      <c r="A268">
        <v>836</v>
      </c>
      <c r="B268">
        <v>1</v>
      </c>
      <c r="C268" t="s">
        <v>321</v>
      </c>
      <c r="D268">
        <v>2008</v>
      </c>
      <c r="E268">
        <v>2008</v>
      </c>
      <c r="F268">
        <v>0</v>
      </c>
      <c r="G268">
        <v>0</v>
      </c>
      <c r="H268" s="3">
        <v>464.65</v>
      </c>
      <c r="I268" s="3">
        <v>1000</v>
      </c>
      <c r="J268" s="3">
        <v>0</v>
      </c>
      <c r="K268" s="3">
        <v>0</v>
      </c>
      <c r="L268" s="3">
        <v>0</v>
      </c>
      <c r="M268" s="3">
        <v>42.64</v>
      </c>
      <c r="N268">
        <v>0</v>
      </c>
      <c r="O268">
        <v>0</v>
      </c>
      <c r="P268" s="3">
        <v>0</v>
      </c>
      <c r="Q268">
        <v>2003</v>
      </c>
      <c r="R268">
        <v>2012</v>
      </c>
      <c r="S268" s="3">
        <v>218.74</v>
      </c>
      <c r="T268" s="9">
        <v>1990</v>
      </c>
      <c r="U268" s="9">
        <v>1997</v>
      </c>
      <c r="V268" s="9">
        <v>0</v>
      </c>
      <c r="W268" s="9">
        <v>0</v>
      </c>
      <c r="X268" s="10">
        <v>9.7397139999999993E-2</v>
      </c>
      <c r="Y268" s="11">
        <v>1088358</v>
      </c>
      <c r="Z268">
        <v>281</v>
      </c>
      <c r="AA268" s="3">
        <v>991</v>
      </c>
      <c r="AB268" s="3">
        <v>24.01</v>
      </c>
      <c r="AC268" s="3">
        <v>0</v>
      </c>
      <c r="AD268" s="3">
        <v>2.83</v>
      </c>
      <c r="AE268" s="34">
        <v>1</v>
      </c>
      <c r="AF268" s="33">
        <v>257.13</v>
      </c>
      <c r="AG268" s="33">
        <v>256.82</v>
      </c>
      <c r="AH268" s="3"/>
      <c r="AI268" s="33"/>
      <c r="AJ268" s="33"/>
      <c r="AK268" s="3"/>
      <c r="AL268" s="3"/>
    </row>
    <row r="269" spans="1:38" x14ac:dyDescent="0.2">
      <c r="A269">
        <v>837</v>
      </c>
      <c r="B269">
        <v>1</v>
      </c>
      <c r="C269" t="s">
        <v>322</v>
      </c>
      <c r="D269">
        <v>2007</v>
      </c>
      <c r="E269">
        <v>2008</v>
      </c>
      <c r="F269">
        <v>0</v>
      </c>
      <c r="G269">
        <v>0</v>
      </c>
      <c r="H269" s="3">
        <v>217.13</v>
      </c>
      <c r="I269" s="3">
        <v>324.5</v>
      </c>
      <c r="J269" s="3">
        <v>0</v>
      </c>
      <c r="K269" s="3">
        <v>0</v>
      </c>
      <c r="L269" s="3">
        <v>0</v>
      </c>
      <c r="M269" s="3">
        <v>1.84</v>
      </c>
      <c r="N269">
        <v>0</v>
      </c>
      <c r="O269">
        <v>0</v>
      </c>
      <c r="P269" s="3">
        <v>0</v>
      </c>
      <c r="Q269">
        <v>0</v>
      </c>
      <c r="R269">
        <v>0</v>
      </c>
      <c r="S269" s="3">
        <v>0</v>
      </c>
      <c r="T269" s="9">
        <v>1996</v>
      </c>
      <c r="U269" s="9">
        <v>1990</v>
      </c>
      <c r="V269" s="9">
        <v>0</v>
      </c>
      <c r="W269" s="9">
        <v>0</v>
      </c>
      <c r="X269" s="10">
        <v>9.5539849999999996E-2</v>
      </c>
      <c r="Y269" s="11">
        <v>2074295</v>
      </c>
      <c r="Z269">
        <v>752.23</v>
      </c>
      <c r="AA269" s="3">
        <v>991</v>
      </c>
      <c r="AB269" s="3">
        <v>0</v>
      </c>
      <c r="AC269" s="3">
        <v>0</v>
      </c>
      <c r="AD269" s="3">
        <v>1.84</v>
      </c>
      <c r="AE269" s="34">
        <v>1</v>
      </c>
      <c r="AF269" s="33">
        <v>765.09</v>
      </c>
      <c r="AG269" s="33">
        <v>761.58</v>
      </c>
      <c r="AH269" s="3"/>
      <c r="AI269" s="33"/>
      <c r="AJ269" s="33"/>
      <c r="AK269" s="3"/>
      <c r="AL269" s="3"/>
    </row>
    <row r="270" spans="1:38" x14ac:dyDescent="0.2">
      <c r="A270">
        <v>840</v>
      </c>
      <c r="B270">
        <v>1</v>
      </c>
      <c r="C270" t="s">
        <v>323</v>
      </c>
      <c r="D270">
        <v>2006</v>
      </c>
      <c r="E270">
        <v>2007</v>
      </c>
      <c r="F270">
        <v>0</v>
      </c>
      <c r="G270">
        <v>0</v>
      </c>
      <c r="H270" s="3">
        <v>120.42</v>
      </c>
      <c r="I270" s="3">
        <v>314.11</v>
      </c>
      <c r="J270" s="3">
        <v>0</v>
      </c>
      <c r="K270" s="3">
        <v>0</v>
      </c>
      <c r="L270" s="3">
        <v>93.87</v>
      </c>
      <c r="M270" s="3">
        <v>0</v>
      </c>
      <c r="N270">
        <v>0</v>
      </c>
      <c r="O270">
        <v>0</v>
      </c>
      <c r="P270" s="3">
        <v>0</v>
      </c>
      <c r="Q270">
        <v>2003</v>
      </c>
      <c r="R270">
        <v>2012</v>
      </c>
      <c r="S270" s="3">
        <v>568.69000000000005</v>
      </c>
      <c r="T270" s="9">
        <v>1990</v>
      </c>
      <c r="U270" s="9">
        <v>1996</v>
      </c>
      <c r="V270" s="9">
        <v>0</v>
      </c>
      <c r="W270" s="9">
        <v>0</v>
      </c>
      <c r="X270" s="10">
        <v>4.2040689999999999E-2</v>
      </c>
      <c r="Y270" s="11">
        <v>3546662</v>
      </c>
      <c r="Z270" s="3">
        <v>1525.08</v>
      </c>
      <c r="AA270" s="3">
        <v>991</v>
      </c>
      <c r="AB270" s="3">
        <v>0</v>
      </c>
      <c r="AC270" s="3">
        <v>0</v>
      </c>
      <c r="AD270" s="3">
        <v>1.21</v>
      </c>
      <c r="AE270" s="34">
        <v>0</v>
      </c>
      <c r="AF270" s="33">
        <v>1463.74</v>
      </c>
      <c r="AG270" s="33">
        <v>1462.42</v>
      </c>
      <c r="AH270" s="3"/>
      <c r="AI270" s="33"/>
      <c r="AJ270" s="33"/>
      <c r="AK270" s="3"/>
      <c r="AL270" s="3"/>
    </row>
    <row r="271" spans="1:38" x14ac:dyDescent="0.2">
      <c r="A271">
        <v>846</v>
      </c>
      <c r="B271">
        <v>1</v>
      </c>
      <c r="C271" t="s">
        <v>324</v>
      </c>
      <c r="D271">
        <v>2006</v>
      </c>
      <c r="E271">
        <v>0</v>
      </c>
      <c r="F271">
        <v>0</v>
      </c>
      <c r="G271">
        <v>0</v>
      </c>
      <c r="H271" s="3">
        <v>199.79</v>
      </c>
      <c r="I271" s="3">
        <v>0</v>
      </c>
      <c r="J271" s="3">
        <v>0</v>
      </c>
      <c r="K271" s="3">
        <v>0</v>
      </c>
      <c r="L271" s="3">
        <v>100</v>
      </c>
      <c r="M271" s="3">
        <v>1.96</v>
      </c>
      <c r="N271">
        <v>0</v>
      </c>
      <c r="O271">
        <v>0</v>
      </c>
      <c r="P271" s="3">
        <v>0</v>
      </c>
      <c r="Q271">
        <v>0</v>
      </c>
      <c r="R271">
        <v>0</v>
      </c>
      <c r="S271" s="3">
        <v>0</v>
      </c>
      <c r="T271" s="9">
        <v>1990</v>
      </c>
      <c r="U271" s="9">
        <v>0</v>
      </c>
      <c r="V271" s="9">
        <v>0</v>
      </c>
      <c r="W271" s="9">
        <v>0</v>
      </c>
      <c r="X271" s="10">
        <v>5.1892769999999998E-2</v>
      </c>
      <c r="Y271" s="11">
        <v>3377933</v>
      </c>
      <c r="Z271" s="3">
        <v>1080.68</v>
      </c>
      <c r="AA271" s="3">
        <v>991</v>
      </c>
      <c r="AB271" s="3">
        <v>0</v>
      </c>
      <c r="AC271" s="3">
        <v>0</v>
      </c>
      <c r="AD271" s="3">
        <v>1.96</v>
      </c>
      <c r="AE271" s="34">
        <v>1</v>
      </c>
      <c r="AF271" s="33">
        <v>1067.06</v>
      </c>
      <c r="AG271" s="33">
        <v>1066.17</v>
      </c>
      <c r="AH271" s="3"/>
      <c r="AI271" s="33"/>
      <c r="AJ271" s="33"/>
      <c r="AK271" s="3"/>
      <c r="AL271" s="3"/>
    </row>
    <row r="272" spans="1:38" x14ac:dyDescent="0.2">
      <c r="A272">
        <v>850</v>
      </c>
      <c r="B272">
        <v>1</v>
      </c>
      <c r="C272" t="s">
        <v>325</v>
      </c>
      <c r="D272">
        <v>2002</v>
      </c>
      <c r="E272">
        <v>2008</v>
      </c>
      <c r="F272">
        <v>0</v>
      </c>
      <c r="G272">
        <v>0</v>
      </c>
      <c r="H272" s="3">
        <v>628.62</v>
      </c>
      <c r="I272" s="3">
        <v>520.22</v>
      </c>
      <c r="J272" s="3">
        <v>0</v>
      </c>
      <c r="K272" s="3">
        <v>0</v>
      </c>
      <c r="L272" s="3">
        <v>101.37</v>
      </c>
      <c r="M272" s="3">
        <v>36.6</v>
      </c>
      <c r="N272">
        <v>0</v>
      </c>
      <c r="O272">
        <v>0</v>
      </c>
      <c r="P272" s="3">
        <v>0</v>
      </c>
      <c r="Q272">
        <v>2003</v>
      </c>
      <c r="R272">
        <v>2007</v>
      </c>
      <c r="S272" s="3">
        <v>500</v>
      </c>
      <c r="T272" s="9">
        <v>1996</v>
      </c>
      <c r="U272" s="9">
        <v>1990</v>
      </c>
      <c r="V272" s="9">
        <v>0</v>
      </c>
      <c r="W272" s="9">
        <v>0</v>
      </c>
      <c r="X272" s="10">
        <v>0.13732438999999999</v>
      </c>
      <c r="Y272" s="11">
        <v>805982</v>
      </c>
      <c r="Z272">
        <v>262.06</v>
      </c>
      <c r="AA272" s="3">
        <v>9999.99</v>
      </c>
      <c r="AB272" s="3">
        <v>33.049999999999997</v>
      </c>
      <c r="AC272" s="3">
        <v>0</v>
      </c>
      <c r="AD272" s="3">
        <v>1.62</v>
      </c>
      <c r="AE272" s="34">
        <v>1</v>
      </c>
      <c r="AF272" s="33">
        <v>226.44</v>
      </c>
      <c r="AG272" s="33">
        <v>226.07</v>
      </c>
      <c r="AH272" s="3"/>
      <c r="AI272" s="33"/>
      <c r="AJ272" s="33"/>
      <c r="AK272" s="3"/>
      <c r="AL272" s="3"/>
    </row>
    <row r="273" spans="1:38" x14ac:dyDescent="0.2">
      <c r="A273">
        <v>852</v>
      </c>
      <c r="B273">
        <v>1</v>
      </c>
      <c r="C273" t="s">
        <v>326</v>
      </c>
      <c r="D273">
        <v>2006</v>
      </c>
      <c r="E273">
        <v>2009</v>
      </c>
      <c r="F273">
        <v>0</v>
      </c>
      <c r="G273">
        <v>0</v>
      </c>
      <c r="H273" s="3">
        <v>655.58</v>
      </c>
      <c r="I273" s="3">
        <v>800</v>
      </c>
      <c r="J273" s="3">
        <v>0</v>
      </c>
      <c r="K273" s="3">
        <v>0</v>
      </c>
      <c r="L273" s="3">
        <v>0</v>
      </c>
      <c r="M273" s="3">
        <v>156.1</v>
      </c>
      <c r="N273">
        <v>0</v>
      </c>
      <c r="O273">
        <v>0</v>
      </c>
      <c r="P273" s="3">
        <v>0</v>
      </c>
      <c r="Q273">
        <v>0</v>
      </c>
      <c r="R273">
        <v>0</v>
      </c>
      <c r="S273" s="3">
        <v>0</v>
      </c>
      <c r="T273" s="9">
        <v>1990</v>
      </c>
      <c r="U273" s="9">
        <v>1998</v>
      </c>
      <c r="V273" s="9">
        <v>0</v>
      </c>
      <c r="W273" s="9">
        <v>0</v>
      </c>
      <c r="X273" s="10">
        <v>6.3346609999999998E-2</v>
      </c>
      <c r="Y273" s="11">
        <v>1806881</v>
      </c>
      <c r="Z273">
        <v>215.05</v>
      </c>
      <c r="AA273" s="3">
        <v>9999.99</v>
      </c>
      <c r="AB273" s="3">
        <v>63.13</v>
      </c>
      <c r="AC273" s="3">
        <v>85.1</v>
      </c>
      <c r="AD273" s="3">
        <v>6.38</v>
      </c>
      <c r="AE273" s="34">
        <v>1</v>
      </c>
      <c r="AF273" s="33">
        <v>182.53</v>
      </c>
      <c r="AG273" s="33">
        <v>182.12</v>
      </c>
      <c r="AH273" s="3"/>
      <c r="AI273" s="33"/>
      <c r="AJ273" s="33"/>
      <c r="AK273" s="3"/>
      <c r="AL273" s="3"/>
    </row>
    <row r="274" spans="1:38" x14ac:dyDescent="0.2">
      <c r="A274">
        <v>857</v>
      </c>
      <c r="B274">
        <v>1</v>
      </c>
      <c r="C274" t="s">
        <v>327</v>
      </c>
      <c r="D274">
        <v>0</v>
      </c>
      <c r="E274">
        <v>0</v>
      </c>
      <c r="F274">
        <v>0</v>
      </c>
      <c r="G274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>
        <v>0</v>
      </c>
      <c r="O274">
        <v>0</v>
      </c>
      <c r="P274" s="3">
        <v>0</v>
      </c>
      <c r="Q274">
        <v>2003</v>
      </c>
      <c r="R274">
        <v>2012</v>
      </c>
      <c r="S274" s="3">
        <v>500</v>
      </c>
      <c r="T274" s="9">
        <v>0</v>
      </c>
      <c r="U274" s="9">
        <v>0</v>
      </c>
      <c r="V274" s="9">
        <v>0</v>
      </c>
      <c r="W274" s="9">
        <v>0</v>
      </c>
      <c r="X274" s="10">
        <v>0</v>
      </c>
      <c r="Y274" s="11">
        <v>1941459</v>
      </c>
      <c r="Z274">
        <v>871.88</v>
      </c>
      <c r="AA274" s="3">
        <v>991</v>
      </c>
      <c r="AB274" s="3">
        <v>0</v>
      </c>
      <c r="AC274" s="3">
        <v>0</v>
      </c>
      <c r="AD274" s="3">
        <v>1.1200000000000001</v>
      </c>
      <c r="AE274" s="34">
        <v>0</v>
      </c>
      <c r="AF274" s="33">
        <v>806.79</v>
      </c>
      <c r="AG274" s="33">
        <v>804.14</v>
      </c>
      <c r="AH274" s="3"/>
      <c r="AI274" s="33"/>
      <c r="AJ274" s="33"/>
      <c r="AK274" s="3"/>
      <c r="AL274" s="3"/>
    </row>
    <row r="275" spans="1:38" x14ac:dyDescent="0.2">
      <c r="A275">
        <v>858</v>
      </c>
      <c r="B275">
        <v>1</v>
      </c>
      <c r="C275" t="s">
        <v>328</v>
      </c>
      <c r="D275">
        <v>0</v>
      </c>
      <c r="E275">
        <v>0</v>
      </c>
      <c r="F275">
        <v>0</v>
      </c>
      <c r="G275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>
        <v>0</v>
      </c>
      <c r="O275">
        <v>0</v>
      </c>
      <c r="P275" s="3">
        <v>0</v>
      </c>
      <c r="Q275">
        <v>0</v>
      </c>
      <c r="R275">
        <v>0</v>
      </c>
      <c r="S275" s="3">
        <v>0</v>
      </c>
      <c r="T275" s="9">
        <v>0</v>
      </c>
      <c r="U275" s="9">
        <v>0</v>
      </c>
      <c r="V275" s="9">
        <v>0</v>
      </c>
      <c r="W275" s="9">
        <v>0</v>
      </c>
      <c r="X275" s="10">
        <v>0</v>
      </c>
      <c r="Y275" s="11">
        <v>2168573</v>
      </c>
      <c r="Z275" s="3">
        <v>1303.9100000000001</v>
      </c>
      <c r="AA275" s="3">
        <v>991</v>
      </c>
      <c r="AB275" s="3">
        <v>0</v>
      </c>
      <c r="AC275" s="3">
        <v>0</v>
      </c>
      <c r="AD275" s="3">
        <v>0.91</v>
      </c>
      <c r="AE275" s="34">
        <v>0</v>
      </c>
      <c r="AF275" s="33">
        <v>1266.2</v>
      </c>
      <c r="AG275" s="33">
        <v>1252.22</v>
      </c>
      <c r="AH275" s="3"/>
      <c r="AI275" s="33"/>
      <c r="AJ275" s="33"/>
      <c r="AK275" s="3"/>
      <c r="AL275" s="3"/>
    </row>
    <row r="276" spans="1:38" x14ac:dyDescent="0.2">
      <c r="A276">
        <v>861</v>
      </c>
      <c r="B276">
        <v>1</v>
      </c>
      <c r="C276" t="s">
        <v>329</v>
      </c>
      <c r="D276">
        <v>2006</v>
      </c>
      <c r="E276">
        <v>2008</v>
      </c>
      <c r="F276">
        <v>0</v>
      </c>
      <c r="G276">
        <v>0</v>
      </c>
      <c r="H276" s="3">
        <v>218.84</v>
      </c>
      <c r="I276" s="3">
        <v>72.95</v>
      </c>
      <c r="J276" s="3">
        <v>0</v>
      </c>
      <c r="K276" s="3">
        <v>0</v>
      </c>
      <c r="L276" s="3">
        <v>100</v>
      </c>
      <c r="M276" s="3">
        <v>0</v>
      </c>
      <c r="N276">
        <v>0</v>
      </c>
      <c r="O276">
        <v>0</v>
      </c>
      <c r="P276" s="3">
        <v>0</v>
      </c>
      <c r="Q276">
        <v>2003</v>
      </c>
      <c r="R276">
        <v>2007</v>
      </c>
      <c r="S276" s="3">
        <v>480</v>
      </c>
      <c r="T276" s="9">
        <v>1990</v>
      </c>
      <c r="U276" s="9">
        <v>1990</v>
      </c>
      <c r="V276" s="9">
        <v>0</v>
      </c>
      <c r="W276" s="9">
        <v>0</v>
      </c>
      <c r="X276" s="10">
        <v>7.4560180000000018E-2</v>
      </c>
      <c r="Y276" s="11">
        <v>17703641</v>
      </c>
      <c r="Z276" s="3">
        <v>5572.07</v>
      </c>
      <c r="AA276" s="3">
        <v>991</v>
      </c>
      <c r="AB276" s="3">
        <v>0</v>
      </c>
      <c r="AC276" s="3">
        <v>0</v>
      </c>
      <c r="AD276" s="3">
        <v>2.59</v>
      </c>
      <c r="AE276" s="34">
        <v>0</v>
      </c>
      <c r="AF276" s="33">
        <v>5212.17</v>
      </c>
      <c r="AG276" s="33">
        <v>5165.18</v>
      </c>
      <c r="AH276" s="3"/>
      <c r="AI276" s="33"/>
      <c r="AJ276" s="33"/>
      <c r="AK276" s="3"/>
      <c r="AL276" s="3"/>
    </row>
    <row r="277" spans="1:38" x14ac:dyDescent="0.2">
      <c r="A277">
        <v>876</v>
      </c>
      <c r="B277">
        <v>1</v>
      </c>
      <c r="C277" t="s">
        <v>330</v>
      </c>
      <c r="D277">
        <v>2001</v>
      </c>
      <c r="E277">
        <v>2001</v>
      </c>
      <c r="F277">
        <v>0</v>
      </c>
      <c r="G277">
        <v>0</v>
      </c>
      <c r="H277" s="3">
        <v>238.77</v>
      </c>
      <c r="I277" s="3">
        <v>203.59</v>
      </c>
      <c r="J277" s="3">
        <v>0</v>
      </c>
      <c r="K277" s="3">
        <v>0</v>
      </c>
      <c r="L277" s="3">
        <v>54.73</v>
      </c>
      <c r="M277" s="3">
        <v>19.5</v>
      </c>
      <c r="N277">
        <v>2002</v>
      </c>
      <c r="O277">
        <v>2011</v>
      </c>
      <c r="P277" s="3">
        <v>500</v>
      </c>
      <c r="Q277">
        <v>0</v>
      </c>
      <c r="R277">
        <v>0</v>
      </c>
      <c r="S277" s="3">
        <v>0</v>
      </c>
      <c r="T277" s="9">
        <v>1995</v>
      </c>
      <c r="U277" s="9">
        <v>1990</v>
      </c>
      <c r="V277" s="9">
        <v>0</v>
      </c>
      <c r="W277" s="9">
        <v>0</v>
      </c>
      <c r="X277" s="10">
        <v>5.7429840000000003E-2</v>
      </c>
      <c r="Y277" s="11">
        <v>6457835</v>
      </c>
      <c r="Z277" s="3">
        <v>2243.81</v>
      </c>
      <c r="AA277" s="3">
        <v>991</v>
      </c>
      <c r="AB277" s="3">
        <v>17.13</v>
      </c>
      <c r="AC277" s="3">
        <v>0</v>
      </c>
      <c r="AD277" s="3">
        <v>2.57</v>
      </c>
      <c r="AE277" s="34">
        <v>1</v>
      </c>
      <c r="AF277" s="33">
        <v>2109.36</v>
      </c>
      <c r="AG277" s="33">
        <v>2095.59</v>
      </c>
      <c r="AH277" s="3"/>
      <c r="AI277" s="33"/>
      <c r="AJ277" s="33"/>
      <c r="AK277" s="3"/>
      <c r="AL277" s="3"/>
    </row>
    <row r="278" spans="1:38" x14ac:dyDescent="0.2">
      <c r="A278">
        <v>877</v>
      </c>
      <c r="B278">
        <v>1</v>
      </c>
      <c r="C278" t="s">
        <v>331</v>
      </c>
      <c r="D278">
        <v>2006</v>
      </c>
      <c r="E278">
        <v>2006</v>
      </c>
      <c r="F278">
        <v>2008</v>
      </c>
      <c r="G278">
        <v>0</v>
      </c>
      <c r="H278" s="3">
        <v>235.84</v>
      </c>
      <c r="I278" s="3">
        <v>87.3</v>
      </c>
      <c r="J278" s="3">
        <v>9.6999999999999993</v>
      </c>
      <c r="K278" s="3">
        <v>0</v>
      </c>
      <c r="L278" s="3">
        <v>0</v>
      </c>
      <c r="M278" s="3">
        <v>20.29</v>
      </c>
      <c r="N278">
        <v>2002</v>
      </c>
      <c r="O278">
        <v>2011</v>
      </c>
      <c r="P278" s="3">
        <v>171</v>
      </c>
      <c r="Q278">
        <v>0</v>
      </c>
      <c r="R278">
        <v>0</v>
      </c>
      <c r="S278" s="3">
        <v>0</v>
      </c>
      <c r="T278" s="9">
        <v>1995</v>
      </c>
      <c r="U278" s="9">
        <v>1997</v>
      </c>
      <c r="V278" s="9">
        <v>1997</v>
      </c>
      <c r="W278" s="9">
        <v>0</v>
      </c>
      <c r="X278" s="10">
        <v>0</v>
      </c>
      <c r="Y278" s="11">
        <v>13886629</v>
      </c>
      <c r="Z278" s="3">
        <v>5632.65</v>
      </c>
      <c r="AA278" s="3">
        <v>991</v>
      </c>
      <c r="AB278" s="3">
        <v>19.55</v>
      </c>
      <c r="AC278" s="3">
        <v>0</v>
      </c>
      <c r="AD278" s="3">
        <v>1.74</v>
      </c>
      <c r="AE278" s="34">
        <v>1</v>
      </c>
      <c r="AF278" s="33">
        <v>6096.13</v>
      </c>
      <c r="AG278" s="33">
        <v>6073.05</v>
      </c>
      <c r="AH278" s="3"/>
      <c r="AI278" s="33"/>
      <c r="AJ278" s="33"/>
      <c r="AK278" s="3"/>
      <c r="AL278" s="3"/>
    </row>
    <row r="279" spans="1:38" x14ac:dyDescent="0.2">
      <c r="A279">
        <v>879</v>
      </c>
      <c r="B279">
        <v>1</v>
      </c>
      <c r="C279" t="s">
        <v>332</v>
      </c>
      <c r="D279">
        <v>2003</v>
      </c>
      <c r="E279">
        <v>2008</v>
      </c>
      <c r="F279">
        <v>0</v>
      </c>
      <c r="G279">
        <v>0</v>
      </c>
      <c r="H279" s="3">
        <v>138.87</v>
      </c>
      <c r="I279" s="3">
        <v>220.97</v>
      </c>
      <c r="J279" s="3">
        <v>0</v>
      </c>
      <c r="K279" s="3">
        <v>0</v>
      </c>
      <c r="L279" s="3">
        <v>0</v>
      </c>
      <c r="M279" s="3">
        <v>0</v>
      </c>
      <c r="N279">
        <v>0</v>
      </c>
      <c r="O279">
        <v>0</v>
      </c>
      <c r="P279" s="3">
        <v>0</v>
      </c>
      <c r="Q279">
        <v>0</v>
      </c>
      <c r="R279">
        <v>0</v>
      </c>
      <c r="S279" s="3">
        <v>0</v>
      </c>
      <c r="T279" s="9">
        <v>1997</v>
      </c>
      <c r="U279" s="9">
        <v>1990</v>
      </c>
      <c r="V279" s="9">
        <v>0</v>
      </c>
      <c r="W279" s="9">
        <v>0</v>
      </c>
      <c r="X279" s="10">
        <v>5.3910390000000002E-2</v>
      </c>
      <c r="Y279" s="11">
        <v>6959927</v>
      </c>
      <c r="Z279" s="3">
        <v>2091.48</v>
      </c>
      <c r="AA279" s="3">
        <v>991</v>
      </c>
      <c r="AB279" s="3">
        <v>17.03</v>
      </c>
      <c r="AC279" s="3">
        <v>0</v>
      </c>
      <c r="AD279" s="3">
        <v>3.09</v>
      </c>
      <c r="AE279" s="34">
        <v>0</v>
      </c>
      <c r="AF279" s="33">
        <v>2212.89</v>
      </c>
      <c r="AG279" s="33">
        <v>2203.25</v>
      </c>
      <c r="AH279" s="3"/>
      <c r="AI279" s="33"/>
      <c r="AJ279" s="33"/>
      <c r="AK279" s="3"/>
      <c r="AL279" s="3"/>
    </row>
    <row r="280" spans="1:38" x14ac:dyDescent="0.2">
      <c r="A280">
        <v>881</v>
      </c>
      <c r="B280">
        <v>1</v>
      </c>
      <c r="C280" t="s">
        <v>333</v>
      </c>
      <c r="D280">
        <v>2009</v>
      </c>
      <c r="E280">
        <v>2009</v>
      </c>
      <c r="F280">
        <v>0</v>
      </c>
      <c r="G280">
        <v>0</v>
      </c>
      <c r="H280" s="3">
        <v>315</v>
      </c>
      <c r="I280" s="3">
        <v>35</v>
      </c>
      <c r="J280" s="3">
        <v>0</v>
      </c>
      <c r="K280" s="3">
        <v>0</v>
      </c>
      <c r="L280" s="3">
        <v>0</v>
      </c>
      <c r="M280" s="3">
        <v>1.45</v>
      </c>
      <c r="N280">
        <v>2002</v>
      </c>
      <c r="O280">
        <v>2009</v>
      </c>
      <c r="P280" s="3">
        <v>250</v>
      </c>
      <c r="Q280">
        <v>2003</v>
      </c>
      <c r="R280">
        <v>2010</v>
      </c>
      <c r="S280" s="3">
        <v>450</v>
      </c>
      <c r="T280" s="9">
        <v>1997</v>
      </c>
      <c r="U280" s="9">
        <v>1998</v>
      </c>
      <c r="V280" s="9">
        <v>0</v>
      </c>
      <c r="W280" s="9">
        <v>0</v>
      </c>
      <c r="X280" s="10">
        <v>0</v>
      </c>
      <c r="Y280" s="11">
        <v>2517523</v>
      </c>
      <c r="Z280" s="3">
        <v>1067.81</v>
      </c>
      <c r="AA280" s="3">
        <v>991</v>
      </c>
      <c r="AB280" s="3">
        <v>0</v>
      </c>
      <c r="AC280" s="3">
        <v>0</v>
      </c>
      <c r="AD280" s="3">
        <v>1.45</v>
      </c>
      <c r="AE280" s="34">
        <v>1</v>
      </c>
      <c r="AF280" s="33">
        <v>1055.73</v>
      </c>
      <c r="AG280" s="33">
        <v>1049.24</v>
      </c>
      <c r="AH280" s="3"/>
      <c r="AI280" s="33"/>
      <c r="AJ280" s="33"/>
      <c r="AK280" s="3"/>
      <c r="AL280" s="3"/>
    </row>
    <row r="281" spans="1:38" x14ac:dyDescent="0.2">
      <c r="A281">
        <v>882</v>
      </c>
      <c r="B281">
        <v>1</v>
      </c>
      <c r="C281" t="s">
        <v>334</v>
      </c>
      <c r="D281">
        <v>2008</v>
      </c>
      <c r="E281">
        <v>2009</v>
      </c>
      <c r="F281">
        <v>0</v>
      </c>
      <c r="G281">
        <v>0</v>
      </c>
      <c r="H281" s="3">
        <v>221.79</v>
      </c>
      <c r="I281" s="3">
        <v>96.19</v>
      </c>
      <c r="J281" s="3">
        <v>0</v>
      </c>
      <c r="K281" s="3">
        <v>0</v>
      </c>
      <c r="L281" s="3">
        <v>0</v>
      </c>
      <c r="M281" s="3">
        <v>30.24</v>
      </c>
      <c r="N281">
        <v>2002</v>
      </c>
      <c r="O281">
        <v>2011</v>
      </c>
      <c r="P281" s="3">
        <v>275</v>
      </c>
      <c r="Q281">
        <v>0</v>
      </c>
      <c r="R281">
        <v>0</v>
      </c>
      <c r="S281" s="3">
        <v>0</v>
      </c>
      <c r="T281" s="9">
        <v>1990</v>
      </c>
      <c r="U281" s="9">
        <v>1997</v>
      </c>
      <c r="V281" s="9">
        <v>0</v>
      </c>
      <c r="W281" s="9">
        <v>0</v>
      </c>
      <c r="X281" s="10">
        <v>4.4240740000000001E-2</v>
      </c>
      <c r="Y281" s="11">
        <v>16996046</v>
      </c>
      <c r="Z281" s="3">
        <v>4175.79</v>
      </c>
      <c r="AA281" s="3">
        <v>991</v>
      </c>
      <c r="AB281" s="3">
        <v>26.02</v>
      </c>
      <c r="AC281" s="3">
        <v>0</v>
      </c>
      <c r="AD281" s="3">
        <v>4.43</v>
      </c>
      <c r="AE281" s="34">
        <v>1</v>
      </c>
      <c r="AF281" s="33">
        <v>4343.71</v>
      </c>
      <c r="AG281" s="33">
        <v>4323.1000000000004</v>
      </c>
      <c r="AH281" s="3"/>
      <c r="AI281" s="33"/>
      <c r="AJ281" s="33"/>
      <c r="AK281" s="3"/>
      <c r="AL281" s="3"/>
    </row>
    <row r="282" spans="1:38" x14ac:dyDescent="0.2">
      <c r="A282">
        <v>883</v>
      </c>
      <c r="B282">
        <v>1</v>
      </c>
      <c r="C282" t="s">
        <v>335</v>
      </c>
      <c r="D282">
        <v>2008</v>
      </c>
      <c r="E282">
        <v>2010</v>
      </c>
      <c r="F282">
        <v>0</v>
      </c>
      <c r="G282">
        <v>0</v>
      </c>
      <c r="H282" s="3">
        <v>195.93</v>
      </c>
      <c r="I282" s="3">
        <v>230</v>
      </c>
      <c r="J282" s="3">
        <v>0</v>
      </c>
      <c r="K282" s="3">
        <v>0</v>
      </c>
      <c r="L282" s="3">
        <v>0</v>
      </c>
      <c r="M282" s="3">
        <v>1.72</v>
      </c>
      <c r="N282">
        <v>0</v>
      </c>
      <c r="O282">
        <v>0</v>
      </c>
      <c r="P282" s="3">
        <v>0</v>
      </c>
      <c r="Q282">
        <v>0</v>
      </c>
      <c r="R282">
        <v>0</v>
      </c>
      <c r="S282" s="3">
        <v>0</v>
      </c>
      <c r="T282" s="9">
        <v>1990</v>
      </c>
      <c r="U282" s="9">
        <v>1998</v>
      </c>
      <c r="V282" s="9">
        <v>0</v>
      </c>
      <c r="W282" s="9">
        <v>0</v>
      </c>
      <c r="X282" s="10">
        <v>7.2042430000000005E-2</v>
      </c>
      <c r="Y282" s="11">
        <v>4733794</v>
      </c>
      <c r="Z282" s="3">
        <v>2143.9499999999998</v>
      </c>
      <c r="AA282" s="3">
        <v>991</v>
      </c>
      <c r="AB282" s="3">
        <v>0</v>
      </c>
      <c r="AC282" s="3">
        <v>0</v>
      </c>
      <c r="AD282" s="3">
        <v>1.72</v>
      </c>
      <c r="AE282" s="34">
        <v>1</v>
      </c>
      <c r="AF282" s="33">
        <v>2144.98</v>
      </c>
      <c r="AG282" s="33">
        <v>2121.44</v>
      </c>
      <c r="AH282" s="3"/>
      <c r="AI282" s="33"/>
      <c r="AJ282" s="33"/>
      <c r="AK282" s="3"/>
      <c r="AL282" s="3"/>
    </row>
    <row r="283" spans="1:38" x14ac:dyDescent="0.2">
      <c r="A283">
        <v>885</v>
      </c>
      <c r="B283">
        <v>1</v>
      </c>
      <c r="C283" t="s">
        <v>336</v>
      </c>
      <c r="D283">
        <v>2009</v>
      </c>
      <c r="E283">
        <v>0</v>
      </c>
      <c r="F283">
        <v>0</v>
      </c>
      <c r="G283">
        <v>0</v>
      </c>
      <c r="H283" s="3">
        <v>350</v>
      </c>
      <c r="I283" s="3">
        <v>0</v>
      </c>
      <c r="J283" s="3">
        <v>0</v>
      </c>
      <c r="K283" s="3">
        <v>0</v>
      </c>
      <c r="L283" s="3">
        <v>0</v>
      </c>
      <c r="M283" s="3">
        <v>14.22</v>
      </c>
      <c r="N283">
        <v>2002</v>
      </c>
      <c r="O283">
        <v>2009</v>
      </c>
      <c r="P283" s="3">
        <v>65</v>
      </c>
      <c r="Q283">
        <v>0</v>
      </c>
      <c r="R283">
        <v>0</v>
      </c>
      <c r="S283" s="3">
        <v>0</v>
      </c>
      <c r="T283" s="9">
        <v>1998</v>
      </c>
      <c r="U283" s="9">
        <v>0</v>
      </c>
      <c r="V283" s="9">
        <v>0</v>
      </c>
      <c r="W283" s="9">
        <v>0</v>
      </c>
      <c r="X283" s="10">
        <v>0</v>
      </c>
      <c r="Y283" s="11">
        <v>5724325</v>
      </c>
      <c r="Z283" s="3">
        <v>3185.63</v>
      </c>
      <c r="AA283" s="3">
        <v>991</v>
      </c>
      <c r="AB283" s="3">
        <v>14</v>
      </c>
      <c r="AC283" s="3">
        <v>0</v>
      </c>
      <c r="AD283" s="3">
        <v>0.94</v>
      </c>
      <c r="AE283" s="34">
        <v>1</v>
      </c>
      <c r="AF283" s="33">
        <v>4123.84</v>
      </c>
      <c r="AG283" s="33">
        <v>4110.62</v>
      </c>
      <c r="AH283" s="3"/>
      <c r="AI283" s="33"/>
      <c r="AJ283" s="33"/>
      <c r="AK283" s="3"/>
      <c r="AL283" s="3"/>
    </row>
    <row r="284" spans="1:38" x14ac:dyDescent="0.2">
      <c r="A284">
        <v>891</v>
      </c>
      <c r="B284">
        <v>1</v>
      </c>
      <c r="C284" t="s">
        <v>337</v>
      </c>
      <c r="D284">
        <v>2008</v>
      </c>
      <c r="E284">
        <v>0</v>
      </c>
      <c r="F284">
        <v>0</v>
      </c>
      <c r="G284">
        <v>0</v>
      </c>
      <c r="H284" s="3">
        <v>315</v>
      </c>
      <c r="I284" s="3">
        <v>0</v>
      </c>
      <c r="J284" s="3">
        <v>0</v>
      </c>
      <c r="K284" s="3">
        <v>0</v>
      </c>
      <c r="L284" s="3">
        <v>0</v>
      </c>
      <c r="M284" s="3">
        <v>1.0900000000000001</v>
      </c>
      <c r="N284">
        <v>0</v>
      </c>
      <c r="O284">
        <v>0</v>
      </c>
      <c r="P284" s="3">
        <v>0</v>
      </c>
      <c r="Q284">
        <v>2003</v>
      </c>
      <c r="R284">
        <v>2012</v>
      </c>
      <c r="S284" s="3">
        <v>126</v>
      </c>
      <c r="T284" s="9">
        <v>1997</v>
      </c>
      <c r="U284" s="9">
        <v>0</v>
      </c>
      <c r="V284" s="9">
        <v>0</v>
      </c>
      <c r="W284" s="9">
        <v>0</v>
      </c>
      <c r="X284" s="10">
        <v>0</v>
      </c>
      <c r="Y284" s="11">
        <v>1782907</v>
      </c>
      <c r="Z284">
        <v>855.76</v>
      </c>
      <c r="AA284" s="3">
        <v>9999.99</v>
      </c>
      <c r="AB284" s="3">
        <v>0</v>
      </c>
      <c r="AC284" s="3">
        <v>0</v>
      </c>
      <c r="AD284" s="3">
        <v>1.0900000000000001</v>
      </c>
      <c r="AE284" s="34">
        <v>1</v>
      </c>
      <c r="AF284" s="33">
        <v>746.5</v>
      </c>
      <c r="AG284" s="33">
        <v>745.05</v>
      </c>
      <c r="AH284" s="3"/>
      <c r="AI284" s="33"/>
      <c r="AJ284" s="33"/>
      <c r="AK284" s="3"/>
      <c r="AL284" s="3"/>
    </row>
    <row r="285" spans="1:38" x14ac:dyDescent="0.2">
      <c r="A285">
        <v>911</v>
      </c>
      <c r="B285">
        <v>1</v>
      </c>
      <c r="C285" t="s">
        <v>338</v>
      </c>
      <c r="D285">
        <v>2010</v>
      </c>
      <c r="E285">
        <v>0</v>
      </c>
      <c r="F285">
        <v>0</v>
      </c>
      <c r="G285">
        <v>0</v>
      </c>
      <c r="H285" s="3">
        <v>415</v>
      </c>
      <c r="I285" s="3">
        <v>0</v>
      </c>
      <c r="J285" s="3">
        <v>0</v>
      </c>
      <c r="K285" s="3">
        <v>0</v>
      </c>
      <c r="L285" s="3">
        <v>0</v>
      </c>
      <c r="M285" s="3">
        <v>1.02</v>
      </c>
      <c r="N285">
        <v>0</v>
      </c>
      <c r="O285">
        <v>0</v>
      </c>
      <c r="P285" s="3">
        <v>0</v>
      </c>
      <c r="Q285">
        <v>0</v>
      </c>
      <c r="R285">
        <v>0</v>
      </c>
      <c r="S285" s="3">
        <v>0</v>
      </c>
      <c r="T285" s="9">
        <v>1999</v>
      </c>
      <c r="U285" s="9">
        <v>0</v>
      </c>
      <c r="V285" s="9">
        <v>0</v>
      </c>
      <c r="W285" s="9">
        <v>0</v>
      </c>
      <c r="X285" s="10">
        <v>0</v>
      </c>
      <c r="Y285" s="11">
        <v>9810199</v>
      </c>
      <c r="Z285" s="3">
        <v>5326.96</v>
      </c>
      <c r="AA285" s="3">
        <v>991</v>
      </c>
      <c r="AB285" s="3">
        <v>0</v>
      </c>
      <c r="AC285" s="3">
        <v>0</v>
      </c>
      <c r="AD285" s="3">
        <v>1.02</v>
      </c>
      <c r="AE285" s="34">
        <v>1</v>
      </c>
      <c r="AF285" s="33">
        <v>5525.51</v>
      </c>
      <c r="AG285" s="33">
        <v>5481</v>
      </c>
      <c r="AH285" s="3"/>
      <c r="AI285" s="33"/>
      <c r="AJ285" s="33"/>
      <c r="AK285" s="3"/>
      <c r="AL285" s="3"/>
    </row>
    <row r="286" spans="1:38" x14ac:dyDescent="0.2">
      <c r="A286">
        <v>912</v>
      </c>
      <c r="B286">
        <v>1</v>
      </c>
      <c r="C286" t="s">
        <v>339</v>
      </c>
      <c r="D286">
        <v>2005</v>
      </c>
      <c r="E286">
        <v>0</v>
      </c>
      <c r="F286">
        <v>0</v>
      </c>
      <c r="G286">
        <v>0</v>
      </c>
      <c r="H286" s="3">
        <v>374.43</v>
      </c>
      <c r="I286" s="3">
        <v>0</v>
      </c>
      <c r="J286" s="3">
        <v>0</v>
      </c>
      <c r="K286" s="3">
        <v>0</v>
      </c>
      <c r="L286" s="3">
        <v>53.41</v>
      </c>
      <c r="M286" s="3">
        <v>4</v>
      </c>
      <c r="N286">
        <v>0</v>
      </c>
      <c r="O286">
        <v>0</v>
      </c>
      <c r="P286" s="3">
        <v>0</v>
      </c>
      <c r="Q286">
        <v>0</v>
      </c>
      <c r="R286">
        <v>0</v>
      </c>
      <c r="S286" s="3">
        <v>0</v>
      </c>
      <c r="T286" s="9">
        <v>1994</v>
      </c>
      <c r="U286" s="9">
        <v>0</v>
      </c>
      <c r="V286" s="9">
        <v>0</v>
      </c>
      <c r="W286" s="9">
        <v>0</v>
      </c>
      <c r="X286" s="10">
        <v>0</v>
      </c>
      <c r="Y286" s="11">
        <v>2958170</v>
      </c>
      <c r="Z286" s="3">
        <v>2208.04</v>
      </c>
      <c r="AA286" s="3">
        <v>991</v>
      </c>
      <c r="AB286" s="3">
        <v>7.57</v>
      </c>
      <c r="AC286" s="3">
        <v>0</v>
      </c>
      <c r="AD286" s="3">
        <v>0.77</v>
      </c>
      <c r="AE286" s="34">
        <v>1</v>
      </c>
      <c r="AF286" s="33">
        <v>2277.67</v>
      </c>
      <c r="AG286" s="33">
        <v>2242.08</v>
      </c>
      <c r="AH286" s="3"/>
      <c r="AI286" s="33"/>
      <c r="AJ286" s="33"/>
      <c r="AK286" s="3"/>
      <c r="AL286" s="3"/>
    </row>
    <row r="287" spans="1:38" x14ac:dyDescent="0.2">
      <c r="A287">
        <v>914</v>
      </c>
      <c r="B287">
        <v>1</v>
      </c>
      <c r="C287" t="s">
        <v>340</v>
      </c>
      <c r="D287">
        <v>2001</v>
      </c>
      <c r="E287">
        <v>2001</v>
      </c>
      <c r="F287">
        <v>0</v>
      </c>
      <c r="G287">
        <v>0</v>
      </c>
      <c r="H287" s="3">
        <v>133.37</v>
      </c>
      <c r="I287" s="3">
        <v>913.15</v>
      </c>
      <c r="J287" s="3">
        <v>0</v>
      </c>
      <c r="K287" s="3">
        <v>0</v>
      </c>
      <c r="L287" s="3">
        <v>105.91</v>
      </c>
      <c r="M287" s="3">
        <v>1.75</v>
      </c>
      <c r="N287">
        <v>2002</v>
      </c>
      <c r="O287">
        <v>2006</v>
      </c>
      <c r="P287" s="3">
        <v>1300</v>
      </c>
      <c r="Q287">
        <v>0</v>
      </c>
      <c r="R287">
        <v>0</v>
      </c>
      <c r="S287" s="3">
        <v>0</v>
      </c>
      <c r="T287" s="9">
        <v>1990</v>
      </c>
      <c r="U287" s="9">
        <v>1995</v>
      </c>
      <c r="V287" s="9">
        <v>0</v>
      </c>
      <c r="W287" s="9">
        <v>0</v>
      </c>
      <c r="X287" s="10">
        <v>4.6107210000000003E-2</v>
      </c>
      <c r="Y287" s="11">
        <v>880594</v>
      </c>
      <c r="Z287">
        <v>374.98</v>
      </c>
      <c r="AA287" s="3">
        <v>9999.99</v>
      </c>
      <c r="AB287" s="3">
        <v>2.2599999999999998</v>
      </c>
      <c r="AC287" s="3">
        <v>0</v>
      </c>
      <c r="AD287" s="3">
        <v>1.22</v>
      </c>
      <c r="AE287" s="34">
        <v>1</v>
      </c>
      <c r="AF287" s="33">
        <v>338.83</v>
      </c>
      <c r="AG287" s="33">
        <v>338.68</v>
      </c>
      <c r="AH287" s="3"/>
      <c r="AI287" s="33"/>
      <c r="AJ287" s="33"/>
      <c r="AK287" s="3"/>
      <c r="AL287" s="3"/>
    </row>
    <row r="288" spans="1:38" x14ac:dyDescent="0.2">
      <c r="A288">
        <v>2071</v>
      </c>
      <c r="B288">
        <v>1</v>
      </c>
      <c r="C288" t="s">
        <v>341</v>
      </c>
      <c r="D288">
        <v>2006</v>
      </c>
      <c r="E288">
        <v>0</v>
      </c>
      <c r="F288">
        <v>0</v>
      </c>
      <c r="G288">
        <v>0</v>
      </c>
      <c r="H288" s="3">
        <v>806.76</v>
      </c>
      <c r="I288" s="3">
        <v>0</v>
      </c>
      <c r="J288" s="3">
        <v>0</v>
      </c>
      <c r="K288" s="3">
        <v>0</v>
      </c>
      <c r="L288" s="3">
        <v>74.88</v>
      </c>
      <c r="M288" s="3">
        <v>1.53</v>
      </c>
      <c r="N288">
        <v>0</v>
      </c>
      <c r="O288">
        <v>0</v>
      </c>
      <c r="P288" s="3">
        <v>0</v>
      </c>
      <c r="Q288">
        <v>0</v>
      </c>
      <c r="R288">
        <v>0</v>
      </c>
      <c r="S288" s="3">
        <v>0</v>
      </c>
      <c r="T288" s="9">
        <v>1990</v>
      </c>
      <c r="U288" s="9">
        <v>0</v>
      </c>
      <c r="V288" s="9">
        <v>0</v>
      </c>
      <c r="W288" s="9">
        <v>0</v>
      </c>
      <c r="X288" s="10">
        <v>0.21592132999999999</v>
      </c>
      <c r="Y288" s="11">
        <v>3978830</v>
      </c>
      <c r="Z288" s="3">
        <v>1311.65</v>
      </c>
      <c r="AA288" s="3">
        <v>991</v>
      </c>
      <c r="AB288" s="3">
        <v>0</v>
      </c>
      <c r="AC288" s="3">
        <v>0</v>
      </c>
      <c r="AD288" s="3">
        <v>1.53</v>
      </c>
      <c r="AE288" s="34">
        <v>1</v>
      </c>
      <c r="AF288" s="33">
        <v>1174.18</v>
      </c>
      <c r="AG288" s="33">
        <v>1170.06</v>
      </c>
      <c r="AH288" s="3"/>
      <c r="AI288" s="33"/>
      <c r="AJ288" s="33"/>
      <c r="AK288" s="3"/>
      <c r="AL288" s="3"/>
    </row>
    <row r="289" spans="1:38" x14ac:dyDescent="0.2">
      <c r="A289">
        <v>2125</v>
      </c>
      <c r="B289">
        <v>1</v>
      </c>
      <c r="C289" t="s">
        <v>342</v>
      </c>
      <c r="D289">
        <v>2006</v>
      </c>
      <c r="E289">
        <v>2008</v>
      </c>
      <c r="F289">
        <v>0</v>
      </c>
      <c r="G289">
        <v>0</v>
      </c>
      <c r="H289" s="3">
        <v>389.75</v>
      </c>
      <c r="I289" s="3">
        <v>129.91999999999999</v>
      </c>
      <c r="J289" s="3">
        <v>0</v>
      </c>
      <c r="K289" s="3">
        <v>0</v>
      </c>
      <c r="L289" s="3">
        <v>55.78</v>
      </c>
      <c r="M289" s="3">
        <v>1.29</v>
      </c>
      <c r="N289">
        <v>0</v>
      </c>
      <c r="O289">
        <v>0</v>
      </c>
      <c r="P289" s="3">
        <v>0</v>
      </c>
      <c r="Q289">
        <v>0</v>
      </c>
      <c r="R289">
        <v>0</v>
      </c>
      <c r="S289" s="3">
        <v>0</v>
      </c>
      <c r="T289" s="9">
        <v>1990</v>
      </c>
      <c r="U289" s="9">
        <v>1990</v>
      </c>
      <c r="V289" s="9">
        <v>0</v>
      </c>
      <c r="W289" s="9">
        <v>0</v>
      </c>
      <c r="X289" s="10">
        <v>0.18687247000000004</v>
      </c>
      <c r="Y289" s="11">
        <v>3458316</v>
      </c>
      <c r="Z289" s="3">
        <v>1531.77</v>
      </c>
      <c r="AA289" s="3">
        <v>991</v>
      </c>
      <c r="AB289" s="3">
        <v>0</v>
      </c>
      <c r="AC289" s="3">
        <v>0</v>
      </c>
      <c r="AD289" s="3">
        <v>1.29</v>
      </c>
      <c r="AE289" s="34">
        <v>1</v>
      </c>
      <c r="AF289" s="33">
        <v>1440.93</v>
      </c>
      <c r="AG289" s="33">
        <v>1437.68</v>
      </c>
      <c r="AH289" s="3"/>
      <c r="AI289" s="33"/>
      <c r="AJ289" s="33"/>
      <c r="AK289" s="3"/>
      <c r="AL289" s="3"/>
    </row>
    <row r="290" spans="1:38" x14ac:dyDescent="0.2">
      <c r="A290">
        <v>2134</v>
      </c>
      <c r="B290">
        <v>1</v>
      </c>
      <c r="C290" t="s">
        <v>343</v>
      </c>
      <c r="D290">
        <v>2008</v>
      </c>
      <c r="E290">
        <v>2010</v>
      </c>
      <c r="F290">
        <v>0</v>
      </c>
      <c r="G290">
        <v>0</v>
      </c>
      <c r="H290" s="3">
        <v>385.3</v>
      </c>
      <c r="I290" s="3">
        <v>370</v>
      </c>
      <c r="J290" s="3">
        <v>0</v>
      </c>
      <c r="K290" s="3">
        <v>0</v>
      </c>
      <c r="L290" s="3">
        <v>0</v>
      </c>
      <c r="M290" s="3">
        <v>2.04</v>
      </c>
      <c r="N290">
        <v>0</v>
      </c>
      <c r="O290">
        <v>0</v>
      </c>
      <c r="P290" s="3">
        <v>0</v>
      </c>
      <c r="Q290">
        <v>0</v>
      </c>
      <c r="R290">
        <v>0</v>
      </c>
      <c r="S290" s="3">
        <v>0</v>
      </c>
      <c r="T290" s="9">
        <v>1990</v>
      </c>
      <c r="U290" s="9">
        <v>1998</v>
      </c>
      <c r="V290" s="9">
        <v>0</v>
      </c>
      <c r="W290" s="9">
        <v>0</v>
      </c>
      <c r="X290" s="10">
        <v>9.774832E-2</v>
      </c>
      <c r="Y290" s="11">
        <v>4296020</v>
      </c>
      <c r="Z290" s="3">
        <v>1342.41</v>
      </c>
      <c r="AA290" s="3">
        <v>991</v>
      </c>
      <c r="AB290" s="3">
        <v>0</v>
      </c>
      <c r="AC290" s="3">
        <v>0</v>
      </c>
      <c r="AD290" s="3">
        <v>2.04</v>
      </c>
      <c r="AE290" s="34">
        <v>1</v>
      </c>
      <c r="AF290" s="33">
        <v>1260.94</v>
      </c>
      <c r="AG290" s="33">
        <v>1260.74</v>
      </c>
      <c r="AH290" s="3"/>
      <c r="AI290" s="33"/>
      <c r="AJ290" s="33"/>
      <c r="AK290" s="3"/>
      <c r="AL290" s="3"/>
    </row>
    <row r="291" spans="1:38" x14ac:dyDescent="0.2">
      <c r="A291">
        <v>2135</v>
      </c>
      <c r="B291">
        <v>1</v>
      </c>
      <c r="C291" t="s">
        <v>344</v>
      </c>
      <c r="D291">
        <v>2006</v>
      </c>
      <c r="E291">
        <v>0</v>
      </c>
      <c r="F291">
        <v>0</v>
      </c>
      <c r="G291">
        <v>0</v>
      </c>
      <c r="H291" s="3">
        <v>607.04</v>
      </c>
      <c r="I291" s="3">
        <v>0</v>
      </c>
      <c r="J291" s="3">
        <v>0</v>
      </c>
      <c r="K291" s="3">
        <v>0</v>
      </c>
      <c r="L291" s="3">
        <v>63.93</v>
      </c>
      <c r="M291" s="3">
        <v>1.67</v>
      </c>
      <c r="N291">
        <v>0</v>
      </c>
      <c r="O291">
        <v>0</v>
      </c>
      <c r="P291" s="3">
        <v>0</v>
      </c>
      <c r="Q291">
        <v>0</v>
      </c>
      <c r="R291">
        <v>0</v>
      </c>
      <c r="S291" s="3">
        <v>0</v>
      </c>
      <c r="T291" s="9">
        <v>1990</v>
      </c>
      <c r="U291" s="9">
        <v>0</v>
      </c>
      <c r="V291" s="9">
        <v>0</v>
      </c>
      <c r="W291" s="9">
        <v>0</v>
      </c>
      <c r="X291" s="10">
        <v>0.16434615</v>
      </c>
      <c r="Y291" s="11">
        <v>4328448</v>
      </c>
      <c r="Z291" s="3">
        <v>1443.39</v>
      </c>
      <c r="AA291" s="3">
        <v>991</v>
      </c>
      <c r="AB291" s="3">
        <v>0</v>
      </c>
      <c r="AC291" s="3">
        <v>0</v>
      </c>
      <c r="AD291" s="3">
        <v>1.67</v>
      </c>
      <c r="AE291" s="34">
        <v>1</v>
      </c>
      <c r="AF291" s="33">
        <v>1364.86</v>
      </c>
      <c r="AG291" s="33">
        <v>1364.18</v>
      </c>
      <c r="AH291" s="3"/>
      <c r="AI291" s="33"/>
      <c r="AJ291" s="33"/>
      <c r="AK291" s="3"/>
      <c r="AL291" s="3"/>
    </row>
    <row r="292" spans="1:38" x14ac:dyDescent="0.2">
      <c r="A292">
        <v>2137</v>
      </c>
      <c r="B292">
        <v>1</v>
      </c>
      <c r="C292" t="s">
        <v>345</v>
      </c>
      <c r="D292">
        <v>2002</v>
      </c>
      <c r="E292">
        <v>0</v>
      </c>
      <c r="F292">
        <v>0</v>
      </c>
      <c r="G292">
        <v>0</v>
      </c>
      <c r="H292" s="3">
        <v>485.36</v>
      </c>
      <c r="I292" s="3">
        <v>0</v>
      </c>
      <c r="J292" s="3">
        <v>0</v>
      </c>
      <c r="K292" s="3">
        <v>0</v>
      </c>
      <c r="L292" s="3">
        <v>47.23</v>
      </c>
      <c r="M292" s="3">
        <v>0.99</v>
      </c>
      <c r="N292">
        <v>0</v>
      </c>
      <c r="O292">
        <v>0</v>
      </c>
      <c r="P292" s="3">
        <v>0</v>
      </c>
      <c r="Q292">
        <v>2003</v>
      </c>
      <c r="R292">
        <v>2012</v>
      </c>
      <c r="S292" s="3">
        <v>300</v>
      </c>
      <c r="T292" s="9">
        <v>1990</v>
      </c>
      <c r="U292" s="9">
        <v>0</v>
      </c>
      <c r="V292" s="9">
        <v>0</v>
      </c>
      <c r="W292" s="9">
        <v>0</v>
      </c>
      <c r="X292" s="10">
        <v>0.21506241000000001</v>
      </c>
      <c r="Y292" s="11">
        <v>2155802</v>
      </c>
      <c r="Z292" s="3">
        <v>1176.57</v>
      </c>
      <c r="AA292" s="3">
        <v>991</v>
      </c>
      <c r="AB292" s="3">
        <v>0</v>
      </c>
      <c r="AC292" s="3">
        <v>0</v>
      </c>
      <c r="AD292" s="3">
        <v>0.99</v>
      </c>
      <c r="AE292" s="34">
        <v>1</v>
      </c>
      <c r="AF292" s="33">
        <v>1094.76</v>
      </c>
      <c r="AG292" s="33">
        <v>1091.73</v>
      </c>
      <c r="AH292" s="3"/>
      <c r="AI292" s="33"/>
      <c r="AJ292" s="33"/>
      <c r="AK292" s="3"/>
      <c r="AL292" s="3"/>
    </row>
    <row r="293" spans="1:38" x14ac:dyDescent="0.2">
      <c r="A293">
        <v>2142</v>
      </c>
      <c r="B293">
        <v>1</v>
      </c>
      <c r="C293" t="s">
        <v>346</v>
      </c>
      <c r="D293">
        <v>2008</v>
      </c>
      <c r="E293">
        <v>0</v>
      </c>
      <c r="F293">
        <v>0</v>
      </c>
      <c r="G293">
        <v>0</v>
      </c>
      <c r="H293" s="3">
        <v>359.5</v>
      </c>
      <c r="I293" s="3">
        <v>0</v>
      </c>
      <c r="J293" s="3">
        <v>0</v>
      </c>
      <c r="K293" s="3">
        <v>0</v>
      </c>
      <c r="L293" s="3">
        <v>76.3</v>
      </c>
      <c r="M293" s="3">
        <v>0</v>
      </c>
      <c r="N293">
        <v>0</v>
      </c>
      <c r="O293">
        <v>0</v>
      </c>
      <c r="P293" s="3">
        <v>0</v>
      </c>
      <c r="Q293">
        <v>2003</v>
      </c>
      <c r="R293">
        <v>2012</v>
      </c>
      <c r="S293" s="3">
        <v>126</v>
      </c>
      <c r="T293" s="9">
        <v>1990</v>
      </c>
      <c r="U293" s="9">
        <v>0</v>
      </c>
      <c r="V293" s="9">
        <v>0</v>
      </c>
      <c r="W293" s="9">
        <v>0</v>
      </c>
      <c r="X293" s="10">
        <v>7.8349740000000001E-2</v>
      </c>
      <c r="Y293" s="11">
        <v>13229450</v>
      </c>
      <c r="Z293" s="3">
        <v>3551.37</v>
      </c>
      <c r="AA293" s="3">
        <v>9999.99</v>
      </c>
      <c r="AB293" s="3">
        <v>0</v>
      </c>
      <c r="AC293" s="3">
        <v>0</v>
      </c>
      <c r="AD293" s="3">
        <v>4.33</v>
      </c>
      <c r="AE293" s="34">
        <v>0</v>
      </c>
      <c r="AF293" s="33">
        <v>3200.34</v>
      </c>
      <c r="AG293" s="33">
        <v>3185.13</v>
      </c>
      <c r="AH293" s="3"/>
      <c r="AI293" s="33"/>
      <c r="AJ293" s="33"/>
      <c r="AK293" s="3"/>
      <c r="AL293" s="3"/>
    </row>
    <row r="294" spans="1:38" x14ac:dyDescent="0.2">
      <c r="A294">
        <v>2143</v>
      </c>
      <c r="B294">
        <v>1</v>
      </c>
      <c r="C294" t="s">
        <v>347</v>
      </c>
      <c r="D294">
        <v>2006</v>
      </c>
      <c r="E294">
        <v>2008</v>
      </c>
      <c r="F294">
        <v>0</v>
      </c>
      <c r="G294">
        <v>0</v>
      </c>
      <c r="H294" s="3">
        <v>229.54</v>
      </c>
      <c r="I294" s="3">
        <v>313.70999999999998</v>
      </c>
      <c r="J294" s="3">
        <v>0</v>
      </c>
      <c r="K294" s="3">
        <v>0</v>
      </c>
      <c r="L294" s="3">
        <v>129.44</v>
      </c>
      <c r="M294" s="3">
        <v>1.61</v>
      </c>
      <c r="N294">
        <v>0</v>
      </c>
      <c r="O294">
        <v>0</v>
      </c>
      <c r="P294" s="3">
        <v>0</v>
      </c>
      <c r="Q294">
        <v>0</v>
      </c>
      <c r="R294">
        <v>0</v>
      </c>
      <c r="S294" s="3">
        <v>0</v>
      </c>
      <c r="T294" s="9">
        <v>1995</v>
      </c>
      <c r="U294" s="9">
        <v>1990</v>
      </c>
      <c r="V294" s="9">
        <v>0</v>
      </c>
      <c r="W294" s="9">
        <v>0</v>
      </c>
      <c r="X294" s="10">
        <v>9.9572900000000006E-2</v>
      </c>
      <c r="Y294" s="11">
        <v>3269767</v>
      </c>
      <c r="Z294" s="3">
        <v>1278.32</v>
      </c>
      <c r="AA294" s="3">
        <v>991</v>
      </c>
      <c r="AB294" s="3">
        <v>0</v>
      </c>
      <c r="AC294" s="3">
        <v>0</v>
      </c>
      <c r="AD294" s="3">
        <v>1.61</v>
      </c>
      <c r="AE294" s="34">
        <v>1</v>
      </c>
      <c r="AF294" s="33">
        <v>1275.75</v>
      </c>
      <c r="AG294" s="33">
        <v>1255.94</v>
      </c>
      <c r="AH294" s="3"/>
      <c r="AI294" s="33"/>
      <c r="AJ294" s="33"/>
      <c r="AK294" s="3"/>
      <c r="AL294" s="3"/>
    </row>
    <row r="295" spans="1:38" x14ac:dyDescent="0.2">
      <c r="A295">
        <v>2144</v>
      </c>
      <c r="B295">
        <v>1</v>
      </c>
      <c r="C295" t="s">
        <v>348</v>
      </c>
      <c r="D295">
        <v>2006</v>
      </c>
      <c r="E295">
        <v>0</v>
      </c>
      <c r="F295">
        <v>0</v>
      </c>
      <c r="G295">
        <v>0</v>
      </c>
      <c r="H295" s="3">
        <v>27.95</v>
      </c>
      <c r="I295" s="3">
        <v>0</v>
      </c>
      <c r="J295" s="3">
        <v>0</v>
      </c>
      <c r="K295" s="3">
        <v>0</v>
      </c>
      <c r="L295" s="3">
        <v>27.95</v>
      </c>
      <c r="M295" s="3">
        <v>1.54</v>
      </c>
      <c r="N295">
        <v>2002</v>
      </c>
      <c r="O295">
        <v>2011</v>
      </c>
      <c r="P295" s="3">
        <v>415</v>
      </c>
      <c r="Q295">
        <v>2003</v>
      </c>
      <c r="R295">
        <v>2012</v>
      </c>
      <c r="S295" s="3">
        <v>400</v>
      </c>
      <c r="T295" s="9">
        <v>1990</v>
      </c>
      <c r="U295" s="9">
        <v>0</v>
      </c>
      <c r="V295" s="9">
        <v>0</v>
      </c>
      <c r="W295" s="9">
        <v>0</v>
      </c>
      <c r="X295" s="10">
        <v>0</v>
      </c>
      <c r="Y295" s="11">
        <v>9660249</v>
      </c>
      <c r="Z295" s="3">
        <v>4249.63</v>
      </c>
      <c r="AA295" s="3">
        <v>991</v>
      </c>
      <c r="AB295" s="3">
        <v>0</v>
      </c>
      <c r="AC295" s="3">
        <v>0</v>
      </c>
      <c r="AD295" s="3">
        <v>1.54</v>
      </c>
      <c r="AE295" s="34">
        <v>1</v>
      </c>
      <c r="AF295" s="33">
        <v>4265.13</v>
      </c>
      <c r="AG295" s="33">
        <v>4254.92</v>
      </c>
      <c r="AH295" s="3"/>
      <c r="AI295" s="33"/>
      <c r="AJ295" s="33"/>
      <c r="AK295" s="3"/>
      <c r="AL295" s="3"/>
    </row>
    <row r="296" spans="1:38" x14ac:dyDescent="0.2">
      <c r="A296">
        <v>2149</v>
      </c>
      <c r="B296">
        <v>1</v>
      </c>
      <c r="C296" t="s">
        <v>349</v>
      </c>
      <c r="D296">
        <v>2006</v>
      </c>
      <c r="E296">
        <v>2006</v>
      </c>
      <c r="F296">
        <v>2010</v>
      </c>
      <c r="G296">
        <v>0</v>
      </c>
      <c r="H296" s="3">
        <v>55.03</v>
      </c>
      <c r="I296" s="3">
        <v>238.5</v>
      </c>
      <c r="J296" s="3">
        <v>220.38</v>
      </c>
      <c r="K296" s="3">
        <v>0</v>
      </c>
      <c r="L296" s="3">
        <v>100</v>
      </c>
      <c r="M296" s="3">
        <v>1.49</v>
      </c>
      <c r="N296">
        <v>0</v>
      </c>
      <c r="O296">
        <v>0</v>
      </c>
      <c r="P296" s="3">
        <v>0</v>
      </c>
      <c r="Q296">
        <v>0</v>
      </c>
      <c r="R296">
        <v>0</v>
      </c>
      <c r="S296" s="3">
        <v>0</v>
      </c>
      <c r="T296" s="9">
        <v>1990</v>
      </c>
      <c r="U296" s="9">
        <v>1995</v>
      </c>
      <c r="V296" s="9">
        <v>1999</v>
      </c>
      <c r="W296" s="9">
        <v>0</v>
      </c>
      <c r="X296" s="10">
        <v>2.0055449999999999E-2</v>
      </c>
      <c r="Y296" s="11">
        <v>4497008</v>
      </c>
      <c r="Z296" s="3">
        <v>2018.62</v>
      </c>
      <c r="AA296" s="3">
        <v>991</v>
      </c>
      <c r="AB296" s="3">
        <v>0</v>
      </c>
      <c r="AC296" s="3">
        <v>0</v>
      </c>
      <c r="AD296" s="3">
        <v>1.49</v>
      </c>
      <c r="AE296" s="34">
        <v>1</v>
      </c>
      <c r="AF296" s="33">
        <v>1825.75</v>
      </c>
      <c r="AG296" s="33">
        <v>1820.53</v>
      </c>
      <c r="AH296" s="3"/>
      <c r="AI296" s="33"/>
      <c r="AJ296" s="33"/>
      <c r="AK296" s="3"/>
      <c r="AL296" s="3"/>
    </row>
    <row r="297" spans="1:38" x14ac:dyDescent="0.2">
      <c r="A297">
        <v>2154</v>
      </c>
      <c r="B297">
        <v>1</v>
      </c>
      <c r="C297" t="s">
        <v>350</v>
      </c>
      <c r="D297">
        <v>2008</v>
      </c>
      <c r="E297">
        <v>2009</v>
      </c>
      <c r="F297">
        <v>0</v>
      </c>
      <c r="G297">
        <v>0</v>
      </c>
      <c r="H297" s="3">
        <v>118.2</v>
      </c>
      <c r="I297" s="3">
        <v>247.38</v>
      </c>
      <c r="J297" s="3">
        <v>0</v>
      </c>
      <c r="K297" s="3">
        <v>0</v>
      </c>
      <c r="L297" s="3">
        <v>0</v>
      </c>
      <c r="M297" s="3">
        <v>80.36</v>
      </c>
      <c r="N297">
        <v>0</v>
      </c>
      <c r="O297">
        <v>0</v>
      </c>
      <c r="P297" s="3">
        <v>0</v>
      </c>
      <c r="Q297">
        <v>2003</v>
      </c>
      <c r="R297">
        <v>2012</v>
      </c>
      <c r="S297" s="3">
        <v>334.64</v>
      </c>
      <c r="T297" s="9">
        <v>1990</v>
      </c>
      <c r="U297" s="9">
        <v>1998</v>
      </c>
      <c r="V297" s="9">
        <v>0</v>
      </c>
      <c r="W297" s="9">
        <v>0</v>
      </c>
      <c r="X297" s="10">
        <v>6.349109E-2</v>
      </c>
      <c r="Y297" s="11">
        <v>2555782</v>
      </c>
      <c r="Z297" s="3">
        <v>1690.92</v>
      </c>
      <c r="AA297" s="3">
        <v>991</v>
      </c>
      <c r="AB297" s="3">
        <v>0</v>
      </c>
      <c r="AC297" s="3">
        <v>80.400000000000006</v>
      </c>
      <c r="AD297" s="3">
        <v>0.88</v>
      </c>
      <c r="AE297" s="34">
        <v>1</v>
      </c>
      <c r="AF297" s="33">
        <v>1562.47</v>
      </c>
      <c r="AG297" s="33">
        <v>1556.39</v>
      </c>
      <c r="AH297" s="3"/>
      <c r="AI297" s="33"/>
      <c r="AJ297" s="33"/>
      <c r="AK297" s="3"/>
      <c r="AL297" s="3"/>
    </row>
    <row r="298" spans="1:38" x14ac:dyDescent="0.2">
      <c r="A298">
        <v>2155</v>
      </c>
      <c r="B298">
        <v>1</v>
      </c>
      <c r="C298" t="s">
        <v>351</v>
      </c>
      <c r="D298">
        <v>2005</v>
      </c>
      <c r="E298">
        <v>0</v>
      </c>
      <c r="F298">
        <v>0</v>
      </c>
      <c r="G298">
        <v>0</v>
      </c>
      <c r="H298" s="3">
        <v>417.71</v>
      </c>
      <c r="I298" s="3">
        <v>0</v>
      </c>
      <c r="J298" s="3">
        <v>0</v>
      </c>
      <c r="K298" s="3">
        <v>0</v>
      </c>
      <c r="L298" s="3">
        <v>102.52</v>
      </c>
      <c r="M298" s="3">
        <v>0</v>
      </c>
      <c r="N298">
        <v>0</v>
      </c>
      <c r="O298">
        <v>0</v>
      </c>
      <c r="P298" s="3">
        <v>0</v>
      </c>
      <c r="Q298">
        <v>2003</v>
      </c>
      <c r="R298">
        <v>2012</v>
      </c>
      <c r="S298" s="3">
        <v>100</v>
      </c>
      <c r="T298" s="9">
        <v>1994</v>
      </c>
      <c r="U298" s="9">
        <v>0</v>
      </c>
      <c r="V298" s="9">
        <v>0</v>
      </c>
      <c r="W298" s="9">
        <v>0</v>
      </c>
      <c r="X298" s="10">
        <v>0</v>
      </c>
      <c r="Y298" s="11">
        <v>2333618</v>
      </c>
      <c r="Z298" s="3">
        <v>1690.3</v>
      </c>
      <c r="AA298" s="3">
        <v>991</v>
      </c>
      <c r="AB298" s="3">
        <v>0</v>
      </c>
      <c r="AC298" s="3">
        <v>0</v>
      </c>
      <c r="AD298" s="3">
        <v>0.83</v>
      </c>
      <c r="AE298" s="34">
        <v>0</v>
      </c>
      <c r="AF298" s="33">
        <v>1648.39</v>
      </c>
      <c r="AG298" s="33">
        <v>1629.38</v>
      </c>
      <c r="AH298" s="3"/>
      <c r="AI298" s="33"/>
      <c r="AJ298" s="33"/>
      <c r="AK298" s="3"/>
      <c r="AL298" s="3"/>
    </row>
    <row r="299" spans="1:38" x14ac:dyDescent="0.2">
      <c r="A299">
        <v>2159</v>
      </c>
      <c r="B299">
        <v>1</v>
      </c>
      <c r="C299" t="s">
        <v>352</v>
      </c>
      <c r="D299">
        <v>2008</v>
      </c>
      <c r="E299">
        <v>0</v>
      </c>
      <c r="F299">
        <v>0</v>
      </c>
      <c r="G299">
        <v>0</v>
      </c>
      <c r="H299" s="3">
        <v>610.77</v>
      </c>
      <c r="I299" s="3">
        <v>0</v>
      </c>
      <c r="J299" s="3">
        <v>0</v>
      </c>
      <c r="K299" s="3">
        <v>0</v>
      </c>
      <c r="L299" s="3">
        <v>109.74</v>
      </c>
      <c r="M299" s="3">
        <v>3.09</v>
      </c>
      <c r="N299">
        <v>0</v>
      </c>
      <c r="O299">
        <v>0</v>
      </c>
      <c r="P299" s="3">
        <v>0</v>
      </c>
      <c r="Q299">
        <v>0</v>
      </c>
      <c r="R299">
        <v>0</v>
      </c>
      <c r="S299" s="3">
        <v>0</v>
      </c>
      <c r="T299" s="9">
        <v>1990</v>
      </c>
      <c r="U299" s="9">
        <v>0</v>
      </c>
      <c r="V299" s="9">
        <v>0</v>
      </c>
      <c r="W299" s="9">
        <v>0</v>
      </c>
      <c r="X299" s="10">
        <v>0.11581275000000001</v>
      </c>
      <c r="Y299" s="11">
        <v>3063882</v>
      </c>
      <c r="Z299">
        <v>715.59</v>
      </c>
      <c r="AA299" s="3">
        <v>9999.99</v>
      </c>
      <c r="AB299" s="3">
        <v>0</v>
      </c>
      <c r="AC299" s="3">
        <v>0</v>
      </c>
      <c r="AD299" s="3">
        <v>3.09</v>
      </c>
      <c r="AE299" s="34">
        <v>1</v>
      </c>
      <c r="AF299" s="33">
        <v>661.98</v>
      </c>
      <c r="AG299" s="33">
        <v>661.01</v>
      </c>
      <c r="AH299" s="3"/>
      <c r="AI299" s="33"/>
      <c r="AJ299" s="33"/>
      <c r="AK299" s="3"/>
      <c r="AL299" s="3"/>
    </row>
    <row r="300" spans="1:38" x14ac:dyDescent="0.2">
      <c r="A300">
        <v>2164</v>
      </c>
      <c r="B300">
        <v>1</v>
      </c>
      <c r="C300" t="s">
        <v>353</v>
      </c>
      <c r="D300">
        <v>2003</v>
      </c>
      <c r="E300">
        <v>2008</v>
      </c>
      <c r="F300">
        <v>0</v>
      </c>
      <c r="G300">
        <v>0</v>
      </c>
      <c r="H300" s="3">
        <v>205</v>
      </c>
      <c r="I300" s="3">
        <v>190.64</v>
      </c>
      <c r="J300" s="3">
        <v>0</v>
      </c>
      <c r="K300" s="3">
        <v>0</v>
      </c>
      <c r="L300" s="3">
        <v>55.9</v>
      </c>
      <c r="M300" s="3">
        <v>74.39</v>
      </c>
      <c r="N300">
        <v>0</v>
      </c>
      <c r="O300">
        <v>0</v>
      </c>
      <c r="P300" s="3">
        <v>0</v>
      </c>
      <c r="Q300">
        <v>0</v>
      </c>
      <c r="R300">
        <v>0</v>
      </c>
      <c r="S300" s="3">
        <v>0</v>
      </c>
      <c r="T300" s="9">
        <v>1997</v>
      </c>
      <c r="U300" s="9">
        <v>1990</v>
      </c>
      <c r="V300" s="9">
        <v>0</v>
      </c>
      <c r="W300" s="9">
        <v>0</v>
      </c>
      <c r="X300" s="10">
        <v>7.601028E-2</v>
      </c>
      <c r="Y300" s="11">
        <v>2958008</v>
      </c>
      <c r="Z300" s="3">
        <v>1452.67</v>
      </c>
      <c r="AA300" s="3">
        <v>991</v>
      </c>
      <c r="AB300" s="3">
        <v>73.75</v>
      </c>
      <c r="AC300" s="3">
        <v>0</v>
      </c>
      <c r="AD300" s="3">
        <v>1.04</v>
      </c>
      <c r="AE300" s="34">
        <v>1</v>
      </c>
      <c r="AF300" s="33">
        <v>1442.7</v>
      </c>
      <c r="AG300" s="33">
        <v>1433.3</v>
      </c>
      <c r="AH300" s="3"/>
      <c r="AI300" s="33"/>
      <c r="AJ300" s="33"/>
      <c r="AK300" s="3"/>
      <c r="AL300" s="3"/>
    </row>
    <row r="301" spans="1:38" x14ac:dyDescent="0.2">
      <c r="A301">
        <v>2165</v>
      </c>
      <c r="B301">
        <v>1</v>
      </c>
      <c r="C301" t="s">
        <v>354</v>
      </c>
      <c r="D301">
        <v>2003</v>
      </c>
      <c r="E301">
        <v>2008</v>
      </c>
      <c r="F301">
        <v>0</v>
      </c>
      <c r="G301">
        <v>0</v>
      </c>
      <c r="H301" s="3">
        <v>242.59</v>
      </c>
      <c r="I301" s="3">
        <v>94.4</v>
      </c>
      <c r="J301" s="3">
        <v>0</v>
      </c>
      <c r="K301" s="3">
        <v>0</v>
      </c>
      <c r="L301" s="3">
        <v>16.95</v>
      </c>
      <c r="M301" s="3">
        <v>85.19</v>
      </c>
      <c r="N301">
        <v>0</v>
      </c>
      <c r="O301">
        <v>0</v>
      </c>
      <c r="P301" s="3">
        <v>0</v>
      </c>
      <c r="Q301">
        <v>2003</v>
      </c>
      <c r="R301">
        <v>2009</v>
      </c>
      <c r="S301" s="3">
        <v>126</v>
      </c>
      <c r="T301" s="9">
        <v>1995</v>
      </c>
      <c r="U301" s="9">
        <v>1990</v>
      </c>
      <c r="V301" s="9">
        <v>0</v>
      </c>
      <c r="W301" s="9">
        <v>0</v>
      </c>
      <c r="X301" s="10">
        <v>3.3281610000000003E-2</v>
      </c>
      <c r="Y301" s="11">
        <v>3130449</v>
      </c>
      <c r="Z301" s="3">
        <v>1359.44</v>
      </c>
      <c r="AA301" s="3">
        <v>991</v>
      </c>
      <c r="AB301" s="3">
        <v>0</v>
      </c>
      <c r="AC301" s="3">
        <v>81.63</v>
      </c>
      <c r="AD301" s="3">
        <v>1.9</v>
      </c>
      <c r="AE301" s="34">
        <v>1</v>
      </c>
      <c r="AF301" s="33">
        <v>1292.3900000000001</v>
      </c>
      <c r="AG301" s="33">
        <v>1290.0899999999999</v>
      </c>
      <c r="AH301" s="3"/>
      <c r="AI301" s="33"/>
      <c r="AJ301" s="33"/>
      <c r="AK301" s="3"/>
      <c r="AL301" s="3"/>
    </row>
    <row r="302" spans="1:38" x14ac:dyDescent="0.2">
      <c r="A302">
        <v>2167</v>
      </c>
      <c r="B302">
        <v>1</v>
      </c>
      <c r="C302" t="s">
        <v>355</v>
      </c>
      <c r="D302">
        <v>2008</v>
      </c>
      <c r="E302">
        <v>0</v>
      </c>
      <c r="F302">
        <v>0</v>
      </c>
      <c r="G302">
        <v>0</v>
      </c>
      <c r="H302" s="3">
        <v>365.47</v>
      </c>
      <c r="I302" s="3">
        <v>0</v>
      </c>
      <c r="J302" s="3">
        <v>0</v>
      </c>
      <c r="K302" s="3">
        <v>0</v>
      </c>
      <c r="L302" s="3">
        <v>100</v>
      </c>
      <c r="M302" s="3">
        <v>0</v>
      </c>
      <c r="N302">
        <v>0</v>
      </c>
      <c r="O302">
        <v>0</v>
      </c>
      <c r="P302" s="3">
        <v>0</v>
      </c>
      <c r="Q302">
        <v>2003</v>
      </c>
      <c r="R302">
        <v>2012</v>
      </c>
      <c r="S302" s="3">
        <v>5</v>
      </c>
      <c r="T302" s="9">
        <v>1990</v>
      </c>
      <c r="U302" s="9">
        <v>0</v>
      </c>
      <c r="V302" s="9">
        <v>0</v>
      </c>
      <c r="W302" s="9">
        <v>0</v>
      </c>
      <c r="X302" s="10">
        <v>9.7795610000000005E-2</v>
      </c>
      <c r="Y302" s="11">
        <v>2011188</v>
      </c>
      <c r="Z302">
        <v>662.87</v>
      </c>
      <c r="AA302" s="3">
        <v>9999.99</v>
      </c>
      <c r="AB302" s="3">
        <v>0</v>
      </c>
      <c r="AC302" s="3">
        <v>0</v>
      </c>
      <c r="AD302" s="3">
        <v>1.88</v>
      </c>
      <c r="AE302" s="34">
        <v>0</v>
      </c>
      <c r="AF302" s="33">
        <v>629.49</v>
      </c>
      <c r="AG302" s="33">
        <v>628.04</v>
      </c>
      <c r="AH302" s="3"/>
      <c r="AI302" s="33"/>
      <c r="AJ302" s="33"/>
      <c r="AK302" s="3"/>
      <c r="AL302" s="3"/>
    </row>
    <row r="303" spans="1:38" x14ac:dyDescent="0.2">
      <c r="A303">
        <v>2168</v>
      </c>
      <c r="B303">
        <v>1</v>
      </c>
      <c r="C303" t="s">
        <v>356</v>
      </c>
      <c r="D303">
        <v>2006</v>
      </c>
      <c r="E303">
        <v>0</v>
      </c>
      <c r="F303">
        <v>0</v>
      </c>
      <c r="G303">
        <v>0</v>
      </c>
      <c r="H303" s="3">
        <v>401</v>
      </c>
      <c r="I303" s="3">
        <v>0</v>
      </c>
      <c r="J303" s="3">
        <v>0</v>
      </c>
      <c r="K303" s="3">
        <v>0</v>
      </c>
      <c r="L303" s="3">
        <v>49.03</v>
      </c>
      <c r="M303" s="3">
        <v>1.92</v>
      </c>
      <c r="N303">
        <v>0</v>
      </c>
      <c r="O303">
        <v>0</v>
      </c>
      <c r="P303" s="3">
        <v>0</v>
      </c>
      <c r="Q303">
        <v>0</v>
      </c>
      <c r="R303">
        <v>0</v>
      </c>
      <c r="S303" s="3">
        <v>0</v>
      </c>
      <c r="T303" s="9">
        <v>1990</v>
      </c>
      <c r="U303" s="9">
        <v>0</v>
      </c>
      <c r="V303" s="9">
        <v>0</v>
      </c>
      <c r="W303" s="9">
        <v>0</v>
      </c>
      <c r="X303" s="10">
        <v>0.10218468999999999</v>
      </c>
      <c r="Y303" s="11">
        <v>3623012</v>
      </c>
      <c r="Z303" s="3">
        <v>1137.1500000000001</v>
      </c>
      <c r="AA303" s="3">
        <v>991</v>
      </c>
      <c r="AB303" s="3">
        <v>0</v>
      </c>
      <c r="AC303" s="3">
        <v>0</v>
      </c>
      <c r="AD303" s="3">
        <v>1.92</v>
      </c>
      <c r="AE303" s="34">
        <v>1</v>
      </c>
      <c r="AF303" s="33">
        <v>1082.3900000000001</v>
      </c>
      <c r="AG303" s="33">
        <v>1081.4100000000001</v>
      </c>
      <c r="AH303" s="3"/>
      <c r="AI303" s="33"/>
      <c r="AJ303" s="33"/>
      <c r="AK303" s="3"/>
      <c r="AL303" s="3"/>
    </row>
    <row r="304" spans="1:38" x14ac:dyDescent="0.2">
      <c r="A304">
        <v>2169</v>
      </c>
      <c r="B304">
        <v>1</v>
      </c>
      <c r="C304" t="s">
        <v>357</v>
      </c>
      <c r="D304">
        <v>2008</v>
      </c>
      <c r="E304">
        <v>0</v>
      </c>
      <c r="F304">
        <v>0</v>
      </c>
      <c r="G304">
        <v>0</v>
      </c>
      <c r="H304" s="3">
        <v>416.58</v>
      </c>
      <c r="I304" s="3">
        <v>0</v>
      </c>
      <c r="J304" s="3">
        <v>0</v>
      </c>
      <c r="K304" s="3">
        <v>0</v>
      </c>
      <c r="L304" s="3">
        <v>68.87</v>
      </c>
      <c r="M304" s="3">
        <v>75.47</v>
      </c>
      <c r="N304">
        <v>0</v>
      </c>
      <c r="O304">
        <v>0</v>
      </c>
      <c r="P304" s="3">
        <v>0</v>
      </c>
      <c r="Q304">
        <v>2003</v>
      </c>
      <c r="R304">
        <v>2012</v>
      </c>
      <c r="S304" s="3">
        <v>828.15</v>
      </c>
      <c r="T304" s="9">
        <v>1990</v>
      </c>
      <c r="U304" s="9">
        <v>0</v>
      </c>
      <c r="V304" s="9">
        <v>0</v>
      </c>
      <c r="W304" s="9">
        <v>0</v>
      </c>
      <c r="X304" s="10">
        <v>0.11346094</v>
      </c>
      <c r="Y304" s="11">
        <v>3123417</v>
      </c>
      <c r="Z304" s="3">
        <v>1047.83</v>
      </c>
      <c r="AA304" s="3">
        <v>9999.99</v>
      </c>
      <c r="AB304" s="3">
        <v>70.540000000000006</v>
      </c>
      <c r="AC304" s="3">
        <v>0</v>
      </c>
      <c r="AD304" s="3">
        <v>1.92</v>
      </c>
      <c r="AE304" s="34">
        <v>1</v>
      </c>
      <c r="AF304" s="33">
        <v>964.55</v>
      </c>
      <c r="AG304" s="33">
        <v>960.36</v>
      </c>
      <c r="AH304" s="3"/>
      <c r="AI304" s="33"/>
      <c r="AJ304" s="33"/>
      <c r="AK304" s="3"/>
      <c r="AL304" s="3"/>
    </row>
    <row r="305" spans="1:38" x14ac:dyDescent="0.2">
      <c r="A305">
        <v>2170</v>
      </c>
      <c r="B305">
        <v>1</v>
      </c>
      <c r="C305" t="s">
        <v>358</v>
      </c>
      <c r="D305">
        <v>2006</v>
      </c>
      <c r="E305">
        <v>0</v>
      </c>
      <c r="F305">
        <v>0</v>
      </c>
      <c r="G305">
        <v>0</v>
      </c>
      <c r="H305" s="3">
        <v>415</v>
      </c>
      <c r="I305" s="3">
        <v>0</v>
      </c>
      <c r="J305" s="3">
        <v>0</v>
      </c>
      <c r="K305" s="3">
        <v>0</v>
      </c>
      <c r="L305" s="3">
        <v>0</v>
      </c>
      <c r="M305" s="3">
        <v>60.01</v>
      </c>
      <c r="N305">
        <v>0</v>
      </c>
      <c r="O305">
        <v>0</v>
      </c>
      <c r="P305" s="3">
        <v>0</v>
      </c>
      <c r="Q305">
        <v>0</v>
      </c>
      <c r="R305">
        <v>0</v>
      </c>
      <c r="S305" s="3">
        <v>0</v>
      </c>
      <c r="T305" s="9">
        <v>1999</v>
      </c>
      <c r="U305" s="9">
        <v>0</v>
      </c>
      <c r="V305" s="9">
        <v>0</v>
      </c>
      <c r="W305" s="9">
        <v>0</v>
      </c>
      <c r="X305" s="10">
        <v>0</v>
      </c>
      <c r="Y305" s="11">
        <v>3466255</v>
      </c>
      <c r="Z305" s="3">
        <v>2158.89</v>
      </c>
      <c r="AA305" s="3">
        <v>991</v>
      </c>
      <c r="AB305" s="3">
        <v>22.82</v>
      </c>
      <c r="AC305" s="3">
        <v>36.53</v>
      </c>
      <c r="AD305" s="3">
        <v>1.1200000000000001</v>
      </c>
      <c r="AE305" s="34">
        <v>1</v>
      </c>
      <c r="AF305" s="33">
        <v>2041.8</v>
      </c>
      <c r="AG305" s="33">
        <v>2016.85</v>
      </c>
      <c r="AH305" s="3"/>
      <c r="AI305" s="33"/>
      <c r="AJ305" s="33"/>
      <c r="AK305" s="3"/>
      <c r="AL305" s="3"/>
    </row>
    <row r="306" spans="1:38" x14ac:dyDescent="0.2">
      <c r="A306">
        <v>2171</v>
      </c>
      <c r="B306">
        <v>1</v>
      </c>
      <c r="C306" t="s">
        <v>359</v>
      </c>
      <c r="D306">
        <v>2006</v>
      </c>
      <c r="E306">
        <v>2008</v>
      </c>
      <c r="F306">
        <v>0</v>
      </c>
      <c r="G306">
        <v>0</v>
      </c>
      <c r="H306" s="3">
        <v>1987.48</v>
      </c>
      <c r="I306" s="3">
        <v>662.49</v>
      </c>
      <c r="J306" s="3">
        <v>0</v>
      </c>
      <c r="K306" s="3">
        <v>0</v>
      </c>
      <c r="L306" s="3">
        <v>0</v>
      </c>
      <c r="M306" s="3">
        <v>95.44</v>
      </c>
      <c r="N306">
        <v>0</v>
      </c>
      <c r="O306">
        <v>0</v>
      </c>
      <c r="P306" s="3">
        <v>0</v>
      </c>
      <c r="Q306">
        <v>0</v>
      </c>
      <c r="R306">
        <v>0</v>
      </c>
      <c r="S306" s="3">
        <v>0</v>
      </c>
      <c r="T306" s="9">
        <v>1990</v>
      </c>
      <c r="U306" s="9">
        <v>1990</v>
      </c>
      <c r="V306" s="9">
        <v>0</v>
      </c>
      <c r="W306" s="9">
        <v>0</v>
      </c>
      <c r="X306" s="10">
        <v>0.28907365000000002</v>
      </c>
      <c r="Y306" s="11">
        <v>4078586</v>
      </c>
      <c r="Z306">
        <v>548.01</v>
      </c>
      <c r="AA306" s="3">
        <v>9999.99</v>
      </c>
      <c r="AB306" s="3">
        <v>0</v>
      </c>
      <c r="AC306" s="3">
        <v>90.17</v>
      </c>
      <c r="AD306" s="3">
        <v>7.79</v>
      </c>
      <c r="AE306" s="34">
        <v>1</v>
      </c>
      <c r="AF306" s="33">
        <v>476.58</v>
      </c>
      <c r="AG306" s="33">
        <v>476.55</v>
      </c>
      <c r="AH306" s="3"/>
      <c r="AI306" s="33"/>
      <c r="AJ306" s="33"/>
      <c r="AK306" s="3"/>
      <c r="AL306" s="3"/>
    </row>
    <row r="307" spans="1:38" x14ac:dyDescent="0.2">
      <c r="A307">
        <v>2172</v>
      </c>
      <c r="B307">
        <v>1</v>
      </c>
      <c r="C307" t="s">
        <v>360</v>
      </c>
      <c r="D307">
        <v>2007</v>
      </c>
      <c r="E307">
        <v>2008</v>
      </c>
      <c r="F307">
        <v>0</v>
      </c>
      <c r="G307">
        <v>0</v>
      </c>
      <c r="H307" s="3">
        <v>312.85000000000002</v>
      </c>
      <c r="I307" s="3">
        <v>73.599999999999994</v>
      </c>
      <c r="J307" s="3">
        <v>0</v>
      </c>
      <c r="K307" s="3">
        <v>0</v>
      </c>
      <c r="L307" s="3">
        <v>33.76</v>
      </c>
      <c r="M307" s="3">
        <v>3.49</v>
      </c>
      <c r="N307">
        <v>0</v>
      </c>
      <c r="O307">
        <v>0</v>
      </c>
      <c r="P307" s="3">
        <v>0</v>
      </c>
      <c r="Q307">
        <v>2003</v>
      </c>
      <c r="R307">
        <v>2012</v>
      </c>
      <c r="S307" s="3">
        <v>126</v>
      </c>
      <c r="T307" s="9">
        <v>1996</v>
      </c>
      <c r="U307" s="9">
        <v>1990</v>
      </c>
      <c r="V307" s="9">
        <v>0</v>
      </c>
      <c r="W307" s="9">
        <v>0</v>
      </c>
      <c r="X307" s="10">
        <v>2.193937E-2</v>
      </c>
      <c r="Y307" s="11">
        <v>3341564</v>
      </c>
      <c r="Z307" s="3">
        <v>1226.8599999999999</v>
      </c>
      <c r="AA307" s="3">
        <v>991</v>
      </c>
      <c r="AB307" s="3">
        <v>2.39</v>
      </c>
      <c r="AC307" s="3">
        <v>0</v>
      </c>
      <c r="AD307" s="3">
        <v>1.4</v>
      </c>
      <c r="AE307" s="34">
        <v>1</v>
      </c>
      <c r="AF307" s="33">
        <v>1154.3399999999999</v>
      </c>
      <c r="AG307" s="33">
        <v>1152.0999999999999</v>
      </c>
      <c r="AH307" s="3"/>
      <c r="AI307" s="33"/>
      <c r="AJ307" s="33"/>
      <c r="AK307" s="3"/>
      <c r="AL307" s="3"/>
    </row>
    <row r="308" spans="1:38" x14ac:dyDescent="0.2">
      <c r="A308">
        <v>2174</v>
      </c>
      <c r="B308">
        <v>1</v>
      </c>
      <c r="C308" t="s">
        <v>361</v>
      </c>
      <c r="D308">
        <v>0</v>
      </c>
      <c r="E308">
        <v>0</v>
      </c>
      <c r="F308">
        <v>0</v>
      </c>
      <c r="G308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>
        <v>0</v>
      </c>
      <c r="O308">
        <v>0</v>
      </c>
      <c r="P308" s="3">
        <v>0</v>
      </c>
      <c r="Q308">
        <v>0</v>
      </c>
      <c r="R308">
        <v>0</v>
      </c>
      <c r="S308" s="3">
        <v>0</v>
      </c>
      <c r="T308" s="9">
        <v>0</v>
      </c>
      <c r="U308" s="9">
        <v>0</v>
      </c>
      <c r="V308" s="9">
        <v>0</v>
      </c>
      <c r="W308" s="9">
        <v>0</v>
      </c>
      <c r="X308" s="10">
        <v>0</v>
      </c>
      <c r="Y308" s="11">
        <v>5316374</v>
      </c>
      <c r="Z308" s="3">
        <v>1545.64</v>
      </c>
      <c r="AA308" s="3">
        <v>991</v>
      </c>
      <c r="AB308" s="3">
        <v>0</v>
      </c>
      <c r="AC308" s="3">
        <v>0</v>
      </c>
      <c r="AD308" s="3">
        <v>4.13</v>
      </c>
      <c r="AE308" s="34">
        <v>0</v>
      </c>
      <c r="AF308" s="33">
        <v>1378.17</v>
      </c>
      <c r="AG308" s="33">
        <v>1355.6</v>
      </c>
      <c r="AH308" s="3"/>
      <c r="AI308" s="33"/>
      <c r="AJ308" s="33"/>
      <c r="AK308" s="3"/>
      <c r="AL308" s="3"/>
    </row>
    <row r="309" spans="1:38" x14ac:dyDescent="0.2">
      <c r="A309">
        <v>2176</v>
      </c>
      <c r="B309">
        <v>1</v>
      </c>
      <c r="C309" t="s">
        <v>362</v>
      </c>
      <c r="D309">
        <v>2006</v>
      </c>
      <c r="E309">
        <v>0</v>
      </c>
      <c r="F309">
        <v>0</v>
      </c>
      <c r="G309">
        <v>0</v>
      </c>
      <c r="H309" s="3">
        <v>1180.75</v>
      </c>
      <c r="I309" s="3">
        <v>0</v>
      </c>
      <c r="J309" s="3">
        <v>0</v>
      </c>
      <c r="K309" s="3">
        <v>0</v>
      </c>
      <c r="L309" s="3">
        <v>94.67</v>
      </c>
      <c r="M309" s="3">
        <v>0</v>
      </c>
      <c r="N309">
        <v>0</v>
      </c>
      <c r="O309">
        <v>0</v>
      </c>
      <c r="P309" s="3">
        <v>0</v>
      </c>
      <c r="Q309">
        <v>0</v>
      </c>
      <c r="R309">
        <v>0</v>
      </c>
      <c r="S309" s="3">
        <v>0</v>
      </c>
      <c r="T309" s="9">
        <v>1990</v>
      </c>
      <c r="U309" s="9">
        <v>0</v>
      </c>
      <c r="V309" s="9">
        <v>0</v>
      </c>
      <c r="W309" s="9">
        <v>0</v>
      </c>
      <c r="X309" s="10">
        <v>0.25454701000000002</v>
      </c>
      <c r="Y309" s="11">
        <v>3075828</v>
      </c>
      <c r="Z309">
        <v>816.74</v>
      </c>
      <c r="AA309" s="3">
        <v>9999.99</v>
      </c>
      <c r="AB309" s="3">
        <v>0</v>
      </c>
      <c r="AC309" s="3">
        <v>0</v>
      </c>
      <c r="AD309" s="3">
        <v>2</v>
      </c>
      <c r="AE309" s="34">
        <v>1</v>
      </c>
      <c r="AF309" s="33">
        <v>762.1</v>
      </c>
      <c r="AG309" s="33">
        <v>758.66</v>
      </c>
      <c r="AH309" s="3"/>
      <c r="AI309" s="33"/>
      <c r="AJ309" s="33"/>
      <c r="AK309" s="3"/>
      <c r="AL309" s="3"/>
    </row>
    <row r="310" spans="1:38" x14ac:dyDescent="0.2">
      <c r="A310">
        <v>2180</v>
      </c>
      <c r="B310">
        <v>1</v>
      </c>
      <c r="C310" t="s">
        <v>363</v>
      </c>
      <c r="D310">
        <v>2006</v>
      </c>
      <c r="E310">
        <v>0</v>
      </c>
      <c r="F310">
        <v>0</v>
      </c>
      <c r="G310">
        <v>0</v>
      </c>
      <c r="H310" s="3">
        <v>775.29</v>
      </c>
      <c r="I310" s="3">
        <v>0</v>
      </c>
      <c r="J310" s="3">
        <v>0</v>
      </c>
      <c r="K310" s="3">
        <v>0</v>
      </c>
      <c r="L310" s="3">
        <v>100.76</v>
      </c>
      <c r="M310" s="3">
        <v>13.67</v>
      </c>
      <c r="N310">
        <v>0</v>
      </c>
      <c r="O310">
        <v>0</v>
      </c>
      <c r="P310" s="3">
        <v>0</v>
      </c>
      <c r="Q310">
        <v>2003</v>
      </c>
      <c r="R310">
        <v>2012</v>
      </c>
      <c r="S310" s="3">
        <v>500</v>
      </c>
      <c r="T310" s="9">
        <v>1990</v>
      </c>
      <c r="U310" s="9">
        <v>0</v>
      </c>
      <c r="V310" s="9">
        <v>0</v>
      </c>
      <c r="W310" s="9">
        <v>0</v>
      </c>
      <c r="X310" s="10">
        <v>0.18835445000000001</v>
      </c>
      <c r="Y310" s="11">
        <v>3729307</v>
      </c>
      <c r="Z310" s="3">
        <v>1115.96</v>
      </c>
      <c r="AA310" s="3">
        <v>9999.99</v>
      </c>
      <c r="AB310" s="3">
        <v>8.66</v>
      </c>
      <c r="AC310" s="3">
        <v>0</v>
      </c>
      <c r="AD310" s="3">
        <v>1.9</v>
      </c>
      <c r="AE310" s="34">
        <v>1</v>
      </c>
      <c r="AF310" s="33">
        <v>969.63</v>
      </c>
      <c r="AG310" s="33">
        <v>967.63</v>
      </c>
      <c r="AH310" s="3"/>
      <c r="AI310" s="33"/>
      <c r="AJ310" s="33"/>
      <c r="AK310" s="3"/>
      <c r="AL310" s="3"/>
    </row>
    <row r="311" spans="1:38" x14ac:dyDescent="0.2">
      <c r="A311">
        <v>2184</v>
      </c>
      <c r="B311">
        <v>1</v>
      </c>
      <c r="C311" t="s">
        <v>364</v>
      </c>
      <c r="D311">
        <v>2008</v>
      </c>
      <c r="E311">
        <v>0</v>
      </c>
      <c r="F311">
        <v>0</v>
      </c>
      <c r="G311">
        <v>0</v>
      </c>
      <c r="H311" s="3">
        <v>296.63</v>
      </c>
      <c r="I311" s="3">
        <v>0</v>
      </c>
      <c r="J311" s="3">
        <v>0</v>
      </c>
      <c r="K311" s="3">
        <v>0</v>
      </c>
      <c r="L311" s="3">
        <v>100</v>
      </c>
      <c r="M311" s="3">
        <v>1.52</v>
      </c>
      <c r="N311">
        <v>0</v>
      </c>
      <c r="O311">
        <v>0</v>
      </c>
      <c r="P311" s="3">
        <v>0</v>
      </c>
      <c r="Q311">
        <v>2003</v>
      </c>
      <c r="R311">
        <v>2012</v>
      </c>
      <c r="S311" s="3">
        <v>400</v>
      </c>
      <c r="T311" s="9">
        <v>1990</v>
      </c>
      <c r="U311" s="9">
        <v>0</v>
      </c>
      <c r="V311" s="9">
        <v>0</v>
      </c>
      <c r="W311" s="9">
        <v>0</v>
      </c>
      <c r="X311" s="10">
        <v>9.2866439999999995E-2</v>
      </c>
      <c r="Y311" s="11">
        <v>3880699</v>
      </c>
      <c r="Z311" s="3">
        <v>1496.46</v>
      </c>
      <c r="AA311" s="3">
        <v>991</v>
      </c>
      <c r="AB311" s="3">
        <v>0</v>
      </c>
      <c r="AC311" s="3">
        <v>0</v>
      </c>
      <c r="AD311" s="3">
        <v>1.52</v>
      </c>
      <c r="AE311" s="34">
        <v>1</v>
      </c>
      <c r="AF311" s="33">
        <v>1426.95</v>
      </c>
      <c r="AG311" s="33">
        <v>1422.43</v>
      </c>
      <c r="AH311" s="3"/>
      <c r="AI311" s="33"/>
      <c r="AJ311" s="33"/>
      <c r="AK311" s="3"/>
      <c r="AL311" s="3"/>
    </row>
    <row r="312" spans="1:38" x14ac:dyDescent="0.2">
      <c r="A312">
        <v>2190</v>
      </c>
      <c r="B312">
        <v>1</v>
      </c>
      <c r="C312" t="s">
        <v>365</v>
      </c>
      <c r="D312">
        <v>2006</v>
      </c>
      <c r="E312">
        <v>2008</v>
      </c>
      <c r="F312">
        <v>0</v>
      </c>
      <c r="G312">
        <v>0</v>
      </c>
      <c r="H312" s="3">
        <v>222.8</v>
      </c>
      <c r="I312" s="3">
        <v>245.96</v>
      </c>
      <c r="J312" s="3">
        <v>0</v>
      </c>
      <c r="K312" s="3">
        <v>0</v>
      </c>
      <c r="L312" s="3">
        <v>37.700000000000003</v>
      </c>
      <c r="M312" s="3">
        <v>1.82</v>
      </c>
      <c r="N312">
        <v>0</v>
      </c>
      <c r="O312">
        <v>0</v>
      </c>
      <c r="P312" s="3">
        <v>0</v>
      </c>
      <c r="Q312">
        <v>2003</v>
      </c>
      <c r="R312">
        <v>2012</v>
      </c>
      <c r="S312" s="3">
        <v>400</v>
      </c>
      <c r="T312" s="9">
        <v>1995</v>
      </c>
      <c r="U312" s="9">
        <v>1990</v>
      </c>
      <c r="V312" s="9">
        <v>0</v>
      </c>
      <c r="W312" s="9">
        <v>0</v>
      </c>
      <c r="X312" s="10">
        <v>7.2490810000000003E-2</v>
      </c>
      <c r="Y312" s="11">
        <v>4486629</v>
      </c>
      <c r="Z312" s="3">
        <v>1628.76</v>
      </c>
      <c r="AA312" s="3">
        <v>991</v>
      </c>
      <c r="AB312" s="3">
        <v>0</v>
      </c>
      <c r="AC312" s="3">
        <v>0</v>
      </c>
      <c r="AD312" s="3">
        <v>1.82</v>
      </c>
      <c r="AE312" s="34">
        <v>1</v>
      </c>
      <c r="AF312" s="33">
        <v>1466.95</v>
      </c>
      <c r="AG312" s="33">
        <v>1462.59</v>
      </c>
      <c r="AH312" s="3"/>
      <c r="AI312" s="33"/>
      <c r="AJ312" s="33"/>
      <c r="AK312" s="3"/>
      <c r="AL312" s="3"/>
    </row>
    <row r="313" spans="1:38" x14ac:dyDescent="0.2">
      <c r="A313">
        <v>2198</v>
      </c>
      <c r="B313">
        <v>1</v>
      </c>
      <c r="C313" t="s">
        <v>366</v>
      </c>
      <c r="D313">
        <v>2006</v>
      </c>
      <c r="E313">
        <v>0</v>
      </c>
      <c r="F313">
        <v>0</v>
      </c>
      <c r="G313">
        <v>0</v>
      </c>
      <c r="H313" s="3">
        <v>484.29</v>
      </c>
      <c r="I313" s="3">
        <v>0</v>
      </c>
      <c r="J313" s="3">
        <v>0</v>
      </c>
      <c r="K313" s="3">
        <v>0</v>
      </c>
      <c r="L313" s="3">
        <v>59.72</v>
      </c>
      <c r="M313" s="3">
        <v>1.19</v>
      </c>
      <c r="N313">
        <v>0</v>
      </c>
      <c r="O313">
        <v>0</v>
      </c>
      <c r="P313" s="3">
        <v>0</v>
      </c>
      <c r="Q313">
        <v>2003</v>
      </c>
      <c r="R313">
        <v>2012</v>
      </c>
      <c r="S313" s="3">
        <v>400</v>
      </c>
      <c r="T313" s="9">
        <v>1990</v>
      </c>
      <c r="U313" s="9">
        <v>0</v>
      </c>
      <c r="V313" s="9">
        <v>0</v>
      </c>
      <c r="W313" s="9">
        <v>0</v>
      </c>
      <c r="X313" s="10">
        <v>0.18240822000000001</v>
      </c>
      <c r="Y313" s="11">
        <v>2176990</v>
      </c>
      <c r="Z313" s="3">
        <v>1009.96</v>
      </c>
      <c r="AA313" s="3">
        <v>991</v>
      </c>
      <c r="AB313" s="3">
        <v>0</v>
      </c>
      <c r="AC313" s="3">
        <v>0</v>
      </c>
      <c r="AD313" s="3">
        <v>1.19</v>
      </c>
      <c r="AE313" s="34">
        <v>1</v>
      </c>
      <c r="AF313" s="33">
        <v>879.02</v>
      </c>
      <c r="AG313" s="33">
        <v>878.81</v>
      </c>
      <c r="AH313" s="3"/>
      <c r="AI313" s="33"/>
      <c r="AJ313" s="33"/>
      <c r="AK313" s="3"/>
      <c r="AL313" s="3"/>
    </row>
    <row r="314" spans="1:38" x14ac:dyDescent="0.2">
      <c r="A314">
        <v>2215</v>
      </c>
      <c r="B314">
        <v>1</v>
      </c>
      <c r="C314" t="s">
        <v>367</v>
      </c>
      <c r="D314">
        <v>2008</v>
      </c>
      <c r="E314">
        <v>0</v>
      </c>
      <c r="F314">
        <v>0</v>
      </c>
      <c r="G314">
        <v>0</v>
      </c>
      <c r="H314" s="3">
        <v>505.53</v>
      </c>
      <c r="I314" s="3">
        <v>0</v>
      </c>
      <c r="J314" s="3">
        <v>0</v>
      </c>
      <c r="K314" s="3">
        <v>0</v>
      </c>
      <c r="L314" s="3">
        <v>58.71</v>
      </c>
      <c r="M314" s="3">
        <v>11.72</v>
      </c>
      <c r="N314">
        <v>0</v>
      </c>
      <c r="O314">
        <v>0</v>
      </c>
      <c r="P314" s="3">
        <v>0</v>
      </c>
      <c r="Q314">
        <v>2003</v>
      </c>
      <c r="R314">
        <v>2012</v>
      </c>
      <c r="S314" s="3">
        <v>541</v>
      </c>
      <c r="T314" s="9">
        <v>1990</v>
      </c>
      <c r="U314" s="9">
        <v>0</v>
      </c>
      <c r="V314" s="9">
        <v>0</v>
      </c>
      <c r="W314" s="9">
        <v>0</v>
      </c>
      <c r="X314" s="10">
        <v>0.24398943000000001</v>
      </c>
      <c r="Y314" s="11">
        <v>915038</v>
      </c>
      <c r="Z314">
        <v>543.97</v>
      </c>
      <c r="AA314" s="3">
        <v>9999.99</v>
      </c>
      <c r="AB314" s="3">
        <v>12.88</v>
      </c>
      <c r="AC314" s="3">
        <v>0</v>
      </c>
      <c r="AD314" s="3">
        <v>0.84</v>
      </c>
      <c r="AE314" s="34">
        <v>1</v>
      </c>
      <c r="AF314" s="33">
        <v>513.42999999999995</v>
      </c>
      <c r="AG314" s="33">
        <v>511.38</v>
      </c>
      <c r="AH314" s="3"/>
      <c r="AI314" s="33"/>
      <c r="AJ314" s="33"/>
      <c r="AK314" s="3"/>
      <c r="AL314" s="3"/>
    </row>
    <row r="315" spans="1:38" x14ac:dyDescent="0.2">
      <c r="A315">
        <v>2310</v>
      </c>
      <c r="B315">
        <v>1</v>
      </c>
      <c r="C315" t="s">
        <v>368</v>
      </c>
      <c r="D315">
        <v>2004</v>
      </c>
      <c r="E315">
        <v>0</v>
      </c>
      <c r="F315">
        <v>0</v>
      </c>
      <c r="G315">
        <v>0</v>
      </c>
      <c r="H315" s="3">
        <v>300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>
        <v>0</v>
      </c>
      <c r="O315">
        <v>0</v>
      </c>
      <c r="P315" s="3">
        <v>0</v>
      </c>
      <c r="Q315">
        <v>2003</v>
      </c>
      <c r="R315">
        <v>2007</v>
      </c>
      <c r="S315" s="3">
        <v>200</v>
      </c>
      <c r="T315" s="9">
        <v>1998</v>
      </c>
      <c r="U315" s="9">
        <v>0</v>
      </c>
      <c r="V315" s="9">
        <v>0</v>
      </c>
      <c r="W315" s="9">
        <v>0</v>
      </c>
      <c r="X315" s="10">
        <v>0</v>
      </c>
      <c r="Y315" s="11">
        <v>3699660</v>
      </c>
      <c r="Z315" s="3">
        <v>1549.88</v>
      </c>
      <c r="AA315" s="3">
        <v>9999.99</v>
      </c>
      <c r="AB315" s="3">
        <v>0</v>
      </c>
      <c r="AC315" s="3">
        <v>0</v>
      </c>
      <c r="AD315" s="3">
        <v>1.18</v>
      </c>
      <c r="AE315" s="34">
        <v>0</v>
      </c>
      <c r="AF315" s="33">
        <v>1502.42</v>
      </c>
      <c r="AG315" s="33">
        <v>1489.65</v>
      </c>
      <c r="AH315" s="3"/>
      <c r="AI315" s="33"/>
      <c r="AJ315" s="33"/>
      <c r="AK315" s="3"/>
      <c r="AL315" s="3"/>
    </row>
    <row r="316" spans="1:38" x14ac:dyDescent="0.2">
      <c r="A316">
        <v>2311</v>
      </c>
      <c r="B316">
        <v>1</v>
      </c>
      <c r="C316" t="s">
        <v>369</v>
      </c>
      <c r="D316">
        <v>2006</v>
      </c>
      <c r="E316">
        <v>0</v>
      </c>
      <c r="F316">
        <v>0</v>
      </c>
      <c r="G316">
        <v>0</v>
      </c>
      <c r="H316" s="3">
        <v>574.92999999999995</v>
      </c>
      <c r="I316" s="3">
        <v>0</v>
      </c>
      <c r="J316" s="3">
        <v>0</v>
      </c>
      <c r="K316" s="3">
        <v>0</v>
      </c>
      <c r="L316" s="3">
        <v>83.79</v>
      </c>
      <c r="M316" s="3">
        <v>7.09</v>
      </c>
      <c r="N316">
        <v>0</v>
      </c>
      <c r="O316">
        <v>0</v>
      </c>
      <c r="P316" s="3">
        <v>0</v>
      </c>
      <c r="Q316">
        <v>0</v>
      </c>
      <c r="R316">
        <v>0</v>
      </c>
      <c r="S316" s="3">
        <v>0</v>
      </c>
      <c r="T316" s="9">
        <v>1990</v>
      </c>
      <c r="U316" s="9">
        <v>0</v>
      </c>
      <c r="V316" s="9">
        <v>0</v>
      </c>
      <c r="W316" s="9">
        <v>0</v>
      </c>
      <c r="X316" s="10">
        <v>8.2403390000000007E-2</v>
      </c>
      <c r="Y316" s="11">
        <v>3492208</v>
      </c>
      <c r="Z316">
        <v>616.51</v>
      </c>
      <c r="AA316" s="3">
        <v>9999.99</v>
      </c>
      <c r="AB316" s="3">
        <v>0</v>
      </c>
      <c r="AC316" s="3">
        <v>0</v>
      </c>
      <c r="AD316" s="3">
        <v>7.09</v>
      </c>
      <c r="AE316" s="34">
        <v>1</v>
      </c>
      <c r="AF316" s="33">
        <v>528.27</v>
      </c>
      <c r="AG316" s="33">
        <v>523.51</v>
      </c>
      <c r="AH316" s="3"/>
      <c r="AI316" s="33"/>
      <c r="AJ316" s="33"/>
      <c r="AK316" s="3"/>
      <c r="AL316" s="3"/>
    </row>
    <row r="317" spans="1:38" x14ac:dyDescent="0.2">
      <c r="A317">
        <v>2342</v>
      </c>
      <c r="B317">
        <v>1</v>
      </c>
      <c r="C317" t="s">
        <v>370</v>
      </c>
      <c r="D317">
        <v>2009</v>
      </c>
      <c r="E317">
        <v>0</v>
      </c>
      <c r="F317">
        <v>0</v>
      </c>
      <c r="G317">
        <v>0</v>
      </c>
      <c r="H317" s="3">
        <v>400</v>
      </c>
      <c r="I317" s="3">
        <v>0</v>
      </c>
      <c r="J317" s="3">
        <v>0</v>
      </c>
      <c r="K317" s="3">
        <v>0</v>
      </c>
      <c r="L317" s="3">
        <v>0</v>
      </c>
      <c r="M317" s="3">
        <v>1.73</v>
      </c>
      <c r="N317">
        <v>0</v>
      </c>
      <c r="O317">
        <v>0</v>
      </c>
      <c r="P317" s="3">
        <v>0</v>
      </c>
      <c r="Q317">
        <v>2003</v>
      </c>
      <c r="R317">
        <v>2007</v>
      </c>
      <c r="S317" s="3">
        <v>425</v>
      </c>
      <c r="T317" s="9">
        <v>1998</v>
      </c>
      <c r="U317" s="9">
        <v>0</v>
      </c>
      <c r="V317" s="9">
        <v>0</v>
      </c>
      <c r="W317" s="9">
        <v>0</v>
      </c>
      <c r="X317" s="10">
        <v>0</v>
      </c>
      <c r="Y317" s="11">
        <v>3189495</v>
      </c>
      <c r="Z317" s="3">
        <v>1119.46</v>
      </c>
      <c r="AA317" s="3">
        <v>991</v>
      </c>
      <c r="AB317" s="3">
        <v>0</v>
      </c>
      <c r="AC317" s="3">
        <v>0</v>
      </c>
      <c r="AD317" s="3">
        <v>1.73</v>
      </c>
      <c r="AE317" s="34">
        <v>1</v>
      </c>
      <c r="AF317" s="33">
        <v>1002.48</v>
      </c>
      <c r="AG317" s="33">
        <v>1001.48</v>
      </c>
      <c r="AH317" s="3"/>
      <c r="AI317" s="33"/>
      <c r="AJ317" s="33"/>
      <c r="AK317" s="3"/>
      <c r="AL317" s="3"/>
    </row>
    <row r="318" spans="1:38" x14ac:dyDescent="0.2">
      <c r="A318">
        <v>2358</v>
      </c>
      <c r="B318">
        <v>1</v>
      </c>
      <c r="C318" t="s">
        <v>371</v>
      </c>
      <c r="D318">
        <v>2008</v>
      </c>
      <c r="E318">
        <v>0</v>
      </c>
      <c r="F318">
        <v>0</v>
      </c>
      <c r="G318">
        <v>0</v>
      </c>
      <c r="H318" s="3">
        <v>600.55999999999995</v>
      </c>
      <c r="I318" s="3">
        <v>0</v>
      </c>
      <c r="J318" s="3">
        <v>0</v>
      </c>
      <c r="K318" s="3">
        <v>0</v>
      </c>
      <c r="L318" s="3">
        <v>66.510000000000005</v>
      </c>
      <c r="M318" s="3">
        <v>2.66</v>
      </c>
      <c r="N318">
        <v>0</v>
      </c>
      <c r="O318">
        <v>0</v>
      </c>
      <c r="P318" s="3">
        <v>0</v>
      </c>
      <c r="Q318">
        <v>0</v>
      </c>
      <c r="R318">
        <v>0</v>
      </c>
      <c r="S318" s="3">
        <v>0</v>
      </c>
      <c r="T318" s="9">
        <v>1990</v>
      </c>
      <c r="U318" s="9">
        <v>0</v>
      </c>
      <c r="V318" s="9">
        <v>0</v>
      </c>
      <c r="W318" s="9">
        <v>0</v>
      </c>
      <c r="X318" s="10">
        <v>0.14944521999999999</v>
      </c>
      <c r="Y318" s="11">
        <v>1368160</v>
      </c>
      <c r="Z318">
        <v>419.35</v>
      </c>
      <c r="AA318" s="3">
        <v>9999.99</v>
      </c>
      <c r="AB318" s="3">
        <v>0</v>
      </c>
      <c r="AC318" s="3">
        <v>0</v>
      </c>
      <c r="AD318" s="3">
        <v>2.66</v>
      </c>
      <c r="AE318" s="34">
        <v>1</v>
      </c>
      <c r="AF318" s="33">
        <v>379.82</v>
      </c>
      <c r="AG318" s="33">
        <v>379.66</v>
      </c>
      <c r="AH318" s="3"/>
      <c r="AI318" s="33"/>
      <c r="AJ318" s="33"/>
      <c r="AK318" s="3"/>
      <c r="AL318" s="3"/>
    </row>
    <row r="319" spans="1:38" x14ac:dyDescent="0.2">
      <c r="A319">
        <v>2364</v>
      </c>
      <c r="B319">
        <v>1</v>
      </c>
      <c r="C319" t="s">
        <v>372</v>
      </c>
      <c r="D319">
        <v>2005</v>
      </c>
      <c r="E319">
        <v>2006</v>
      </c>
      <c r="F319">
        <v>0</v>
      </c>
      <c r="G319">
        <v>0</v>
      </c>
      <c r="H319" s="3">
        <v>85.45</v>
      </c>
      <c r="I319" s="3">
        <v>266.27</v>
      </c>
      <c r="J319" s="3">
        <v>0</v>
      </c>
      <c r="K319" s="3">
        <v>0</v>
      </c>
      <c r="L319" s="3">
        <v>37.979999999999997</v>
      </c>
      <c r="M319" s="3">
        <v>0.97</v>
      </c>
      <c r="N319">
        <v>0</v>
      </c>
      <c r="O319">
        <v>0</v>
      </c>
      <c r="P319" s="3">
        <v>0</v>
      </c>
      <c r="Q319">
        <v>2003</v>
      </c>
      <c r="R319">
        <v>2012</v>
      </c>
      <c r="S319" s="3">
        <v>543</v>
      </c>
      <c r="T319" s="9">
        <v>1997</v>
      </c>
      <c r="U319" s="9">
        <v>1995</v>
      </c>
      <c r="V319" s="9">
        <v>0</v>
      </c>
      <c r="W319" s="9">
        <v>0</v>
      </c>
      <c r="X319" s="10">
        <v>0</v>
      </c>
      <c r="Y319" s="11">
        <v>1831846</v>
      </c>
      <c r="Z319" s="3">
        <v>1028.45</v>
      </c>
      <c r="AA319" s="3">
        <v>9999.99</v>
      </c>
      <c r="AB319" s="3">
        <v>0</v>
      </c>
      <c r="AC319" s="3">
        <v>0</v>
      </c>
      <c r="AD319" s="3">
        <v>0.97</v>
      </c>
      <c r="AE319" s="34">
        <v>1</v>
      </c>
      <c r="AF319" s="33">
        <v>975.48</v>
      </c>
      <c r="AG319" s="33">
        <v>974.11</v>
      </c>
      <c r="AH319" s="3"/>
      <c r="AI319" s="33"/>
      <c r="AJ319" s="33"/>
      <c r="AK319" s="3"/>
      <c r="AL319" s="3"/>
    </row>
    <row r="320" spans="1:38" x14ac:dyDescent="0.2">
      <c r="A320">
        <v>2365</v>
      </c>
      <c r="B320">
        <v>1</v>
      </c>
      <c r="C320" t="s">
        <v>373</v>
      </c>
      <c r="D320">
        <v>2008</v>
      </c>
      <c r="E320">
        <v>0</v>
      </c>
      <c r="F320">
        <v>0</v>
      </c>
      <c r="G320">
        <v>0</v>
      </c>
      <c r="H320" s="3">
        <v>162.22</v>
      </c>
      <c r="I320" s="3">
        <v>0</v>
      </c>
      <c r="J320" s="3">
        <v>0</v>
      </c>
      <c r="K320" s="3">
        <v>0</v>
      </c>
      <c r="L320" s="3">
        <v>100</v>
      </c>
      <c r="M320" s="3">
        <v>4.82</v>
      </c>
      <c r="N320">
        <v>2002</v>
      </c>
      <c r="O320">
        <v>2011</v>
      </c>
      <c r="P320" s="3">
        <v>450</v>
      </c>
      <c r="Q320">
        <v>0</v>
      </c>
      <c r="R320">
        <v>0</v>
      </c>
      <c r="S320" s="3">
        <v>0</v>
      </c>
      <c r="T320" s="9">
        <v>1990</v>
      </c>
      <c r="U320" s="9">
        <v>0</v>
      </c>
      <c r="V320" s="9">
        <v>0</v>
      </c>
      <c r="W320" s="9">
        <v>0</v>
      </c>
      <c r="X320" s="10">
        <v>3.6273809999999997E-2</v>
      </c>
      <c r="Y320" s="11">
        <v>4484131</v>
      </c>
      <c r="Z320" s="3">
        <v>1235.02</v>
      </c>
      <c r="AA320" s="3">
        <v>991</v>
      </c>
      <c r="AB320" s="3">
        <v>0</v>
      </c>
      <c r="AC320" s="3">
        <v>0</v>
      </c>
      <c r="AD320" s="3">
        <v>1.98</v>
      </c>
      <c r="AE320" s="34">
        <v>1</v>
      </c>
      <c r="AF320" s="33">
        <v>1175.3</v>
      </c>
      <c r="AG320" s="33">
        <v>1168.6400000000001</v>
      </c>
      <c r="AH320" s="3"/>
      <c r="AI320" s="33"/>
      <c r="AJ320" s="33"/>
      <c r="AK320" s="3"/>
      <c r="AL320" s="3"/>
    </row>
    <row r="321" spans="1:38" x14ac:dyDescent="0.2">
      <c r="A321">
        <v>2396</v>
      </c>
      <c r="B321">
        <v>1</v>
      </c>
      <c r="C321" t="s">
        <v>374</v>
      </c>
      <c r="D321">
        <v>2006</v>
      </c>
      <c r="E321">
        <v>0</v>
      </c>
      <c r="F321">
        <v>0</v>
      </c>
      <c r="G321">
        <v>0</v>
      </c>
      <c r="H321" s="3">
        <v>521.17999999999995</v>
      </c>
      <c r="I321" s="3">
        <v>0</v>
      </c>
      <c r="J321" s="3">
        <v>0</v>
      </c>
      <c r="K321" s="3">
        <v>0</v>
      </c>
      <c r="L321" s="3">
        <v>76.25</v>
      </c>
      <c r="M321" s="3">
        <v>1.76</v>
      </c>
      <c r="N321">
        <v>0</v>
      </c>
      <c r="O321">
        <v>0</v>
      </c>
      <c r="P321" s="3">
        <v>0</v>
      </c>
      <c r="Q321">
        <v>0</v>
      </c>
      <c r="R321">
        <v>0</v>
      </c>
      <c r="S321" s="3">
        <v>0</v>
      </c>
      <c r="T321" s="9">
        <v>1990</v>
      </c>
      <c r="U321" s="9">
        <v>0</v>
      </c>
      <c r="V321" s="9">
        <v>0</v>
      </c>
      <c r="W321" s="9">
        <v>0</v>
      </c>
      <c r="X321" s="10">
        <v>0.13984363</v>
      </c>
      <c r="Y321" s="11">
        <v>4078818</v>
      </c>
      <c r="Z321" s="3">
        <v>1348.03</v>
      </c>
      <c r="AA321" s="3">
        <v>991</v>
      </c>
      <c r="AB321" s="3">
        <v>0</v>
      </c>
      <c r="AC321" s="3">
        <v>0</v>
      </c>
      <c r="AD321" s="3">
        <v>1.76</v>
      </c>
      <c r="AE321" s="34">
        <v>1</v>
      </c>
      <c r="AF321" s="33">
        <v>1220.4100000000001</v>
      </c>
      <c r="AG321" s="33">
        <v>1218.46</v>
      </c>
      <c r="AH321" s="3"/>
      <c r="AI321" s="33"/>
      <c r="AJ321" s="33"/>
      <c r="AK321" s="3"/>
      <c r="AL321" s="3"/>
    </row>
    <row r="322" spans="1:38" x14ac:dyDescent="0.2">
      <c r="A322">
        <v>2397</v>
      </c>
      <c r="B322">
        <v>1</v>
      </c>
      <c r="C322" t="s">
        <v>375</v>
      </c>
      <c r="D322">
        <v>2002</v>
      </c>
      <c r="E322">
        <v>0</v>
      </c>
      <c r="F322">
        <v>0</v>
      </c>
      <c r="G322">
        <v>0</v>
      </c>
      <c r="H322" s="3">
        <v>350</v>
      </c>
      <c r="I322" s="3">
        <v>0</v>
      </c>
      <c r="J322" s="3">
        <v>0</v>
      </c>
      <c r="K322" s="3">
        <v>0</v>
      </c>
      <c r="L322" s="3">
        <v>0</v>
      </c>
      <c r="M322" s="3">
        <v>1.38</v>
      </c>
      <c r="N322">
        <v>2003</v>
      </c>
      <c r="O322">
        <v>2007</v>
      </c>
      <c r="P322" s="3">
        <v>415</v>
      </c>
      <c r="Q322">
        <v>0</v>
      </c>
      <c r="R322">
        <v>0</v>
      </c>
      <c r="S322" s="3">
        <v>0</v>
      </c>
      <c r="T322" s="9">
        <v>1998</v>
      </c>
      <c r="U322" s="9">
        <v>0</v>
      </c>
      <c r="V322" s="9">
        <v>0</v>
      </c>
      <c r="W322" s="9">
        <v>0</v>
      </c>
      <c r="X322" s="10">
        <v>0</v>
      </c>
      <c r="Y322" s="11">
        <v>3948705</v>
      </c>
      <c r="Z322" s="3">
        <v>1763.76</v>
      </c>
      <c r="AA322" s="3">
        <v>991</v>
      </c>
      <c r="AB322" s="3">
        <v>0</v>
      </c>
      <c r="AC322" s="3">
        <v>0</v>
      </c>
      <c r="AD322" s="3">
        <v>1.38</v>
      </c>
      <c r="AE322" s="34">
        <v>1</v>
      </c>
      <c r="AF322" s="33">
        <v>1587.86</v>
      </c>
      <c r="AG322" s="33">
        <v>1583.12</v>
      </c>
      <c r="AH322" s="3"/>
      <c r="AI322" s="33"/>
      <c r="AJ322" s="33"/>
      <c r="AK322" s="3"/>
      <c r="AL322" s="3"/>
    </row>
    <row r="323" spans="1:38" x14ac:dyDescent="0.2">
      <c r="A323">
        <v>2448</v>
      </c>
      <c r="B323">
        <v>1</v>
      </c>
      <c r="C323" t="s">
        <v>376</v>
      </c>
      <c r="D323">
        <v>2006</v>
      </c>
      <c r="E323">
        <v>0</v>
      </c>
      <c r="F323">
        <v>0</v>
      </c>
      <c r="G323">
        <v>0</v>
      </c>
      <c r="H323" s="3">
        <v>879.14</v>
      </c>
      <c r="I323" s="3">
        <v>0</v>
      </c>
      <c r="J323" s="3">
        <v>0</v>
      </c>
      <c r="K323" s="3">
        <v>0</v>
      </c>
      <c r="L323" s="3">
        <v>121.56</v>
      </c>
      <c r="M323" s="3">
        <v>4.6500000000000004</v>
      </c>
      <c r="N323">
        <v>0</v>
      </c>
      <c r="O323">
        <v>0</v>
      </c>
      <c r="P323" s="3">
        <v>0</v>
      </c>
      <c r="Q323">
        <v>0</v>
      </c>
      <c r="R323">
        <v>0</v>
      </c>
      <c r="S323" s="3">
        <v>0</v>
      </c>
      <c r="T323" s="9">
        <v>1990</v>
      </c>
      <c r="U323" s="9">
        <v>0</v>
      </c>
      <c r="V323" s="9">
        <v>0</v>
      </c>
      <c r="W323" s="9">
        <v>0</v>
      </c>
      <c r="X323" s="10">
        <v>0.14119395000000001</v>
      </c>
      <c r="Y323" s="11">
        <v>5228407</v>
      </c>
      <c r="Z323" s="3">
        <v>1034.28</v>
      </c>
      <c r="AA323" s="3">
        <v>991</v>
      </c>
      <c r="AB323" s="3">
        <v>0</v>
      </c>
      <c r="AC323" s="3">
        <v>0</v>
      </c>
      <c r="AD323" s="3">
        <v>4.6500000000000004</v>
      </c>
      <c r="AE323" s="34">
        <v>1</v>
      </c>
      <c r="AF323" s="33">
        <v>971.55</v>
      </c>
      <c r="AG323" s="33">
        <v>968.97</v>
      </c>
      <c r="AH323" s="3"/>
      <c r="AI323" s="33"/>
      <c r="AJ323" s="33"/>
      <c r="AK323" s="3"/>
      <c r="AL323" s="3"/>
    </row>
    <row r="324" spans="1:38" x14ac:dyDescent="0.2">
      <c r="A324">
        <v>2527</v>
      </c>
      <c r="B324">
        <v>1</v>
      </c>
      <c r="C324" t="s">
        <v>377</v>
      </c>
      <c r="D324">
        <v>2006</v>
      </c>
      <c r="E324">
        <v>0</v>
      </c>
      <c r="F324">
        <v>0</v>
      </c>
      <c r="G324">
        <v>0</v>
      </c>
      <c r="H324" s="3">
        <v>760.27</v>
      </c>
      <c r="I324" s="3">
        <v>0</v>
      </c>
      <c r="J324" s="3">
        <v>0</v>
      </c>
      <c r="K324" s="3">
        <v>0</v>
      </c>
      <c r="L324" s="3">
        <v>97.2</v>
      </c>
      <c r="M324" s="3">
        <v>13.85</v>
      </c>
      <c r="N324">
        <v>0</v>
      </c>
      <c r="O324">
        <v>0</v>
      </c>
      <c r="P324" s="3">
        <v>0</v>
      </c>
      <c r="Q324">
        <v>2003</v>
      </c>
      <c r="R324">
        <v>2012</v>
      </c>
      <c r="S324" s="3">
        <v>700</v>
      </c>
      <c r="T324" s="9">
        <v>1990</v>
      </c>
      <c r="U324" s="9">
        <v>0</v>
      </c>
      <c r="V324" s="9">
        <v>0</v>
      </c>
      <c r="W324" s="9">
        <v>0</v>
      </c>
      <c r="X324" s="10">
        <v>0.18143334999999999</v>
      </c>
      <c r="Y324" s="11">
        <v>1343746</v>
      </c>
      <c r="Z324">
        <v>394.98</v>
      </c>
      <c r="AA324" s="3">
        <v>9999.99</v>
      </c>
      <c r="AB324" s="3">
        <v>0</v>
      </c>
      <c r="AC324" s="3">
        <v>0</v>
      </c>
      <c r="AD324" s="3">
        <v>1.78</v>
      </c>
      <c r="AE324" s="34">
        <v>1</v>
      </c>
      <c r="AF324" s="33">
        <v>353.64</v>
      </c>
      <c r="AG324" s="33">
        <v>353.55</v>
      </c>
      <c r="AH324" s="3"/>
      <c r="AI324" s="33"/>
      <c r="AJ324" s="33"/>
      <c r="AK324" s="3"/>
      <c r="AL324" s="3"/>
    </row>
    <row r="325" spans="1:38" x14ac:dyDescent="0.2">
      <c r="A325">
        <v>2534</v>
      </c>
      <c r="B325">
        <v>1</v>
      </c>
      <c r="C325" t="s">
        <v>378</v>
      </c>
      <c r="D325">
        <v>2005</v>
      </c>
      <c r="E325">
        <v>0</v>
      </c>
      <c r="F325">
        <v>0</v>
      </c>
      <c r="G325">
        <v>0</v>
      </c>
      <c r="H325" s="3">
        <v>415</v>
      </c>
      <c r="I325" s="3">
        <v>0</v>
      </c>
      <c r="J325" s="3">
        <v>0</v>
      </c>
      <c r="K325" s="3">
        <v>0</v>
      </c>
      <c r="L325" s="3">
        <v>0</v>
      </c>
      <c r="M325" s="3">
        <v>36.83</v>
      </c>
      <c r="N325">
        <v>0</v>
      </c>
      <c r="O325">
        <v>0</v>
      </c>
      <c r="P325" s="3">
        <v>0</v>
      </c>
      <c r="Q325">
        <v>2003</v>
      </c>
      <c r="R325">
        <v>2007</v>
      </c>
      <c r="S325" s="3">
        <v>415</v>
      </c>
      <c r="T325" s="9">
        <v>1999</v>
      </c>
      <c r="U325" s="9">
        <v>0</v>
      </c>
      <c r="V325" s="9">
        <v>0</v>
      </c>
      <c r="W325" s="9">
        <v>0</v>
      </c>
      <c r="X325" s="10">
        <v>0</v>
      </c>
      <c r="Y325" s="11">
        <v>3949673</v>
      </c>
      <c r="Z325" s="3">
        <v>1179.6199999999999</v>
      </c>
      <c r="AA325" s="3">
        <v>9999.99</v>
      </c>
      <c r="AB325" s="3">
        <v>35.19</v>
      </c>
      <c r="AC325" s="3">
        <v>0</v>
      </c>
      <c r="AD325" s="3">
        <v>1.96</v>
      </c>
      <c r="AE325" s="34">
        <v>1</v>
      </c>
      <c r="AF325" s="33">
        <v>1073.68</v>
      </c>
      <c r="AG325" s="33">
        <v>1072.43</v>
      </c>
      <c r="AH325" s="3"/>
      <c r="AI325" s="33"/>
      <c r="AJ325" s="33"/>
      <c r="AK325" s="3"/>
      <c r="AL325" s="3"/>
    </row>
    <row r="326" spans="1:38" x14ac:dyDescent="0.2">
      <c r="A326">
        <v>2536</v>
      </c>
      <c r="B326">
        <v>1</v>
      </c>
      <c r="C326" t="s">
        <v>379</v>
      </c>
      <c r="D326">
        <v>2006</v>
      </c>
      <c r="E326">
        <v>2010</v>
      </c>
      <c r="F326">
        <v>0</v>
      </c>
      <c r="G326">
        <v>0</v>
      </c>
      <c r="H326" s="3">
        <v>643.92999999999995</v>
      </c>
      <c r="I326" s="3">
        <v>500</v>
      </c>
      <c r="J326" s="3">
        <v>0</v>
      </c>
      <c r="K326" s="3">
        <v>0</v>
      </c>
      <c r="L326" s="3">
        <v>0</v>
      </c>
      <c r="M326" s="3">
        <v>9.65</v>
      </c>
      <c r="N326">
        <v>0</v>
      </c>
      <c r="O326">
        <v>0</v>
      </c>
      <c r="P326" s="3">
        <v>0</v>
      </c>
      <c r="Q326">
        <v>2003</v>
      </c>
      <c r="R326">
        <v>2012</v>
      </c>
      <c r="S326" s="3">
        <v>256</v>
      </c>
      <c r="T326" s="9">
        <v>1990</v>
      </c>
      <c r="U326" s="9">
        <v>1999</v>
      </c>
      <c r="V326" s="9">
        <v>0</v>
      </c>
      <c r="W326" s="9">
        <v>0</v>
      </c>
      <c r="X326" s="10">
        <v>8.7410249999999995E-2</v>
      </c>
      <c r="Y326" s="11">
        <v>2450056</v>
      </c>
      <c r="Z326">
        <v>409.65</v>
      </c>
      <c r="AA326" s="3">
        <v>991</v>
      </c>
      <c r="AB326" s="3">
        <v>0</v>
      </c>
      <c r="AC326" s="3">
        <v>0</v>
      </c>
      <c r="AD326" s="3">
        <v>4.62</v>
      </c>
      <c r="AE326" s="34">
        <v>1</v>
      </c>
      <c r="AF326" s="33">
        <v>403.89</v>
      </c>
      <c r="AG326" s="33">
        <v>402.8</v>
      </c>
      <c r="AH326" s="3"/>
      <c r="AI326" s="33"/>
      <c r="AJ326" s="33"/>
      <c r="AK326" s="3"/>
      <c r="AL326" s="3"/>
    </row>
    <row r="327" spans="1:38" x14ac:dyDescent="0.2">
      <c r="A327">
        <v>2580</v>
      </c>
      <c r="B327">
        <v>1</v>
      </c>
      <c r="C327" t="s">
        <v>380</v>
      </c>
      <c r="D327">
        <v>2006</v>
      </c>
      <c r="E327">
        <v>2006</v>
      </c>
      <c r="F327">
        <v>0</v>
      </c>
      <c r="G327">
        <v>0</v>
      </c>
      <c r="H327" s="3">
        <v>300</v>
      </c>
      <c r="I327" s="3">
        <v>115</v>
      </c>
      <c r="J327" s="3">
        <v>0</v>
      </c>
      <c r="K327" s="3">
        <v>0</v>
      </c>
      <c r="L327" s="3">
        <v>0</v>
      </c>
      <c r="M327" s="3">
        <v>37.75</v>
      </c>
      <c r="N327">
        <v>0</v>
      </c>
      <c r="O327">
        <v>0</v>
      </c>
      <c r="P327" s="3">
        <v>0</v>
      </c>
      <c r="Q327">
        <v>0</v>
      </c>
      <c r="R327">
        <v>0</v>
      </c>
      <c r="S327" s="3">
        <v>0</v>
      </c>
      <c r="T327" s="9">
        <v>1999</v>
      </c>
      <c r="U327" s="9">
        <v>1999</v>
      </c>
      <c r="V327" s="9">
        <v>0</v>
      </c>
      <c r="W327" s="9">
        <v>0</v>
      </c>
      <c r="X327" s="10">
        <v>0</v>
      </c>
      <c r="Y327" s="11">
        <v>2041942</v>
      </c>
      <c r="Z327" s="3">
        <v>1183.68</v>
      </c>
      <c r="AA327" s="3">
        <v>991</v>
      </c>
      <c r="AB327" s="3">
        <v>0</v>
      </c>
      <c r="AC327" s="3">
        <v>33.31</v>
      </c>
      <c r="AD327" s="3">
        <v>1.24</v>
      </c>
      <c r="AE327" s="34">
        <v>1</v>
      </c>
      <c r="AF327" s="33">
        <v>1157.47</v>
      </c>
      <c r="AG327" s="33">
        <v>1155.83</v>
      </c>
      <c r="AH327" s="3"/>
      <c r="AI327" s="33"/>
      <c r="AJ327" s="33"/>
      <c r="AK327" s="3"/>
      <c r="AL327" s="3"/>
    </row>
    <row r="328" spans="1:38" x14ac:dyDescent="0.2">
      <c r="A328">
        <v>2609</v>
      </c>
      <c r="B328">
        <v>1</v>
      </c>
      <c r="C328" t="s">
        <v>381</v>
      </c>
      <c r="D328">
        <v>2008</v>
      </c>
      <c r="E328">
        <v>0</v>
      </c>
      <c r="F328">
        <v>0</v>
      </c>
      <c r="G328">
        <v>0</v>
      </c>
      <c r="H328" s="3">
        <v>232.5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>
        <v>0</v>
      </c>
      <c r="O328">
        <v>0</v>
      </c>
      <c r="P328" s="3">
        <v>0</v>
      </c>
      <c r="Q328">
        <v>0</v>
      </c>
      <c r="R328">
        <v>0</v>
      </c>
      <c r="S328" s="3">
        <v>0</v>
      </c>
      <c r="T328" s="9">
        <v>1997</v>
      </c>
      <c r="U328" s="9">
        <v>0</v>
      </c>
      <c r="V328" s="9">
        <v>0</v>
      </c>
      <c r="W328" s="9">
        <v>0</v>
      </c>
      <c r="X328" s="10">
        <v>0</v>
      </c>
      <c r="Y328" s="11">
        <v>1412867</v>
      </c>
      <c r="Z328">
        <v>675.44</v>
      </c>
      <c r="AA328" s="3">
        <v>9999.99</v>
      </c>
      <c r="AB328" s="3">
        <v>0</v>
      </c>
      <c r="AC328" s="3">
        <v>0</v>
      </c>
      <c r="AD328" s="3">
        <v>1.74</v>
      </c>
      <c r="AE328" s="34">
        <v>0</v>
      </c>
      <c r="AF328" s="33">
        <v>665.43</v>
      </c>
      <c r="AG328" s="33">
        <v>664.42</v>
      </c>
      <c r="AH328" s="3"/>
      <c r="AI328" s="33"/>
      <c r="AJ328" s="33"/>
      <c r="AK328" s="3"/>
      <c r="AL328" s="3"/>
    </row>
    <row r="329" spans="1:38" x14ac:dyDescent="0.2">
      <c r="A329">
        <v>2683</v>
      </c>
      <c r="B329">
        <v>1</v>
      </c>
      <c r="C329" t="s">
        <v>382</v>
      </c>
      <c r="D329">
        <v>2006</v>
      </c>
      <c r="E329">
        <v>0</v>
      </c>
      <c r="F329">
        <v>0</v>
      </c>
      <c r="G329">
        <v>0</v>
      </c>
      <c r="H329" s="3">
        <v>691.15</v>
      </c>
      <c r="I329" s="3">
        <v>0</v>
      </c>
      <c r="J329" s="3">
        <v>0</v>
      </c>
      <c r="K329" s="3">
        <v>0</v>
      </c>
      <c r="L329" s="3">
        <v>90.2</v>
      </c>
      <c r="M329" s="3">
        <v>10.84</v>
      </c>
      <c r="N329">
        <v>0</v>
      </c>
      <c r="O329">
        <v>0</v>
      </c>
      <c r="P329" s="3">
        <v>0</v>
      </c>
      <c r="Q329">
        <v>2003</v>
      </c>
      <c r="R329">
        <v>2012</v>
      </c>
      <c r="S329" s="3">
        <v>640.59</v>
      </c>
      <c r="T329" s="9">
        <v>1995</v>
      </c>
      <c r="U329" s="9">
        <v>0</v>
      </c>
      <c r="V329" s="9">
        <v>0</v>
      </c>
      <c r="W329" s="9">
        <v>0</v>
      </c>
      <c r="X329" s="10">
        <v>0</v>
      </c>
      <c r="Y329" s="11">
        <v>1071174</v>
      </c>
      <c r="Z329">
        <v>587.70000000000005</v>
      </c>
      <c r="AA329" s="3">
        <v>9999.99</v>
      </c>
      <c r="AB329" s="3">
        <v>0</v>
      </c>
      <c r="AC329" s="3">
        <v>9.24</v>
      </c>
      <c r="AD329" s="3">
        <v>0.92</v>
      </c>
      <c r="AE329" s="34">
        <v>1</v>
      </c>
      <c r="AF329" s="33">
        <v>559.79999999999995</v>
      </c>
      <c r="AG329" s="33">
        <v>559.70000000000005</v>
      </c>
      <c r="AH329" s="3"/>
      <c r="AI329" s="33"/>
      <c r="AJ329" s="33"/>
      <c r="AK329" s="3"/>
      <c r="AL329" s="3"/>
    </row>
    <row r="330" spans="1:38" x14ac:dyDescent="0.2">
      <c r="A330">
        <v>2687</v>
      </c>
      <c r="B330">
        <v>1</v>
      </c>
      <c r="C330" t="s">
        <v>383</v>
      </c>
      <c r="D330">
        <v>2008</v>
      </c>
      <c r="E330">
        <v>0</v>
      </c>
      <c r="F330">
        <v>0</v>
      </c>
      <c r="G330">
        <v>0</v>
      </c>
      <c r="H330" s="3">
        <v>625.85</v>
      </c>
      <c r="I330" s="3">
        <v>0</v>
      </c>
      <c r="J330" s="3">
        <v>0</v>
      </c>
      <c r="K330" s="3">
        <v>0</v>
      </c>
      <c r="L330" s="3">
        <v>111.68</v>
      </c>
      <c r="M330" s="3">
        <v>1.7</v>
      </c>
      <c r="N330">
        <v>0</v>
      </c>
      <c r="O330">
        <v>0</v>
      </c>
      <c r="P330" s="3">
        <v>0</v>
      </c>
      <c r="Q330">
        <v>0</v>
      </c>
      <c r="R330">
        <v>0</v>
      </c>
      <c r="S330" s="3">
        <v>0</v>
      </c>
      <c r="T330" s="9">
        <v>1990</v>
      </c>
      <c r="U330" s="9">
        <v>0</v>
      </c>
      <c r="V330" s="9">
        <v>0</v>
      </c>
      <c r="W330" s="9">
        <v>0</v>
      </c>
      <c r="X330" s="10">
        <v>0.18726159000000001</v>
      </c>
      <c r="Y330" s="11">
        <v>3727545</v>
      </c>
      <c r="Z330" s="3">
        <v>1373.77</v>
      </c>
      <c r="AA330" s="3">
        <v>991</v>
      </c>
      <c r="AB330" s="3">
        <v>0</v>
      </c>
      <c r="AC330" s="3">
        <v>0</v>
      </c>
      <c r="AD330" s="3">
        <v>1.7</v>
      </c>
      <c r="AE330" s="34">
        <v>1</v>
      </c>
      <c r="AF330" s="33">
        <v>1428.75</v>
      </c>
      <c r="AG330" s="33">
        <v>1415.61</v>
      </c>
      <c r="AH330" s="3"/>
      <c r="AI330" s="33"/>
      <c r="AJ330" s="33"/>
      <c r="AK330" s="3"/>
      <c r="AL330" s="3"/>
    </row>
    <row r="331" spans="1:38" x14ac:dyDescent="0.2">
      <c r="A331">
        <v>2689</v>
      </c>
      <c r="B331">
        <v>1</v>
      </c>
      <c r="C331" t="s">
        <v>384</v>
      </c>
      <c r="D331">
        <v>2006</v>
      </c>
      <c r="E331">
        <v>0</v>
      </c>
      <c r="F331">
        <v>0</v>
      </c>
      <c r="G331">
        <v>0</v>
      </c>
      <c r="H331" s="3">
        <v>171.84</v>
      </c>
      <c r="I331" s="3">
        <v>0</v>
      </c>
      <c r="J331" s="3">
        <v>0</v>
      </c>
      <c r="K331" s="3">
        <v>0</v>
      </c>
      <c r="L331" s="3">
        <v>1.43</v>
      </c>
      <c r="M331" s="3">
        <v>0</v>
      </c>
      <c r="N331">
        <v>0</v>
      </c>
      <c r="O331">
        <v>0</v>
      </c>
      <c r="P331" s="3">
        <v>0</v>
      </c>
      <c r="Q331">
        <v>2003</v>
      </c>
      <c r="R331">
        <v>2009</v>
      </c>
      <c r="S331" s="3">
        <v>400</v>
      </c>
      <c r="T331" s="9">
        <v>1990</v>
      </c>
      <c r="U331" s="9">
        <v>0</v>
      </c>
      <c r="V331" s="9">
        <v>0</v>
      </c>
      <c r="W331" s="9">
        <v>0</v>
      </c>
      <c r="X331" s="10">
        <v>5.7568790000000002E-2</v>
      </c>
      <c r="Y331" s="11">
        <v>4319259</v>
      </c>
      <c r="Z331" s="3">
        <v>1782.35</v>
      </c>
      <c r="AA331" s="3">
        <v>991</v>
      </c>
      <c r="AB331" s="3">
        <v>0</v>
      </c>
      <c r="AC331" s="3">
        <v>0</v>
      </c>
      <c r="AD331" s="3">
        <v>1.41</v>
      </c>
      <c r="AE331" s="34">
        <v>0</v>
      </c>
      <c r="AF331" s="33">
        <v>1652.94</v>
      </c>
      <c r="AG331" s="33">
        <v>1649.32</v>
      </c>
      <c r="AH331" s="3"/>
      <c r="AI331" s="33"/>
      <c r="AJ331" s="33"/>
      <c r="AK331" s="3"/>
      <c r="AL331" s="3"/>
    </row>
    <row r="332" spans="1:38" x14ac:dyDescent="0.2">
      <c r="A332">
        <v>2711</v>
      </c>
      <c r="B332">
        <v>1</v>
      </c>
      <c r="C332" t="s">
        <v>385</v>
      </c>
      <c r="D332">
        <v>2005</v>
      </c>
      <c r="E332">
        <v>2008</v>
      </c>
      <c r="F332">
        <v>0</v>
      </c>
      <c r="G332">
        <v>0</v>
      </c>
      <c r="H332" s="3">
        <v>164.21</v>
      </c>
      <c r="I332" s="3">
        <v>264.70999999999998</v>
      </c>
      <c r="J332" s="3">
        <v>0</v>
      </c>
      <c r="K332" s="3">
        <v>0</v>
      </c>
      <c r="L332" s="3">
        <v>0</v>
      </c>
      <c r="M332" s="3">
        <v>127.92</v>
      </c>
      <c r="N332">
        <v>0</v>
      </c>
      <c r="O332">
        <v>0</v>
      </c>
      <c r="P332" s="3">
        <v>0</v>
      </c>
      <c r="Q332">
        <v>0</v>
      </c>
      <c r="R332">
        <v>0</v>
      </c>
      <c r="S332" s="3">
        <v>0</v>
      </c>
      <c r="T332" s="9">
        <v>1994</v>
      </c>
      <c r="U332" s="9">
        <v>1990</v>
      </c>
      <c r="V332" s="9">
        <v>0</v>
      </c>
      <c r="W332" s="9">
        <v>0</v>
      </c>
      <c r="X332" s="10">
        <v>9.2207049999999999E-2</v>
      </c>
      <c r="Y332" s="11">
        <v>3112685</v>
      </c>
      <c r="Z332" s="3">
        <v>1335.48</v>
      </c>
      <c r="AA332" s="3">
        <v>991</v>
      </c>
      <c r="AB332" s="3">
        <v>0</v>
      </c>
      <c r="AC332" s="3">
        <v>121.11</v>
      </c>
      <c r="AD332" s="3">
        <v>1.84</v>
      </c>
      <c r="AE332" s="34">
        <v>1</v>
      </c>
      <c r="AF332" s="33">
        <v>1193.93</v>
      </c>
      <c r="AG332" s="33">
        <v>1189.33</v>
      </c>
      <c r="AH332" s="3"/>
      <c r="AI332" s="33"/>
      <c r="AJ332" s="33"/>
      <c r="AK332" s="3"/>
      <c r="AL332" s="3"/>
    </row>
    <row r="333" spans="1:38" x14ac:dyDescent="0.2">
      <c r="A333">
        <v>2752</v>
      </c>
      <c r="B333">
        <v>1</v>
      </c>
      <c r="C333" t="s">
        <v>386</v>
      </c>
      <c r="D333">
        <v>2008</v>
      </c>
      <c r="E333">
        <v>0</v>
      </c>
      <c r="F333">
        <v>0</v>
      </c>
      <c r="G333">
        <v>0</v>
      </c>
      <c r="H333" s="3">
        <v>288.05</v>
      </c>
      <c r="I333" s="3">
        <v>0</v>
      </c>
      <c r="J333" s="3">
        <v>0</v>
      </c>
      <c r="K333" s="3">
        <v>0</v>
      </c>
      <c r="L333" s="3">
        <v>97.49</v>
      </c>
      <c r="M333" s="3">
        <v>0</v>
      </c>
      <c r="N333">
        <v>0</v>
      </c>
      <c r="O333">
        <v>0</v>
      </c>
      <c r="P333" s="3">
        <v>0</v>
      </c>
      <c r="Q333">
        <v>0</v>
      </c>
      <c r="R333">
        <v>0</v>
      </c>
      <c r="S333" s="3">
        <v>0</v>
      </c>
      <c r="T333" s="9">
        <v>1990</v>
      </c>
      <c r="U333" s="9">
        <v>0</v>
      </c>
      <c r="V333" s="9">
        <v>0</v>
      </c>
      <c r="W333" s="9">
        <v>0</v>
      </c>
      <c r="X333" s="10">
        <v>8.6971569999999998E-2</v>
      </c>
      <c r="Y333" s="11">
        <v>6502152</v>
      </c>
      <c r="Z333" s="3">
        <v>2418.09</v>
      </c>
      <c r="AA333" s="3">
        <v>991</v>
      </c>
      <c r="AB333" s="3">
        <v>0</v>
      </c>
      <c r="AC333" s="3">
        <v>0</v>
      </c>
      <c r="AD333" s="3">
        <v>1.98</v>
      </c>
      <c r="AE333" s="34">
        <v>0</v>
      </c>
      <c r="AF333" s="33">
        <v>2214.41</v>
      </c>
      <c r="AG333" s="33">
        <v>2192.34</v>
      </c>
      <c r="AH333" s="3"/>
      <c r="AI333" s="33"/>
      <c r="AJ333" s="33"/>
      <c r="AK333" s="3"/>
      <c r="AL333" s="3"/>
    </row>
    <row r="334" spans="1:38" x14ac:dyDescent="0.2">
      <c r="A334">
        <v>2753</v>
      </c>
      <c r="B334">
        <v>1</v>
      </c>
      <c r="C334" t="s">
        <v>387</v>
      </c>
      <c r="D334">
        <v>2002</v>
      </c>
      <c r="E334">
        <v>2010</v>
      </c>
      <c r="F334">
        <v>0</v>
      </c>
      <c r="G334">
        <v>0</v>
      </c>
      <c r="H334" s="3">
        <v>315</v>
      </c>
      <c r="I334" s="3">
        <v>100</v>
      </c>
      <c r="J334" s="3">
        <v>0</v>
      </c>
      <c r="K334" s="3">
        <v>0</v>
      </c>
      <c r="L334" s="3">
        <v>0</v>
      </c>
      <c r="M334" s="3">
        <v>0</v>
      </c>
      <c r="N334">
        <v>0</v>
      </c>
      <c r="O334">
        <v>0</v>
      </c>
      <c r="P334" s="3">
        <v>0</v>
      </c>
      <c r="Q334">
        <v>0</v>
      </c>
      <c r="R334">
        <v>0</v>
      </c>
      <c r="S334" s="3">
        <v>0</v>
      </c>
      <c r="T334" s="9">
        <v>1996</v>
      </c>
      <c r="U334" s="9">
        <v>1999</v>
      </c>
      <c r="V334" s="9">
        <v>0</v>
      </c>
      <c r="W334" s="9">
        <v>0</v>
      </c>
      <c r="X334" s="10">
        <v>0</v>
      </c>
      <c r="Y334" s="11">
        <v>2610175</v>
      </c>
      <c r="Z334" s="3">
        <v>1763.51</v>
      </c>
      <c r="AA334" s="3">
        <v>991</v>
      </c>
      <c r="AB334" s="3">
        <v>0</v>
      </c>
      <c r="AC334" s="3">
        <v>0</v>
      </c>
      <c r="AD334" s="3">
        <v>0.9</v>
      </c>
      <c r="AE334" s="34">
        <v>0</v>
      </c>
      <c r="AF334" s="33">
        <v>1787.19</v>
      </c>
      <c r="AG334" s="33">
        <v>1763.09</v>
      </c>
      <c r="AH334" s="3"/>
      <c r="AI334" s="33"/>
      <c r="AJ334" s="33"/>
      <c r="AK334" s="3"/>
      <c r="AL334" s="3"/>
    </row>
    <row r="335" spans="1:38" x14ac:dyDescent="0.2">
      <c r="A335">
        <v>2754</v>
      </c>
      <c r="B335">
        <v>1</v>
      </c>
      <c r="C335" t="s">
        <v>388</v>
      </c>
      <c r="D335">
        <v>2008</v>
      </c>
      <c r="E335">
        <v>0</v>
      </c>
      <c r="F335">
        <v>0</v>
      </c>
      <c r="G335">
        <v>0</v>
      </c>
      <c r="H335" s="3">
        <v>773.78</v>
      </c>
      <c r="I335" s="3">
        <v>0</v>
      </c>
      <c r="J335" s="3">
        <v>0</v>
      </c>
      <c r="K335" s="3">
        <v>0</v>
      </c>
      <c r="L335" s="3">
        <v>113.8</v>
      </c>
      <c r="M335" s="3">
        <v>3.11</v>
      </c>
      <c r="N335">
        <v>0</v>
      </c>
      <c r="O335">
        <v>0</v>
      </c>
      <c r="P335" s="3">
        <v>0</v>
      </c>
      <c r="Q335">
        <v>2003</v>
      </c>
      <c r="R335">
        <v>2012</v>
      </c>
      <c r="S335" s="3">
        <v>290</v>
      </c>
      <c r="T335" s="9">
        <v>1990</v>
      </c>
      <c r="U335" s="9">
        <v>0</v>
      </c>
      <c r="V335" s="9">
        <v>0</v>
      </c>
      <c r="W335" s="9">
        <v>0</v>
      </c>
      <c r="X335" s="10">
        <v>0.13798708000000001</v>
      </c>
      <c r="Y335" s="11">
        <v>2286716</v>
      </c>
      <c r="Z335">
        <v>502.28</v>
      </c>
      <c r="AA335" s="3">
        <v>991</v>
      </c>
      <c r="AB335" s="3">
        <v>0</v>
      </c>
      <c r="AC335" s="3">
        <v>0</v>
      </c>
      <c r="AD335" s="3">
        <v>3.11</v>
      </c>
      <c r="AE335" s="34">
        <v>1</v>
      </c>
      <c r="AF335" s="33">
        <v>490.97</v>
      </c>
      <c r="AG335" s="33">
        <v>490.88</v>
      </c>
      <c r="AH335" s="3"/>
      <c r="AI335" s="33"/>
      <c r="AJ335" s="33"/>
      <c r="AK335" s="3"/>
      <c r="AL335" s="3"/>
    </row>
    <row r="336" spans="1:38" x14ac:dyDescent="0.2">
      <c r="A336">
        <v>2759</v>
      </c>
      <c r="B336">
        <v>1</v>
      </c>
      <c r="C336" t="s">
        <v>389</v>
      </c>
      <c r="D336">
        <v>2006</v>
      </c>
      <c r="E336">
        <v>2009</v>
      </c>
      <c r="F336">
        <v>0</v>
      </c>
      <c r="G336">
        <v>0</v>
      </c>
      <c r="H336" s="3">
        <v>115.71</v>
      </c>
      <c r="I336" s="3">
        <v>315</v>
      </c>
      <c r="J336" s="3">
        <v>0</v>
      </c>
      <c r="K336" s="3">
        <v>0</v>
      </c>
      <c r="L336" s="3">
        <v>70.89</v>
      </c>
      <c r="M336" s="3">
        <v>0</v>
      </c>
      <c r="N336">
        <v>0</v>
      </c>
      <c r="O336">
        <v>0</v>
      </c>
      <c r="P336" s="3">
        <v>0</v>
      </c>
      <c r="Q336">
        <v>2003</v>
      </c>
      <c r="R336">
        <v>2012</v>
      </c>
      <c r="S336" s="3">
        <v>300</v>
      </c>
      <c r="T336" s="9">
        <v>1990</v>
      </c>
      <c r="U336" s="9">
        <v>1998</v>
      </c>
      <c r="V336" s="9">
        <v>0</v>
      </c>
      <c r="W336" s="9">
        <v>0</v>
      </c>
      <c r="X336" s="10">
        <v>0.10078599000000001</v>
      </c>
      <c r="Y336" s="11">
        <v>599724</v>
      </c>
      <c r="Z336">
        <v>643.42999999999995</v>
      </c>
      <c r="AA336" s="3">
        <v>991</v>
      </c>
      <c r="AB336" s="3">
        <v>0</v>
      </c>
      <c r="AC336" s="3">
        <v>0</v>
      </c>
      <c r="AD336" s="3">
        <v>0.44</v>
      </c>
      <c r="AE336" s="34">
        <v>0</v>
      </c>
      <c r="AF336" s="33">
        <v>568.70000000000005</v>
      </c>
      <c r="AG336" s="33">
        <v>555.59</v>
      </c>
      <c r="AH336" s="3"/>
      <c r="AI336" s="33"/>
      <c r="AJ336" s="33"/>
      <c r="AK336" s="3"/>
      <c r="AL336" s="3"/>
    </row>
    <row r="337" spans="1:38" x14ac:dyDescent="0.2">
      <c r="A337">
        <v>2805</v>
      </c>
      <c r="B337">
        <v>1</v>
      </c>
      <c r="C337" t="s">
        <v>390</v>
      </c>
      <c r="D337">
        <v>2006</v>
      </c>
      <c r="E337">
        <v>2010</v>
      </c>
      <c r="F337">
        <v>0</v>
      </c>
      <c r="G337">
        <v>0</v>
      </c>
      <c r="H337" s="3">
        <v>202.06</v>
      </c>
      <c r="I337" s="3">
        <v>450</v>
      </c>
      <c r="J337" s="3">
        <v>0</v>
      </c>
      <c r="K337" s="3">
        <v>0</v>
      </c>
      <c r="L337" s="3">
        <v>28.82</v>
      </c>
      <c r="M337" s="3">
        <v>1.05</v>
      </c>
      <c r="N337">
        <v>0</v>
      </c>
      <c r="O337">
        <v>0</v>
      </c>
      <c r="P337" s="3">
        <v>0</v>
      </c>
      <c r="Q337">
        <v>0</v>
      </c>
      <c r="R337">
        <v>0</v>
      </c>
      <c r="S337" s="3">
        <v>0</v>
      </c>
      <c r="T337" s="9">
        <v>1990</v>
      </c>
      <c r="U337" s="9">
        <v>1999</v>
      </c>
      <c r="V337" s="9">
        <v>0</v>
      </c>
      <c r="W337" s="9">
        <v>0</v>
      </c>
      <c r="X337" s="10">
        <v>0</v>
      </c>
      <c r="Y337" s="11">
        <v>3102593</v>
      </c>
      <c r="Z337" s="3">
        <v>1445.95</v>
      </c>
      <c r="AA337" s="3">
        <v>991</v>
      </c>
      <c r="AB337" s="3">
        <v>0</v>
      </c>
      <c r="AC337" s="3">
        <v>0</v>
      </c>
      <c r="AD337" s="3">
        <v>1.05</v>
      </c>
      <c r="AE337" s="34">
        <v>1</v>
      </c>
      <c r="AF337" s="33">
        <v>1372.03</v>
      </c>
      <c r="AG337" s="33">
        <v>1368.19</v>
      </c>
      <c r="AH337" s="3"/>
      <c r="AI337" s="33"/>
      <c r="AJ337" s="33"/>
      <c r="AK337" s="3"/>
      <c r="AL337" s="3"/>
    </row>
    <row r="338" spans="1:38" x14ac:dyDescent="0.2">
      <c r="A338">
        <v>2835</v>
      </c>
      <c r="B338">
        <v>1</v>
      </c>
      <c r="C338" t="s">
        <v>391</v>
      </c>
      <c r="D338">
        <v>2001</v>
      </c>
      <c r="E338">
        <v>2001</v>
      </c>
      <c r="F338">
        <v>0</v>
      </c>
      <c r="G338">
        <v>0</v>
      </c>
      <c r="H338" s="3">
        <v>731</v>
      </c>
      <c r="I338" s="3">
        <v>103.11</v>
      </c>
      <c r="J338" s="3">
        <v>0</v>
      </c>
      <c r="K338" s="3">
        <v>0</v>
      </c>
      <c r="L338" s="3">
        <v>100</v>
      </c>
      <c r="M338" s="3">
        <v>1.54</v>
      </c>
      <c r="N338">
        <v>2002</v>
      </c>
      <c r="O338">
        <v>2011</v>
      </c>
      <c r="P338" s="3">
        <v>731</v>
      </c>
      <c r="Q338">
        <v>0</v>
      </c>
      <c r="R338">
        <v>0</v>
      </c>
      <c r="S338" s="3">
        <v>0</v>
      </c>
      <c r="T338" s="9">
        <v>1995</v>
      </c>
      <c r="U338" s="9">
        <v>1990</v>
      </c>
      <c r="V338" s="9">
        <v>0</v>
      </c>
      <c r="W338" s="9">
        <v>0</v>
      </c>
      <c r="X338" s="10">
        <v>2.6440109999999999E-2</v>
      </c>
      <c r="Y338" s="11">
        <v>2863957</v>
      </c>
      <c r="Z338">
        <v>904.54</v>
      </c>
      <c r="AA338" s="3">
        <v>991</v>
      </c>
      <c r="AB338" s="3">
        <v>0</v>
      </c>
      <c r="AC338" s="3">
        <v>0</v>
      </c>
      <c r="AD338" s="3">
        <v>1.54</v>
      </c>
      <c r="AE338" s="34">
        <v>1</v>
      </c>
      <c r="AF338" s="33">
        <v>847.25</v>
      </c>
      <c r="AG338" s="33">
        <v>844.48</v>
      </c>
      <c r="AH338" s="3"/>
      <c r="AI338" s="33"/>
      <c r="AJ338" s="33"/>
      <c r="AK338" s="3"/>
      <c r="AL338" s="3"/>
    </row>
    <row r="339" spans="1:38" x14ac:dyDescent="0.2">
      <c r="A339">
        <v>2853</v>
      </c>
      <c r="B339">
        <v>1</v>
      </c>
      <c r="C339" t="s">
        <v>392</v>
      </c>
      <c r="D339">
        <v>2002</v>
      </c>
      <c r="E339">
        <v>0</v>
      </c>
      <c r="F339">
        <v>0</v>
      </c>
      <c r="G339">
        <v>0</v>
      </c>
      <c r="H339" s="3">
        <v>422.03</v>
      </c>
      <c r="I339" s="3">
        <v>0</v>
      </c>
      <c r="J339" s="3">
        <v>0</v>
      </c>
      <c r="K339" s="3">
        <v>0</v>
      </c>
      <c r="L339" s="3">
        <v>79.900000000000006</v>
      </c>
      <c r="M339" s="3">
        <v>1.86</v>
      </c>
      <c r="N339">
        <v>2003</v>
      </c>
      <c r="O339">
        <v>2007</v>
      </c>
      <c r="P339" s="3">
        <v>500</v>
      </c>
      <c r="Q339">
        <v>2003</v>
      </c>
      <c r="R339">
        <v>2007</v>
      </c>
      <c r="S339" s="3">
        <v>415</v>
      </c>
      <c r="T339" s="9">
        <v>1996</v>
      </c>
      <c r="U339" s="9">
        <v>0</v>
      </c>
      <c r="V339" s="9">
        <v>0</v>
      </c>
      <c r="W339" s="9">
        <v>0</v>
      </c>
      <c r="X339" s="10">
        <v>0</v>
      </c>
      <c r="Y339" s="11">
        <v>4277465</v>
      </c>
      <c r="Z339" s="3">
        <v>1542.52</v>
      </c>
      <c r="AA339" s="3">
        <v>991</v>
      </c>
      <c r="AB339" s="3">
        <v>0</v>
      </c>
      <c r="AC339" s="3">
        <v>0</v>
      </c>
      <c r="AD339" s="3">
        <v>1.86</v>
      </c>
      <c r="AE339" s="34">
        <v>1</v>
      </c>
      <c r="AF339" s="33">
        <v>1465.81</v>
      </c>
      <c r="AG339" s="33">
        <v>1461.13</v>
      </c>
      <c r="AH339" s="3"/>
      <c r="AI339" s="33"/>
      <c r="AJ339" s="33"/>
      <c r="AK339" s="3"/>
      <c r="AL339" s="3"/>
    </row>
    <row r="340" spans="1:38" x14ac:dyDescent="0.2">
      <c r="A340">
        <v>2854</v>
      </c>
      <c r="B340">
        <v>1</v>
      </c>
      <c r="C340" t="s">
        <v>393</v>
      </c>
      <c r="D340">
        <v>2006</v>
      </c>
      <c r="E340">
        <v>0</v>
      </c>
      <c r="F340">
        <v>0</v>
      </c>
      <c r="G340">
        <v>0</v>
      </c>
      <c r="H340" s="3">
        <v>323.5</v>
      </c>
      <c r="I340" s="3">
        <v>0</v>
      </c>
      <c r="J340" s="3">
        <v>0</v>
      </c>
      <c r="K340" s="3">
        <v>0</v>
      </c>
      <c r="L340" s="3">
        <v>0</v>
      </c>
      <c r="M340" s="3">
        <v>75.48</v>
      </c>
      <c r="N340">
        <v>0</v>
      </c>
      <c r="O340">
        <v>0</v>
      </c>
      <c r="P340" s="3">
        <v>0</v>
      </c>
      <c r="Q340">
        <v>2003</v>
      </c>
      <c r="R340">
        <v>2012</v>
      </c>
      <c r="S340" s="3">
        <v>400</v>
      </c>
      <c r="T340" s="9">
        <v>1990</v>
      </c>
      <c r="U340" s="9">
        <v>0</v>
      </c>
      <c r="V340" s="9">
        <v>0</v>
      </c>
      <c r="W340" s="9">
        <v>0</v>
      </c>
      <c r="X340" s="10">
        <v>6.8006259999999999E-2</v>
      </c>
      <c r="Y340" s="11">
        <v>2312894</v>
      </c>
      <c r="Z340">
        <v>598.89</v>
      </c>
      <c r="AA340" s="3">
        <v>9999.99</v>
      </c>
      <c r="AB340" s="3">
        <v>72.84</v>
      </c>
      <c r="AC340" s="3">
        <v>0</v>
      </c>
      <c r="AD340" s="3">
        <v>2.3199999999999998</v>
      </c>
      <c r="AE340" s="34">
        <v>1</v>
      </c>
      <c r="AF340" s="33">
        <v>592.83000000000004</v>
      </c>
      <c r="AG340" s="33">
        <v>591.48</v>
      </c>
      <c r="AH340" s="3"/>
      <c r="AI340" s="33"/>
      <c r="AJ340" s="33"/>
      <c r="AK340" s="3"/>
      <c r="AL340" s="3"/>
    </row>
    <row r="341" spans="1:38" x14ac:dyDescent="0.2">
      <c r="A341">
        <v>2856</v>
      </c>
      <c r="B341">
        <v>1</v>
      </c>
      <c r="C341" t="s">
        <v>394</v>
      </c>
      <c r="D341">
        <v>2006</v>
      </c>
      <c r="E341">
        <v>2008</v>
      </c>
      <c r="F341">
        <v>0</v>
      </c>
      <c r="G341">
        <v>0</v>
      </c>
      <c r="H341" s="3">
        <v>713.36</v>
      </c>
      <c r="I341" s="3">
        <v>237.79</v>
      </c>
      <c r="J341" s="3">
        <v>0</v>
      </c>
      <c r="K341" s="3">
        <v>0</v>
      </c>
      <c r="L341" s="3">
        <v>113.36</v>
      </c>
      <c r="M341" s="3">
        <v>0</v>
      </c>
      <c r="N341">
        <v>0</v>
      </c>
      <c r="O341">
        <v>0</v>
      </c>
      <c r="P341" s="3">
        <v>0</v>
      </c>
      <c r="Q341">
        <v>0</v>
      </c>
      <c r="R341">
        <v>0</v>
      </c>
      <c r="S341" s="3">
        <v>0</v>
      </c>
      <c r="T341" s="9">
        <v>1990</v>
      </c>
      <c r="U341" s="9">
        <v>1990</v>
      </c>
      <c r="V341" s="9">
        <v>0</v>
      </c>
      <c r="W341" s="9">
        <v>0</v>
      </c>
      <c r="X341" s="10">
        <v>0.15796032000000002</v>
      </c>
      <c r="Y341" s="11">
        <v>2511105</v>
      </c>
      <c r="Z341">
        <v>513.66</v>
      </c>
      <c r="AA341" s="3">
        <v>9999.99</v>
      </c>
      <c r="AB341" s="3">
        <v>0</v>
      </c>
      <c r="AC341" s="3">
        <v>0</v>
      </c>
      <c r="AD341" s="3">
        <v>3.72</v>
      </c>
      <c r="AE341" s="34">
        <v>1</v>
      </c>
      <c r="AF341" s="33">
        <v>457.99</v>
      </c>
      <c r="AG341" s="33">
        <v>457.48</v>
      </c>
      <c r="AH341" s="3"/>
      <c r="AI341" s="33"/>
      <c r="AJ341" s="33"/>
      <c r="AK341" s="3"/>
      <c r="AL341" s="3"/>
    </row>
    <row r="342" spans="1:38" x14ac:dyDescent="0.2">
      <c r="A342">
        <v>2859</v>
      </c>
      <c r="B342">
        <v>1</v>
      </c>
      <c r="C342" t="s">
        <v>395</v>
      </c>
      <c r="D342">
        <v>2008</v>
      </c>
      <c r="E342">
        <v>0</v>
      </c>
      <c r="F342">
        <v>0</v>
      </c>
      <c r="G342">
        <v>0</v>
      </c>
      <c r="H342" s="3">
        <v>549.04999999999995</v>
      </c>
      <c r="I342" s="3">
        <v>0</v>
      </c>
      <c r="J342" s="3">
        <v>0</v>
      </c>
      <c r="K342" s="3">
        <v>0</v>
      </c>
      <c r="L342" s="3">
        <v>54.09</v>
      </c>
      <c r="M342" s="3">
        <v>1</v>
      </c>
      <c r="N342">
        <v>0</v>
      </c>
      <c r="O342">
        <v>0</v>
      </c>
      <c r="P342" s="3">
        <v>0</v>
      </c>
      <c r="Q342">
        <v>0</v>
      </c>
      <c r="R342">
        <v>0</v>
      </c>
      <c r="S342" s="3">
        <v>0</v>
      </c>
      <c r="T342" s="9">
        <v>1990</v>
      </c>
      <c r="U342" s="9">
        <v>0</v>
      </c>
      <c r="V342" s="9">
        <v>0</v>
      </c>
      <c r="W342" s="9">
        <v>0</v>
      </c>
      <c r="X342" s="10">
        <v>0.20932898999999999</v>
      </c>
      <c r="Y342" s="11">
        <v>4675636</v>
      </c>
      <c r="Z342" s="3">
        <v>2195.66</v>
      </c>
      <c r="AA342" s="3">
        <v>991</v>
      </c>
      <c r="AB342" s="3">
        <v>0</v>
      </c>
      <c r="AC342" s="3">
        <v>0</v>
      </c>
      <c r="AD342" s="3">
        <v>1</v>
      </c>
      <c r="AE342" s="34">
        <v>1</v>
      </c>
      <c r="AF342" s="33">
        <v>2130.6999999999998</v>
      </c>
      <c r="AG342" s="33">
        <v>2124.15</v>
      </c>
      <c r="AH342" s="3"/>
      <c r="AI342" s="33"/>
      <c r="AJ342" s="33"/>
      <c r="AK342" s="3"/>
      <c r="AL342" s="3"/>
    </row>
    <row r="343" spans="1:38" x14ac:dyDescent="0.2">
      <c r="A343">
        <v>2860</v>
      </c>
      <c r="B343">
        <v>1</v>
      </c>
      <c r="C343" t="s">
        <v>396</v>
      </c>
      <c r="D343">
        <v>2005</v>
      </c>
      <c r="E343">
        <v>0</v>
      </c>
      <c r="F343">
        <v>0</v>
      </c>
      <c r="G343">
        <v>0</v>
      </c>
      <c r="H343" s="3">
        <v>455</v>
      </c>
      <c r="I343" s="3">
        <v>0</v>
      </c>
      <c r="J343" s="3">
        <v>0</v>
      </c>
      <c r="K343" s="3">
        <v>0</v>
      </c>
      <c r="L343" s="3">
        <v>0</v>
      </c>
      <c r="M343" s="3">
        <v>2.09</v>
      </c>
      <c r="N343">
        <v>0</v>
      </c>
      <c r="O343">
        <v>0</v>
      </c>
      <c r="P343" s="3">
        <v>0</v>
      </c>
      <c r="Q343">
        <v>0</v>
      </c>
      <c r="R343">
        <v>0</v>
      </c>
      <c r="S343" s="3">
        <v>0</v>
      </c>
      <c r="T343" s="9">
        <v>1999</v>
      </c>
      <c r="U343" s="9">
        <v>0</v>
      </c>
      <c r="V343" s="9">
        <v>0</v>
      </c>
      <c r="W343" s="9">
        <v>0</v>
      </c>
      <c r="X343" s="10">
        <v>0</v>
      </c>
      <c r="Y343" s="11">
        <v>5843834</v>
      </c>
      <c r="Z343" s="3">
        <v>1847.13</v>
      </c>
      <c r="AA343" s="3">
        <v>991</v>
      </c>
      <c r="AB343" s="3">
        <v>0</v>
      </c>
      <c r="AC343" s="3">
        <v>0</v>
      </c>
      <c r="AD343" s="3">
        <v>2.09</v>
      </c>
      <c r="AE343" s="34">
        <v>1</v>
      </c>
      <c r="AF343" s="33">
        <v>1628.72</v>
      </c>
      <c r="AG343" s="33">
        <v>1628.25</v>
      </c>
      <c r="AH343" s="3"/>
      <c r="AI343" s="33"/>
      <c r="AJ343" s="33"/>
      <c r="AK343" s="3"/>
      <c r="AL343" s="3"/>
    </row>
    <row r="344" spans="1:38" x14ac:dyDescent="0.2">
      <c r="A344">
        <v>2884</v>
      </c>
      <c r="B344">
        <v>1</v>
      </c>
      <c r="C344" t="s">
        <v>397</v>
      </c>
      <c r="D344">
        <v>2006</v>
      </c>
      <c r="E344">
        <v>0</v>
      </c>
      <c r="F344">
        <v>0</v>
      </c>
      <c r="G344">
        <v>0</v>
      </c>
      <c r="H344" s="3">
        <v>395.41</v>
      </c>
      <c r="I344" s="3">
        <v>0</v>
      </c>
      <c r="J344" s="3">
        <v>0</v>
      </c>
      <c r="K344" s="3">
        <v>0</v>
      </c>
      <c r="L344" s="3">
        <v>108.2</v>
      </c>
      <c r="M344" s="3">
        <v>0</v>
      </c>
      <c r="N344">
        <v>0</v>
      </c>
      <c r="O344">
        <v>0</v>
      </c>
      <c r="P344" s="3">
        <v>0</v>
      </c>
      <c r="Q344">
        <v>0</v>
      </c>
      <c r="R344">
        <v>0</v>
      </c>
      <c r="S344" s="3">
        <v>0</v>
      </c>
      <c r="T344" s="9">
        <v>1990</v>
      </c>
      <c r="U344" s="9">
        <v>0</v>
      </c>
      <c r="V344" s="9">
        <v>0</v>
      </c>
      <c r="W344" s="9">
        <v>0</v>
      </c>
      <c r="X344" s="10">
        <v>7.6088009999999998E-2</v>
      </c>
      <c r="Y344" s="11">
        <v>3298804</v>
      </c>
      <c r="Z344">
        <v>781.88</v>
      </c>
      <c r="AA344" s="3">
        <v>9999.99</v>
      </c>
      <c r="AB344" s="3">
        <v>0</v>
      </c>
      <c r="AC344" s="3">
        <v>0</v>
      </c>
      <c r="AD344" s="3">
        <v>2.84</v>
      </c>
      <c r="AE344" s="34">
        <v>0</v>
      </c>
      <c r="AF344" s="33">
        <v>740.39</v>
      </c>
      <c r="AG344" s="33">
        <v>740.22</v>
      </c>
      <c r="AH344" s="3"/>
      <c r="AI344" s="33"/>
      <c r="AJ344" s="33"/>
      <c r="AK344" s="3"/>
      <c r="AL344" s="3"/>
    </row>
    <row r="345" spans="1:38" x14ac:dyDescent="0.2">
      <c r="A345">
        <v>2886</v>
      </c>
      <c r="B345">
        <v>1</v>
      </c>
      <c r="C345" t="s">
        <v>398</v>
      </c>
      <c r="D345">
        <v>2006</v>
      </c>
      <c r="E345">
        <v>0</v>
      </c>
      <c r="F345">
        <v>0</v>
      </c>
      <c r="G345">
        <v>0</v>
      </c>
      <c r="H345" s="3">
        <v>965.97</v>
      </c>
      <c r="I345" s="3">
        <v>0</v>
      </c>
      <c r="J345" s="3">
        <v>0</v>
      </c>
      <c r="K345" s="3">
        <v>0</v>
      </c>
      <c r="L345" s="3">
        <v>119.21</v>
      </c>
      <c r="M345" s="3">
        <v>1.58</v>
      </c>
      <c r="N345">
        <v>0</v>
      </c>
      <c r="O345">
        <v>0</v>
      </c>
      <c r="P345" s="3">
        <v>0</v>
      </c>
      <c r="Q345">
        <v>0</v>
      </c>
      <c r="R345">
        <v>0</v>
      </c>
      <c r="S345" s="3">
        <v>0</v>
      </c>
      <c r="T345" s="9">
        <v>1990</v>
      </c>
      <c r="U345" s="9">
        <v>0</v>
      </c>
      <c r="V345" s="9">
        <v>0</v>
      </c>
      <c r="W345" s="9">
        <v>0</v>
      </c>
      <c r="X345" s="10">
        <v>0.28961221999999998</v>
      </c>
      <c r="Y345" s="11">
        <v>1660232</v>
      </c>
      <c r="Z345">
        <v>613.1</v>
      </c>
      <c r="AA345" s="3">
        <v>9999.99</v>
      </c>
      <c r="AB345" s="3">
        <v>0</v>
      </c>
      <c r="AC345" s="3">
        <v>0</v>
      </c>
      <c r="AD345" s="3">
        <v>1.58</v>
      </c>
      <c r="AE345" s="34">
        <v>1</v>
      </c>
      <c r="AF345" s="33">
        <v>490.19</v>
      </c>
      <c r="AG345" s="33">
        <v>489.79</v>
      </c>
      <c r="AH345" s="3"/>
      <c r="AI345" s="33"/>
      <c r="AJ345" s="33"/>
      <c r="AK345" s="3"/>
      <c r="AL345" s="3"/>
    </row>
    <row r="346" spans="1:38" x14ac:dyDescent="0.2">
      <c r="A346">
        <v>2887</v>
      </c>
      <c r="B346">
        <v>1</v>
      </c>
      <c r="C346" t="s">
        <v>399</v>
      </c>
      <c r="D346">
        <v>2006</v>
      </c>
      <c r="E346">
        <v>0</v>
      </c>
      <c r="F346">
        <v>0</v>
      </c>
      <c r="G346">
        <v>0</v>
      </c>
      <c r="H346" s="3">
        <v>223</v>
      </c>
      <c r="I346" s="3">
        <v>0</v>
      </c>
      <c r="J346" s="3">
        <v>0</v>
      </c>
      <c r="K346" s="3">
        <v>0</v>
      </c>
      <c r="L346" s="3">
        <v>19.22</v>
      </c>
      <c r="M346" s="3">
        <v>14.61</v>
      </c>
      <c r="N346">
        <v>0</v>
      </c>
      <c r="O346">
        <v>0</v>
      </c>
      <c r="P346" s="3">
        <v>0</v>
      </c>
      <c r="Q346">
        <v>2003</v>
      </c>
      <c r="R346">
        <v>2012</v>
      </c>
      <c r="S346" s="3">
        <v>250</v>
      </c>
      <c r="T346" s="9">
        <v>1990</v>
      </c>
      <c r="U346" s="9">
        <v>0</v>
      </c>
      <c r="V346" s="9">
        <v>0</v>
      </c>
      <c r="W346" s="9">
        <v>0</v>
      </c>
      <c r="X346" s="10">
        <v>6.4864320000000003E-2</v>
      </c>
      <c r="Y346" s="11">
        <v>1855413</v>
      </c>
      <c r="Z346">
        <v>664.73</v>
      </c>
      <c r="AA346" s="3">
        <v>991</v>
      </c>
      <c r="AB346" s="3">
        <v>9.92</v>
      </c>
      <c r="AC346" s="3">
        <v>0</v>
      </c>
      <c r="AD346" s="3">
        <v>1.4</v>
      </c>
      <c r="AE346" s="34">
        <v>1</v>
      </c>
      <c r="AF346" s="33">
        <v>616.28</v>
      </c>
      <c r="AG346" s="33">
        <v>613.4</v>
      </c>
      <c r="AH346" s="3"/>
      <c r="AI346" s="33"/>
      <c r="AJ346" s="33"/>
      <c r="AK346" s="3"/>
      <c r="AL346" s="3"/>
    </row>
    <row r="347" spans="1:38" x14ac:dyDescent="0.2">
      <c r="A347">
        <v>2888</v>
      </c>
      <c r="B347">
        <v>1</v>
      </c>
      <c r="C347" t="s">
        <v>400</v>
      </c>
      <c r="D347">
        <v>2006</v>
      </c>
      <c r="E347">
        <v>0</v>
      </c>
      <c r="F347">
        <v>0</v>
      </c>
      <c r="G347">
        <v>0</v>
      </c>
      <c r="H347" s="3">
        <v>387.97</v>
      </c>
      <c r="I347" s="3">
        <v>0</v>
      </c>
      <c r="J347" s="3">
        <v>0</v>
      </c>
      <c r="K347" s="3">
        <v>0</v>
      </c>
      <c r="L347" s="3">
        <v>91.14</v>
      </c>
      <c r="M347" s="3">
        <v>0</v>
      </c>
      <c r="N347">
        <v>0</v>
      </c>
      <c r="O347">
        <v>0</v>
      </c>
      <c r="P347" s="3">
        <v>0</v>
      </c>
      <c r="Q347">
        <v>2003</v>
      </c>
      <c r="R347">
        <v>2012</v>
      </c>
      <c r="S347" s="3">
        <v>126</v>
      </c>
      <c r="T347" s="9">
        <v>1990</v>
      </c>
      <c r="U347" s="9">
        <v>0</v>
      </c>
      <c r="V347" s="9">
        <v>0</v>
      </c>
      <c r="W347" s="9">
        <v>0</v>
      </c>
      <c r="X347" s="10">
        <v>9.4817609999999997E-2</v>
      </c>
      <c r="Y347" s="11">
        <v>2343476</v>
      </c>
      <c r="Z347">
        <v>705.44</v>
      </c>
      <c r="AA347" s="3">
        <v>9999.99</v>
      </c>
      <c r="AB347" s="3">
        <v>0</v>
      </c>
      <c r="AC347" s="3">
        <v>0</v>
      </c>
      <c r="AD347" s="3">
        <v>1.9</v>
      </c>
      <c r="AE347" s="34">
        <v>0</v>
      </c>
      <c r="AF347" s="33">
        <v>633.77</v>
      </c>
      <c r="AG347" s="33">
        <v>633.48</v>
      </c>
      <c r="AH347" s="3"/>
      <c r="AI347" s="33"/>
      <c r="AJ347" s="33"/>
      <c r="AK347" s="3"/>
      <c r="AL347" s="3"/>
    </row>
    <row r="348" spans="1:38" x14ac:dyDescent="0.2">
      <c r="A348">
        <v>2889</v>
      </c>
      <c r="B348">
        <v>1</v>
      </c>
      <c r="C348" t="s">
        <v>401</v>
      </c>
      <c r="D348">
        <v>2008</v>
      </c>
      <c r="E348">
        <v>0</v>
      </c>
      <c r="F348">
        <v>0</v>
      </c>
      <c r="G348">
        <v>0</v>
      </c>
      <c r="H348" s="3">
        <v>107.78</v>
      </c>
      <c r="I348" s="3">
        <v>0</v>
      </c>
      <c r="J348" s="3">
        <v>0</v>
      </c>
      <c r="K348" s="3">
        <v>0</v>
      </c>
      <c r="L348" s="3">
        <v>0</v>
      </c>
      <c r="M348" s="3">
        <v>3.58</v>
      </c>
      <c r="N348">
        <v>2002</v>
      </c>
      <c r="O348">
        <v>2006</v>
      </c>
      <c r="P348" s="3">
        <v>307.22000000000003</v>
      </c>
      <c r="Q348">
        <v>0</v>
      </c>
      <c r="R348">
        <v>0</v>
      </c>
      <c r="S348" s="3">
        <v>0</v>
      </c>
      <c r="T348" s="9">
        <v>1999</v>
      </c>
      <c r="U348" s="9">
        <v>0</v>
      </c>
      <c r="V348" s="9">
        <v>0</v>
      </c>
      <c r="W348" s="9">
        <v>0</v>
      </c>
      <c r="X348" s="10">
        <v>0</v>
      </c>
      <c r="Y348" s="11">
        <v>3079788</v>
      </c>
      <c r="Z348">
        <v>841.19</v>
      </c>
      <c r="AA348" s="3">
        <v>991</v>
      </c>
      <c r="AB348" s="3">
        <v>0</v>
      </c>
      <c r="AC348" s="3">
        <v>0</v>
      </c>
      <c r="AD348" s="3">
        <v>3.58</v>
      </c>
      <c r="AE348" s="34">
        <v>1</v>
      </c>
      <c r="AF348" s="33">
        <v>867.99</v>
      </c>
      <c r="AG348" s="33">
        <v>865.8</v>
      </c>
      <c r="AH348" s="3"/>
      <c r="AI348" s="33"/>
      <c r="AJ348" s="33"/>
      <c r="AK348" s="3"/>
      <c r="AL348" s="3"/>
    </row>
    <row r="349" spans="1:38" x14ac:dyDescent="0.2">
      <c r="A349">
        <v>2890</v>
      </c>
      <c r="B349">
        <v>1</v>
      </c>
      <c r="C349" t="s">
        <v>402</v>
      </c>
      <c r="D349">
        <v>0</v>
      </c>
      <c r="E349">
        <v>0</v>
      </c>
      <c r="F349">
        <v>0</v>
      </c>
      <c r="G349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3.02</v>
      </c>
      <c r="N349">
        <v>2002</v>
      </c>
      <c r="O349">
        <v>2011</v>
      </c>
      <c r="P349" s="3">
        <v>800</v>
      </c>
      <c r="Q349">
        <v>0</v>
      </c>
      <c r="R349">
        <v>0</v>
      </c>
      <c r="S349" s="3">
        <v>0</v>
      </c>
      <c r="T349" s="9">
        <v>0</v>
      </c>
      <c r="U349" s="9">
        <v>0</v>
      </c>
      <c r="V349" s="9">
        <v>0</v>
      </c>
      <c r="W349" s="9">
        <v>0</v>
      </c>
      <c r="X349" s="10">
        <v>0</v>
      </c>
      <c r="Y349" s="11">
        <v>3987577</v>
      </c>
      <c r="Z349" s="3">
        <v>1038.32</v>
      </c>
      <c r="AA349" s="3">
        <v>991</v>
      </c>
      <c r="AB349" s="3">
        <v>0</v>
      </c>
      <c r="AC349" s="3">
        <v>0</v>
      </c>
      <c r="AD349" s="3">
        <v>3.02</v>
      </c>
      <c r="AE349" s="34">
        <v>1</v>
      </c>
      <c r="AF349" s="33">
        <v>946.34</v>
      </c>
      <c r="AG349" s="33">
        <v>944.03</v>
      </c>
      <c r="AH349" s="3"/>
      <c r="AI349" s="33"/>
      <c r="AJ349" s="33"/>
      <c r="AK349" s="3"/>
      <c r="AL349" s="3"/>
    </row>
    <row r="350" spans="1:38" x14ac:dyDescent="0.2">
      <c r="A350">
        <v>2895</v>
      </c>
      <c r="B350">
        <v>1</v>
      </c>
      <c r="C350" t="s">
        <v>403</v>
      </c>
      <c r="D350">
        <v>2006</v>
      </c>
      <c r="E350">
        <v>0</v>
      </c>
      <c r="F350">
        <v>0</v>
      </c>
      <c r="G350">
        <v>0</v>
      </c>
      <c r="H350" s="3">
        <v>118.53</v>
      </c>
      <c r="I350" s="3">
        <v>0</v>
      </c>
      <c r="J350" s="3">
        <v>0</v>
      </c>
      <c r="K350" s="3">
        <v>0</v>
      </c>
      <c r="L350" s="3">
        <v>3.89</v>
      </c>
      <c r="M350" s="3">
        <v>0</v>
      </c>
      <c r="N350">
        <v>0</v>
      </c>
      <c r="O350">
        <v>0</v>
      </c>
      <c r="P350" s="3">
        <v>0</v>
      </c>
      <c r="Q350">
        <v>2003</v>
      </c>
      <c r="R350">
        <v>2012</v>
      </c>
      <c r="S350" s="3">
        <v>50</v>
      </c>
      <c r="T350" s="9">
        <v>0</v>
      </c>
      <c r="U350" s="9">
        <v>0</v>
      </c>
      <c r="V350" s="9">
        <v>0</v>
      </c>
      <c r="W350" s="9">
        <v>0</v>
      </c>
      <c r="X350" s="10">
        <v>0</v>
      </c>
      <c r="Y350" s="11">
        <v>5854254</v>
      </c>
      <c r="Z350" s="3">
        <v>1700.49</v>
      </c>
      <c r="AA350" s="3">
        <v>991</v>
      </c>
      <c r="AB350" s="3">
        <v>0</v>
      </c>
      <c r="AC350" s="3">
        <v>0</v>
      </c>
      <c r="AD350" s="3">
        <v>2.2200000000000002</v>
      </c>
      <c r="AE350" s="34">
        <v>0</v>
      </c>
      <c r="AF350" s="33">
        <v>1561.99</v>
      </c>
      <c r="AG350" s="33">
        <v>1554.69</v>
      </c>
      <c r="AH350" s="3"/>
      <c r="AI350" s="33"/>
      <c r="AJ350" s="33"/>
      <c r="AK350" s="3"/>
      <c r="AL350" s="3"/>
    </row>
    <row r="351" spans="1:38" x14ac:dyDescent="0.2">
      <c r="A351">
        <v>2897</v>
      </c>
      <c r="B351">
        <v>1</v>
      </c>
      <c r="C351" t="s">
        <v>404</v>
      </c>
      <c r="D351">
        <v>0</v>
      </c>
      <c r="E351">
        <v>0</v>
      </c>
      <c r="F351">
        <v>0</v>
      </c>
      <c r="G351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>
        <v>0</v>
      </c>
      <c r="O351">
        <v>0</v>
      </c>
      <c r="P351" s="3">
        <v>0</v>
      </c>
      <c r="Q351">
        <v>0</v>
      </c>
      <c r="R351">
        <v>0</v>
      </c>
      <c r="S351" s="3">
        <v>0</v>
      </c>
      <c r="T351" s="9">
        <v>0</v>
      </c>
      <c r="U351" s="9">
        <v>0</v>
      </c>
      <c r="V351" s="9">
        <v>0</v>
      </c>
      <c r="W351" s="9">
        <v>0</v>
      </c>
      <c r="X351" s="10">
        <v>0</v>
      </c>
      <c r="Y351" s="11">
        <f>637095+3959628</f>
        <v>4596723</v>
      </c>
      <c r="Z351" s="3">
        <v>1877.11</v>
      </c>
      <c r="AA351" s="3">
        <v>991</v>
      </c>
      <c r="AB351" s="3">
        <v>0</v>
      </c>
      <c r="AC351" s="3">
        <v>0</v>
      </c>
      <c r="AD351" s="3">
        <v>1.37</v>
      </c>
      <c r="AE351" s="34">
        <v>0</v>
      </c>
      <c r="AF351" s="33">
        <v>1764.84</v>
      </c>
      <c r="AG351" s="33">
        <v>1758.16</v>
      </c>
      <c r="AH351" s="3"/>
      <c r="AI351" s="33"/>
      <c r="AJ351" s="33"/>
      <c r="AK351" s="3"/>
      <c r="AL351" s="3"/>
    </row>
    <row r="352" spans="1:38" x14ac:dyDescent="0.2">
      <c r="A352">
        <v>2898</v>
      </c>
      <c r="B352">
        <v>1</v>
      </c>
      <c r="C352" t="s">
        <v>405</v>
      </c>
      <c r="D352">
        <v>2006</v>
      </c>
      <c r="E352">
        <v>0</v>
      </c>
      <c r="F352">
        <v>0</v>
      </c>
      <c r="G352">
        <v>0</v>
      </c>
      <c r="H352" s="3">
        <v>724.38</v>
      </c>
      <c r="I352" s="3">
        <v>0</v>
      </c>
      <c r="J352" s="3">
        <v>0</v>
      </c>
      <c r="K352" s="3">
        <v>0</v>
      </c>
      <c r="L352" s="3">
        <v>0</v>
      </c>
      <c r="M352" s="3">
        <v>3.53</v>
      </c>
      <c r="N352">
        <v>0</v>
      </c>
      <c r="O352">
        <v>0</v>
      </c>
      <c r="P352" s="3">
        <v>0</v>
      </c>
      <c r="Q352">
        <v>0</v>
      </c>
      <c r="R352">
        <v>0</v>
      </c>
      <c r="S352" s="3">
        <v>0</v>
      </c>
      <c r="T352" s="9">
        <v>0</v>
      </c>
      <c r="U352" s="9">
        <v>0</v>
      </c>
      <c r="V352" s="9">
        <v>0</v>
      </c>
      <c r="W352" s="9">
        <v>0</v>
      </c>
      <c r="X352" s="10">
        <v>0</v>
      </c>
      <c r="Y352" s="11">
        <f>1305436+1174535</f>
        <v>2479971</v>
      </c>
      <c r="Z352">
        <v>537.17999999999995</v>
      </c>
      <c r="AA352" s="3">
        <v>991</v>
      </c>
      <c r="AB352" s="3">
        <v>0</v>
      </c>
      <c r="AC352" s="3">
        <v>0</v>
      </c>
      <c r="AD352" s="3">
        <v>3.53</v>
      </c>
      <c r="AE352" s="34">
        <v>1</v>
      </c>
      <c r="AF352" s="33">
        <v>642.22</v>
      </c>
      <c r="AG352" s="33">
        <v>639.07000000000005</v>
      </c>
      <c r="AH352" s="3"/>
      <c r="AI352" s="33"/>
      <c r="AJ352" s="33"/>
      <c r="AK352" s="3"/>
      <c r="AL352" s="3"/>
    </row>
    <row r="355" spans="1:3" x14ac:dyDescent="0.2">
      <c r="A355">
        <v>0</v>
      </c>
    </row>
    <row r="356" spans="1:3" x14ac:dyDescent="0.2">
      <c r="A356" s="29">
        <v>281</v>
      </c>
      <c r="B356" s="29">
        <v>1</v>
      </c>
      <c r="C356" s="22" t="s">
        <v>153</v>
      </c>
    </row>
    <row r="357" spans="1:3" x14ac:dyDescent="0.2">
      <c r="A357" s="29">
        <v>284</v>
      </c>
      <c r="B357" s="29">
        <v>1</v>
      </c>
      <c r="C357" s="22" t="s">
        <v>156</v>
      </c>
    </row>
    <row r="358" spans="1:3" x14ac:dyDescent="0.2">
      <c r="A358" s="29">
        <v>505</v>
      </c>
      <c r="B358" s="29">
        <v>1</v>
      </c>
      <c r="C358" s="22" t="s">
        <v>220</v>
      </c>
    </row>
    <row r="359" spans="1:3" x14ac:dyDescent="0.2">
      <c r="A359" s="29">
        <v>712</v>
      </c>
      <c r="B359" s="29">
        <v>1</v>
      </c>
      <c r="C359" s="22" t="s">
        <v>278</v>
      </c>
    </row>
    <row r="360" spans="1:3" x14ac:dyDescent="0.2">
      <c r="A360" s="29">
        <v>2137</v>
      </c>
      <c r="B360" s="29">
        <v>1</v>
      </c>
      <c r="C360" s="22" t="s">
        <v>345</v>
      </c>
    </row>
    <row r="361" spans="1:3" x14ac:dyDescent="0.2">
      <c r="A361" s="29">
        <v>2364</v>
      </c>
      <c r="B361" s="29">
        <v>1</v>
      </c>
      <c r="C361" s="22" t="s">
        <v>372</v>
      </c>
    </row>
    <row r="362" spans="1:3" x14ac:dyDescent="0.2">
      <c r="A362" s="29">
        <v>9999</v>
      </c>
    </row>
    <row r="364" spans="1:3" x14ac:dyDescent="0.2">
      <c r="A364" t="str">
        <f>"DISTRICT #"&amp;FIXED(Dnumber,0,TRUE)&amp;"'S FY 2003 TRANSFER WOULD HAVE BEEN GREATER THAN THE $"&amp;FIXED(Thru01!D28,2,TRUE)&amp;" SHOWN IF THE"</f>
        <v>DISTRICT #2902'S FY 2003 TRANSFER WOULD HAVE BEEN GREATER THAN THE $415.00 SHOWN IF THE</v>
      </c>
    </row>
    <row r="365" spans="1:3" x14ac:dyDescent="0.2">
      <c r="A365" t="s">
        <v>829</v>
      </c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U3104"/>
  <sheetViews>
    <sheetView zoomScale="75" workbookViewId="0">
      <pane xSplit="4" ySplit="4" topLeftCell="E5" activePane="bottomRight" state="frozen"/>
      <selection pane="topRight" activeCell="D1" sqref="D1"/>
      <selection pane="bottomLeft" activeCell="A5" sqref="A5"/>
      <selection pane="bottomRight" activeCell="E5" sqref="E5"/>
    </sheetView>
  </sheetViews>
  <sheetFormatPr defaultRowHeight="12.75" x14ac:dyDescent="0.2"/>
  <cols>
    <col min="1" max="1" width="14.7109375" customWidth="1"/>
    <col min="2" max="2" width="5.7109375" customWidth="1"/>
    <col min="3" max="3" width="3.7109375" customWidth="1"/>
    <col min="4" max="4" width="16.7109375" customWidth="1"/>
    <col min="5" max="6" width="9.7109375" customWidth="1"/>
    <col min="7" max="18" width="8.7109375" customWidth="1"/>
  </cols>
  <sheetData>
    <row r="1" spans="1:21" x14ac:dyDescent="0.2">
      <c r="B1">
        <v>1</v>
      </c>
      <c r="C1">
        <f t="shared" ref="C1:S1" si="0">B1+1</f>
        <v>2</v>
      </c>
      <c r="D1">
        <f t="shared" si="0"/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>S1+1</f>
        <v>19</v>
      </c>
      <c r="U1">
        <f>T1+1</f>
        <v>20</v>
      </c>
    </row>
    <row r="3" spans="1:21" x14ac:dyDescent="0.2">
      <c r="E3" s="1" t="s">
        <v>48</v>
      </c>
      <c r="F3" s="1" t="s">
        <v>48</v>
      </c>
      <c r="G3" s="1" t="s">
        <v>48</v>
      </c>
      <c r="H3" s="1" t="s">
        <v>48</v>
      </c>
      <c r="I3" s="1" t="s">
        <v>48</v>
      </c>
      <c r="J3" s="1" t="s">
        <v>48</v>
      </c>
      <c r="K3" s="1" t="s">
        <v>48</v>
      </c>
      <c r="L3" s="1" t="s">
        <v>48</v>
      </c>
      <c r="M3" s="1" t="s">
        <v>48</v>
      </c>
      <c r="N3" s="1" t="s">
        <v>48</v>
      </c>
      <c r="O3" s="1" t="s">
        <v>48</v>
      </c>
      <c r="P3" s="1" t="s">
        <v>48</v>
      </c>
      <c r="Q3" s="1" t="s">
        <v>48</v>
      </c>
      <c r="R3" s="1" t="s">
        <v>48</v>
      </c>
      <c r="S3" s="1" t="s">
        <v>48</v>
      </c>
      <c r="T3" s="1" t="s">
        <v>48</v>
      </c>
      <c r="U3" s="1" t="s">
        <v>48</v>
      </c>
    </row>
    <row r="4" spans="1:21" x14ac:dyDescent="0.2">
      <c r="E4">
        <v>2001</v>
      </c>
      <c r="F4">
        <f t="shared" ref="F4:R4" si="1">E4+1</f>
        <v>2002</v>
      </c>
      <c r="G4">
        <f t="shared" si="1"/>
        <v>2003</v>
      </c>
      <c r="H4">
        <f t="shared" si="1"/>
        <v>2004</v>
      </c>
      <c r="I4">
        <f t="shared" si="1"/>
        <v>2005</v>
      </c>
      <c r="J4">
        <f t="shared" si="1"/>
        <v>2006</v>
      </c>
      <c r="K4">
        <f t="shared" si="1"/>
        <v>2007</v>
      </c>
      <c r="L4">
        <f t="shared" si="1"/>
        <v>2008</v>
      </c>
      <c r="M4">
        <f t="shared" si="1"/>
        <v>2009</v>
      </c>
      <c r="N4">
        <f t="shared" si="1"/>
        <v>2010</v>
      </c>
      <c r="O4">
        <f t="shared" si="1"/>
        <v>2011</v>
      </c>
      <c r="P4">
        <f t="shared" si="1"/>
        <v>2012</v>
      </c>
      <c r="Q4">
        <f t="shared" si="1"/>
        <v>2013</v>
      </c>
      <c r="R4">
        <f t="shared" si="1"/>
        <v>2014</v>
      </c>
      <c r="S4">
        <f>R4+1</f>
        <v>2015</v>
      </c>
      <c r="T4">
        <f>S4+1</f>
        <v>2016</v>
      </c>
      <c r="U4">
        <f>T4+1</f>
        <v>2017</v>
      </c>
    </row>
    <row r="5" spans="1:21" x14ac:dyDescent="0.2">
      <c r="E5" s="3">
        <v>149288.24</v>
      </c>
      <c r="F5" s="3">
        <v>162372.95000000001</v>
      </c>
      <c r="G5" s="3">
        <v>98454.55</v>
      </c>
      <c r="H5" s="3">
        <v>98834.65</v>
      </c>
      <c r="I5" s="3">
        <v>98739.63</v>
      </c>
      <c r="J5" s="3">
        <v>97415.11</v>
      </c>
      <c r="K5" s="3">
        <v>75471.44</v>
      </c>
      <c r="L5" s="3">
        <v>67864.820000000007</v>
      </c>
      <c r="M5" s="3">
        <v>51933.7</v>
      </c>
      <c r="N5" s="3">
        <v>47377.04</v>
      </c>
      <c r="O5" s="3">
        <v>41094.54</v>
      </c>
      <c r="P5" s="3">
        <v>33714.17</v>
      </c>
      <c r="Q5" s="3">
        <v>1</v>
      </c>
      <c r="R5" s="3">
        <v>0</v>
      </c>
      <c r="S5" s="3">
        <v>0</v>
      </c>
      <c r="T5" s="3">
        <v>0</v>
      </c>
    </row>
    <row r="6" spans="1:21" x14ac:dyDescent="0.2">
      <c r="E6" s="3">
        <f t="shared" ref="E6:M6" si="2">SUM(E8:E350)</f>
        <v>149288.24000000008</v>
      </c>
      <c r="F6" s="3">
        <f t="shared" si="2"/>
        <v>162372.95000000007</v>
      </c>
      <c r="G6" s="3">
        <f t="shared" si="2"/>
        <v>98454.499999999971</v>
      </c>
      <c r="H6" s="3">
        <f t="shared" si="2"/>
        <v>98834.599999999977</v>
      </c>
      <c r="I6" s="3">
        <f t="shared" si="2"/>
        <v>98739.579999999987</v>
      </c>
      <c r="J6" s="3">
        <f t="shared" si="2"/>
        <v>97415.059999999983</v>
      </c>
      <c r="K6" s="3">
        <f t="shared" si="2"/>
        <v>75471.420000000013</v>
      </c>
      <c r="L6" s="3">
        <f t="shared" si="2"/>
        <v>67864.800000000017</v>
      </c>
      <c r="M6" s="3">
        <f t="shared" si="2"/>
        <v>51933.670000000006</v>
      </c>
      <c r="N6" s="3">
        <f t="shared" ref="N6:T6" si="3">SUM(N8:N350)</f>
        <v>47377.04</v>
      </c>
      <c r="O6" s="3">
        <f t="shared" si="3"/>
        <v>41543.54</v>
      </c>
      <c r="P6" s="3">
        <f t="shared" si="3"/>
        <v>33714.17</v>
      </c>
      <c r="Q6" s="3">
        <f t="shared" si="3"/>
        <v>1</v>
      </c>
      <c r="R6" s="3">
        <f t="shared" si="3"/>
        <v>0</v>
      </c>
      <c r="S6" s="3">
        <f t="shared" si="3"/>
        <v>0</v>
      </c>
      <c r="T6" s="3">
        <f t="shared" si="3"/>
        <v>0</v>
      </c>
    </row>
    <row r="8" spans="1:21" x14ac:dyDescent="0.2">
      <c r="A8" t="s">
        <v>832</v>
      </c>
      <c r="B8">
        <v>1</v>
      </c>
      <c r="C8">
        <v>1</v>
      </c>
      <c r="D8" t="s">
        <v>63</v>
      </c>
      <c r="E8" s="3">
        <v>410.69</v>
      </c>
      <c r="F8" s="3">
        <v>410.69</v>
      </c>
      <c r="G8" s="3">
        <v>6.0000000000002274E-2</v>
      </c>
      <c r="H8" s="3">
        <v>6.0000000000002274E-2</v>
      </c>
      <c r="I8" s="3">
        <v>6.0000000000002274E-2</v>
      </c>
      <c r="J8" s="3">
        <v>6.0000000000002274E-2</v>
      </c>
      <c r="K8" s="3">
        <v>6.0000000000002274E-2</v>
      </c>
      <c r="L8" s="3">
        <v>6.0000000000002274E-2</v>
      </c>
      <c r="M8" s="3">
        <v>6.0000000000002274E-2</v>
      </c>
      <c r="N8" s="3">
        <v>6.0000000000002274E-2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t="s">
        <v>832</v>
      </c>
      <c r="B9">
        <v>1.2</v>
      </c>
      <c r="C9">
        <v>3</v>
      </c>
      <c r="D9" t="s">
        <v>64</v>
      </c>
      <c r="E9" s="3">
        <v>685</v>
      </c>
      <c r="F9" s="3">
        <v>705</v>
      </c>
      <c r="G9" s="3">
        <v>350.32</v>
      </c>
      <c r="H9" s="3">
        <v>380.32</v>
      </c>
      <c r="I9" s="3">
        <v>410.32</v>
      </c>
      <c r="J9" s="3">
        <v>440.32</v>
      </c>
      <c r="K9" s="3">
        <v>475.32</v>
      </c>
      <c r="L9" s="3">
        <v>505.32</v>
      </c>
      <c r="M9" s="3">
        <v>540.32000000000005</v>
      </c>
      <c r="N9" s="3">
        <v>580.32000000000005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">
      <c r="A10" t="s">
        <v>832</v>
      </c>
      <c r="B10">
        <v>2</v>
      </c>
      <c r="C10">
        <v>1</v>
      </c>
      <c r="D10" t="s">
        <v>65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 spans="1:21" x14ac:dyDescent="0.2">
      <c r="A11" t="s">
        <v>832</v>
      </c>
      <c r="B11">
        <v>4</v>
      </c>
      <c r="C11">
        <v>1</v>
      </c>
      <c r="D11" t="s">
        <v>66</v>
      </c>
      <c r="E11" s="3">
        <v>315</v>
      </c>
      <c r="F11" s="3">
        <v>315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</row>
    <row r="12" spans="1:21" x14ac:dyDescent="0.2">
      <c r="A12" t="s">
        <v>832</v>
      </c>
      <c r="B12">
        <v>6</v>
      </c>
      <c r="C12">
        <v>3</v>
      </c>
      <c r="D12" t="s">
        <v>67</v>
      </c>
      <c r="E12" s="3">
        <v>586.66999999999996</v>
      </c>
      <c r="F12" s="3">
        <v>586.66999999999996</v>
      </c>
      <c r="G12" s="3">
        <v>221.22</v>
      </c>
      <c r="H12" s="3">
        <v>221.22</v>
      </c>
      <c r="I12" s="3">
        <v>221.22</v>
      </c>
      <c r="J12" s="3">
        <v>221.22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</row>
    <row r="13" spans="1:21" x14ac:dyDescent="0.2">
      <c r="A13" t="s">
        <v>832</v>
      </c>
      <c r="B13">
        <v>11</v>
      </c>
      <c r="C13">
        <v>1</v>
      </c>
      <c r="D13" t="s">
        <v>68</v>
      </c>
      <c r="E13" s="3">
        <v>496.63</v>
      </c>
      <c r="F13" s="3">
        <v>496.63</v>
      </c>
      <c r="G13" s="3">
        <v>134.18</v>
      </c>
      <c r="H13" s="3">
        <v>134.18</v>
      </c>
      <c r="I13" s="3">
        <v>134.18</v>
      </c>
      <c r="J13" s="3">
        <v>134.18</v>
      </c>
      <c r="K13" s="3">
        <v>134.18</v>
      </c>
      <c r="L13" s="3">
        <v>134.18</v>
      </c>
      <c r="M13" s="3">
        <v>131</v>
      </c>
      <c r="N13" s="3">
        <v>131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A14" t="s">
        <v>832</v>
      </c>
      <c r="B14">
        <v>12</v>
      </c>
      <c r="C14">
        <v>1</v>
      </c>
      <c r="D14" t="s">
        <v>69</v>
      </c>
      <c r="E14" s="3">
        <v>369.89</v>
      </c>
      <c r="F14" s="3">
        <v>449.89</v>
      </c>
      <c r="G14" s="3">
        <v>38.99</v>
      </c>
      <c r="H14" s="3">
        <v>38.99</v>
      </c>
      <c r="I14" s="3">
        <v>38.99</v>
      </c>
      <c r="J14" s="3">
        <v>38.99</v>
      </c>
      <c r="K14" s="3">
        <v>38.99</v>
      </c>
      <c r="L14" s="3">
        <v>38.99</v>
      </c>
      <c r="M14" s="3">
        <v>38.99</v>
      </c>
      <c r="N14" s="3">
        <v>38.99</v>
      </c>
      <c r="O14" s="3">
        <v>38.99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A15" t="s">
        <v>832</v>
      </c>
      <c r="B15">
        <v>13</v>
      </c>
      <c r="C15">
        <v>1</v>
      </c>
      <c r="D15" t="s">
        <v>70</v>
      </c>
      <c r="E15" s="3">
        <v>956.32</v>
      </c>
      <c r="F15" s="3">
        <v>956.32</v>
      </c>
      <c r="G15" s="3">
        <v>544.78</v>
      </c>
      <c r="H15" s="3">
        <v>544.78</v>
      </c>
      <c r="I15" s="3">
        <v>544.78</v>
      </c>
      <c r="J15" s="3">
        <v>544.78</v>
      </c>
      <c r="K15" s="3">
        <v>64.3</v>
      </c>
      <c r="L15" s="3">
        <v>64.3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A16" t="s">
        <v>832</v>
      </c>
      <c r="B16">
        <v>14</v>
      </c>
      <c r="C16">
        <v>1</v>
      </c>
      <c r="D16" t="s">
        <v>71</v>
      </c>
      <c r="E16" s="3">
        <v>787.96</v>
      </c>
      <c r="F16" s="3">
        <v>787.96</v>
      </c>
      <c r="G16" s="3">
        <v>427.86</v>
      </c>
      <c r="H16" s="3">
        <v>427.86</v>
      </c>
      <c r="I16" s="3">
        <v>427.86</v>
      </c>
      <c r="J16" s="3">
        <v>427.86</v>
      </c>
      <c r="K16" s="3">
        <v>68.52</v>
      </c>
      <c r="L16" s="3">
        <v>68.52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</row>
    <row r="17" spans="1:21" x14ac:dyDescent="0.2">
      <c r="A17" t="s">
        <v>832</v>
      </c>
      <c r="B17">
        <v>15</v>
      </c>
      <c r="C17">
        <v>1</v>
      </c>
      <c r="D17" t="s">
        <v>72</v>
      </c>
      <c r="E17" s="3">
        <v>415</v>
      </c>
      <c r="F17" s="3">
        <v>415</v>
      </c>
      <c r="G17" s="3">
        <v>21.34</v>
      </c>
      <c r="H17" s="3">
        <v>21.34</v>
      </c>
      <c r="I17" s="3">
        <v>21.34</v>
      </c>
      <c r="J17" s="3">
        <v>21.34</v>
      </c>
      <c r="K17" s="3">
        <v>21.34</v>
      </c>
      <c r="L17" s="3">
        <v>21.34</v>
      </c>
      <c r="M17" s="3">
        <v>21.34</v>
      </c>
      <c r="N17" s="3">
        <v>21.34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</row>
    <row r="18" spans="1:21" x14ac:dyDescent="0.2">
      <c r="A18" t="s">
        <v>832</v>
      </c>
      <c r="B18">
        <v>16</v>
      </c>
      <c r="C18">
        <v>1</v>
      </c>
      <c r="D18" t="s">
        <v>73</v>
      </c>
      <c r="E18" s="3">
        <v>731.72</v>
      </c>
      <c r="F18" s="3">
        <v>731.72</v>
      </c>
      <c r="G18" s="3">
        <v>321.48</v>
      </c>
      <c r="H18" s="3">
        <v>321.48</v>
      </c>
      <c r="I18" s="3">
        <v>321.48</v>
      </c>
      <c r="J18" s="3">
        <v>321.48</v>
      </c>
      <c r="K18" s="3">
        <v>321.48</v>
      </c>
      <c r="L18" s="3">
        <v>321.48</v>
      </c>
      <c r="M18" s="3">
        <v>321.48</v>
      </c>
      <c r="N18" s="3">
        <v>321.48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</row>
    <row r="19" spans="1:21" x14ac:dyDescent="0.2">
      <c r="A19" t="s">
        <v>832</v>
      </c>
      <c r="B19">
        <v>22</v>
      </c>
      <c r="C19">
        <v>1</v>
      </c>
      <c r="D19" t="s">
        <v>74</v>
      </c>
      <c r="E19" s="3">
        <v>315</v>
      </c>
      <c r="F19" s="3">
        <v>315</v>
      </c>
      <c r="G19" s="3">
        <v>315</v>
      </c>
      <c r="H19" s="3">
        <v>315</v>
      </c>
      <c r="I19" s="3">
        <v>315</v>
      </c>
      <c r="J19" s="3">
        <v>315</v>
      </c>
      <c r="K19" s="3">
        <v>315</v>
      </c>
      <c r="L19" s="3">
        <v>315</v>
      </c>
      <c r="M19" s="3">
        <v>315</v>
      </c>
      <c r="N19" s="3">
        <v>315</v>
      </c>
      <c r="O19" s="3">
        <v>315</v>
      </c>
      <c r="P19" s="3">
        <v>315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</row>
    <row r="20" spans="1:21" x14ac:dyDescent="0.2">
      <c r="A20" t="s">
        <v>832</v>
      </c>
      <c r="B20">
        <v>23</v>
      </c>
      <c r="C20">
        <v>1</v>
      </c>
      <c r="D20" t="s">
        <v>75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1:21" x14ac:dyDescent="0.2">
      <c r="A21" t="s">
        <v>832</v>
      </c>
      <c r="B21">
        <v>25</v>
      </c>
      <c r="C21">
        <v>1</v>
      </c>
      <c r="D21" t="s">
        <v>76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</row>
    <row r="22" spans="1:21" x14ac:dyDescent="0.2">
      <c r="A22" t="s">
        <v>832</v>
      </c>
      <c r="B22">
        <v>31</v>
      </c>
      <c r="C22">
        <v>1</v>
      </c>
      <c r="D22" t="s">
        <v>77</v>
      </c>
      <c r="E22" s="3">
        <v>315</v>
      </c>
      <c r="F22" s="3">
        <v>315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1:21" x14ac:dyDescent="0.2">
      <c r="A23" t="s">
        <v>832</v>
      </c>
      <c r="B23">
        <v>32</v>
      </c>
      <c r="C23">
        <v>1</v>
      </c>
      <c r="D23" t="s">
        <v>78</v>
      </c>
      <c r="E23" s="3">
        <v>0</v>
      </c>
      <c r="F23" s="3">
        <v>0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</row>
    <row r="24" spans="1:21" x14ac:dyDescent="0.2">
      <c r="A24" t="s">
        <v>832</v>
      </c>
      <c r="B24">
        <v>36</v>
      </c>
      <c r="C24">
        <v>1</v>
      </c>
      <c r="D24" t="s">
        <v>79</v>
      </c>
      <c r="E24" s="3">
        <v>0</v>
      </c>
      <c r="F24" s="3">
        <v>0</v>
      </c>
      <c r="G24" s="3">
        <v>50</v>
      </c>
      <c r="H24" s="3">
        <v>50</v>
      </c>
      <c r="I24" s="3">
        <v>50</v>
      </c>
      <c r="J24" s="3">
        <v>50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1:21" x14ac:dyDescent="0.2">
      <c r="A25" t="s">
        <v>832</v>
      </c>
      <c r="B25">
        <v>38</v>
      </c>
      <c r="C25">
        <v>1</v>
      </c>
      <c r="D25" t="s">
        <v>80</v>
      </c>
      <c r="E25" s="3">
        <v>315</v>
      </c>
      <c r="F25" s="3">
        <v>315</v>
      </c>
      <c r="G25" s="3">
        <v>837.38</v>
      </c>
      <c r="H25" s="3">
        <v>837.38</v>
      </c>
      <c r="I25" s="3">
        <v>837.38</v>
      </c>
      <c r="J25" s="3">
        <v>837.38</v>
      </c>
      <c r="K25" s="3">
        <v>837.38</v>
      </c>
      <c r="L25" s="3">
        <v>837.38</v>
      </c>
      <c r="M25" s="3">
        <v>837.38</v>
      </c>
      <c r="N25" s="3">
        <v>837.38</v>
      </c>
      <c r="O25" s="3">
        <v>837.38</v>
      </c>
      <c r="P25" s="3">
        <v>837.38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1:21" x14ac:dyDescent="0.2">
      <c r="A26" t="s">
        <v>832</v>
      </c>
      <c r="B26">
        <v>47</v>
      </c>
      <c r="C26">
        <v>1</v>
      </c>
      <c r="D26" t="s">
        <v>81</v>
      </c>
      <c r="E26" s="3">
        <v>315</v>
      </c>
      <c r="F26" s="3">
        <v>315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</row>
    <row r="27" spans="1:21" x14ac:dyDescent="0.2">
      <c r="A27" t="s">
        <v>832</v>
      </c>
      <c r="B27">
        <v>51</v>
      </c>
      <c r="C27">
        <v>1</v>
      </c>
      <c r="D27" t="s">
        <v>82</v>
      </c>
      <c r="E27" s="3">
        <v>200</v>
      </c>
      <c r="F27" s="3">
        <v>200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</row>
    <row r="28" spans="1:21" x14ac:dyDescent="0.2">
      <c r="A28" t="s">
        <v>832</v>
      </c>
      <c r="B28">
        <v>62</v>
      </c>
      <c r="C28">
        <v>1</v>
      </c>
      <c r="D28" t="s">
        <v>83</v>
      </c>
      <c r="E28" s="3">
        <v>320.13</v>
      </c>
      <c r="F28" s="3">
        <v>320.13</v>
      </c>
      <c r="G28" s="3">
        <v>600</v>
      </c>
      <c r="H28" s="3">
        <v>600</v>
      </c>
      <c r="I28" s="3">
        <v>600</v>
      </c>
      <c r="J28" s="3">
        <v>600</v>
      </c>
      <c r="K28" s="3">
        <v>600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1:21" x14ac:dyDescent="0.2">
      <c r="A29" t="s">
        <v>832</v>
      </c>
      <c r="B29">
        <v>75</v>
      </c>
      <c r="C29">
        <v>1</v>
      </c>
      <c r="D29" t="s">
        <v>84</v>
      </c>
      <c r="E29" s="3">
        <v>606.84</v>
      </c>
      <c r="F29" s="3">
        <v>606.84</v>
      </c>
      <c r="G29" s="3">
        <v>221.83</v>
      </c>
      <c r="H29" s="3">
        <v>221.83</v>
      </c>
      <c r="I29" s="3">
        <v>221.83</v>
      </c>
      <c r="J29" s="3">
        <v>221.83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1:21" x14ac:dyDescent="0.2">
      <c r="A30" t="s">
        <v>832</v>
      </c>
      <c r="B30">
        <v>77</v>
      </c>
      <c r="C30">
        <v>1</v>
      </c>
      <c r="D30" t="s">
        <v>85</v>
      </c>
      <c r="E30" s="3">
        <v>500</v>
      </c>
      <c r="F30" s="3">
        <v>500</v>
      </c>
      <c r="G30" s="3">
        <v>88.96</v>
      </c>
      <c r="H30" s="3">
        <v>88.96</v>
      </c>
      <c r="I30" s="3">
        <v>88.96</v>
      </c>
      <c r="J30" s="3">
        <v>88.96</v>
      </c>
      <c r="K30" s="3">
        <v>88.96</v>
      </c>
      <c r="L30" s="3">
        <v>88.96</v>
      </c>
      <c r="M30" s="3">
        <v>88.96</v>
      </c>
      <c r="N30" s="3">
        <v>88.96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1:21" x14ac:dyDescent="0.2">
      <c r="A31" t="s">
        <v>832</v>
      </c>
      <c r="B31">
        <v>81</v>
      </c>
      <c r="C31">
        <v>1</v>
      </c>
      <c r="D31" t="s">
        <v>86</v>
      </c>
      <c r="E31" s="3">
        <v>991</v>
      </c>
      <c r="F31" s="3">
        <v>1168.73</v>
      </c>
      <c r="G31" s="3">
        <v>798.71</v>
      </c>
      <c r="H31" s="3">
        <v>798.71</v>
      </c>
      <c r="I31" s="3">
        <v>798.71</v>
      </c>
      <c r="J31" s="3">
        <v>798.71</v>
      </c>
      <c r="K31" s="3">
        <v>603.79</v>
      </c>
      <c r="L31" s="3">
        <v>603.79</v>
      </c>
      <c r="M31" s="3">
        <v>603.79</v>
      </c>
      <c r="N31" s="3">
        <v>603.79</v>
      </c>
      <c r="O31" s="3">
        <v>603.79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1:21" x14ac:dyDescent="0.2">
      <c r="A32" t="s">
        <v>832</v>
      </c>
      <c r="B32">
        <v>84</v>
      </c>
      <c r="C32">
        <v>1</v>
      </c>
      <c r="D32" t="s">
        <v>87</v>
      </c>
      <c r="E32" s="3">
        <v>350</v>
      </c>
      <c r="F32" s="3">
        <v>350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1:21" x14ac:dyDescent="0.2">
      <c r="A33" t="s">
        <v>832</v>
      </c>
      <c r="B33">
        <v>85</v>
      </c>
      <c r="C33">
        <v>1</v>
      </c>
      <c r="D33" t="s">
        <v>88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</row>
    <row r="34" spans="1:21" x14ac:dyDescent="0.2">
      <c r="A34" t="s">
        <v>832</v>
      </c>
      <c r="B34">
        <v>88</v>
      </c>
      <c r="C34">
        <v>1</v>
      </c>
      <c r="D34" t="s">
        <v>89</v>
      </c>
      <c r="E34" s="3">
        <v>251.58</v>
      </c>
      <c r="F34" s="3">
        <v>251.58</v>
      </c>
      <c r="G34" s="3">
        <v>450</v>
      </c>
      <c r="H34" s="3">
        <v>450</v>
      </c>
      <c r="I34" s="3">
        <v>450</v>
      </c>
      <c r="J34" s="3">
        <v>450</v>
      </c>
      <c r="K34" s="3">
        <v>450</v>
      </c>
      <c r="L34" s="3">
        <v>450</v>
      </c>
      <c r="M34" s="3">
        <v>450</v>
      </c>
      <c r="N34" s="3">
        <v>450</v>
      </c>
      <c r="O34" s="3">
        <v>450</v>
      </c>
      <c r="P34" s="3">
        <v>450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1:21" x14ac:dyDescent="0.2">
      <c r="A35" t="s">
        <v>832</v>
      </c>
      <c r="B35">
        <v>91</v>
      </c>
      <c r="C35">
        <v>1</v>
      </c>
      <c r="D35" t="s">
        <v>90</v>
      </c>
      <c r="E35" s="3">
        <v>315</v>
      </c>
      <c r="F35" s="3">
        <v>315</v>
      </c>
      <c r="G35" s="3">
        <v>200</v>
      </c>
      <c r="H35" s="3">
        <v>200</v>
      </c>
      <c r="I35" s="3">
        <v>200</v>
      </c>
      <c r="J35" s="3">
        <v>200</v>
      </c>
      <c r="K35" s="3">
        <v>200</v>
      </c>
      <c r="L35" s="3">
        <v>200</v>
      </c>
      <c r="M35" s="3">
        <v>200</v>
      </c>
      <c r="N35" s="3">
        <v>200</v>
      </c>
      <c r="O35" s="3">
        <v>200</v>
      </c>
      <c r="P35" s="3">
        <v>200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</row>
    <row r="36" spans="1:21" x14ac:dyDescent="0.2">
      <c r="A36" t="s">
        <v>832</v>
      </c>
      <c r="B36">
        <v>93</v>
      </c>
      <c r="C36">
        <v>1</v>
      </c>
      <c r="D36" t="s">
        <v>91</v>
      </c>
      <c r="E36" s="3">
        <v>309.08</v>
      </c>
      <c r="F36" s="3">
        <v>309.08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</row>
    <row r="37" spans="1:21" x14ac:dyDescent="0.2">
      <c r="A37" t="s">
        <v>832</v>
      </c>
      <c r="B37">
        <v>94</v>
      </c>
      <c r="C37">
        <v>1</v>
      </c>
      <c r="D37" t="s">
        <v>92</v>
      </c>
      <c r="E37" s="3">
        <v>319.99</v>
      </c>
      <c r="F37" s="3">
        <v>319.99</v>
      </c>
      <c r="G37" s="3">
        <v>97</v>
      </c>
      <c r="H37" s="3">
        <v>97</v>
      </c>
      <c r="I37" s="3">
        <v>97</v>
      </c>
      <c r="J37" s="3">
        <v>97</v>
      </c>
      <c r="K37" s="3">
        <v>97</v>
      </c>
      <c r="L37" s="3">
        <v>97</v>
      </c>
      <c r="M37" s="3">
        <v>97</v>
      </c>
      <c r="N37" s="3">
        <v>97</v>
      </c>
      <c r="O37" s="3">
        <v>97</v>
      </c>
      <c r="P37" s="3">
        <v>97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</row>
    <row r="38" spans="1:21" x14ac:dyDescent="0.2">
      <c r="A38" t="s">
        <v>832</v>
      </c>
      <c r="B38">
        <v>95</v>
      </c>
      <c r="C38">
        <v>1</v>
      </c>
      <c r="D38" t="s">
        <v>93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</row>
    <row r="39" spans="1:21" x14ac:dyDescent="0.2">
      <c r="A39" t="s">
        <v>832</v>
      </c>
      <c r="B39">
        <v>97</v>
      </c>
      <c r="C39">
        <v>1</v>
      </c>
      <c r="D39" t="s">
        <v>94</v>
      </c>
      <c r="E39" s="3">
        <v>313.3</v>
      </c>
      <c r="F39" s="3">
        <v>313.3</v>
      </c>
      <c r="G39" s="3">
        <v>250</v>
      </c>
      <c r="H39" s="3">
        <v>250</v>
      </c>
      <c r="I39" s="3">
        <v>250</v>
      </c>
      <c r="J39" s="3">
        <v>250</v>
      </c>
      <c r="K39" s="3">
        <v>250</v>
      </c>
      <c r="L39" s="3">
        <v>250</v>
      </c>
      <c r="M39" s="3">
        <v>250</v>
      </c>
      <c r="N39" s="3">
        <v>250</v>
      </c>
      <c r="O39" s="3">
        <v>250</v>
      </c>
      <c r="P39" s="3">
        <v>250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</row>
    <row r="40" spans="1:21" x14ac:dyDescent="0.2">
      <c r="A40" t="s">
        <v>832</v>
      </c>
      <c r="B40">
        <v>99</v>
      </c>
      <c r="C40">
        <v>1</v>
      </c>
      <c r="D40" t="s">
        <v>95</v>
      </c>
      <c r="E40" s="3">
        <v>281.04000000000002</v>
      </c>
      <c r="F40" s="3">
        <v>281.04000000000002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</row>
    <row r="41" spans="1:21" x14ac:dyDescent="0.2">
      <c r="A41" t="s">
        <v>832</v>
      </c>
      <c r="B41">
        <v>100</v>
      </c>
      <c r="C41">
        <v>1</v>
      </c>
      <c r="D41" t="s">
        <v>96</v>
      </c>
      <c r="E41" s="3">
        <v>354.83</v>
      </c>
      <c r="F41" s="3">
        <v>354.83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</row>
    <row r="42" spans="1:21" x14ac:dyDescent="0.2">
      <c r="A42" t="s">
        <v>832</v>
      </c>
      <c r="B42">
        <v>108</v>
      </c>
      <c r="C42">
        <v>1</v>
      </c>
      <c r="D42" t="s">
        <v>97</v>
      </c>
      <c r="E42" s="3">
        <v>315</v>
      </c>
      <c r="F42" s="3">
        <v>315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1:21" x14ac:dyDescent="0.2">
      <c r="A43" t="s">
        <v>832</v>
      </c>
      <c r="B43">
        <v>110</v>
      </c>
      <c r="C43">
        <v>1</v>
      </c>
      <c r="D43" t="s">
        <v>98</v>
      </c>
      <c r="E43" s="3">
        <v>525.17999999999995</v>
      </c>
      <c r="F43" s="3">
        <v>525.17999999999995</v>
      </c>
      <c r="G43" s="3">
        <v>138.02000000000001</v>
      </c>
      <c r="H43" s="3">
        <v>138.02000000000001</v>
      </c>
      <c r="I43" s="3">
        <v>138.02000000000001</v>
      </c>
      <c r="J43" s="3">
        <v>138.02000000000001</v>
      </c>
      <c r="K43" s="3">
        <v>138.02000000000001</v>
      </c>
      <c r="L43" s="3">
        <v>138.02000000000001</v>
      </c>
      <c r="M43" s="3">
        <v>50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1:21" x14ac:dyDescent="0.2">
      <c r="A44" t="s">
        <v>832</v>
      </c>
      <c r="B44">
        <v>111</v>
      </c>
      <c r="C44">
        <v>1</v>
      </c>
      <c r="D44" t="s">
        <v>99</v>
      </c>
      <c r="E44" s="3">
        <v>240</v>
      </c>
      <c r="F44" s="3">
        <v>240</v>
      </c>
      <c r="G44" s="3">
        <v>240</v>
      </c>
      <c r="H44" s="3">
        <v>240</v>
      </c>
      <c r="I44" s="3">
        <v>240</v>
      </c>
      <c r="J44" s="3">
        <v>240</v>
      </c>
      <c r="K44" s="3">
        <v>240</v>
      </c>
      <c r="L44" s="3">
        <v>240</v>
      </c>
      <c r="M44" s="3">
        <v>240</v>
      </c>
      <c r="N44" s="3">
        <v>240</v>
      </c>
      <c r="O44" s="3">
        <v>240</v>
      </c>
      <c r="P44" s="3">
        <v>240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1:21" x14ac:dyDescent="0.2">
      <c r="A45" t="s">
        <v>832</v>
      </c>
      <c r="B45">
        <v>112</v>
      </c>
      <c r="C45">
        <v>1</v>
      </c>
      <c r="D45" t="s">
        <v>100</v>
      </c>
      <c r="E45" s="3">
        <v>862.49</v>
      </c>
      <c r="F45" s="3">
        <v>862.49</v>
      </c>
      <c r="G45" s="3">
        <v>488.54</v>
      </c>
      <c r="H45" s="3">
        <v>488.54</v>
      </c>
      <c r="I45" s="3">
        <v>488.54</v>
      </c>
      <c r="J45" s="3">
        <v>488.54</v>
      </c>
      <c r="K45" s="3">
        <v>112.43</v>
      </c>
      <c r="L45" s="3">
        <v>112.43</v>
      </c>
      <c r="M45" s="3">
        <v>112.43</v>
      </c>
      <c r="N45" s="3">
        <v>112.43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1:21" x14ac:dyDescent="0.2">
      <c r="A46" t="s">
        <v>832</v>
      </c>
      <c r="B46">
        <v>113</v>
      </c>
      <c r="C46">
        <v>1</v>
      </c>
      <c r="D46" t="s">
        <v>101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1:21" x14ac:dyDescent="0.2">
      <c r="A47" t="s">
        <v>832</v>
      </c>
      <c r="B47">
        <v>115</v>
      </c>
      <c r="C47">
        <v>1</v>
      </c>
      <c r="D47" t="s">
        <v>102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1:21" x14ac:dyDescent="0.2">
      <c r="A48" t="s">
        <v>832</v>
      </c>
      <c r="B48">
        <v>116</v>
      </c>
      <c r="C48">
        <v>1</v>
      </c>
      <c r="D48" t="s">
        <v>103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1:21" x14ac:dyDescent="0.2">
      <c r="A49" t="s">
        <v>832</v>
      </c>
      <c r="B49">
        <v>118</v>
      </c>
      <c r="C49">
        <v>1</v>
      </c>
      <c r="D49" t="s">
        <v>104</v>
      </c>
      <c r="E49" s="3">
        <v>315</v>
      </c>
      <c r="F49" s="3">
        <v>315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1:21" x14ac:dyDescent="0.2">
      <c r="A50" t="s">
        <v>832</v>
      </c>
      <c r="B50">
        <v>129</v>
      </c>
      <c r="C50">
        <v>1</v>
      </c>
      <c r="D50" t="s">
        <v>105</v>
      </c>
      <c r="E50" s="3">
        <v>415</v>
      </c>
      <c r="F50" s="3">
        <v>415</v>
      </c>
      <c r="G50" s="3">
        <v>1.19</v>
      </c>
      <c r="H50" s="3">
        <v>1.19</v>
      </c>
      <c r="I50" s="3">
        <v>1.19</v>
      </c>
      <c r="J50" s="3">
        <v>1.19</v>
      </c>
      <c r="K50" s="3">
        <v>1.19</v>
      </c>
      <c r="L50" s="3">
        <v>1.19</v>
      </c>
      <c r="M50" s="3">
        <v>1.19</v>
      </c>
      <c r="N50" s="3">
        <v>1.19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1:21" x14ac:dyDescent="0.2">
      <c r="A51" t="s">
        <v>832</v>
      </c>
      <c r="B51">
        <v>138</v>
      </c>
      <c r="C51">
        <v>1</v>
      </c>
      <c r="D51" t="s">
        <v>106</v>
      </c>
      <c r="E51" s="3">
        <v>315</v>
      </c>
      <c r="F51" s="3">
        <v>315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1:21" x14ac:dyDescent="0.2">
      <c r="A52" t="s">
        <v>832</v>
      </c>
      <c r="B52">
        <v>139</v>
      </c>
      <c r="C52">
        <v>1</v>
      </c>
      <c r="D52" t="s">
        <v>107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1:21" x14ac:dyDescent="0.2">
      <c r="A53" t="s">
        <v>832</v>
      </c>
      <c r="B53">
        <v>146</v>
      </c>
      <c r="C53">
        <v>1</v>
      </c>
      <c r="D53" t="s">
        <v>108</v>
      </c>
      <c r="E53" s="3">
        <v>350</v>
      </c>
      <c r="F53" s="3">
        <v>350</v>
      </c>
      <c r="G53" s="3">
        <v>250</v>
      </c>
      <c r="H53" s="3">
        <v>250</v>
      </c>
      <c r="I53" s="3">
        <v>250</v>
      </c>
      <c r="J53" s="3">
        <v>250</v>
      </c>
      <c r="K53" s="3">
        <v>250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1:21" x14ac:dyDescent="0.2">
      <c r="A54" t="s">
        <v>832</v>
      </c>
      <c r="B54">
        <v>150</v>
      </c>
      <c r="C54">
        <v>1</v>
      </c>
      <c r="D54" t="s">
        <v>109</v>
      </c>
      <c r="E54" s="3">
        <v>376.27</v>
      </c>
      <c r="F54" s="3">
        <v>376.27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</row>
    <row r="55" spans="1:21" x14ac:dyDescent="0.2">
      <c r="A55" t="s">
        <v>832</v>
      </c>
      <c r="B55">
        <v>152</v>
      </c>
      <c r="C55">
        <v>1</v>
      </c>
      <c r="D55" t="s">
        <v>110</v>
      </c>
      <c r="E55" s="3">
        <v>377.46</v>
      </c>
      <c r="F55" s="3">
        <v>377.46</v>
      </c>
      <c r="G55" s="3">
        <v>39.19</v>
      </c>
      <c r="H55" s="3">
        <v>39.19</v>
      </c>
      <c r="I55" s="3">
        <v>39.19</v>
      </c>
      <c r="J55" s="3">
        <v>39.19</v>
      </c>
      <c r="K55" s="3">
        <v>39.19</v>
      </c>
      <c r="L55" s="3">
        <v>39.19</v>
      </c>
      <c r="M55" s="3">
        <v>39.19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</row>
    <row r="56" spans="1:21" x14ac:dyDescent="0.2">
      <c r="A56" t="s">
        <v>832</v>
      </c>
      <c r="B56">
        <v>162</v>
      </c>
      <c r="C56">
        <v>1</v>
      </c>
      <c r="D56" t="s">
        <v>111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</row>
    <row r="57" spans="1:21" x14ac:dyDescent="0.2">
      <c r="A57" t="s">
        <v>832</v>
      </c>
      <c r="B57">
        <v>166</v>
      </c>
      <c r="C57">
        <v>1</v>
      </c>
      <c r="D57" t="s">
        <v>112</v>
      </c>
      <c r="E57" s="3">
        <v>124.26</v>
      </c>
      <c r="F57" s="3">
        <v>124.26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1:21" x14ac:dyDescent="0.2">
      <c r="A58" t="s">
        <v>832</v>
      </c>
      <c r="B58">
        <v>173</v>
      </c>
      <c r="C58">
        <v>1</v>
      </c>
      <c r="D58" t="s">
        <v>113</v>
      </c>
      <c r="E58" s="3">
        <v>661.31</v>
      </c>
      <c r="F58" s="3">
        <v>661.31</v>
      </c>
      <c r="G58" s="3">
        <v>858.17</v>
      </c>
      <c r="H58" s="3">
        <v>858.17</v>
      </c>
      <c r="I58" s="3">
        <v>858.17</v>
      </c>
      <c r="J58" s="3">
        <v>858.17</v>
      </c>
      <c r="K58" s="3">
        <v>858.17</v>
      </c>
      <c r="L58" s="3">
        <v>858.17</v>
      </c>
      <c r="M58" s="3">
        <v>610</v>
      </c>
      <c r="N58" s="3">
        <v>610</v>
      </c>
      <c r="O58" s="3">
        <v>610</v>
      </c>
      <c r="P58" s="3">
        <v>610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1:21" x14ac:dyDescent="0.2">
      <c r="A59" t="s">
        <v>832</v>
      </c>
      <c r="B59">
        <v>177</v>
      </c>
      <c r="C59">
        <v>1</v>
      </c>
      <c r="D59" t="s">
        <v>114</v>
      </c>
      <c r="E59" s="3">
        <v>407.7</v>
      </c>
      <c r="F59" s="3">
        <v>407.7</v>
      </c>
      <c r="G59" s="3">
        <v>415</v>
      </c>
      <c r="H59" s="3">
        <v>415</v>
      </c>
      <c r="I59" s="3">
        <v>415</v>
      </c>
      <c r="J59" s="3">
        <v>415</v>
      </c>
      <c r="K59" s="3">
        <v>415</v>
      </c>
      <c r="L59" s="3">
        <v>415</v>
      </c>
      <c r="M59" s="3">
        <v>415</v>
      </c>
      <c r="N59" s="3">
        <v>415</v>
      </c>
      <c r="O59" s="3">
        <v>415</v>
      </c>
      <c r="P59" s="3">
        <v>415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</row>
    <row r="60" spans="1:21" x14ac:dyDescent="0.2">
      <c r="A60" t="s">
        <v>832</v>
      </c>
      <c r="B60">
        <v>181</v>
      </c>
      <c r="C60">
        <v>1</v>
      </c>
      <c r="D60" t="s">
        <v>115</v>
      </c>
      <c r="E60" s="3">
        <v>315</v>
      </c>
      <c r="F60" s="3">
        <v>315</v>
      </c>
      <c r="G60" s="3">
        <v>195</v>
      </c>
      <c r="H60" s="3">
        <v>195</v>
      </c>
      <c r="I60" s="3">
        <v>195</v>
      </c>
      <c r="J60" s="3">
        <v>195</v>
      </c>
      <c r="K60" s="3">
        <v>195</v>
      </c>
      <c r="L60" s="3">
        <v>195</v>
      </c>
      <c r="M60" s="3">
        <v>195</v>
      </c>
      <c r="N60" s="3">
        <v>195</v>
      </c>
      <c r="O60" s="3">
        <v>195</v>
      </c>
      <c r="P60" s="3">
        <v>195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</row>
    <row r="61" spans="1:21" x14ac:dyDescent="0.2">
      <c r="A61" t="s">
        <v>832</v>
      </c>
      <c r="B61">
        <v>182</v>
      </c>
      <c r="C61">
        <v>1</v>
      </c>
      <c r="D61" t="s">
        <v>116</v>
      </c>
      <c r="E61" s="3">
        <v>97.72</v>
      </c>
      <c r="F61" s="3">
        <v>97.72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1:21" x14ac:dyDescent="0.2">
      <c r="A62" t="s">
        <v>832</v>
      </c>
      <c r="B62">
        <v>186</v>
      </c>
      <c r="C62">
        <v>1</v>
      </c>
      <c r="D62" t="s">
        <v>117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1:21" x14ac:dyDescent="0.2">
      <c r="A63" t="s">
        <v>832</v>
      </c>
      <c r="B63">
        <v>191</v>
      </c>
      <c r="C63">
        <v>1</v>
      </c>
      <c r="D63" t="s">
        <v>118</v>
      </c>
      <c r="E63" s="3">
        <v>966.64</v>
      </c>
      <c r="F63" s="3">
        <v>966.64</v>
      </c>
      <c r="G63" s="3">
        <v>560.32000000000005</v>
      </c>
      <c r="H63" s="3">
        <v>560.32000000000005</v>
      </c>
      <c r="I63" s="3">
        <v>560.32000000000005</v>
      </c>
      <c r="J63" s="3">
        <v>560.32000000000005</v>
      </c>
      <c r="K63" s="3">
        <v>152.04</v>
      </c>
      <c r="L63" s="3">
        <v>152.04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1:21" x14ac:dyDescent="0.2">
      <c r="A64" t="s">
        <v>832</v>
      </c>
      <c r="B64">
        <v>192</v>
      </c>
      <c r="C64">
        <v>1</v>
      </c>
      <c r="D64" t="s">
        <v>119</v>
      </c>
      <c r="E64" s="3">
        <v>419</v>
      </c>
      <c r="F64" s="3">
        <v>569</v>
      </c>
      <c r="G64" s="3">
        <v>179.47</v>
      </c>
      <c r="H64" s="3">
        <v>179.47</v>
      </c>
      <c r="I64" s="3">
        <v>179.47</v>
      </c>
      <c r="J64" s="3">
        <v>179.47</v>
      </c>
      <c r="K64" s="3">
        <v>179.47</v>
      </c>
      <c r="L64" s="3">
        <v>179.47</v>
      </c>
      <c r="M64" s="3">
        <v>179.47</v>
      </c>
      <c r="N64" s="3">
        <v>150</v>
      </c>
      <c r="O64" s="3">
        <v>150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1:21" x14ac:dyDescent="0.2">
      <c r="A65" t="s">
        <v>832</v>
      </c>
      <c r="B65">
        <v>194</v>
      </c>
      <c r="C65">
        <v>1</v>
      </c>
      <c r="D65" t="s">
        <v>120</v>
      </c>
      <c r="E65" s="3">
        <v>453.62</v>
      </c>
      <c r="F65" s="3">
        <v>915.62</v>
      </c>
      <c r="G65" s="3">
        <v>479.7</v>
      </c>
      <c r="H65" s="3">
        <v>479.7</v>
      </c>
      <c r="I65" s="3">
        <v>479.7</v>
      </c>
      <c r="J65" s="3">
        <v>479.7</v>
      </c>
      <c r="K65" s="3">
        <v>462</v>
      </c>
      <c r="L65" s="3">
        <v>462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1:21" x14ac:dyDescent="0.2">
      <c r="A66" t="s">
        <v>832</v>
      </c>
      <c r="B66">
        <v>195</v>
      </c>
      <c r="C66">
        <v>1</v>
      </c>
      <c r="D66" t="s">
        <v>121</v>
      </c>
      <c r="E66" s="3">
        <v>991</v>
      </c>
      <c r="F66" s="3">
        <v>991</v>
      </c>
      <c r="G66" s="3">
        <v>578.51</v>
      </c>
      <c r="H66" s="3">
        <v>578.51</v>
      </c>
      <c r="I66" s="3">
        <v>578.51</v>
      </c>
      <c r="J66" s="3">
        <v>578.51</v>
      </c>
      <c r="K66" s="3">
        <v>314.74</v>
      </c>
      <c r="L66" s="3">
        <v>314.74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</row>
    <row r="67" spans="1:21" x14ac:dyDescent="0.2">
      <c r="A67" t="s">
        <v>832</v>
      </c>
      <c r="B67">
        <v>196</v>
      </c>
      <c r="C67">
        <v>1</v>
      </c>
      <c r="D67" t="s">
        <v>122</v>
      </c>
      <c r="E67" s="3">
        <v>517</v>
      </c>
      <c r="F67" s="3">
        <v>517</v>
      </c>
      <c r="G67" s="3">
        <v>604.44000000000005</v>
      </c>
      <c r="H67" s="3">
        <v>604.44000000000005</v>
      </c>
      <c r="I67" s="3">
        <v>604.44000000000005</v>
      </c>
      <c r="J67" s="3">
        <v>604.44000000000005</v>
      </c>
      <c r="K67" s="3">
        <v>500</v>
      </c>
      <c r="L67" s="3">
        <v>500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</row>
    <row r="68" spans="1:21" x14ac:dyDescent="0.2">
      <c r="A68" t="s">
        <v>832</v>
      </c>
      <c r="B68">
        <v>197</v>
      </c>
      <c r="C68">
        <v>1</v>
      </c>
      <c r="D68" t="s">
        <v>123</v>
      </c>
      <c r="E68" s="3">
        <v>804.15</v>
      </c>
      <c r="F68" s="3">
        <v>981.25</v>
      </c>
      <c r="G68" s="3">
        <v>581.42999999999995</v>
      </c>
      <c r="H68" s="3">
        <v>581.42999999999995</v>
      </c>
      <c r="I68" s="3">
        <v>581.42999999999995</v>
      </c>
      <c r="J68" s="3">
        <v>581.42999999999995</v>
      </c>
      <c r="K68" s="3">
        <v>581.42999999999995</v>
      </c>
      <c r="L68" s="3">
        <v>581.42999999999995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1:21" x14ac:dyDescent="0.2">
      <c r="A69" t="s">
        <v>832</v>
      </c>
      <c r="B69">
        <v>199</v>
      </c>
      <c r="C69">
        <v>1</v>
      </c>
      <c r="D69" t="s">
        <v>124</v>
      </c>
      <c r="E69" s="3">
        <v>835.02</v>
      </c>
      <c r="F69" s="3">
        <v>835.02</v>
      </c>
      <c r="G69" s="3">
        <v>449.13</v>
      </c>
      <c r="H69" s="3">
        <v>449.13</v>
      </c>
      <c r="I69" s="3">
        <v>449.13</v>
      </c>
      <c r="J69" s="3">
        <v>449.13</v>
      </c>
      <c r="K69" s="3">
        <v>361</v>
      </c>
      <c r="L69" s="3">
        <v>361</v>
      </c>
      <c r="M69" s="3">
        <v>361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1:21" x14ac:dyDescent="0.2">
      <c r="A70" t="s">
        <v>832</v>
      </c>
      <c r="B70">
        <v>200</v>
      </c>
      <c r="C70">
        <v>1</v>
      </c>
      <c r="D70" t="s">
        <v>125</v>
      </c>
      <c r="E70" s="3">
        <v>522.98</v>
      </c>
      <c r="F70" s="3">
        <v>522.98</v>
      </c>
      <c r="G70" s="3">
        <v>110.19</v>
      </c>
      <c r="H70" s="3">
        <v>110.19</v>
      </c>
      <c r="I70" s="3">
        <v>110.19</v>
      </c>
      <c r="J70" s="3">
        <v>110.19</v>
      </c>
      <c r="K70" s="3">
        <v>37.200000000000003</v>
      </c>
      <c r="L70" s="3">
        <v>37.200000000000003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1:21" x14ac:dyDescent="0.2">
      <c r="A71" t="s">
        <v>832</v>
      </c>
      <c r="B71">
        <v>203</v>
      </c>
      <c r="C71">
        <v>1</v>
      </c>
      <c r="D71" t="s">
        <v>126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1:21" x14ac:dyDescent="0.2">
      <c r="A72" t="s">
        <v>832</v>
      </c>
      <c r="B72">
        <v>204</v>
      </c>
      <c r="C72">
        <v>1</v>
      </c>
      <c r="D72" t="s">
        <v>127</v>
      </c>
      <c r="E72" s="3">
        <v>350</v>
      </c>
      <c r="F72" s="3">
        <v>350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</row>
    <row r="73" spans="1:21" x14ac:dyDescent="0.2">
      <c r="A73" t="s">
        <v>832</v>
      </c>
      <c r="B73">
        <v>206</v>
      </c>
      <c r="C73">
        <v>1</v>
      </c>
      <c r="D73" t="s">
        <v>128</v>
      </c>
      <c r="E73" s="3">
        <v>415</v>
      </c>
      <c r="F73" s="3">
        <v>415</v>
      </c>
      <c r="G73" s="3">
        <v>3.44</v>
      </c>
      <c r="H73" s="3">
        <v>3.44</v>
      </c>
      <c r="I73" s="3">
        <v>3.44</v>
      </c>
      <c r="J73" s="3">
        <v>3.44</v>
      </c>
      <c r="K73" s="3">
        <v>3.44</v>
      </c>
      <c r="L73" s="3">
        <v>3.44</v>
      </c>
      <c r="M73" s="3">
        <v>3.44</v>
      </c>
      <c r="N73" s="3">
        <v>3.44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1:21" x14ac:dyDescent="0.2">
      <c r="A74" t="s">
        <v>832</v>
      </c>
      <c r="B74">
        <v>207</v>
      </c>
      <c r="C74">
        <v>1</v>
      </c>
      <c r="D74" t="s">
        <v>129</v>
      </c>
      <c r="E74" s="3">
        <v>0</v>
      </c>
      <c r="F74" s="3">
        <v>0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1:21" x14ac:dyDescent="0.2">
      <c r="A75" t="s">
        <v>832</v>
      </c>
      <c r="B75">
        <v>208</v>
      </c>
      <c r="C75">
        <v>1</v>
      </c>
      <c r="D75" t="s">
        <v>130</v>
      </c>
      <c r="E75" s="3">
        <v>0</v>
      </c>
      <c r="F75" s="3">
        <v>0</v>
      </c>
      <c r="G75" s="3">
        <v>837.38</v>
      </c>
      <c r="H75" s="3">
        <v>837.38</v>
      </c>
      <c r="I75" s="3">
        <v>837.38</v>
      </c>
      <c r="J75" s="3">
        <v>837.38</v>
      </c>
      <c r="K75" s="3">
        <v>837.38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1:21" x14ac:dyDescent="0.2">
      <c r="A76" t="s">
        <v>832</v>
      </c>
      <c r="B76">
        <v>213</v>
      </c>
      <c r="C76">
        <v>1</v>
      </c>
      <c r="D76" t="s">
        <v>131</v>
      </c>
      <c r="E76" s="3">
        <v>315</v>
      </c>
      <c r="F76" s="3">
        <v>315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</row>
    <row r="77" spans="1:21" x14ac:dyDescent="0.2">
      <c r="A77" t="s">
        <v>832</v>
      </c>
      <c r="B77">
        <v>227</v>
      </c>
      <c r="C77">
        <v>1</v>
      </c>
      <c r="D77" t="s">
        <v>132</v>
      </c>
      <c r="E77" s="3">
        <v>360.42</v>
      </c>
      <c r="F77" s="3">
        <v>360.42</v>
      </c>
      <c r="G77" s="3">
        <v>350</v>
      </c>
      <c r="H77" s="3">
        <v>350</v>
      </c>
      <c r="I77" s="3">
        <v>350</v>
      </c>
      <c r="J77" s="3">
        <v>350</v>
      </c>
      <c r="K77" s="3">
        <v>350</v>
      </c>
      <c r="L77" s="3">
        <v>350</v>
      </c>
      <c r="M77" s="3">
        <v>350</v>
      </c>
      <c r="N77" s="3">
        <v>350</v>
      </c>
      <c r="O77" s="3">
        <v>350</v>
      </c>
      <c r="P77" s="3">
        <v>350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8" spans="1:21" x14ac:dyDescent="0.2">
      <c r="A78" t="s">
        <v>832</v>
      </c>
      <c r="B78">
        <v>229</v>
      </c>
      <c r="C78">
        <v>1</v>
      </c>
      <c r="D78" t="s">
        <v>133</v>
      </c>
      <c r="E78" s="3">
        <v>315</v>
      </c>
      <c r="F78" s="3">
        <v>315</v>
      </c>
      <c r="G78" s="3">
        <v>315</v>
      </c>
      <c r="H78" s="3">
        <v>315</v>
      </c>
      <c r="I78" s="3">
        <v>315</v>
      </c>
      <c r="J78" s="3">
        <v>315</v>
      </c>
      <c r="K78" s="3">
        <v>315</v>
      </c>
      <c r="L78" s="3">
        <v>315</v>
      </c>
      <c r="M78" s="3">
        <v>315</v>
      </c>
      <c r="N78" s="3">
        <v>315</v>
      </c>
      <c r="O78" s="3">
        <v>315</v>
      </c>
      <c r="P78" s="3">
        <v>315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</row>
    <row r="79" spans="1:21" x14ac:dyDescent="0.2">
      <c r="A79" t="s">
        <v>832</v>
      </c>
      <c r="B79">
        <v>238</v>
      </c>
      <c r="C79">
        <v>1</v>
      </c>
      <c r="D79" t="s">
        <v>134</v>
      </c>
      <c r="E79" s="3">
        <v>621.02</v>
      </c>
      <c r="F79" s="3">
        <v>621.02</v>
      </c>
      <c r="G79" s="3">
        <v>207.17</v>
      </c>
      <c r="H79" s="3">
        <v>207.17</v>
      </c>
      <c r="I79" s="3">
        <v>207.17</v>
      </c>
      <c r="J79" s="3">
        <v>207.17</v>
      </c>
      <c r="K79" s="3">
        <v>207.17</v>
      </c>
      <c r="L79" s="3">
        <v>207.17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</row>
    <row r="80" spans="1:21" x14ac:dyDescent="0.2">
      <c r="A80" t="s">
        <v>832</v>
      </c>
      <c r="B80">
        <v>239</v>
      </c>
      <c r="C80">
        <v>1</v>
      </c>
      <c r="D80" t="s">
        <v>135</v>
      </c>
      <c r="E80" s="3">
        <v>363.85</v>
      </c>
      <c r="F80" s="3">
        <v>363.85</v>
      </c>
      <c r="G80" s="3">
        <v>837</v>
      </c>
      <c r="H80" s="3">
        <v>837</v>
      </c>
      <c r="I80" s="3">
        <v>837</v>
      </c>
      <c r="J80" s="3">
        <v>837</v>
      </c>
      <c r="K80" s="3">
        <v>837</v>
      </c>
      <c r="L80" s="3">
        <v>837</v>
      </c>
      <c r="M80" s="3">
        <v>837</v>
      </c>
      <c r="N80" s="3">
        <v>837</v>
      </c>
      <c r="O80" s="3">
        <v>837</v>
      </c>
      <c r="P80" s="3">
        <v>837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</row>
    <row r="81" spans="1:21" x14ac:dyDescent="0.2">
      <c r="A81" t="s">
        <v>832</v>
      </c>
      <c r="B81">
        <v>241</v>
      </c>
      <c r="C81">
        <v>1</v>
      </c>
      <c r="D81" t="s">
        <v>136</v>
      </c>
      <c r="E81" s="3">
        <v>337.54</v>
      </c>
      <c r="F81" s="3">
        <v>337.54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</row>
    <row r="82" spans="1:21" x14ac:dyDescent="0.2">
      <c r="A82" t="s">
        <v>832</v>
      </c>
      <c r="B82">
        <v>242</v>
      </c>
      <c r="C82">
        <v>1</v>
      </c>
      <c r="D82" t="s">
        <v>137</v>
      </c>
      <c r="E82" s="3">
        <v>429.4</v>
      </c>
      <c r="F82" s="3">
        <v>429.4</v>
      </c>
      <c r="G82" s="3">
        <v>25.49</v>
      </c>
      <c r="H82" s="3">
        <v>25.49</v>
      </c>
      <c r="I82" s="3">
        <v>25.49</v>
      </c>
      <c r="J82" s="3">
        <v>25.49</v>
      </c>
      <c r="K82" s="3">
        <v>25.49</v>
      </c>
      <c r="L82" s="3">
        <v>25.49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</row>
    <row r="83" spans="1:21" x14ac:dyDescent="0.2">
      <c r="A83" t="s">
        <v>832</v>
      </c>
      <c r="B83">
        <v>252</v>
      </c>
      <c r="C83">
        <v>1</v>
      </c>
      <c r="D83" t="s">
        <v>138</v>
      </c>
      <c r="E83" s="3">
        <v>0</v>
      </c>
      <c r="F83" s="3">
        <v>415</v>
      </c>
      <c r="G83" s="3">
        <v>2.0400000000000205</v>
      </c>
      <c r="H83" s="3">
        <v>2.0400000000000205</v>
      </c>
      <c r="I83" s="3">
        <v>2.0400000000000205</v>
      </c>
      <c r="J83" s="3">
        <v>2.0400000000000205</v>
      </c>
      <c r="K83" s="3">
        <v>2.0400000000000205</v>
      </c>
      <c r="L83" s="3">
        <v>2.0400000000000205</v>
      </c>
      <c r="M83" s="3">
        <v>2.0400000000000205</v>
      </c>
      <c r="N83" s="3">
        <v>2.0400000000000205</v>
      </c>
      <c r="O83" s="3">
        <v>2.0400000000000205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1:21" x14ac:dyDescent="0.2">
      <c r="A84" t="s">
        <v>832</v>
      </c>
      <c r="B84">
        <v>253</v>
      </c>
      <c r="C84">
        <v>1</v>
      </c>
      <c r="D84" t="s">
        <v>139</v>
      </c>
      <c r="E84" s="3">
        <v>343.21</v>
      </c>
      <c r="F84" s="3">
        <v>343.21</v>
      </c>
      <c r="G84" s="3">
        <v>126</v>
      </c>
      <c r="H84" s="3">
        <v>126</v>
      </c>
      <c r="I84" s="3">
        <v>126</v>
      </c>
      <c r="J84" s="3">
        <v>126</v>
      </c>
      <c r="K84" s="3">
        <v>126</v>
      </c>
      <c r="L84" s="3">
        <v>126</v>
      </c>
      <c r="M84" s="3">
        <v>126</v>
      </c>
      <c r="N84" s="3">
        <v>126</v>
      </c>
      <c r="O84" s="3">
        <v>126</v>
      </c>
      <c r="P84" s="3">
        <v>126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1:21" x14ac:dyDescent="0.2">
      <c r="A85" t="s">
        <v>832</v>
      </c>
      <c r="B85">
        <v>255</v>
      </c>
      <c r="C85">
        <v>1</v>
      </c>
      <c r="D85" t="s">
        <v>140</v>
      </c>
      <c r="E85" s="3">
        <v>400</v>
      </c>
      <c r="F85" s="3">
        <v>400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1:21" x14ac:dyDescent="0.2">
      <c r="A86" t="s">
        <v>832</v>
      </c>
      <c r="B86">
        <v>256</v>
      </c>
      <c r="C86">
        <v>1</v>
      </c>
      <c r="D86" t="s">
        <v>141</v>
      </c>
      <c r="E86" s="3">
        <v>185.82</v>
      </c>
      <c r="F86" s="3">
        <v>485.82</v>
      </c>
      <c r="G86" s="3">
        <v>80.34</v>
      </c>
      <c r="H86" s="3">
        <v>80.34</v>
      </c>
      <c r="I86" s="3">
        <v>80.34</v>
      </c>
      <c r="J86" s="3">
        <v>80.34</v>
      </c>
      <c r="K86" s="3">
        <v>80.34</v>
      </c>
      <c r="L86" s="3">
        <v>80.34</v>
      </c>
      <c r="M86" s="3">
        <v>80.34</v>
      </c>
      <c r="N86" s="3">
        <v>80.34</v>
      </c>
      <c r="O86" s="3">
        <v>80.34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1:21" x14ac:dyDescent="0.2">
      <c r="A87" t="s">
        <v>832</v>
      </c>
      <c r="B87">
        <v>261</v>
      </c>
      <c r="C87">
        <v>1</v>
      </c>
      <c r="D87" t="s">
        <v>142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1:21" x14ac:dyDescent="0.2">
      <c r="A88" t="s">
        <v>832</v>
      </c>
      <c r="B88">
        <v>264</v>
      </c>
      <c r="C88">
        <v>1</v>
      </c>
      <c r="D88" t="s">
        <v>143</v>
      </c>
      <c r="E88" s="3">
        <v>1869.96</v>
      </c>
      <c r="F88" s="3">
        <v>1869.96</v>
      </c>
      <c r="G88" s="3">
        <v>1498.9</v>
      </c>
      <c r="H88" s="3">
        <v>1498.9</v>
      </c>
      <c r="I88" s="3">
        <v>1498.9</v>
      </c>
      <c r="J88" s="3">
        <v>1498.9</v>
      </c>
      <c r="K88" s="3">
        <v>1162.2</v>
      </c>
      <c r="L88" s="3">
        <v>1162.2</v>
      </c>
      <c r="M88" s="3">
        <v>926.28</v>
      </c>
      <c r="N88" s="3">
        <v>926.28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1:21" x14ac:dyDescent="0.2">
      <c r="A89" t="s">
        <v>832</v>
      </c>
      <c r="B89">
        <v>270</v>
      </c>
      <c r="C89">
        <v>1</v>
      </c>
      <c r="D89" t="s">
        <v>144</v>
      </c>
      <c r="E89" s="3">
        <v>1385.9</v>
      </c>
      <c r="F89" s="3">
        <v>1385.9</v>
      </c>
      <c r="G89" s="3">
        <v>1349.5</v>
      </c>
      <c r="H89" s="3">
        <v>1349.5</v>
      </c>
      <c r="I89" s="3">
        <v>1349.5</v>
      </c>
      <c r="J89" s="3">
        <v>1349.5</v>
      </c>
      <c r="K89" s="3">
        <v>1349.5</v>
      </c>
      <c r="L89" s="3">
        <v>1349.5</v>
      </c>
      <c r="M89" s="3">
        <v>674</v>
      </c>
      <c r="N89" s="3">
        <v>674</v>
      </c>
      <c r="O89" s="3">
        <v>674</v>
      </c>
      <c r="P89" s="3">
        <v>225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</row>
    <row r="90" spans="1:21" x14ac:dyDescent="0.2">
      <c r="A90" t="s">
        <v>832</v>
      </c>
      <c r="B90">
        <v>271</v>
      </c>
      <c r="C90">
        <v>1</v>
      </c>
      <c r="D90" t="s">
        <v>145</v>
      </c>
      <c r="E90" s="3">
        <v>711.78</v>
      </c>
      <c r="F90" s="3">
        <v>991</v>
      </c>
      <c r="G90" s="3">
        <v>590.08000000000004</v>
      </c>
      <c r="H90" s="3">
        <v>590.08000000000004</v>
      </c>
      <c r="I90" s="3">
        <v>590.08000000000004</v>
      </c>
      <c r="J90" s="3">
        <v>590.08000000000004</v>
      </c>
      <c r="K90" s="3">
        <v>590.08000000000004</v>
      </c>
      <c r="L90" s="3">
        <v>590.08000000000004</v>
      </c>
      <c r="M90" s="3">
        <v>590.08000000000004</v>
      </c>
      <c r="N90" s="3">
        <v>590.08000000000004</v>
      </c>
      <c r="O90" s="3">
        <v>590.08000000000004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</row>
    <row r="91" spans="1:21" x14ac:dyDescent="0.2">
      <c r="A91" t="s">
        <v>832</v>
      </c>
      <c r="B91">
        <v>272</v>
      </c>
      <c r="C91">
        <v>1</v>
      </c>
      <c r="D91" t="s">
        <v>146</v>
      </c>
      <c r="E91" s="3">
        <v>981.25</v>
      </c>
      <c r="F91" s="3">
        <v>981.25</v>
      </c>
      <c r="G91" s="3">
        <v>573.87</v>
      </c>
      <c r="H91" s="3">
        <v>573.87</v>
      </c>
      <c r="I91" s="3">
        <v>573.87</v>
      </c>
      <c r="J91" s="3">
        <v>573.87</v>
      </c>
      <c r="K91" s="3">
        <v>573.87</v>
      </c>
      <c r="L91" s="3">
        <v>573.87</v>
      </c>
      <c r="M91" s="3">
        <v>573.87</v>
      </c>
      <c r="N91" s="3">
        <v>573.87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1:21" x14ac:dyDescent="0.2">
      <c r="A92" t="s">
        <v>832</v>
      </c>
      <c r="B92">
        <v>273</v>
      </c>
      <c r="C92">
        <v>1</v>
      </c>
      <c r="D92" t="s">
        <v>147</v>
      </c>
      <c r="E92" s="3">
        <v>1501.67</v>
      </c>
      <c r="F92" s="3">
        <v>1501.67</v>
      </c>
      <c r="G92" s="3">
        <v>1344.59</v>
      </c>
      <c r="H92" s="3">
        <v>1344.59</v>
      </c>
      <c r="I92" s="3">
        <v>1344.59</v>
      </c>
      <c r="J92" s="3">
        <v>1344.59</v>
      </c>
      <c r="K92" s="3">
        <v>1344.59</v>
      </c>
      <c r="L92" s="3">
        <v>1344.59</v>
      </c>
      <c r="M92" s="3">
        <v>398.32</v>
      </c>
      <c r="N92" s="3">
        <v>398.32</v>
      </c>
      <c r="O92" s="3">
        <v>398.32</v>
      </c>
      <c r="P92" s="3">
        <v>398.32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1:21" x14ac:dyDescent="0.2">
      <c r="A93" t="s">
        <v>832</v>
      </c>
      <c r="B93">
        <v>276</v>
      </c>
      <c r="C93">
        <v>1</v>
      </c>
      <c r="D93" t="s">
        <v>148</v>
      </c>
      <c r="E93" s="3">
        <v>1471.25</v>
      </c>
      <c r="F93" s="3">
        <v>1471.25</v>
      </c>
      <c r="G93" s="3">
        <v>1072.45</v>
      </c>
      <c r="H93" s="3">
        <v>1072.45</v>
      </c>
      <c r="I93" s="3">
        <v>1072.45</v>
      </c>
      <c r="J93" s="3">
        <v>1072.45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1:21" x14ac:dyDescent="0.2">
      <c r="A94" t="s">
        <v>832</v>
      </c>
      <c r="B94">
        <v>277</v>
      </c>
      <c r="C94">
        <v>1</v>
      </c>
      <c r="D94" t="s">
        <v>149</v>
      </c>
      <c r="E94" s="3">
        <v>952.16</v>
      </c>
      <c r="F94" s="3">
        <v>952.16</v>
      </c>
      <c r="G94" s="3">
        <v>562.41999999999996</v>
      </c>
      <c r="H94" s="3">
        <v>562.41999999999996</v>
      </c>
      <c r="I94" s="3">
        <v>562.41999999999996</v>
      </c>
      <c r="J94" s="3">
        <v>562.41999999999996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1:21" x14ac:dyDescent="0.2">
      <c r="A95" t="s">
        <v>832</v>
      </c>
      <c r="B95">
        <v>278</v>
      </c>
      <c r="C95">
        <v>1</v>
      </c>
      <c r="D95" t="s">
        <v>150</v>
      </c>
      <c r="E95" s="3">
        <v>955.89</v>
      </c>
      <c r="F95" s="3">
        <v>1067.5</v>
      </c>
      <c r="G95" s="3">
        <v>707.95</v>
      </c>
      <c r="H95" s="3">
        <v>707.95</v>
      </c>
      <c r="I95" s="3">
        <v>707.95</v>
      </c>
      <c r="J95" s="3">
        <v>707.95</v>
      </c>
      <c r="K95" s="3">
        <v>111.61</v>
      </c>
      <c r="L95" s="3">
        <v>111.61</v>
      </c>
      <c r="M95" s="3">
        <v>111.61</v>
      </c>
      <c r="N95" s="3">
        <v>111.61</v>
      </c>
      <c r="O95" s="3">
        <v>111.61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</row>
    <row r="96" spans="1:21" x14ac:dyDescent="0.2">
      <c r="A96" t="s">
        <v>832</v>
      </c>
      <c r="B96">
        <v>279</v>
      </c>
      <c r="C96">
        <v>1</v>
      </c>
      <c r="D96" t="s">
        <v>151</v>
      </c>
      <c r="E96" s="3">
        <v>670.77</v>
      </c>
      <c r="F96" s="3">
        <v>670.77</v>
      </c>
      <c r="G96" s="3">
        <v>277.38</v>
      </c>
      <c r="H96" s="3">
        <v>277.38</v>
      </c>
      <c r="I96" s="3">
        <v>277.38</v>
      </c>
      <c r="J96" s="3">
        <v>277.38</v>
      </c>
      <c r="K96" s="3">
        <v>277.38</v>
      </c>
      <c r="L96" s="3">
        <v>277.38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1:21" x14ac:dyDescent="0.2">
      <c r="A97" t="s">
        <v>832</v>
      </c>
      <c r="B97">
        <v>280</v>
      </c>
      <c r="C97">
        <v>1</v>
      </c>
      <c r="D97" t="s">
        <v>152</v>
      </c>
      <c r="E97" s="3">
        <v>926.83</v>
      </c>
      <c r="F97" s="3">
        <v>926.83</v>
      </c>
      <c r="G97" s="3">
        <v>540.53</v>
      </c>
      <c r="H97" s="3">
        <v>540.53</v>
      </c>
      <c r="I97" s="3">
        <v>540.53</v>
      </c>
      <c r="J97" s="3">
        <v>540.53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1:21" x14ac:dyDescent="0.2">
      <c r="A98" t="s">
        <v>832</v>
      </c>
      <c r="B98">
        <v>281</v>
      </c>
      <c r="C98">
        <v>1</v>
      </c>
      <c r="D98" t="s">
        <v>153</v>
      </c>
      <c r="E98" s="3">
        <v>804.67</v>
      </c>
      <c r="F98" s="3">
        <v>804.67</v>
      </c>
      <c r="G98" s="3">
        <v>837.38</v>
      </c>
      <c r="H98" s="3">
        <v>837.38</v>
      </c>
      <c r="I98" s="3">
        <v>837.38</v>
      </c>
      <c r="J98" s="3">
        <v>837.38</v>
      </c>
      <c r="K98" s="3">
        <v>837.38</v>
      </c>
      <c r="L98" s="3">
        <v>837.38</v>
      </c>
      <c r="M98" s="3">
        <v>837.38</v>
      </c>
      <c r="N98" s="3">
        <v>837.38</v>
      </c>
      <c r="O98" s="3">
        <v>837.38</v>
      </c>
      <c r="P98" s="3">
        <v>837.38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1:21" x14ac:dyDescent="0.2">
      <c r="A99" t="s">
        <v>832</v>
      </c>
      <c r="B99">
        <v>282</v>
      </c>
      <c r="C99">
        <v>1</v>
      </c>
      <c r="D99" t="s">
        <v>154</v>
      </c>
      <c r="E99" s="3">
        <v>808.06</v>
      </c>
      <c r="F99" s="3">
        <v>808.06</v>
      </c>
      <c r="G99" s="3">
        <v>1136.5999999999999</v>
      </c>
      <c r="H99" s="3">
        <v>1136.5999999999999</v>
      </c>
      <c r="I99" s="3">
        <v>1136.5999999999999</v>
      </c>
      <c r="J99" s="3">
        <v>1136.5999999999999</v>
      </c>
      <c r="K99" s="3">
        <v>1136.5999999999999</v>
      </c>
      <c r="L99" s="3">
        <v>1136.5999999999999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1:21" x14ac:dyDescent="0.2">
      <c r="A100" t="s">
        <v>832</v>
      </c>
      <c r="B100">
        <v>283</v>
      </c>
      <c r="C100">
        <v>1</v>
      </c>
      <c r="D100" t="s">
        <v>155</v>
      </c>
      <c r="E100" s="3">
        <v>1393.43</v>
      </c>
      <c r="F100" s="3">
        <v>1393.43</v>
      </c>
      <c r="G100" s="3">
        <v>1419.58</v>
      </c>
      <c r="H100" s="3">
        <v>1419.58</v>
      </c>
      <c r="I100" s="3">
        <v>1419.58</v>
      </c>
      <c r="J100" s="3">
        <v>1419.58</v>
      </c>
      <c r="K100" s="3">
        <v>230</v>
      </c>
      <c r="L100" s="3">
        <v>230</v>
      </c>
      <c r="M100" s="3">
        <v>230</v>
      </c>
      <c r="N100" s="3">
        <v>230</v>
      </c>
      <c r="O100" s="3">
        <v>230</v>
      </c>
      <c r="P100" s="3">
        <v>230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</row>
    <row r="101" spans="1:21" x14ac:dyDescent="0.2">
      <c r="A101" t="s">
        <v>832</v>
      </c>
      <c r="B101">
        <v>284</v>
      </c>
      <c r="C101">
        <v>1</v>
      </c>
      <c r="D101" t="s">
        <v>156</v>
      </c>
      <c r="E101" s="3">
        <v>1067.5</v>
      </c>
      <c r="F101" s="3">
        <v>1067.5</v>
      </c>
      <c r="G101" s="3">
        <v>837.38</v>
      </c>
      <c r="H101" s="3">
        <v>837.38</v>
      </c>
      <c r="I101" s="3">
        <v>837.38</v>
      </c>
      <c r="J101" s="3">
        <v>837.38</v>
      </c>
      <c r="K101" s="3">
        <v>837.38</v>
      </c>
      <c r="L101" s="3">
        <v>837.38</v>
      </c>
      <c r="M101" s="3">
        <v>837.38</v>
      </c>
      <c r="N101" s="3">
        <v>837.38</v>
      </c>
      <c r="O101" s="3">
        <v>837.38</v>
      </c>
      <c r="P101" s="3">
        <v>837.38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1:21" x14ac:dyDescent="0.2">
      <c r="A102" t="s">
        <v>832</v>
      </c>
      <c r="B102">
        <v>286</v>
      </c>
      <c r="C102">
        <v>1</v>
      </c>
      <c r="D102" t="s">
        <v>157</v>
      </c>
      <c r="E102" s="3">
        <v>664.23</v>
      </c>
      <c r="F102" s="3">
        <v>664.23</v>
      </c>
      <c r="G102" s="3">
        <v>587.58000000000004</v>
      </c>
      <c r="H102" s="3">
        <v>587.58000000000004</v>
      </c>
      <c r="I102" s="3">
        <v>587.58000000000004</v>
      </c>
      <c r="J102" s="3">
        <v>587.58000000000004</v>
      </c>
      <c r="K102" s="3">
        <v>335</v>
      </c>
      <c r="L102" s="3">
        <v>335</v>
      </c>
      <c r="M102" s="3">
        <v>335</v>
      </c>
      <c r="N102" s="3">
        <v>335</v>
      </c>
      <c r="O102" s="3">
        <v>335</v>
      </c>
      <c r="P102" s="3">
        <v>335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</row>
    <row r="103" spans="1:21" x14ac:dyDescent="0.2">
      <c r="A103" t="s">
        <v>832</v>
      </c>
      <c r="B103">
        <v>294</v>
      </c>
      <c r="C103">
        <v>1</v>
      </c>
      <c r="D103" t="s">
        <v>158</v>
      </c>
      <c r="E103" s="3">
        <v>814</v>
      </c>
      <c r="F103" s="3">
        <v>814</v>
      </c>
      <c r="G103" s="3">
        <v>399.97</v>
      </c>
      <c r="H103" s="3">
        <v>837.38</v>
      </c>
      <c r="I103" s="3">
        <v>837.38</v>
      </c>
      <c r="J103" s="3">
        <v>837.38</v>
      </c>
      <c r="K103" s="3">
        <v>837.38</v>
      </c>
      <c r="L103" s="3">
        <v>837.38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</row>
    <row r="104" spans="1:21" x14ac:dyDescent="0.2">
      <c r="A104" t="s">
        <v>832</v>
      </c>
      <c r="B104">
        <v>297</v>
      </c>
      <c r="C104">
        <v>1</v>
      </c>
      <c r="D104" t="s">
        <v>159</v>
      </c>
      <c r="E104" s="3">
        <v>660.71</v>
      </c>
      <c r="F104" s="3">
        <v>660.71</v>
      </c>
      <c r="G104" s="3">
        <v>833.78</v>
      </c>
      <c r="H104" s="3">
        <v>833.78</v>
      </c>
      <c r="I104" s="3">
        <v>833.78</v>
      </c>
      <c r="J104" s="3">
        <v>833.78</v>
      </c>
      <c r="K104" s="3">
        <v>833.78</v>
      </c>
      <c r="L104" s="3">
        <v>833.78</v>
      </c>
      <c r="M104" s="3">
        <v>833.78</v>
      </c>
      <c r="N104" s="3">
        <v>833.78</v>
      </c>
      <c r="O104" s="3">
        <v>588.07000000000005</v>
      </c>
      <c r="P104" s="3">
        <v>588.07000000000005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</row>
    <row r="105" spans="1:21" x14ac:dyDescent="0.2">
      <c r="A105" t="s">
        <v>832</v>
      </c>
      <c r="B105">
        <v>299</v>
      </c>
      <c r="C105">
        <v>1</v>
      </c>
      <c r="D105" t="s">
        <v>160</v>
      </c>
      <c r="E105" s="3">
        <v>350</v>
      </c>
      <c r="F105" s="3">
        <v>350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</row>
    <row r="106" spans="1:21" x14ac:dyDescent="0.2">
      <c r="A106" t="s">
        <v>832</v>
      </c>
      <c r="B106">
        <v>300</v>
      </c>
      <c r="C106">
        <v>1</v>
      </c>
      <c r="D106" t="s">
        <v>161</v>
      </c>
      <c r="E106" s="3">
        <v>225</v>
      </c>
      <c r="F106" s="3">
        <v>225</v>
      </c>
      <c r="G106" s="3">
        <v>1</v>
      </c>
      <c r="H106" s="3">
        <v>1</v>
      </c>
      <c r="I106" s="3">
        <v>1</v>
      </c>
      <c r="J106" s="3">
        <v>1</v>
      </c>
      <c r="K106" s="3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</row>
    <row r="107" spans="1:21" x14ac:dyDescent="0.2">
      <c r="A107" t="s">
        <v>832</v>
      </c>
      <c r="B107">
        <v>306</v>
      </c>
      <c r="C107">
        <v>1</v>
      </c>
      <c r="D107" t="s">
        <v>162</v>
      </c>
      <c r="E107" s="3">
        <v>282.82</v>
      </c>
      <c r="F107" s="3">
        <v>282.82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</row>
    <row r="108" spans="1:21" x14ac:dyDescent="0.2">
      <c r="A108" t="s">
        <v>832</v>
      </c>
      <c r="B108">
        <v>308</v>
      </c>
      <c r="C108">
        <v>1</v>
      </c>
      <c r="D108" t="s">
        <v>163</v>
      </c>
      <c r="E108" s="3">
        <v>321</v>
      </c>
      <c r="F108" s="3">
        <v>321</v>
      </c>
      <c r="G108" s="3">
        <v>126</v>
      </c>
      <c r="H108" s="3">
        <v>126</v>
      </c>
      <c r="I108" s="3">
        <v>126</v>
      </c>
      <c r="J108" s="3">
        <v>126</v>
      </c>
      <c r="K108" s="3">
        <v>126</v>
      </c>
      <c r="L108" s="3">
        <v>126</v>
      </c>
      <c r="M108" s="3">
        <v>126</v>
      </c>
      <c r="N108" s="3">
        <v>126</v>
      </c>
      <c r="O108" s="3">
        <v>126</v>
      </c>
      <c r="P108" s="3">
        <v>126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</row>
    <row r="109" spans="1:21" x14ac:dyDescent="0.2">
      <c r="A109" t="s">
        <v>832</v>
      </c>
      <c r="B109">
        <v>309</v>
      </c>
      <c r="C109">
        <v>1</v>
      </c>
      <c r="D109" t="s">
        <v>164</v>
      </c>
      <c r="E109" s="3">
        <v>315</v>
      </c>
      <c r="F109" s="3">
        <v>315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</row>
    <row r="110" spans="1:21" x14ac:dyDescent="0.2">
      <c r="A110" t="s">
        <v>832</v>
      </c>
      <c r="B110">
        <v>314</v>
      </c>
      <c r="C110">
        <v>1</v>
      </c>
      <c r="D110" t="s">
        <v>165</v>
      </c>
      <c r="E110" s="3">
        <v>415</v>
      </c>
      <c r="F110" s="3">
        <v>415</v>
      </c>
      <c r="G110" s="3">
        <v>295.76</v>
      </c>
      <c r="H110" s="3">
        <v>295.76</v>
      </c>
      <c r="I110" s="3">
        <v>295.76</v>
      </c>
      <c r="J110" s="3">
        <v>295.76</v>
      </c>
      <c r="K110" s="3">
        <v>295</v>
      </c>
      <c r="L110" s="3">
        <v>295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</row>
    <row r="111" spans="1:21" x14ac:dyDescent="0.2">
      <c r="A111" t="s">
        <v>832</v>
      </c>
      <c r="B111">
        <v>316</v>
      </c>
      <c r="C111">
        <v>1</v>
      </c>
      <c r="D111" t="s">
        <v>166</v>
      </c>
      <c r="E111" s="3">
        <v>563.52</v>
      </c>
      <c r="F111" s="3">
        <v>991.22</v>
      </c>
      <c r="G111" s="3">
        <v>582.23</v>
      </c>
      <c r="H111" s="3">
        <v>582.23</v>
      </c>
      <c r="I111" s="3">
        <v>582.23</v>
      </c>
      <c r="J111" s="3">
        <v>582.23</v>
      </c>
      <c r="K111" s="3">
        <v>582.23</v>
      </c>
      <c r="L111" s="3">
        <v>582.23</v>
      </c>
      <c r="M111" s="3">
        <v>582.23</v>
      </c>
      <c r="N111" s="3">
        <v>427.7</v>
      </c>
      <c r="O111" s="3">
        <v>427.7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</row>
    <row r="112" spans="1:21" x14ac:dyDescent="0.2">
      <c r="A112" t="s">
        <v>832</v>
      </c>
      <c r="B112">
        <v>317</v>
      </c>
      <c r="C112">
        <v>1</v>
      </c>
      <c r="D112" t="s">
        <v>167</v>
      </c>
      <c r="E112" s="3">
        <v>315</v>
      </c>
      <c r="F112" s="3">
        <v>315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</row>
    <row r="113" spans="1:21" x14ac:dyDescent="0.2">
      <c r="A113" t="s">
        <v>832</v>
      </c>
      <c r="B113">
        <v>318</v>
      </c>
      <c r="C113">
        <v>1</v>
      </c>
      <c r="D113" t="s">
        <v>168</v>
      </c>
      <c r="E113" s="3">
        <v>191.04</v>
      </c>
      <c r="F113" s="3">
        <v>191.04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</row>
    <row r="114" spans="1:21" x14ac:dyDescent="0.2">
      <c r="A114" t="s">
        <v>832</v>
      </c>
      <c r="B114">
        <v>319</v>
      </c>
      <c r="C114">
        <v>1</v>
      </c>
      <c r="D114" t="s">
        <v>169</v>
      </c>
      <c r="E114" s="3">
        <v>355.26</v>
      </c>
      <c r="F114" s="3">
        <v>355.26</v>
      </c>
      <c r="G114" s="3">
        <v>116.62</v>
      </c>
      <c r="H114" s="3">
        <v>116.62</v>
      </c>
      <c r="I114" s="3">
        <v>116.62</v>
      </c>
      <c r="J114" s="3">
        <v>116.62</v>
      </c>
      <c r="K114" s="3">
        <v>116.62</v>
      </c>
      <c r="L114" s="3">
        <v>116.62</v>
      </c>
      <c r="M114" s="3">
        <v>116.62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</row>
    <row r="115" spans="1:21" x14ac:dyDescent="0.2">
      <c r="A115" t="s">
        <v>832</v>
      </c>
      <c r="B115">
        <v>323</v>
      </c>
      <c r="C115">
        <v>2</v>
      </c>
      <c r="D115" t="s">
        <v>170</v>
      </c>
      <c r="E115" s="3">
        <v>713</v>
      </c>
      <c r="F115" s="3">
        <v>713</v>
      </c>
      <c r="G115" s="3">
        <v>906.85</v>
      </c>
      <c r="H115" s="3">
        <v>906.85</v>
      </c>
      <c r="I115" s="3">
        <v>906.85</v>
      </c>
      <c r="J115" s="3">
        <v>906.85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</row>
    <row r="116" spans="1:21" x14ac:dyDescent="0.2">
      <c r="A116" t="s">
        <v>832</v>
      </c>
      <c r="B116">
        <v>330</v>
      </c>
      <c r="C116">
        <v>1</v>
      </c>
      <c r="D116" t="s">
        <v>171</v>
      </c>
      <c r="E116" s="3">
        <v>618.54999999999995</v>
      </c>
      <c r="F116" s="3">
        <v>618.54999999999995</v>
      </c>
      <c r="G116" s="3">
        <v>794.79</v>
      </c>
      <c r="H116" s="3">
        <v>794.79</v>
      </c>
      <c r="I116" s="3">
        <v>794.79</v>
      </c>
      <c r="J116" s="3">
        <v>794.79</v>
      </c>
      <c r="K116" s="3">
        <v>585.63</v>
      </c>
      <c r="L116" s="3">
        <v>585.63</v>
      </c>
      <c r="M116" s="3">
        <v>585.63</v>
      </c>
      <c r="N116" s="3">
        <v>585.63</v>
      </c>
      <c r="O116" s="3">
        <v>585.63</v>
      </c>
      <c r="P116" s="3">
        <v>585.63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</row>
    <row r="117" spans="1:21" x14ac:dyDescent="0.2">
      <c r="A117" t="s">
        <v>832</v>
      </c>
      <c r="B117">
        <v>332</v>
      </c>
      <c r="C117">
        <v>1</v>
      </c>
      <c r="D117" t="s">
        <v>172</v>
      </c>
      <c r="E117" s="3">
        <v>0</v>
      </c>
      <c r="F117" s="3">
        <v>0</v>
      </c>
      <c r="G117" s="3">
        <v>126</v>
      </c>
      <c r="H117" s="3">
        <v>126</v>
      </c>
      <c r="I117" s="3">
        <v>126</v>
      </c>
      <c r="J117" s="3">
        <v>126</v>
      </c>
      <c r="K117" s="3">
        <v>126</v>
      </c>
      <c r="L117" s="3">
        <v>126</v>
      </c>
      <c r="M117" s="3">
        <v>126</v>
      </c>
      <c r="N117" s="3">
        <v>126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</row>
    <row r="118" spans="1:21" x14ac:dyDescent="0.2">
      <c r="A118" t="s">
        <v>832</v>
      </c>
      <c r="B118">
        <v>333</v>
      </c>
      <c r="C118">
        <v>1</v>
      </c>
      <c r="D118" t="s">
        <v>173</v>
      </c>
      <c r="E118" s="3">
        <v>415</v>
      </c>
      <c r="F118" s="3">
        <v>415</v>
      </c>
      <c r="G118" s="3">
        <v>0.51999999999998181</v>
      </c>
      <c r="H118" s="3">
        <v>0.51999999999998181</v>
      </c>
      <c r="I118" s="3">
        <v>0.51999999999998181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</row>
    <row r="119" spans="1:21" x14ac:dyDescent="0.2">
      <c r="A119" t="s">
        <v>832</v>
      </c>
      <c r="B119">
        <v>345</v>
      </c>
      <c r="C119">
        <v>1</v>
      </c>
      <c r="D119" t="s">
        <v>174</v>
      </c>
      <c r="E119" s="3">
        <v>315</v>
      </c>
      <c r="F119" s="3">
        <v>315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</row>
    <row r="120" spans="1:21" x14ac:dyDescent="0.2">
      <c r="A120" t="s">
        <v>832</v>
      </c>
      <c r="B120">
        <v>347</v>
      </c>
      <c r="C120">
        <v>1</v>
      </c>
      <c r="D120" t="s">
        <v>175</v>
      </c>
      <c r="E120" s="3">
        <v>315</v>
      </c>
      <c r="F120" s="3">
        <v>315</v>
      </c>
      <c r="G120" s="3">
        <v>495</v>
      </c>
      <c r="H120" s="3">
        <v>495</v>
      </c>
      <c r="I120" s="3">
        <v>495</v>
      </c>
      <c r="J120" s="3">
        <v>495</v>
      </c>
      <c r="K120" s="3">
        <v>495</v>
      </c>
      <c r="L120" s="3">
        <v>495</v>
      </c>
      <c r="M120" s="3">
        <v>495</v>
      </c>
      <c r="N120" s="3">
        <v>495</v>
      </c>
      <c r="O120" s="3">
        <v>495</v>
      </c>
      <c r="P120" s="3">
        <v>495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</row>
    <row r="121" spans="1:21" x14ac:dyDescent="0.2">
      <c r="A121" t="s">
        <v>832</v>
      </c>
      <c r="B121">
        <v>356</v>
      </c>
      <c r="C121">
        <v>1</v>
      </c>
      <c r="D121" t="s">
        <v>176</v>
      </c>
      <c r="E121" s="3">
        <v>1356.9</v>
      </c>
      <c r="F121" s="3">
        <v>1356.9</v>
      </c>
      <c r="G121" s="3">
        <v>1005.33</v>
      </c>
      <c r="H121" s="3">
        <v>1005.33</v>
      </c>
      <c r="I121" s="3">
        <v>1005.33</v>
      </c>
      <c r="J121" s="3">
        <v>1005.33</v>
      </c>
      <c r="K121" s="3">
        <v>1005.33</v>
      </c>
      <c r="L121" s="3">
        <v>1005.33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</row>
    <row r="122" spans="1:21" x14ac:dyDescent="0.2">
      <c r="A122" t="s">
        <v>832</v>
      </c>
      <c r="B122">
        <v>361</v>
      </c>
      <c r="C122">
        <v>1</v>
      </c>
      <c r="D122" t="s">
        <v>177</v>
      </c>
      <c r="E122" s="3">
        <v>321.08999999999997</v>
      </c>
      <c r="F122" s="3">
        <v>321.08999999999997</v>
      </c>
      <c r="G122" s="3">
        <v>560</v>
      </c>
      <c r="H122" s="3">
        <v>560</v>
      </c>
      <c r="I122" s="3">
        <v>560</v>
      </c>
      <c r="J122" s="3">
        <v>560</v>
      </c>
      <c r="K122" s="3">
        <v>560</v>
      </c>
      <c r="L122" s="3">
        <v>560</v>
      </c>
      <c r="M122" s="3">
        <v>560</v>
      </c>
      <c r="N122" s="3">
        <v>560</v>
      </c>
      <c r="O122" s="3">
        <v>560</v>
      </c>
      <c r="P122" s="3">
        <v>560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</row>
    <row r="123" spans="1:21" x14ac:dyDescent="0.2">
      <c r="A123" t="s">
        <v>832</v>
      </c>
      <c r="B123">
        <v>362</v>
      </c>
      <c r="C123">
        <v>1</v>
      </c>
      <c r="D123" t="s">
        <v>178</v>
      </c>
      <c r="E123" s="3">
        <v>0</v>
      </c>
      <c r="F123" s="3">
        <v>0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</row>
    <row r="124" spans="1:21" x14ac:dyDescent="0.2">
      <c r="A124" t="s">
        <v>832</v>
      </c>
      <c r="B124">
        <v>363</v>
      </c>
      <c r="C124">
        <v>1</v>
      </c>
      <c r="D124" t="s">
        <v>179</v>
      </c>
      <c r="E124" s="3">
        <v>0</v>
      </c>
      <c r="F124" s="3">
        <v>0</v>
      </c>
      <c r="G124" s="3">
        <v>0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>
        <v>1</v>
      </c>
      <c r="R124" s="3">
        <v>0</v>
      </c>
      <c r="S124" s="3">
        <v>0</v>
      </c>
      <c r="T124" s="3">
        <v>0</v>
      </c>
      <c r="U124" s="3">
        <v>0</v>
      </c>
    </row>
    <row r="125" spans="1:21" x14ac:dyDescent="0.2">
      <c r="A125" t="s">
        <v>832</v>
      </c>
      <c r="B125">
        <v>371</v>
      </c>
      <c r="C125">
        <v>1</v>
      </c>
      <c r="D125" t="s">
        <v>180</v>
      </c>
      <c r="E125" s="3">
        <v>638.38</v>
      </c>
      <c r="F125" s="3">
        <v>1182.8</v>
      </c>
      <c r="G125" s="3">
        <v>936.21</v>
      </c>
      <c r="H125" s="3">
        <v>936.21</v>
      </c>
      <c r="I125" s="3">
        <v>936.21</v>
      </c>
      <c r="J125" s="3">
        <v>936.21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</row>
    <row r="126" spans="1:21" x14ac:dyDescent="0.2">
      <c r="A126" t="s">
        <v>832</v>
      </c>
      <c r="B126">
        <v>378</v>
      </c>
      <c r="C126">
        <v>1</v>
      </c>
      <c r="D126" t="s">
        <v>181</v>
      </c>
      <c r="E126" s="3">
        <v>355.2</v>
      </c>
      <c r="F126" s="3">
        <v>355.2</v>
      </c>
      <c r="G126" s="3">
        <v>450</v>
      </c>
      <c r="H126" s="3">
        <v>450</v>
      </c>
      <c r="I126" s="3">
        <v>450</v>
      </c>
      <c r="J126" s="3">
        <v>450</v>
      </c>
      <c r="K126" s="3">
        <v>450</v>
      </c>
      <c r="L126" s="3">
        <v>450</v>
      </c>
      <c r="M126" s="3">
        <v>450</v>
      </c>
      <c r="N126" s="3">
        <v>450</v>
      </c>
      <c r="O126" s="3">
        <v>450</v>
      </c>
      <c r="P126" s="3">
        <v>450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</row>
    <row r="127" spans="1:21" x14ac:dyDescent="0.2">
      <c r="A127" t="s">
        <v>832</v>
      </c>
      <c r="B127">
        <v>381</v>
      </c>
      <c r="C127">
        <v>1</v>
      </c>
      <c r="D127" t="s">
        <v>182</v>
      </c>
      <c r="E127" s="3">
        <v>315</v>
      </c>
      <c r="F127" s="3">
        <v>315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</row>
    <row r="128" spans="1:21" x14ac:dyDescent="0.2">
      <c r="A128" t="s">
        <v>832</v>
      </c>
      <c r="B128">
        <v>390</v>
      </c>
      <c r="C128">
        <v>1</v>
      </c>
      <c r="D128" t="s">
        <v>183</v>
      </c>
      <c r="E128" s="3">
        <v>0</v>
      </c>
      <c r="F128" s="3">
        <v>0</v>
      </c>
      <c r="G128" s="3">
        <v>126</v>
      </c>
      <c r="H128" s="3">
        <v>126</v>
      </c>
      <c r="I128" s="3">
        <v>126</v>
      </c>
      <c r="J128" s="3">
        <v>126</v>
      </c>
      <c r="K128" s="3">
        <v>126</v>
      </c>
      <c r="L128" s="3">
        <v>126</v>
      </c>
      <c r="M128" s="3">
        <v>126</v>
      </c>
      <c r="N128" s="3">
        <v>126</v>
      </c>
      <c r="O128" s="3">
        <v>126</v>
      </c>
      <c r="P128" s="3">
        <v>126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</row>
    <row r="129" spans="1:21" x14ac:dyDescent="0.2">
      <c r="A129" t="s">
        <v>832</v>
      </c>
      <c r="B129">
        <v>391</v>
      </c>
      <c r="C129">
        <v>1</v>
      </c>
      <c r="D129" t="s">
        <v>184</v>
      </c>
      <c r="E129" s="3">
        <v>415</v>
      </c>
      <c r="F129" s="3">
        <v>415</v>
      </c>
      <c r="G129" s="3">
        <v>352.72</v>
      </c>
      <c r="H129" s="3">
        <v>352.72</v>
      </c>
      <c r="I129" s="3">
        <v>352.72</v>
      </c>
      <c r="J129" s="3">
        <v>350</v>
      </c>
      <c r="K129" s="3">
        <v>350</v>
      </c>
      <c r="L129" s="3">
        <v>350</v>
      </c>
      <c r="M129" s="3">
        <v>350</v>
      </c>
      <c r="N129" s="3">
        <v>350</v>
      </c>
      <c r="O129" s="3">
        <v>350</v>
      </c>
      <c r="P129" s="3">
        <v>350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</row>
    <row r="130" spans="1:21" x14ac:dyDescent="0.2">
      <c r="A130" t="s">
        <v>832</v>
      </c>
      <c r="B130">
        <v>392</v>
      </c>
      <c r="C130">
        <v>1</v>
      </c>
      <c r="D130" t="s">
        <v>185</v>
      </c>
      <c r="E130" s="3">
        <v>98.7</v>
      </c>
      <c r="F130" s="3">
        <v>98.7</v>
      </c>
      <c r="G130" s="3">
        <v>250</v>
      </c>
      <c r="H130" s="3">
        <v>250</v>
      </c>
      <c r="I130" s="3">
        <v>250</v>
      </c>
      <c r="J130" s="3">
        <v>250</v>
      </c>
      <c r="K130" s="3">
        <v>250</v>
      </c>
      <c r="L130" s="3">
        <v>250</v>
      </c>
      <c r="M130" s="3">
        <v>250</v>
      </c>
      <c r="N130" s="3">
        <v>250</v>
      </c>
      <c r="O130" s="3">
        <v>250</v>
      </c>
      <c r="P130" s="3">
        <v>250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</row>
    <row r="131" spans="1:21" x14ac:dyDescent="0.2">
      <c r="A131" t="s">
        <v>832</v>
      </c>
      <c r="B131">
        <v>394</v>
      </c>
      <c r="C131">
        <v>1</v>
      </c>
      <c r="D131" t="s">
        <v>186</v>
      </c>
      <c r="E131" s="3">
        <v>95.81</v>
      </c>
      <c r="F131" s="3">
        <v>95.81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</row>
    <row r="132" spans="1:21" x14ac:dyDescent="0.2">
      <c r="A132" t="s">
        <v>832</v>
      </c>
      <c r="B132">
        <v>402</v>
      </c>
      <c r="C132">
        <v>1</v>
      </c>
      <c r="D132" t="s">
        <v>187</v>
      </c>
      <c r="E132" s="3">
        <v>286.98</v>
      </c>
      <c r="F132" s="3">
        <v>286.98</v>
      </c>
      <c r="G132" s="3">
        <v>400</v>
      </c>
      <c r="H132" s="3">
        <v>400</v>
      </c>
      <c r="I132" s="3">
        <v>400</v>
      </c>
      <c r="J132" s="3">
        <v>400</v>
      </c>
      <c r="K132" s="3">
        <v>400</v>
      </c>
      <c r="L132" s="3">
        <v>400</v>
      </c>
      <c r="M132" s="3">
        <v>400</v>
      </c>
      <c r="N132" s="3">
        <v>400</v>
      </c>
      <c r="O132" s="3">
        <v>400</v>
      </c>
      <c r="P132" s="3">
        <v>400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</row>
    <row r="133" spans="1:21" x14ac:dyDescent="0.2">
      <c r="A133" t="s">
        <v>832</v>
      </c>
      <c r="B133">
        <v>403</v>
      </c>
      <c r="C133">
        <v>1</v>
      </c>
      <c r="D133" t="s">
        <v>188</v>
      </c>
      <c r="E133" s="3">
        <v>365.43</v>
      </c>
      <c r="F133" s="3">
        <v>365.43</v>
      </c>
      <c r="G133" s="3">
        <v>400</v>
      </c>
      <c r="H133" s="3">
        <v>400</v>
      </c>
      <c r="I133" s="3">
        <v>400</v>
      </c>
      <c r="J133" s="3">
        <v>400</v>
      </c>
      <c r="K133" s="3">
        <v>400</v>
      </c>
      <c r="L133" s="3">
        <v>400</v>
      </c>
      <c r="M133" s="3">
        <v>400</v>
      </c>
      <c r="N133" s="3">
        <v>400</v>
      </c>
      <c r="O133" s="3">
        <v>400</v>
      </c>
      <c r="P133" s="3">
        <v>400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</row>
    <row r="134" spans="1:21" x14ac:dyDescent="0.2">
      <c r="A134" t="s">
        <v>832</v>
      </c>
      <c r="B134">
        <v>404</v>
      </c>
      <c r="C134">
        <v>1</v>
      </c>
      <c r="D134" t="s">
        <v>189</v>
      </c>
      <c r="E134" s="3">
        <v>376.37</v>
      </c>
      <c r="F134" s="3">
        <v>989.51</v>
      </c>
      <c r="G134" s="3">
        <v>603</v>
      </c>
      <c r="H134" s="3">
        <v>603</v>
      </c>
      <c r="I134" s="3">
        <v>603</v>
      </c>
      <c r="J134" s="3">
        <v>603</v>
      </c>
      <c r="K134" s="3">
        <v>603</v>
      </c>
      <c r="L134" s="3">
        <v>603</v>
      </c>
      <c r="M134" s="3">
        <v>603</v>
      </c>
      <c r="N134" s="3">
        <v>603</v>
      </c>
      <c r="O134" s="3">
        <v>603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</row>
    <row r="135" spans="1:21" x14ac:dyDescent="0.2">
      <c r="A135" t="s">
        <v>832</v>
      </c>
      <c r="B135">
        <v>409</v>
      </c>
      <c r="C135">
        <v>1</v>
      </c>
      <c r="D135" t="s">
        <v>190</v>
      </c>
      <c r="E135" s="3">
        <v>0</v>
      </c>
      <c r="F135" s="3">
        <v>415</v>
      </c>
      <c r="G135" s="3">
        <v>1.3199999999999932</v>
      </c>
      <c r="H135" s="3">
        <v>1.3199999999999932</v>
      </c>
      <c r="I135" s="3">
        <v>1.3199999999999932</v>
      </c>
      <c r="J135" s="3">
        <v>1.3199999999999932</v>
      </c>
      <c r="K135" s="3">
        <v>1.3199999999999932</v>
      </c>
      <c r="L135" s="3">
        <v>1.3199999999999932</v>
      </c>
      <c r="M135" s="3">
        <v>1.3199999999999932</v>
      </c>
      <c r="N135" s="3">
        <v>1.3199999999999932</v>
      </c>
      <c r="O135" s="3">
        <v>1.3199999999999932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</row>
    <row r="136" spans="1:21" x14ac:dyDescent="0.2">
      <c r="A136" t="s">
        <v>832</v>
      </c>
      <c r="B136">
        <v>411</v>
      </c>
      <c r="C136">
        <v>1</v>
      </c>
      <c r="D136" t="s">
        <v>191</v>
      </c>
      <c r="E136" s="3">
        <v>786.88</v>
      </c>
      <c r="F136" s="3">
        <v>786.88</v>
      </c>
      <c r="G136" s="3">
        <v>727.39</v>
      </c>
      <c r="H136" s="3">
        <v>727.39</v>
      </c>
      <c r="I136" s="3">
        <v>727.39</v>
      </c>
      <c r="J136" s="3">
        <v>659.83</v>
      </c>
      <c r="K136" s="3">
        <v>659.83</v>
      </c>
      <c r="L136" s="3">
        <v>659.83</v>
      </c>
      <c r="M136" s="3">
        <v>325.22000000000003</v>
      </c>
      <c r="N136" s="3">
        <v>325.22000000000003</v>
      </c>
      <c r="O136" s="3">
        <v>325.22000000000003</v>
      </c>
      <c r="P136" s="3">
        <v>325.22000000000003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</row>
    <row r="137" spans="1:21" x14ac:dyDescent="0.2">
      <c r="A137" t="s">
        <v>832</v>
      </c>
      <c r="B137">
        <v>413</v>
      </c>
      <c r="C137">
        <v>1</v>
      </c>
      <c r="D137" t="s">
        <v>192</v>
      </c>
      <c r="E137" s="3">
        <v>445</v>
      </c>
      <c r="F137" s="3">
        <v>445</v>
      </c>
      <c r="G137" s="3">
        <v>32.53</v>
      </c>
      <c r="H137" s="3">
        <v>32.53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</row>
    <row r="138" spans="1:21" x14ac:dyDescent="0.2">
      <c r="A138" t="s">
        <v>832</v>
      </c>
      <c r="B138">
        <v>414</v>
      </c>
      <c r="C138">
        <v>1</v>
      </c>
      <c r="D138" t="s">
        <v>193</v>
      </c>
      <c r="E138" s="3">
        <v>298.01</v>
      </c>
      <c r="F138" s="3">
        <v>298.01</v>
      </c>
      <c r="G138" s="3">
        <v>126</v>
      </c>
      <c r="H138" s="3">
        <v>126</v>
      </c>
      <c r="I138" s="3">
        <v>126</v>
      </c>
      <c r="J138" s="3">
        <v>126</v>
      </c>
      <c r="K138" s="3">
        <v>126</v>
      </c>
      <c r="L138" s="3">
        <v>126</v>
      </c>
      <c r="M138" s="3">
        <v>126</v>
      </c>
      <c r="N138" s="3">
        <v>126</v>
      </c>
      <c r="O138" s="3">
        <v>126</v>
      </c>
      <c r="P138" s="3">
        <v>126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</row>
    <row r="139" spans="1:21" x14ac:dyDescent="0.2">
      <c r="A139" t="s">
        <v>832</v>
      </c>
      <c r="B139">
        <v>415</v>
      </c>
      <c r="C139">
        <v>1</v>
      </c>
      <c r="D139" t="s">
        <v>194</v>
      </c>
      <c r="E139" s="3">
        <v>525.29</v>
      </c>
      <c r="F139" s="3">
        <v>525.29</v>
      </c>
      <c r="G139" s="3">
        <v>152.88999999999999</v>
      </c>
      <c r="H139" s="3">
        <v>152.88999999999999</v>
      </c>
      <c r="I139" s="3">
        <v>152.88999999999999</v>
      </c>
      <c r="J139" s="3">
        <v>147.18</v>
      </c>
      <c r="K139" s="3">
        <v>147.18</v>
      </c>
      <c r="L139" s="3">
        <v>147.18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</row>
    <row r="140" spans="1:21" x14ac:dyDescent="0.2">
      <c r="A140" t="s">
        <v>832</v>
      </c>
      <c r="B140">
        <v>417</v>
      </c>
      <c r="C140">
        <v>1</v>
      </c>
      <c r="D140" t="s">
        <v>195</v>
      </c>
      <c r="E140" s="3">
        <v>315</v>
      </c>
      <c r="F140" s="3">
        <v>315</v>
      </c>
      <c r="G140" s="3">
        <v>425</v>
      </c>
      <c r="H140" s="3">
        <v>425</v>
      </c>
      <c r="I140" s="3">
        <v>425</v>
      </c>
      <c r="J140" s="3">
        <v>425</v>
      </c>
      <c r="K140" s="3">
        <v>425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</row>
    <row r="141" spans="1:21" x14ac:dyDescent="0.2">
      <c r="A141" t="s">
        <v>832</v>
      </c>
      <c r="B141">
        <v>418</v>
      </c>
      <c r="C141">
        <v>1</v>
      </c>
      <c r="D141" t="s">
        <v>196</v>
      </c>
      <c r="E141" s="3">
        <v>368.33</v>
      </c>
      <c r="F141" s="3">
        <v>368.33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</row>
    <row r="142" spans="1:21" x14ac:dyDescent="0.2">
      <c r="A142" t="s">
        <v>832</v>
      </c>
      <c r="B142">
        <v>423</v>
      </c>
      <c r="C142">
        <v>1</v>
      </c>
      <c r="D142" t="s">
        <v>197</v>
      </c>
      <c r="E142" s="3">
        <v>350</v>
      </c>
      <c r="F142" s="3">
        <v>350</v>
      </c>
      <c r="G142" s="3">
        <v>126</v>
      </c>
      <c r="H142" s="3">
        <v>126</v>
      </c>
      <c r="I142" s="3">
        <v>126</v>
      </c>
      <c r="J142" s="3">
        <v>126</v>
      </c>
      <c r="K142" s="3">
        <v>126</v>
      </c>
      <c r="L142" s="3">
        <v>126</v>
      </c>
      <c r="M142" s="3">
        <v>126</v>
      </c>
      <c r="N142" s="3">
        <v>126</v>
      </c>
      <c r="O142" s="3">
        <v>126</v>
      </c>
      <c r="P142" s="3">
        <v>126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</row>
    <row r="143" spans="1:21" x14ac:dyDescent="0.2">
      <c r="A143" t="s">
        <v>832</v>
      </c>
      <c r="B143">
        <v>424</v>
      </c>
      <c r="C143">
        <v>1</v>
      </c>
      <c r="D143" t="s">
        <v>198</v>
      </c>
      <c r="E143" s="3">
        <v>415</v>
      </c>
      <c r="F143" s="3">
        <v>415</v>
      </c>
      <c r="G143" s="3">
        <v>0.87999999999999545</v>
      </c>
      <c r="H143" s="3">
        <v>0.87999999999999545</v>
      </c>
      <c r="I143" s="3">
        <v>0.87999999999999545</v>
      </c>
      <c r="J143" s="3">
        <v>0.87999999999999545</v>
      </c>
      <c r="K143" s="3">
        <v>0.87999999999999545</v>
      </c>
      <c r="L143" s="3">
        <v>0.87999999999999545</v>
      </c>
      <c r="M143" s="3">
        <v>0.87999999999999545</v>
      </c>
      <c r="N143" s="3">
        <v>0.87999999999999545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</row>
    <row r="144" spans="1:21" x14ac:dyDescent="0.2">
      <c r="A144" t="s">
        <v>832</v>
      </c>
      <c r="B144">
        <v>432</v>
      </c>
      <c r="C144">
        <v>1</v>
      </c>
      <c r="D144" t="s">
        <v>199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</row>
    <row r="145" spans="1:21" x14ac:dyDescent="0.2">
      <c r="A145" t="s">
        <v>832</v>
      </c>
      <c r="B145">
        <v>435</v>
      </c>
      <c r="C145">
        <v>1</v>
      </c>
      <c r="D145" t="s">
        <v>200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</row>
    <row r="146" spans="1:21" x14ac:dyDescent="0.2">
      <c r="A146" t="s">
        <v>832</v>
      </c>
      <c r="B146">
        <v>441</v>
      </c>
      <c r="C146">
        <v>1</v>
      </c>
      <c r="D146" t="s">
        <v>201</v>
      </c>
      <c r="E146" s="3">
        <v>345</v>
      </c>
      <c r="F146" s="3">
        <v>345</v>
      </c>
      <c r="G146" s="3">
        <v>200</v>
      </c>
      <c r="H146" s="3">
        <v>200</v>
      </c>
      <c r="I146" s="3">
        <v>200</v>
      </c>
      <c r="J146" s="3">
        <v>200</v>
      </c>
      <c r="K146" s="3">
        <v>200</v>
      </c>
      <c r="L146" s="3">
        <v>200</v>
      </c>
      <c r="M146" s="3">
        <v>200</v>
      </c>
      <c r="N146" s="3">
        <v>200</v>
      </c>
      <c r="O146" s="3">
        <v>200</v>
      </c>
      <c r="P146" s="3">
        <v>200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</row>
    <row r="147" spans="1:21" x14ac:dyDescent="0.2">
      <c r="A147" t="s">
        <v>832</v>
      </c>
      <c r="B147">
        <v>447</v>
      </c>
      <c r="C147">
        <v>1</v>
      </c>
      <c r="D147" t="s">
        <v>202</v>
      </c>
      <c r="E147" s="3">
        <v>204.38</v>
      </c>
      <c r="F147" s="3">
        <v>204.38</v>
      </c>
      <c r="G147" s="3">
        <v>126</v>
      </c>
      <c r="H147" s="3">
        <v>126</v>
      </c>
      <c r="I147" s="3">
        <v>126</v>
      </c>
      <c r="J147" s="3">
        <v>126</v>
      </c>
      <c r="K147" s="3">
        <v>126</v>
      </c>
      <c r="L147" s="3">
        <v>126</v>
      </c>
      <c r="M147" s="3">
        <v>126</v>
      </c>
      <c r="N147" s="3">
        <v>126</v>
      </c>
      <c r="O147" s="3">
        <v>126</v>
      </c>
      <c r="P147" s="3">
        <v>126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</row>
    <row r="148" spans="1:21" x14ac:dyDescent="0.2">
      <c r="A148" t="s">
        <v>832</v>
      </c>
      <c r="B148">
        <v>458</v>
      </c>
      <c r="C148">
        <v>1</v>
      </c>
      <c r="D148" t="s">
        <v>203</v>
      </c>
      <c r="E148" s="3">
        <v>456.1</v>
      </c>
      <c r="F148" s="3">
        <v>972.83</v>
      </c>
      <c r="G148" s="3">
        <v>560.34</v>
      </c>
      <c r="H148" s="3">
        <v>560.34</v>
      </c>
      <c r="I148" s="3">
        <v>560.34</v>
      </c>
      <c r="J148" s="3">
        <v>560.34</v>
      </c>
      <c r="K148" s="3">
        <v>516.73</v>
      </c>
      <c r="L148" s="3">
        <v>516.73</v>
      </c>
      <c r="M148" s="3">
        <v>516.73</v>
      </c>
      <c r="N148" s="3">
        <v>516.73</v>
      </c>
      <c r="O148" s="3">
        <v>516.73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</row>
    <row r="149" spans="1:21" x14ac:dyDescent="0.2">
      <c r="A149" t="s">
        <v>832</v>
      </c>
      <c r="B149">
        <v>463</v>
      </c>
      <c r="C149">
        <v>1</v>
      </c>
      <c r="D149" t="s">
        <v>204</v>
      </c>
      <c r="E149" s="3">
        <v>310.19</v>
      </c>
      <c r="F149" s="3">
        <v>310.19</v>
      </c>
      <c r="G149" s="3">
        <v>225</v>
      </c>
      <c r="H149" s="3">
        <v>225</v>
      </c>
      <c r="I149" s="3">
        <v>225</v>
      </c>
      <c r="J149" s="3">
        <v>225</v>
      </c>
      <c r="K149" s="3">
        <v>225</v>
      </c>
      <c r="L149" s="3">
        <v>225</v>
      </c>
      <c r="M149" s="3">
        <v>225</v>
      </c>
      <c r="N149" s="3">
        <v>225</v>
      </c>
      <c r="O149" s="3">
        <v>225</v>
      </c>
      <c r="P149" s="3">
        <v>225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</row>
    <row r="150" spans="1:21" x14ac:dyDescent="0.2">
      <c r="A150" t="s">
        <v>832</v>
      </c>
      <c r="B150">
        <v>465</v>
      </c>
      <c r="C150">
        <v>1</v>
      </c>
      <c r="D150" t="s">
        <v>205</v>
      </c>
      <c r="E150" s="3">
        <v>350</v>
      </c>
      <c r="F150" s="3">
        <v>350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</row>
    <row r="151" spans="1:21" x14ac:dyDescent="0.2">
      <c r="A151" t="s">
        <v>832</v>
      </c>
      <c r="B151">
        <v>466</v>
      </c>
      <c r="C151">
        <v>1</v>
      </c>
      <c r="D151" t="s">
        <v>206</v>
      </c>
      <c r="E151" s="3">
        <v>350</v>
      </c>
      <c r="F151" s="3">
        <v>350</v>
      </c>
      <c r="G151" s="3">
        <v>126</v>
      </c>
      <c r="H151" s="3">
        <v>126</v>
      </c>
      <c r="I151" s="3">
        <v>126</v>
      </c>
      <c r="J151" s="3">
        <v>126</v>
      </c>
      <c r="K151" s="3">
        <v>126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</row>
    <row r="152" spans="1:21" x14ac:dyDescent="0.2">
      <c r="A152" t="s">
        <v>832</v>
      </c>
      <c r="B152">
        <v>473</v>
      </c>
      <c r="C152">
        <v>1</v>
      </c>
      <c r="D152" t="s">
        <v>207</v>
      </c>
      <c r="E152" s="3">
        <v>217.47</v>
      </c>
      <c r="F152" s="3">
        <v>217.47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</row>
    <row r="153" spans="1:21" x14ac:dyDescent="0.2">
      <c r="A153" t="s">
        <v>832</v>
      </c>
      <c r="B153">
        <v>477</v>
      </c>
      <c r="C153">
        <v>1</v>
      </c>
      <c r="D153" t="s">
        <v>208</v>
      </c>
      <c r="E153" s="3">
        <v>315</v>
      </c>
      <c r="F153" s="3">
        <v>315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</row>
    <row r="154" spans="1:21" x14ac:dyDescent="0.2">
      <c r="A154" t="s">
        <v>832</v>
      </c>
      <c r="B154">
        <v>480</v>
      </c>
      <c r="C154">
        <v>1</v>
      </c>
      <c r="D154" t="s">
        <v>209</v>
      </c>
      <c r="E154" s="3">
        <v>0</v>
      </c>
      <c r="F154" s="3">
        <v>0</v>
      </c>
      <c r="G154" s="3">
        <v>1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>
        <v>1</v>
      </c>
      <c r="N154" s="3">
        <v>1</v>
      </c>
      <c r="O154" s="3">
        <v>1</v>
      </c>
      <c r="P154" s="3">
        <v>1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</row>
    <row r="155" spans="1:21" x14ac:dyDescent="0.2">
      <c r="A155" t="s">
        <v>832</v>
      </c>
      <c r="B155">
        <v>482</v>
      </c>
      <c r="C155">
        <v>1</v>
      </c>
      <c r="D155" t="s">
        <v>210</v>
      </c>
      <c r="E155" s="3">
        <v>307.35000000000002</v>
      </c>
      <c r="F155" s="3">
        <v>307.35000000000002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</row>
    <row r="156" spans="1:21" x14ac:dyDescent="0.2">
      <c r="A156" t="s">
        <v>832</v>
      </c>
      <c r="B156">
        <v>484</v>
      </c>
      <c r="C156">
        <v>1</v>
      </c>
      <c r="D156" t="s">
        <v>211</v>
      </c>
      <c r="E156" s="3">
        <v>311.52</v>
      </c>
      <c r="F156" s="3">
        <v>311.52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</row>
    <row r="157" spans="1:21" x14ac:dyDescent="0.2">
      <c r="A157" t="s">
        <v>832</v>
      </c>
      <c r="B157">
        <v>485</v>
      </c>
      <c r="C157">
        <v>1</v>
      </c>
      <c r="D157" t="s">
        <v>212</v>
      </c>
      <c r="E157" s="3">
        <v>415</v>
      </c>
      <c r="F157" s="3">
        <v>415</v>
      </c>
      <c r="G157" s="3">
        <v>1.0400000000000205</v>
      </c>
      <c r="H157" s="3">
        <v>1.0400000000000205</v>
      </c>
      <c r="I157" s="3">
        <v>1.0400000000000205</v>
      </c>
      <c r="J157" s="3">
        <v>1.0400000000000205</v>
      </c>
      <c r="K157" s="3">
        <v>1.0400000000000205</v>
      </c>
      <c r="L157" s="3">
        <v>1.0400000000000205</v>
      </c>
      <c r="M157" s="3">
        <v>1.0400000000000205</v>
      </c>
      <c r="N157" s="3">
        <v>1.0400000000000205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</row>
    <row r="158" spans="1:21" x14ac:dyDescent="0.2">
      <c r="A158" t="s">
        <v>832</v>
      </c>
      <c r="B158">
        <v>486</v>
      </c>
      <c r="C158">
        <v>1</v>
      </c>
      <c r="D158" t="s">
        <v>213</v>
      </c>
      <c r="E158" s="3">
        <v>385.81</v>
      </c>
      <c r="F158" s="3">
        <v>385.81</v>
      </c>
      <c r="G158" s="3">
        <v>800</v>
      </c>
      <c r="H158" s="3">
        <v>800</v>
      </c>
      <c r="I158" s="3">
        <v>800</v>
      </c>
      <c r="J158" s="3">
        <v>800</v>
      </c>
      <c r="K158" s="3">
        <v>800</v>
      </c>
      <c r="L158" s="3">
        <v>800</v>
      </c>
      <c r="M158" s="3">
        <v>800</v>
      </c>
      <c r="N158" s="3">
        <v>800</v>
      </c>
      <c r="O158" s="3">
        <v>800</v>
      </c>
      <c r="P158" s="3">
        <v>800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</row>
    <row r="159" spans="1:21" x14ac:dyDescent="0.2">
      <c r="A159" t="s">
        <v>832</v>
      </c>
      <c r="B159">
        <v>487</v>
      </c>
      <c r="C159">
        <v>1</v>
      </c>
      <c r="D159" t="s">
        <v>214</v>
      </c>
      <c r="E159" s="3">
        <v>545</v>
      </c>
      <c r="F159" s="3">
        <v>545</v>
      </c>
      <c r="G159" s="3">
        <v>130.51</v>
      </c>
      <c r="H159" s="3">
        <v>130.51</v>
      </c>
      <c r="I159" s="3">
        <v>130.51</v>
      </c>
      <c r="J159" s="3">
        <v>130.51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</row>
    <row r="160" spans="1:21" x14ac:dyDescent="0.2">
      <c r="A160" t="s">
        <v>832</v>
      </c>
      <c r="B160">
        <v>492</v>
      </c>
      <c r="C160">
        <v>1</v>
      </c>
      <c r="D160" t="s">
        <v>215</v>
      </c>
      <c r="E160" s="3">
        <v>335.03</v>
      </c>
      <c r="F160" s="3">
        <v>465.95</v>
      </c>
      <c r="G160" s="3">
        <v>298.89999999999998</v>
      </c>
      <c r="H160" s="3">
        <v>298.89999999999998</v>
      </c>
      <c r="I160" s="3">
        <v>298.89999999999998</v>
      </c>
      <c r="J160" s="3">
        <v>298.89999999999998</v>
      </c>
      <c r="K160" s="3">
        <v>298.89999999999998</v>
      </c>
      <c r="L160" s="3">
        <v>298.89999999999998</v>
      </c>
      <c r="M160" s="3">
        <v>298.89999999999998</v>
      </c>
      <c r="N160" s="3">
        <v>298.89999999999998</v>
      </c>
      <c r="O160" s="3">
        <v>298.89999999999998</v>
      </c>
      <c r="P160" s="3">
        <v>246.54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</row>
    <row r="161" spans="1:21" x14ac:dyDescent="0.2">
      <c r="A161" t="s">
        <v>832</v>
      </c>
      <c r="B161">
        <v>495</v>
      </c>
      <c r="C161">
        <v>1</v>
      </c>
      <c r="D161" t="s">
        <v>216</v>
      </c>
      <c r="E161" s="3">
        <v>615.51</v>
      </c>
      <c r="F161" s="3">
        <v>601.47</v>
      </c>
      <c r="G161" s="3">
        <v>452.81</v>
      </c>
      <c r="H161" s="3">
        <v>452.81</v>
      </c>
      <c r="I161" s="3">
        <v>452.81</v>
      </c>
      <c r="J161" s="3">
        <v>452.81</v>
      </c>
      <c r="K161" s="3">
        <v>452.81</v>
      </c>
      <c r="L161" s="3">
        <v>452.81</v>
      </c>
      <c r="M161" s="3">
        <v>452.81</v>
      </c>
      <c r="N161" s="3">
        <v>452.81</v>
      </c>
      <c r="O161" s="3">
        <v>452.81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</row>
    <row r="162" spans="1:21" x14ac:dyDescent="0.2">
      <c r="A162" t="s">
        <v>832</v>
      </c>
      <c r="B162">
        <v>497</v>
      </c>
      <c r="C162">
        <v>1</v>
      </c>
      <c r="D162" t="s">
        <v>217</v>
      </c>
      <c r="E162" s="3">
        <v>964.92</v>
      </c>
      <c r="F162" s="3">
        <v>964.92</v>
      </c>
      <c r="G162" s="3">
        <v>837</v>
      </c>
      <c r="H162" s="3">
        <v>837</v>
      </c>
      <c r="I162" s="3">
        <v>837</v>
      </c>
      <c r="J162" s="3">
        <v>837</v>
      </c>
      <c r="K162" s="3">
        <v>837</v>
      </c>
      <c r="L162" s="3">
        <v>837</v>
      </c>
      <c r="M162" s="3">
        <v>837</v>
      </c>
      <c r="N162" s="3">
        <v>837</v>
      </c>
      <c r="O162" s="3">
        <v>837</v>
      </c>
      <c r="P162" s="3">
        <v>837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</row>
    <row r="163" spans="1:21" x14ac:dyDescent="0.2">
      <c r="A163" t="s">
        <v>832</v>
      </c>
      <c r="B163">
        <v>499</v>
      </c>
      <c r="C163">
        <v>1</v>
      </c>
      <c r="D163" t="s">
        <v>218</v>
      </c>
      <c r="E163" s="3">
        <v>557.05999999999995</v>
      </c>
      <c r="F163" s="3">
        <v>957.06</v>
      </c>
      <c r="G163" s="3">
        <v>543.44000000000005</v>
      </c>
      <c r="H163" s="3">
        <v>543.44000000000005</v>
      </c>
      <c r="I163" s="3">
        <v>543.44000000000005</v>
      </c>
      <c r="J163" s="3">
        <v>543.44000000000005</v>
      </c>
      <c r="K163" s="3">
        <v>543.44000000000005</v>
      </c>
      <c r="L163" s="3">
        <v>543.44000000000005</v>
      </c>
      <c r="M163" s="3">
        <v>400</v>
      </c>
      <c r="N163" s="3">
        <v>400</v>
      </c>
      <c r="O163" s="3">
        <v>400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</row>
    <row r="164" spans="1:21" x14ac:dyDescent="0.2">
      <c r="A164" t="s">
        <v>832</v>
      </c>
      <c r="B164">
        <v>500</v>
      </c>
      <c r="C164">
        <v>1</v>
      </c>
      <c r="D164" t="s">
        <v>219</v>
      </c>
      <c r="E164" s="3">
        <v>571.59</v>
      </c>
      <c r="F164" s="3">
        <v>571.59</v>
      </c>
      <c r="G164" s="3">
        <v>183.54</v>
      </c>
      <c r="H164" s="3">
        <v>183.54</v>
      </c>
      <c r="I164" s="3">
        <v>183.54</v>
      </c>
      <c r="J164" s="3">
        <v>183.54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</row>
    <row r="165" spans="1:21" x14ac:dyDescent="0.2">
      <c r="A165" t="s">
        <v>832</v>
      </c>
      <c r="B165">
        <v>505</v>
      </c>
      <c r="C165">
        <v>1</v>
      </c>
      <c r="D165" t="s">
        <v>220</v>
      </c>
      <c r="E165" s="3">
        <v>551.96</v>
      </c>
      <c r="F165" s="3">
        <v>551.96</v>
      </c>
      <c r="G165" s="3">
        <v>900</v>
      </c>
      <c r="H165" s="3">
        <v>900</v>
      </c>
      <c r="I165" s="3">
        <v>900</v>
      </c>
      <c r="J165" s="3">
        <v>900</v>
      </c>
      <c r="K165" s="3">
        <v>900</v>
      </c>
      <c r="L165" s="3">
        <v>900</v>
      </c>
      <c r="M165" s="3">
        <v>900</v>
      </c>
      <c r="N165" s="3">
        <v>900</v>
      </c>
      <c r="O165" s="3">
        <v>900</v>
      </c>
      <c r="P165" s="3">
        <v>900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</row>
    <row r="166" spans="1:21" x14ac:dyDescent="0.2">
      <c r="A166" t="s">
        <v>832</v>
      </c>
      <c r="B166">
        <v>507</v>
      </c>
      <c r="C166">
        <v>1</v>
      </c>
      <c r="D166" t="s">
        <v>221</v>
      </c>
      <c r="E166" s="3">
        <v>991</v>
      </c>
      <c r="F166" s="3">
        <v>991</v>
      </c>
      <c r="G166" s="3">
        <v>577.80999999999995</v>
      </c>
      <c r="H166" s="3">
        <v>577.80999999999995</v>
      </c>
      <c r="I166" s="3">
        <v>577.80999999999995</v>
      </c>
      <c r="J166" s="3">
        <v>577.80999999999995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</row>
    <row r="167" spans="1:21" x14ac:dyDescent="0.2">
      <c r="A167" t="s">
        <v>832</v>
      </c>
      <c r="B167">
        <v>508</v>
      </c>
      <c r="C167">
        <v>1</v>
      </c>
      <c r="D167" t="s">
        <v>222</v>
      </c>
      <c r="E167" s="3">
        <v>369.01</v>
      </c>
      <c r="F167" s="3">
        <v>495.63</v>
      </c>
      <c r="G167" s="3">
        <v>81.94</v>
      </c>
      <c r="H167" s="3">
        <v>81.94</v>
      </c>
      <c r="I167" s="3">
        <v>81.94</v>
      </c>
      <c r="J167" s="3">
        <v>81.94</v>
      </c>
      <c r="K167" s="3">
        <v>81.94</v>
      </c>
      <c r="L167" s="3">
        <v>81.94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</row>
    <row r="168" spans="1:21" x14ac:dyDescent="0.2">
      <c r="A168" t="s">
        <v>832</v>
      </c>
      <c r="B168">
        <v>511</v>
      </c>
      <c r="C168">
        <v>1</v>
      </c>
      <c r="D168" t="s">
        <v>223</v>
      </c>
      <c r="E168" s="3">
        <v>218.29</v>
      </c>
      <c r="F168" s="3">
        <v>218.29</v>
      </c>
      <c r="G168" s="3">
        <v>450</v>
      </c>
      <c r="H168" s="3">
        <v>450</v>
      </c>
      <c r="I168" s="3">
        <v>450</v>
      </c>
      <c r="J168" s="3">
        <v>450</v>
      </c>
      <c r="K168" s="3">
        <v>450</v>
      </c>
      <c r="L168" s="3">
        <v>450</v>
      </c>
      <c r="M168" s="3">
        <v>450</v>
      </c>
      <c r="N168" s="3">
        <v>450</v>
      </c>
      <c r="O168" s="3">
        <v>450</v>
      </c>
      <c r="P168" s="3">
        <v>450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</row>
    <row r="169" spans="1:21" x14ac:dyDescent="0.2">
      <c r="A169" t="s">
        <v>832</v>
      </c>
      <c r="B169">
        <v>513</v>
      </c>
      <c r="C169">
        <v>1</v>
      </c>
      <c r="D169" t="s">
        <v>224</v>
      </c>
      <c r="E169" s="3">
        <v>597.33000000000004</v>
      </c>
      <c r="F169" s="3">
        <v>597.33000000000004</v>
      </c>
      <c r="G169" s="3">
        <v>857.19</v>
      </c>
      <c r="H169" s="3">
        <v>857.19</v>
      </c>
      <c r="I169" s="3">
        <v>857.19</v>
      </c>
      <c r="J169" s="3">
        <v>857.19</v>
      </c>
      <c r="K169" s="3">
        <v>620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</row>
    <row r="170" spans="1:21" x14ac:dyDescent="0.2">
      <c r="A170" t="s">
        <v>832</v>
      </c>
      <c r="B170">
        <v>514</v>
      </c>
      <c r="C170">
        <v>1</v>
      </c>
      <c r="D170" t="s">
        <v>225</v>
      </c>
      <c r="E170" s="3">
        <v>750.26</v>
      </c>
      <c r="F170" s="3">
        <v>864.48</v>
      </c>
      <c r="G170" s="3">
        <v>473.1</v>
      </c>
      <c r="H170" s="3">
        <v>473.1</v>
      </c>
      <c r="I170" s="3">
        <v>473.1</v>
      </c>
      <c r="J170" s="3">
        <v>473.1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</row>
    <row r="171" spans="1:21" x14ac:dyDescent="0.2">
      <c r="A171" t="s">
        <v>832</v>
      </c>
      <c r="B171">
        <v>516</v>
      </c>
      <c r="C171">
        <v>1</v>
      </c>
      <c r="D171" t="s">
        <v>226</v>
      </c>
      <c r="E171" s="3">
        <v>879.6</v>
      </c>
      <c r="F171" s="3">
        <v>879.6</v>
      </c>
      <c r="G171" s="3">
        <v>882.98</v>
      </c>
      <c r="H171" s="3">
        <v>882.98</v>
      </c>
      <c r="I171" s="3">
        <v>882.98</v>
      </c>
      <c r="J171" s="3">
        <v>882.98</v>
      </c>
      <c r="K171" s="3">
        <v>320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</row>
    <row r="172" spans="1:21" x14ac:dyDescent="0.2">
      <c r="A172" t="s">
        <v>832</v>
      </c>
      <c r="B172">
        <v>518</v>
      </c>
      <c r="C172">
        <v>1</v>
      </c>
      <c r="D172" t="s">
        <v>227</v>
      </c>
      <c r="E172" s="3">
        <v>210.29</v>
      </c>
      <c r="F172" s="3">
        <v>210.29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</row>
    <row r="173" spans="1:21" x14ac:dyDescent="0.2">
      <c r="A173" t="s">
        <v>832</v>
      </c>
      <c r="B173">
        <v>531</v>
      </c>
      <c r="C173">
        <v>1</v>
      </c>
      <c r="D173" t="s">
        <v>228</v>
      </c>
      <c r="E173" s="3">
        <v>290.7</v>
      </c>
      <c r="F173" s="3">
        <v>290.7</v>
      </c>
      <c r="G173" s="3">
        <v>126</v>
      </c>
      <c r="H173" s="3">
        <v>126</v>
      </c>
      <c r="I173" s="3">
        <v>126</v>
      </c>
      <c r="J173" s="3">
        <v>126</v>
      </c>
      <c r="K173" s="3">
        <v>126</v>
      </c>
      <c r="L173" s="3">
        <v>126</v>
      </c>
      <c r="M173" s="3">
        <v>126</v>
      </c>
      <c r="N173" s="3">
        <v>126</v>
      </c>
      <c r="O173" s="3">
        <v>126</v>
      </c>
      <c r="P173" s="3">
        <v>126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</row>
    <row r="174" spans="1:21" x14ac:dyDescent="0.2">
      <c r="A174" t="s">
        <v>832</v>
      </c>
      <c r="B174">
        <v>533</v>
      </c>
      <c r="C174">
        <v>1</v>
      </c>
      <c r="D174" t="s">
        <v>229</v>
      </c>
      <c r="E174" s="3">
        <v>0</v>
      </c>
      <c r="F174" s="3">
        <v>0</v>
      </c>
      <c r="G174" s="3">
        <v>126</v>
      </c>
      <c r="H174" s="3">
        <v>126</v>
      </c>
      <c r="I174" s="3">
        <v>126</v>
      </c>
      <c r="J174" s="3">
        <v>126</v>
      </c>
      <c r="K174" s="3">
        <v>126</v>
      </c>
      <c r="L174" s="3">
        <v>126</v>
      </c>
      <c r="M174" s="3">
        <v>126</v>
      </c>
      <c r="N174" s="3">
        <v>126</v>
      </c>
      <c r="O174" s="3">
        <v>126</v>
      </c>
      <c r="P174" s="3">
        <v>126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</row>
    <row r="175" spans="1:21" x14ac:dyDescent="0.2">
      <c r="A175" t="s">
        <v>832</v>
      </c>
      <c r="B175">
        <v>534</v>
      </c>
      <c r="C175">
        <v>1</v>
      </c>
      <c r="D175" t="s">
        <v>230</v>
      </c>
      <c r="E175" s="3">
        <v>350</v>
      </c>
      <c r="F175" s="3">
        <v>350</v>
      </c>
      <c r="G175" s="3">
        <v>200</v>
      </c>
      <c r="H175" s="3">
        <v>200</v>
      </c>
      <c r="I175" s="3">
        <v>200</v>
      </c>
      <c r="J175" s="3">
        <v>200</v>
      </c>
      <c r="K175" s="3">
        <v>200</v>
      </c>
      <c r="L175" s="3">
        <v>200</v>
      </c>
      <c r="M175" s="3">
        <v>200</v>
      </c>
      <c r="N175" s="3">
        <v>200</v>
      </c>
      <c r="O175" s="3">
        <v>200</v>
      </c>
      <c r="P175" s="3">
        <v>200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</row>
    <row r="176" spans="1:21" x14ac:dyDescent="0.2">
      <c r="A176" t="s">
        <v>832</v>
      </c>
      <c r="B176">
        <v>535</v>
      </c>
      <c r="C176">
        <v>1</v>
      </c>
      <c r="D176" t="s">
        <v>231</v>
      </c>
      <c r="E176" s="3">
        <v>490.55</v>
      </c>
      <c r="F176" s="3">
        <v>490.55</v>
      </c>
      <c r="G176" s="3">
        <v>438.16</v>
      </c>
      <c r="H176" s="3">
        <v>438.16</v>
      </c>
      <c r="I176" s="3">
        <v>438.16</v>
      </c>
      <c r="J176" s="3">
        <v>438.16</v>
      </c>
      <c r="K176" s="3">
        <v>438.16</v>
      </c>
      <c r="L176" s="3">
        <v>438.16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</row>
    <row r="177" spans="1:21" x14ac:dyDescent="0.2">
      <c r="A177" t="s">
        <v>832</v>
      </c>
      <c r="B177">
        <v>542</v>
      </c>
      <c r="C177">
        <v>1</v>
      </c>
      <c r="D177" t="s">
        <v>232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</row>
    <row r="178" spans="1:21" x14ac:dyDescent="0.2">
      <c r="A178" t="s">
        <v>832</v>
      </c>
      <c r="B178">
        <v>544</v>
      </c>
      <c r="C178">
        <v>1</v>
      </c>
      <c r="D178" t="s">
        <v>233</v>
      </c>
      <c r="E178" s="3">
        <v>415</v>
      </c>
      <c r="F178" s="3">
        <v>415</v>
      </c>
      <c r="G178" s="3">
        <v>416.72</v>
      </c>
      <c r="H178" s="3">
        <v>416.72</v>
      </c>
      <c r="I178" s="3">
        <v>416.72</v>
      </c>
      <c r="J178" s="3">
        <v>416.72</v>
      </c>
      <c r="K178" s="3">
        <v>416.72</v>
      </c>
      <c r="L178" s="3">
        <v>416.72</v>
      </c>
      <c r="M178" s="3">
        <v>416.72</v>
      </c>
      <c r="N178" s="3">
        <v>416.72</v>
      </c>
      <c r="O178" s="3">
        <v>415</v>
      </c>
      <c r="P178" s="3">
        <v>415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</row>
    <row r="179" spans="1:21" x14ac:dyDescent="0.2">
      <c r="A179" t="s">
        <v>832</v>
      </c>
      <c r="B179">
        <v>545</v>
      </c>
      <c r="C179">
        <v>1</v>
      </c>
      <c r="D179" t="s">
        <v>234</v>
      </c>
      <c r="E179" s="3">
        <v>415</v>
      </c>
      <c r="F179" s="3">
        <v>415</v>
      </c>
      <c r="G179" s="3">
        <v>402.43</v>
      </c>
      <c r="H179" s="3">
        <v>402.43</v>
      </c>
      <c r="I179" s="3">
        <v>402.43</v>
      </c>
      <c r="J179" s="3">
        <v>402.43</v>
      </c>
      <c r="K179" s="3">
        <v>402.43</v>
      </c>
      <c r="L179" s="3">
        <v>402.43</v>
      </c>
      <c r="M179" s="3">
        <v>402.43</v>
      </c>
      <c r="N179" s="3">
        <v>402.43</v>
      </c>
      <c r="O179" s="3">
        <v>400</v>
      </c>
      <c r="P179" s="3">
        <v>400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</row>
    <row r="180" spans="1:21" x14ac:dyDescent="0.2">
      <c r="A180" t="s">
        <v>832</v>
      </c>
      <c r="B180">
        <v>547</v>
      </c>
      <c r="C180">
        <v>1</v>
      </c>
      <c r="D180" t="s">
        <v>235</v>
      </c>
      <c r="E180" s="3">
        <v>320.89999999999998</v>
      </c>
      <c r="F180" s="3">
        <v>320.89999999999998</v>
      </c>
      <c r="G180" s="3">
        <v>400</v>
      </c>
      <c r="H180" s="3">
        <v>400</v>
      </c>
      <c r="I180" s="3">
        <v>400</v>
      </c>
      <c r="J180" s="3">
        <v>400</v>
      </c>
      <c r="K180" s="3">
        <v>400</v>
      </c>
      <c r="L180" s="3">
        <v>400</v>
      </c>
      <c r="M180" s="3">
        <v>400</v>
      </c>
      <c r="N180" s="3">
        <v>400</v>
      </c>
      <c r="O180" s="3">
        <v>400</v>
      </c>
      <c r="P180" s="3">
        <v>400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</row>
    <row r="181" spans="1:21" x14ac:dyDescent="0.2">
      <c r="A181" t="s">
        <v>832</v>
      </c>
      <c r="B181">
        <v>548</v>
      </c>
      <c r="C181">
        <v>1</v>
      </c>
      <c r="D181" t="s">
        <v>236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</row>
    <row r="182" spans="1:21" x14ac:dyDescent="0.2">
      <c r="A182" t="s">
        <v>832</v>
      </c>
      <c r="B182">
        <v>549</v>
      </c>
      <c r="C182">
        <v>1</v>
      </c>
      <c r="D182" t="s">
        <v>237</v>
      </c>
      <c r="E182" s="3">
        <v>0</v>
      </c>
      <c r="F182" s="3">
        <v>415</v>
      </c>
      <c r="G182" s="3">
        <v>25.73</v>
      </c>
      <c r="H182" s="3">
        <v>25.73</v>
      </c>
      <c r="I182" s="3">
        <v>25.73</v>
      </c>
      <c r="J182" s="3">
        <v>25.73</v>
      </c>
      <c r="K182" s="3">
        <v>25.73</v>
      </c>
      <c r="L182" s="3">
        <v>25.73</v>
      </c>
      <c r="M182" s="3">
        <v>25.73</v>
      </c>
      <c r="N182" s="3">
        <v>25.73</v>
      </c>
      <c r="O182" s="3">
        <v>25.73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</row>
    <row r="183" spans="1:21" x14ac:dyDescent="0.2">
      <c r="A183" t="s">
        <v>832</v>
      </c>
      <c r="B183">
        <v>550</v>
      </c>
      <c r="C183">
        <v>1</v>
      </c>
      <c r="D183" t="s">
        <v>238</v>
      </c>
      <c r="E183" s="3">
        <v>193.24</v>
      </c>
      <c r="F183" s="3">
        <v>193.24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</row>
    <row r="184" spans="1:21" x14ac:dyDescent="0.2">
      <c r="A184" t="s">
        <v>832</v>
      </c>
      <c r="B184">
        <v>553</v>
      </c>
      <c r="C184">
        <v>1</v>
      </c>
      <c r="D184" t="s">
        <v>239</v>
      </c>
      <c r="E184" s="3">
        <v>314.8</v>
      </c>
      <c r="F184" s="3">
        <v>314.8</v>
      </c>
      <c r="G184" s="3">
        <v>200</v>
      </c>
      <c r="H184" s="3">
        <v>200</v>
      </c>
      <c r="I184" s="3">
        <v>200</v>
      </c>
      <c r="J184" s="3">
        <v>200</v>
      </c>
      <c r="K184" s="3">
        <v>200</v>
      </c>
      <c r="L184" s="3">
        <v>200</v>
      </c>
      <c r="M184" s="3">
        <v>200</v>
      </c>
      <c r="N184" s="3">
        <v>200</v>
      </c>
      <c r="O184" s="3">
        <v>200</v>
      </c>
      <c r="P184" s="3">
        <v>200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</row>
    <row r="185" spans="1:21" x14ac:dyDescent="0.2">
      <c r="A185" t="s">
        <v>832</v>
      </c>
      <c r="B185">
        <v>561</v>
      </c>
      <c r="C185">
        <v>1</v>
      </c>
      <c r="D185" t="s">
        <v>240</v>
      </c>
      <c r="E185" s="3">
        <v>424.53</v>
      </c>
      <c r="F185" s="3">
        <v>424.53</v>
      </c>
      <c r="G185" s="3">
        <v>97.11</v>
      </c>
      <c r="H185" s="3">
        <v>97.11</v>
      </c>
      <c r="I185" s="3">
        <v>97.11</v>
      </c>
      <c r="J185" s="3">
        <v>97.11</v>
      </c>
      <c r="K185" s="3">
        <v>97.11</v>
      </c>
      <c r="L185" s="3">
        <v>97.11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</row>
    <row r="186" spans="1:21" x14ac:dyDescent="0.2">
      <c r="A186" t="s">
        <v>832</v>
      </c>
      <c r="B186">
        <v>564</v>
      </c>
      <c r="C186">
        <v>1</v>
      </c>
      <c r="D186" t="s">
        <v>241</v>
      </c>
      <c r="E186" s="3">
        <v>341.91</v>
      </c>
      <c r="F186" s="3">
        <v>341.91</v>
      </c>
      <c r="G186" s="3">
        <v>126</v>
      </c>
      <c r="H186" s="3">
        <v>126</v>
      </c>
      <c r="I186" s="3">
        <v>126</v>
      </c>
      <c r="J186" s="3">
        <v>126</v>
      </c>
      <c r="K186" s="3">
        <v>126</v>
      </c>
      <c r="L186" s="3">
        <v>126</v>
      </c>
      <c r="M186" s="3">
        <v>126</v>
      </c>
      <c r="N186" s="3">
        <v>126</v>
      </c>
      <c r="O186" s="3">
        <v>126</v>
      </c>
      <c r="P186" s="3">
        <v>126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</row>
    <row r="187" spans="1:21" x14ac:dyDescent="0.2">
      <c r="A187" t="s">
        <v>832</v>
      </c>
      <c r="B187">
        <v>577</v>
      </c>
      <c r="C187">
        <v>1</v>
      </c>
      <c r="D187" t="s">
        <v>242</v>
      </c>
      <c r="E187" s="3">
        <v>316.75</v>
      </c>
      <c r="F187" s="3">
        <v>317</v>
      </c>
      <c r="G187" s="3">
        <v>126</v>
      </c>
      <c r="H187" s="3">
        <v>126</v>
      </c>
      <c r="I187" s="3">
        <v>126</v>
      </c>
      <c r="J187" s="3">
        <v>126</v>
      </c>
      <c r="K187" s="3">
        <v>126</v>
      </c>
      <c r="L187" s="3">
        <v>126</v>
      </c>
      <c r="M187" s="3">
        <v>126</v>
      </c>
      <c r="N187" s="3">
        <v>126</v>
      </c>
      <c r="O187" s="3">
        <v>126</v>
      </c>
      <c r="P187" s="3">
        <v>126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</row>
    <row r="188" spans="1:21" x14ac:dyDescent="0.2">
      <c r="A188" t="s">
        <v>832</v>
      </c>
      <c r="B188">
        <v>578</v>
      </c>
      <c r="C188">
        <v>1</v>
      </c>
      <c r="D188" t="s">
        <v>243</v>
      </c>
      <c r="E188" s="3">
        <v>0</v>
      </c>
      <c r="F188" s="3">
        <v>415</v>
      </c>
      <c r="G188" s="3">
        <v>835.81</v>
      </c>
      <c r="H188" s="3">
        <v>835.81</v>
      </c>
      <c r="I188" s="3">
        <v>835.81</v>
      </c>
      <c r="J188" s="3">
        <v>835.81</v>
      </c>
      <c r="K188" s="3">
        <v>835.81</v>
      </c>
      <c r="L188" s="3">
        <v>835.81</v>
      </c>
      <c r="M188" s="3">
        <v>835.81</v>
      </c>
      <c r="N188" s="3">
        <v>835.81</v>
      </c>
      <c r="O188" s="3">
        <v>835.81</v>
      </c>
      <c r="P188" s="3">
        <v>823.77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</row>
    <row r="189" spans="1:21" x14ac:dyDescent="0.2">
      <c r="A189" t="s">
        <v>832</v>
      </c>
      <c r="B189">
        <v>581</v>
      </c>
      <c r="C189">
        <v>1</v>
      </c>
      <c r="D189" t="s">
        <v>244</v>
      </c>
      <c r="E189" s="3">
        <v>306.45999999999998</v>
      </c>
      <c r="F189" s="3">
        <v>993.21</v>
      </c>
      <c r="G189" s="3">
        <v>612.92999999999995</v>
      </c>
      <c r="H189" s="3">
        <v>612.92999999999995</v>
      </c>
      <c r="I189" s="3">
        <v>612.92999999999995</v>
      </c>
      <c r="J189" s="3">
        <v>612.92999999999995</v>
      </c>
      <c r="K189" s="3">
        <v>612.92999999999995</v>
      </c>
      <c r="L189" s="3">
        <v>612.92999999999995</v>
      </c>
      <c r="M189" s="3">
        <v>612.92999999999995</v>
      </c>
      <c r="N189" s="3">
        <v>612.92999999999995</v>
      </c>
      <c r="O189" s="3">
        <v>612.92999999999995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</row>
    <row r="190" spans="1:21" x14ac:dyDescent="0.2">
      <c r="A190" t="s">
        <v>832</v>
      </c>
      <c r="B190">
        <v>584</v>
      </c>
      <c r="C190">
        <v>1</v>
      </c>
      <c r="D190" t="s">
        <v>245</v>
      </c>
      <c r="E190" s="3">
        <v>132.30000000000001</v>
      </c>
      <c r="F190" s="3">
        <v>532.29999999999995</v>
      </c>
      <c r="G190" s="3">
        <v>209.33</v>
      </c>
      <c r="H190" s="3">
        <v>209.33</v>
      </c>
      <c r="I190" s="3">
        <v>209.33</v>
      </c>
      <c r="J190" s="3">
        <v>209.33</v>
      </c>
      <c r="K190" s="3">
        <v>209.33</v>
      </c>
      <c r="L190" s="3">
        <v>209.33</v>
      </c>
      <c r="M190" s="3">
        <v>209.33</v>
      </c>
      <c r="N190" s="3">
        <v>209.33</v>
      </c>
      <c r="O190" s="3">
        <v>209.33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</row>
    <row r="191" spans="1:21" x14ac:dyDescent="0.2">
      <c r="A191" t="s">
        <v>832</v>
      </c>
      <c r="B191">
        <v>592</v>
      </c>
      <c r="C191">
        <v>1</v>
      </c>
      <c r="D191" t="s">
        <v>246</v>
      </c>
      <c r="E191" s="3">
        <v>1309.49</v>
      </c>
      <c r="F191" s="3">
        <v>1309.49</v>
      </c>
      <c r="G191" s="3">
        <v>968.62</v>
      </c>
      <c r="H191" s="3">
        <v>968.62</v>
      </c>
      <c r="I191" s="3">
        <v>968.62</v>
      </c>
      <c r="J191" s="3">
        <v>968.62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</row>
    <row r="192" spans="1:21" x14ac:dyDescent="0.2">
      <c r="A192" t="s">
        <v>832</v>
      </c>
      <c r="B192">
        <v>593</v>
      </c>
      <c r="C192">
        <v>1</v>
      </c>
      <c r="D192" t="s">
        <v>247</v>
      </c>
      <c r="E192" s="3">
        <v>0</v>
      </c>
      <c r="F192" s="3">
        <v>0</v>
      </c>
      <c r="G192" s="3">
        <v>350</v>
      </c>
      <c r="H192" s="3">
        <v>350</v>
      </c>
      <c r="I192" s="3">
        <v>350</v>
      </c>
      <c r="J192" s="3">
        <v>350</v>
      </c>
      <c r="K192" s="3">
        <v>350</v>
      </c>
      <c r="L192" s="3">
        <v>350</v>
      </c>
      <c r="M192" s="3">
        <v>350</v>
      </c>
      <c r="N192" s="3">
        <v>350</v>
      </c>
      <c r="O192" s="3">
        <v>350</v>
      </c>
      <c r="P192" s="3">
        <v>350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</row>
    <row r="193" spans="1:21" x14ac:dyDescent="0.2">
      <c r="A193" t="s">
        <v>832</v>
      </c>
      <c r="B193">
        <v>595</v>
      </c>
      <c r="C193">
        <v>1</v>
      </c>
      <c r="D193" t="s">
        <v>248</v>
      </c>
      <c r="E193" s="3">
        <v>0</v>
      </c>
      <c r="F193" s="3">
        <v>0</v>
      </c>
      <c r="G193" s="3">
        <v>126</v>
      </c>
      <c r="H193" s="3">
        <v>126</v>
      </c>
      <c r="I193" s="3">
        <v>126</v>
      </c>
      <c r="J193" s="3">
        <v>126</v>
      </c>
      <c r="K193" s="3">
        <v>126</v>
      </c>
      <c r="L193" s="3">
        <v>126</v>
      </c>
      <c r="M193" s="3">
        <v>126</v>
      </c>
      <c r="N193" s="3">
        <v>126</v>
      </c>
      <c r="O193" s="3">
        <v>126</v>
      </c>
      <c r="P193" s="3">
        <v>126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</row>
    <row r="194" spans="1:21" x14ac:dyDescent="0.2">
      <c r="A194" t="s">
        <v>832</v>
      </c>
      <c r="B194">
        <v>599</v>
      </c>
      <c r="C194">
        <v>1</v>
      </c>
      <c r="D194" t="s">
        <v>249</v>
      </c>
      <c r="E194" s="3">
        <v>0</v>
      </c>
      <c r="F194" s="3">
        <v>415</v>
      </c>
      <c r="G194" s="3">
        <v>1.2400000000000091</v>
      </c>
      <c r="H194" s="3">
        <v>1.2400000000000091</v>
      </c>
      <c r="I194" s="3">
        <v>1.2400000000000091</v>
      </c>
      <c r="J194" s="3">
        <v>1.2400000000000091</v>
      </c>
      <c r="K194" s="3">
        <v>1.2400000000000091</v>
      </c>
      <c r="L194" s="3">
        <v>1.2400000000000091</v>
      </c>
      <c r="M194" s="3">
        <v>1.2400000000000091</v>
      </c>
      <c r="N194" s="3">
        <v>1.2400000000000091</v>
      </c>
      <c r="O194" s="3">
        <v>1.2400000000000091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</row>
    <row r="195" spans="1:21" x14ac:dyDescent="0.2">
      <c r="A195" t="s">
        <v>832</v>
      </c>
      <c r="B195">
        <v>600</v>
      </c>
      <c r="C195">
        <v>1</v>
      </c>
      <c r="D195" t="s">
        <v>250</v>
      </c>
      <c r="E195" s="3">
        <v>965.5</v>
      </c>
      <c r="F195" s="3">
        <v>965.5</v>
      </c>
      <c r="G195" s="3">
        <v>672.66</v>
      </c>
      <c r="H195" s="3">
        <v>672.66</v>
      </c>
      <c r="I195" s="3">
        <v>672.66</v>
      </c>
      <c r="J195" s="3">
        <v>672.66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</row>
    <row r="196" spans="1:21" x14ac:dyDescent="0.2">
      <c r="A196" t="s">
        <v>832</v>
      </c>
      <c r="B196">
        <v>601</v>
      </c>
      <c r="C196">
        <v>1</v>
      </c>
      <c r="D196" t="s">
        <v>251</v>
      </c>
      <c r="E196" s="3">
        <v>159.97</v>
      </c>
      <c r="F196" s="3">
        <v>159.97</v>
      </c>
      <c r="G196" s="3">
        <v>126</v>
      </c>
      <c r="H196" s="3">
        <v>126</v>
      </c>
      <c r="I196" s="3">
        <v>126</v>
      </c>
      <c r="J196" s="3">
        <v>126</v>
      </c>
      <c r="K196" s="3">
        <v>126</v>
      </c>
      <c r="L196" s="3">
        <v>126</v>
      </c>
      <c r="M196" s="3">
        <v>126</v>
      </c>
      <c r="N196" s="3">
        <v>126</v>
      </c>
      <c r="O196" s="3">
        <v>126</v>
      </c>
      <c r="P196" s="3">
        <v>126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</row>
    <row r="197" spans="1:21" x14ac:dyDescent="0.2">
      <c r="A197" t="s">
        <v>832</v>
      </c>
      <c r="B197">
        <v>611</v>
      </c>
      <c r="C197">
        <v>1</v>
      </c>
      <c r="D197" t="s">
        <v>252</v>
      </c>
      <c r="E197" s="3">
        <v>737.27</v>
      </c>
      <c r="F197" s="3">
        <v>737.27</v>
      </c>
      <c r="G197" s="3">
        <v>451.21</v>
      </c>
      <c r="H197" s="3">
        <v>451.21</v>
      </c>
      <c r="I197" s="3">
        <v>446.12</v>
      </c>
      <c r="J197" s="3">
        <v>446.12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</row>
    <row r="198" spans="1:21" x14ac:dyDescent="0.2">
      <c r="A198" t="s">
        <v>832</v>
      </c>
      <c r="B198">
        <v>621</v>
      </c>
      <c r="C198">
        <v>1</v>
      </c>
      <c r="D198" t="s">
        <v>253</v>
      </c>
      <c r="E198" s="3">
        <v>726.73</v>
      </c>
      <c r="F198" s="3">
        <v>726.73</v>
      </c>
      <c r="G198" s="3">
        <v>316.08</v>
      </c>
      <c r="H198" s="3">
        <v>316.08</v>
      </c>
      <c r="I198" s="3">
        <v>316.08</v>
      </c>
      <c r="J198" s="3">
        <v>316.08</v>
      </c>
      <c r="K198" s="3">
        <v>316.08</v>
      </c>
      <c r="L198" s="3">
        <v>316.08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</row>
    <row r="199" spans="1:21" x14ac:dyDescent="0.2">
      <c r="A199" t="s">
        <v>832</v>
      </c>
      <c r="B199">
        <v>622</v>
      </c>
      <c r="C199">
        <v>1</v>
      </c>
      <c r="D199" t="s">
        <v>254</v>
      </c>
      <c r="E199" s="3">
        <v>497.17</v>
      </c>
      <c r="F199" s="3">
        <v>780.73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</row>
    <row r="200" spans="1:21" x14ac:dyDescent="0.2">
      <c r="A200" t="s">
        <v>832</v>
      </c>
      <c r="B200">
        <v>623</v>
      </c>
      <c r="C200">
        <v>1</v>
      </c>
      <c r="D200" t="s">
        <v>255</v>
      </c>
      <c r="E200" s="3">
        <v>1357.49</v>
      </c>
      <c r="F200" s="3">
        <v>1357.49</v>
      </c>
      <c r="G200" s="3">
        <v>948.23</v>
      </c>
      <c r="H200" s="3">
        <v>948.23</v>
      </c>
      <c r="I200" s="3">
        <v>948.23</v>
      </c>
      <c r="J200" s="3">
        <v>948.23</v>
      </c>
      <c r="K200" s="3">
        <v>948.23</v>
      </c>
      <c r="L200" s="3">
        <v>948.23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</row>
    <row r="201" spans="1:21" x14ac:dyDescent="0.2">
      <c r="A201" t="s">
        <v>832</v>
      </c>
      <c r="B201">
        <v>624</v>
      </c>
      <c r="C201">
        <v>1</v>
      </c>
      <c r="D201" t="s">
        <v>256</v>
      </c>
      <c r="E201" s="3">
        <v>658.97</v>
      </c>
      <c r="F201" s="3">
        <v>658.97</v>
      </c>
      <c r="G201" s="3">
        <v>498.8</v>
      </c>
      <c r="H201" s="3">
        <v>498.8</v>
      </c>
      <c r="I201" s="3">
        <v>498.8</v>
      </c>
      <c r="J201" s="3">
        <v>498.8</v>
      </c>
      <c r="K201" s="3">
        <v>498.8</v>
      </c>
      <c r="L201" s="3">
        <v>498.8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</row>
    <row r="202" spans="1:21" x14ac:dyDescent="0.2">
      <c r="A202" t="s">
        <v>832</v>
      </c>
      <c r="B202">
        <v>625</v>
      </c>
      <c r="C202">
        <v>1</v>
      </c>
      <c r="D202" t="s">
        <v>257</v>
      </c>
      <c r="E202" s="3">
        <v>0</v>
      </c>
      <c r="F202" s="3">
        <v>415</v>
      </c>
      <c r="G202" s="3">
        <v>2.5699999999999932</v>
      </c>
      <c r="H202" s="3">
        <v>2.5699999999999932</v>
      </c>
      <c r="I202" s="3">
        <v>2.5699999999999932</v>
      </c>
      <c r="J202" s="3">
        <v>2.5699999999999932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</row>
    <row r="203" spans="1:21" x14ac:dyDescent="0.2">
      <c r="A203" t="s">
        <v>832</v>
      </c>
      <c r="B203">
        <v>627</v>
      </c>
      <c r="C203">
        <v>1</v>
      </c>
      <c r="D203" t="s">
        <v>258</v>
      </c>
      <c r="E203" s="3">
        <v>1148.0899999999999</v>
      </c>
      <c r="F203" s="3">
        <v>1148.0899999999999</v>
      </c>
      <c r="G203" s="3">
        <v>770.42</v>
      </c>
      <c r="H203" s="3">
        <v>770.42</v>
      </c>
      <c r="I203" s="3">
        <v>770.42</v>
      </c>
      <c r="J203" s="3">
        <v>445.75</v>
      </c>
      <c r="K203" s="3">
        <v>130.75</v>
      </c>
      <c r="L203" s="3">
        <v>130.75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</row>
    <row r="204" spans="1:21" x14ac:dyDescent="0.2">
      <c r="A204" t="s">
        <v>832</v>
      </c>
      <c r="B204">
        <v>628</v>
      </c>
      <c r="C204">
        <v>1</v>
      </c>
      <c r="D204" t="s">
        <v>259</v>
      </c>
      <c r="E204" s="3">
        <v>650</v>
      </c>
      <c r="F204" s="3">
        <v>650</v>
      </c>
      <c r="G204" s="3">
        <v>804.97</v>
      </c>
      <c r="H204" s="3">
        <v>804.97</v>
      </c>
      <c r="I204" s="3">
        <v>804.97</v>
      </c>
      <c r="J204" s="3">
        <v>804.97</v>
      </c>
      <c r="K204" s="3">
        <v>804.97</v>
      </c>
      <c r="L204" s="3">
        <v>804.97</v>
      </c>
      <c r="M204" s="3">
        <v>473.7</v>
      </c>
      <c r="N204" s="3">
        <v>473.7</v>
      </c>
      <c r="O204" s="3">
        <v>473.7</v>
      </c>
      <c r="P204" s="3">
        <v>473.7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</row>
    <row r="205" spans="1:21" x14ac:dyDescent="0.2">
      <c r="A205" t="s">
        <v>832</v>
      </c>
      <c r="B205">
        <v>630</v>
      </c>
      <c r="C205">
        <v>1</v>
      </c>
      <c r="D205" t="s">
        <v>260</v>
      </c>
      <c r="E205" s="3">
        <v>415</v>
      </c>
      <c r="F205" s="3">
        <v>415</v>
      </c>
      <c r="G205" s="3">
        <v>0.48000000000001819</v>
      </c>
      <c r="H205" s="3">
        <v>0.48000000000001819</v>
      </c>
      <c r="I205" s="3">
        <v>0.48000000000001819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</row>
    <row r="206" spans="1:21" x14ac:dyDescent="0.2">
      <c r="A206" t="s">
        <v>832</v>
      </c>
      <c r="B206">
        <v>635</v>
      </c>
      <c r="C206">
        <v>1</v>
      </c>
      <c r="D206" t="s">
        <v>261</v>
      </c>
      <c r="E206" s="3">
        <v>616.41</v>
      </c>
      <c r="F206" s="3">
        <v>616.41</v>
      </c>
      <c r="G206" s="3">
        <v>269.95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</row>
    <row r="207" spans="1:21" x14ac:dyDescent="0.2">
      <c r="A207" t="s">
        <v>832</v>
      </c>
      <c r="B207">
        <v>640</v>
      </c>
      <c r="C207">
        <v>1</v>
      </c>
      <c r="D207" t="s">
        <v>262</v>
      </c>
      <c r="E207" s="3">
        <v>163.58000000000001</v>
      </c>
      <c r="F207" s="3">
        <v>163.58000000000001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</row>
    <row r="208" spans="1:21" x14ac:dyDescent="0.2">
      <c r="A208" t="s">
        <v>832</v>
      </c>
      <c r="B208">
        <v>656</v>
      </c>
      <c r="C208">
        <v>1</v>
      </c>
      <c r="D208" t="s">
        <v>263</v>
      </c>
      <c r="E208" s="3">
        <v>442</v>
      </c>
      <c r="F208" s="3">
        <v>442</v>
      </c>
      <c r="G208" s="3">
        <v>28.42</v>
      </c>
      <c r="H208" s="3">
        <v>28.42</v>
      </c>
      <c r="I208" s="3">
        <v>28.42</v>
      </c>
      <c r="J208" s="3">
        <v>28.42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</row>
    <row r="209" spans="1:21" x14ac:dyDescent="0.2">
      <c r="A209" t="s">
        <v>832</v>
      </c>
      <c r="B209">
        <v>659</v>
      </c>
      <c r="C209">
        <v>1</v>
      </c>
      <c r="D209" t="s">
        <v>264</v>
      </c>
      <c r="E209" s="3">
        <v>500</v>
      </c>
      <c r="F209" s="3">
        <v>500</v>
      </c>
      <c r="G209" s="3">
        <v>87.4</v>
      </c>
      <c r="H209" s="3">
        <v>87.4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</row>
    <row r="210" spans="1:21" x14ac:dyDescent="0.2">
      <c r="A210" t="s">
        <v>832</v>
      </c>
      <c r="B210">
        <v>671</v>
      </c>
      <c r="C210">
        <v>1</v>
      </c>
      <c r="D210" t="s">
        <v>265</v>
      </c>
      <c r="E210" s="3">
        <v>642.79</v>
      </c>
      <c r="F210" s="3">
        <v>642.79</v>
      </c>
      <c r="G210" s="3">
        <v>229.65</v>
      </c>
      <c r="H210" s="3">
        <v>229.65</v>
      </c>
      <c r="I210" s="3">
        <v>229.65</v>
      </c>
      <c r="J210" s="3">
        <v>229.65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</row>
    <row r="211" spans="1:21" x14ac:dyDescent="0.2">
      <c r="A211" t="s">
        <v>832</v>
      </c>
      <c r="B211">
        <v>676</v>
      </c>
      <c r="C211">
        <v>1</v>
      </c>
      <c r="D211" t="s">
        <v>266</v>
      </c>
      <c r="E211" s="3">
        <v>1561.8</v>
      </c>
      <c r="F211" s="3">
        <v>1561.8</v>
      </c>
      <c r="G211" s="3">
        <v>1183.8599999999999</v>
      </c>
      <c r="H211" s="3">
        <v>1183.8599999999999</v>
      </c>
      <c r="I211" s="3">
        <v>1183.8599999999999</v>
      </c>
      <c r="J211" s="3">
        <v>310.24</v>
      </c>
      <c r="K211" s="3">
        <v>310.24</v>
      </c>
      <c r="L211" s="3">
        <v>310.24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</row>
    <row r="212" spans="1:21" x14ac:dyDescent="0.2">
      <c r="A212" t="s">
        <v>832</v>
      </c>
      <c r="B212">
        <v>682</v>
      </c>
      <c r="C212">
        <v>1</v>
      </c>
      <c r="D212" t="s">
        <v>267</v>
      </c>
      <c r="E212" s="3">
        <v>315</v>
      </c>
      <c r="F212" s="3">
        <v>315</v>
      </c>
      <c r="G212" s="3">
        <v>126</v>
      </c>
      <c r="H212" s="3">
        <v>126</v>
      </c>
      <c r="I212" s="3">
        <v>126</v>
      </c>
      <c r="J212" s="3">
        <v>126</v>
      </c>
      <c r="K212" s="3">
        <v>126</v>
      </c>
      <c r="L212" s="3">
        <v>126</v>
      </c>
      <c r="M212" s="3">
        <v>126</v>
      </c>
      <c r="N212" s="3">
        <v>126</v>
      </c>
      <c r="O212" s="3">
        <v>126</v>
      </c>
      <c r="P212" s="3">
        <v>126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</row>
    <row r="213" spans="1:21" x14ac:dyDescent="0.2">
      <c r="A213" t="s">
        <v>832</v>
      </c>
      <c r="B213">
        <v>690</v>
      </c>
      <c r="C213">
        <v>1</v>
      </c>
      <c r="D213" t="s">
        <v>268</v>
      </c>
      <c r="E213" s="3">
        <v>315</v>
      </c>
      <c r="F213" s="3">
        <v>315</v>
      </c>
      <c r="G213" s="3">
        <v>126</v>
      </c>
      <c r="H213" s="3">
        <v>126</v>
      </c>
      <c r="I213" s="3">
        <v>126</v>
      </c>
      <c r="J213" s="3">
        <v>126</v>
      </c>
      <c r="K213" s="3">
        <v>126</v>
      </c>
      <c r="L213" s="3">
        <v>126</v>
      </c>
      <c r="M213" s="3">
        <v>126</v>
      </c>
      <c r="N213" s="3">
        <v>126</v>
      </c>
      <c r="O213" s="3">
        <v>126</v>
      </c>
      <c r="P213" s="3">
        <v>126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</row>
    <row r="214" spans="1:21" x14ac:dyDescent="0.2">
      <c r="A214" t="s">
        <v>832</v>
      </c>
      <c r="B214">
        <v>695</v>
      </c>
      <c r="C214">
        <v>1</v>
      </c>
      <c r="D214" t="s">
        <v>269</v>
      </c>
      <c r="E214" s="3">
        <v>373.09</v>
      </c>
      <c r="F214" s="3">
        <v>373.09</v>
      </c>
      <c r="G214" s="3">
        <v>181.58</v>
      </c>
      <c r="H214" s="3">
        <v>181.58</v>
      </c>
      <c r="I214" s="3">
        <v>181.58</v>
      </c>
      <c r="J214" s="3">
        <v>181.58</v>
      </c>
      <c r="K214" s="3">
        <v>181.58</v>
      </c>
      <c r="L214" s="3">
        <v>181.58</v>
      </c>
      <c r="M214" s="3">
        <v>158.41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</row>
    <row r="215" spans="1:21" x14ac:dyDescent="0.2">
      <c r="A215" t="s">
        <v>832</v>
      </c>
      <c r="B215">
        <v>696</v>
      </c>
      <c r="C215">
        <v>1</v>
      </c>
      <c r="D215" t="s">
        <v>270</v>
      </c>
      <c r="E215" s="3">
        <v>96.06</v>
      </c>
      <c r="F215" s="3">
        <v>411.99</v>
      </c>
      <c r="G215" s="3">
        <v>201.23</v>
      </c>
      <c r="H215" s="3">
        <v>201.23</v>
      </c>
      <c r="I215" s="3">
        <v>201.23</v>
      </c>
      <c r="J215" s="3">
        <v>201.23</v>
      </c>
      <c r="K215" s="3">
        <v>201.23</v>
      </c>
      <c r="L215" s="3">
        <v>201.23</v>
      </c>
      <c r="M215" s="3">
        <v>201.23</v>
      </c>
      <c r="N215" s="3">
        <v>201.23</v>
      </c>
      <c r="O215" s="3">
        <v>201.23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</row>
    <row r="216" spans="1:21" x14ac:dyDescent="0.2">
      <c r="A216" t="s">
        <v>832</v>
      </c>
      <c r="B216">
        <v>698</v>
      </c>
      <c r="C216">
        <v>1</v>
      </c>
      <c r="D216" t="s">
        <v>271</v>
      </c>
      <c r="E216" s="3">
        <v>315</v>
      </c>
      <c r="F216" s="3">
        <v>315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</row>
    <row r="217" spans="1:21" x14ac:dyDescent="0.2">
      <c r="A217" t="s">
        <v>832</v>
      </c>
      <c r="B217">
        <v>700</v>
      </c>
      <c r="C217">
        <v>1</v>
      </c>
      <c r="D217" t="s">
        <v>272</v>
      </c>
      <c r="E217" s="3">
        <v>315</v>
      </c>
      <c r="F217" s="3">
        <v>315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</row>
    <row r="218" spans="1:21" x14ac:dyDescent="0.2">
      <c r="A218" t="s">
        <v>832</v>
      </c>
      <c r="B218">
        <v>701</v>
      </c>
      <c r="C218">
        <v>1</v>
      </c>
      <c r="D218" t="s">
        <v>273</v>
      </c>
      <c r="E218" s="3">
        <v>357.61</v>
      </c>
      <c r="F218" s="3">
        <v>357.61</v>
      </c>
      <c r="G218" s="3">
        <v>43.58</v>
      </c>
      <c r="H218" s="3">
        <v>43.58</v>
      </c>
      <c r="I218" s="3">
        <v>43.58</v>
      </c>
      <c r="J218" s="3">
        <v>43.58</v>
      </c>
      <c r="K218" s="3">
        <v>43.58</v>
      </c>
      <c r="L218" s="3">
        <v>43.58</v>
      </c>
      <c r="M218" s="3">
        <v>43.58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</row>
    <row r="219" spans="1:21" x14ac:dyDescent="0.2">
      <c r="A219" t="s">
        <v>832</v>
      </c>
      <c r="B219">
        <v>704</v>
      </c>
      <c r="C219">
        <v>1</v>
      </c>
      <c r="D219" t="s">
        <v>274</v>
      </c>
      <c r="E219" s="3">
        <v>350</v>
      </c>
      <c r="F219" s="3">
        <v>350</v>
      </c>
      <c r="G219" s="3">
        <v>1</v>
      </c>
      <c r="H219" s="3">
        <v>1</v>
      </c>
      <c r="I219" s="3">
        <v>1</v>
      </c>
      <c r="J219" s="3">
        <v>1</v>
      </c>
      <c r="K219" s="3">
        <v>1</v>
      </c>
      <c r="L219" s="3">
        <v>1</v>
      </c>
      <c r="M219" s="3">
        <v>1</v>
      </c>
      <c r="N219" s="3">
        <v>1</v>
      </c>
      <c r="O219" s="3">
        <v>1</v>
      </c>
      <c r="P219" s="3">
        <v>1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</row>
    <row r="220" spans="1:21" x14ac:dyDescent="0.2">
      <c r="A220" t="s">
        <v>832</v>
      </c>
      <c r="B220">
        <v>706</v>
      </c>
      <c r="C220">
        <v>1</v>
      </c>
      <c r="D220" t="s">
        <v>275</v>
      </c>
      <c r="E220" s="3">
        <v>358.36</v>
      </c>
      <c r="F220" s="3">
        <v>358.36</v>
      </c>
      <c r="G220" s="3">
        <v>59.73</v>
      </c>
      <c r="H220" s="3">
        <v>59.73</v>
      </c>
      <c r="I220" s="3">
        <v>59.73</v>
      </c>
      <c r="J220" s="3">
        <v>59.73</v>
      </c>
      <c r="K220" s="3">
        <v>59.73</v>
      </c>
      <c r="L220" s="3">
        <v>59.73</v>
      </c>
      <c r="M220" s="3">
        <v>59.73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</row>
    <row r="221" spans="1:21" x14ac:dyDescent="0.2">
      <c r="A221" t="s">
        <v>832</v>
      </c>
      <c r="B221">
        <v>707</v>
      </c>
      <c r="C221">
        <v>1</v>
      </c>
      <c r="D221" t="s">
        <v>276</v>
      </c>
      <c r="E221" s="3">
        <v>415</v>
      </c>
      <c r="F221" s="3">
        <v>415</v>
      </c>
      <c r="G221" s="3">
        <v>848.74</v>
      </c>
      <c r="H221" s="3">
        <v>848.74</v>
      </c>
      <c r="I221" s="3">
        <v>848.74</v>
      </c>
      <c r="J221" s="3">
        <v>848.74</v>
      </c>
      <c r="K221" s="3">
        <v>848.74</v>
      </c>
      <c r="L221" s="3">
        <v>848.74</v>
      </c>
      <c r="M221" s="3">
        <v>848.74</v>
      </c>
      <c r="N221" s="3">
        <v>636.88</v>
      </c>
      <c r="O221" s="3">
        <v>571.88</v>
      </c>
      <c r="P221" s="3">
        <v>571.88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</row>
    <row r="222" spans="1:21" x14ac:dyDescent="0.2">
      <c r="A222" t="s">
        <v>832</v>
      </c>
      <c r="B222">
        <v>709</v>
      </c>
      <c r="C222">
        <v>1</v>
      </c>
      <c r="D222" t="s">
        <v>277</v>
      </c>
      <c r="E222" s="3">
        <v>315</v>
      </c>
      <c r="F222" s="3">
        <v>315</v>
      </c>
      <c r="G222" s="3">
        <v>39.049999999999997</v>
      </c>
      <c r="H222" s="3">
        <v>39.049999999999997</v>
      </c>
      <c r="I222" s="3">
        <v>39.049999999999997</v>
      </c>
      <c r="J222" s="3">
        <v>39.049999999999997</v>
      </c>
      <c r="K222" s="3">
        <v>39.049999999999997</v>
      </c>
      <c r="L222" s="3">
        <v>39.049999999999997</v>
      </c>
      <c r="M222" s="3">
        <v>39.049999999999997</v>
      </c>
      <c r="N222" s="3">
        <v>39.049999999999997</v>
      </c>
      <c r="O222" s="3">
        <v>39.049999999999997</v>
      </c>
      <c r="P222" s="3">
        <v>39.049999999999997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</row>
    <row r="223" spans="1:21" x14ac:dyDescent="0.2">
      <c r="A223" t="s">
        <v>832</v>
      </c>
      <c r="B223">
        <v>712</v>
      </c>
      <c r="C223">
        <v>1</v>
      </c>
      <c r="D223" t="s">
        <v>278</v>
      </c>
      <c r="E223" s="3">
        <v>321.51</v>
      </c>
      <c r="F223" s="3">
        <v>321.51</v>
      </c>
      <c r="G223" s="3">
        <v>561.04</v>
      </c>
      <c r="H223" s="3">
        <v>561.04</v>
      </c>
      <c r="I223" s="3">
        <v>561.04</v>
      </c>
      <c r="J223" s="3">
        <v>561.04</v>
      </c>
      <c r="K223" s="3">
        <v>561.04</v>
      </c>
      <c r="L223" s="3">
        <v>561.04</v>
      </c>
      <c r="M223" s="3">
        <v>561.04</v>
      </c>
      <c r="N223" s="3">
        <v>561.04</v>
      </c>
      <c r="O223" s="3">
        <v>561.04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</row>
    <row r="224" spans="1:21" x14ac:dyDescent="0.2">
      <c r="A224" t="s">
        <v>832</v>
      </c>
      <c r="B224">
        <v>716</v>
      </c>
      <c r="C224">
        <v>1</v>
      </c>
      <c r="D224" t="s">
        <v>279</v>
      </c>
      <c r="E224" s="3">
        <v>342.9</v>
      </c>
      <c r="F224" s="3">
        <v>342.9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</row>
    <row r="225" spans="1:21" x14ac:dyDescent="0.2">
      <c r="A225" t="s">
        <v>832</v>
      </c>
      <c r="B225">
        <v>717</v>
      </c>
      <c r="C225">
        <v>1</v>
      </c>
      <c r="D225" t="s">
        <v>280</v>
      </c>
      <c r="E225" s="3">
        <v>276.07</v>
      </c>
      <c r="F225" s="3">
        <v>276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</row>
    <row r="226" spans="1:21" x14ac:dyDescent="0.2">
      <c r="A226" t="s">
        <v>832</v>
      </c>
      <c r="B226">
        <v>719</v>
      </c>
      <c r="C226">
        <v>1</v>
      </c>
      <c r="D226" t="s">
        <v>281</v>
      </c>
      <c r="E226" s="3">
        <v>698</v>
      </c>
      <c r="F226" s="3">
        <v>698</v>
      </c>
      <c r="G226" s="3">
        <v>283</v>
      </c>
      <c r="H226" s="3">
        <v>283</v>
      </c>
      <c r="I226" s="3">
        <v>283</v>
      </c>
      <c r="J226" s="3">
        <v>283</v>
      </c>
      <c r="K226" s="3">
        <v>283</v>
      </c>
      <c r="L226" s="3">
        <v>283</v>
      </c>
      <c r="M226" s="3">
        <v>283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</row>
    <row r="227" spans="1:21" x14ac:dyDescent="0.2">
      <c r="A227" t="s">
        <v>832</v>
      </c>
      <c r="B227">
        <v>720</v>
      </c>
      <c r="C227">
        <v>1</v>
      </c>
      <c r="D227" t="s">
        <v>282</v>
      </c>
      <c r="E227" s="3">
        <v>675</v>
      </c>
      <c r="F227" s="3">
        <v>675</v>
      </c>
      <c r="G227" s="3">
        <v>262.8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</row>
    <row r="228" spans="1:21" x14ac:dyDescent="0.2">
      <c r="A228" t="s">
        <v>832</v>
      </c>
      <c r="B228">
        <v>721</v>
      </c>
      <c r="C228">
        <v>1</v>
      </c>
      <c r="D228" t="s">
        <v>283</v>
      </c>
      <c r="E228" s="3">
        <v>315</v>
      </c>
      <c r="F228" s="3">
        <v>415</v>
      </c>
      <c r="G228" s="3">
        <v>1.62</v>
      </c>
      <c r="H228" s="3">
        <v>1.62</v>
      </c>
      <c r="I228" s="3">
        <v>1.62</v>
      </c>
      <c r="J228" s="3">
        <v>1.62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</row>
    <row r="229" spans="1:21" x14ac:dyDescent="0.2">
      <c r="A229" t="s">
        <v>832</v>
      </c>
      <c r="B229">
        <v>726</v>
      </c>
      <c r="C229">
        <v>1</v>
      </c>
      <c r="D229" t="s">
        <v>284</v>
      </c>
      <c r="E229" s="3">
        <v>990.28</v>
      </c>
      <c r="F229" s="3">
        <v>1076</v>
      </c>
      <c r="G229" s="3">
        <v>729.47</v>
      </c>
      <c r="H229" s="3">
        <v>729.47</v>
      </c>
      <c r="I229" s="3">
        <v>729.47</v>
      </c>
      <c r="J229" s="3">
        <v>729.47</v>
      </c>
      <c r="K229" s="3">
        <v>729.47</v>
      </c>
      <c r="L229" s="3">
        <v>729.47</v>
      </c>
      <c r="M229" s="3">
        <v>729.47</v>
      </c>
      <c r="N229" s="3">
        <v>729.47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</row>
    <row r="230" spans="1:21" x14ac:dyDescent="0.2">
      <c r="A230" t="s">
        <v>832</v>
      </c>
      <c r="B230">
        <v>727</v>
      </c>
      <c r="C230">
        <v>1</v>
      </c>
      <c r="D230" t="s">
        <v>285</v>
      </c>
      <c r="E230" s="3">
        <v>415</v>
      </c>
      <c r="F230" s="3">
        <v>415</v>
      </c>
      <c r="G230" s="3">
        <v>7.1800000000000068</v>
      </c>
      <c r="H230" s="3">
        <v>7.1800000000000068</v>
      </c>
      <c r="I230" s="3">
        <v>7.1800000000000068</v>
      </c>
      <c r="J230" s="3">
        <v>7.1800000000000068</v>
      </c>
      <c r="K230" s="3">
        <v>7.1800000000000068</v>
      </c>
      <c r="L230" s="3">
        <v>7.1800000000000068</v>
      </c>
      <c r="M230" s="3">
        <v>7.1800000000000068</v>
      </c>
      <c r="N230" s="3">
        <v>7.1800000000000068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</row>
    <row r="231" spans="1:21" x14ac:dyDescent="0.2">
      <c r="A231" t="s">
        <v>832</v>
      </c>
      <c r="B231">
        <v>728</v>
      </c>
      <c r="C231">
        <v>1</v>
      </c>
      <c r="D231" t="s">
        <v>286</v>
      </c>
      <c r="E231" s="3">
        <v>488.4</v>
      </c>
      <c r="F231" s="3">
        <v>683.4</v>
      </c>
      <c r="G231" s="3">
        <v>310.37</v>
      </c>
      <c r="H231" s="3">
        <v>310.37</v>
      </c>
      <c r="I231" s="3">
        <v>310.37</v>
      </c>
      <c r="J231" s="3">
        <v>310.37</v>
      </c>
      <c r="K231" s="3">
        <v>310.37</v>
      </c>
      <c r="L231" s="3">
        <v>310.37</v>
      </c>
      <c r="M231" s="3">
        <v>310.37</v>
      </c>
      <c r="N231" s="3">
        <v>195</v>
      </c>
      <c r="O231" s="3">
        <v>195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</row>
    <row r="232" spans="1:21" x14ac:dyDescent="0.2">
      <c r="A232" t="s">
        <v>832</v>
      </c>
      <c r="B232">
        <v>738</v>
      </c>
      <c r="C232">
        <v>1</v>
      </c>
      <c r="D232" t="s">
        <v>287</v>
      </c>
      <c r="E232" s="3">
        <v>365</v>
      </c>
      <c r="F232" s="3">
        <v>365</v>
      </c>
      <c r="G232" s="3">
        <v>300</v>
      </c>
      <c r="H232" s="3">
        <v>300</v>
      </c>
      <c r="I232" s="3">
        <v>300</v>
      </c>
      <c r="J232" s="3">
        <v>300</v>
      </c>
      <c r="K232" s="3">
        <v>300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</row>
    <row r="233" spans="1:21" x14ac:dyDescent="0.2">
      <c r="A233" t="s">
        <v>832</v>
      </c>
      <c r="B233">
        <v>739</v>
      </c>
      <c r="C233">
        <v>1</v>
      </c>
      <c r="D233" t="s">
        <v>288</v>
      </c>
      <c r="E233" s="3">
        <v>413.22</v>
      </c>
      <c r="F233" s="3">
        <v>413.22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</row>
    <row r="234" spans="1:21" x14ac:dyDescent="0.2">
      <c r="A234" t="s">
        <v>832</v>
      </c>
      <c r="B234">
        <v>740</v>
      </c>
      <c r="C234">
        <v>1</v>
      </c>
      <c r="D234" t="s">
        <v>289</v>
      </c>
      <c r="E234" s="3">
        <v>276.07</v>
      </c>
      <c r="F234" s="3">
        <v>276.07</v>
      </c>
      <c r="G234" s="3">
        <v>0</v>
      </c>
      <c r="H234" s="3">
        <v>444.44</v>
      </c>
      <c r="I234" s="3">
        <v>444.44</v>
      </c>
      <c r="J234" s="3">
        <v>444.44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</row>
    <row r="235" spans="1:21" x14ac:dyDescent="0.2">
      <c r="A235" t="s">
        <v>832</v>
      </c>
      <c r="B235">
        <v>741</v>
      </c>
      <c r="C235">
        <v>1</v>
      </c>
      <c r="D235" t="s">
        <v>290</v>
      </c>
      <c r="E235" s="3">
        <v>315</v>
      </c>
      <c r="F235" s="3">
        <v>315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</row>
    <row r="236" spans="1:21" x14ac:dyDescent="0.2">
      <c r="A236" t="s">
        <v>832</v>
      </c>
      <c r="B236">
        <v>742</v>
      </c>
      <c r="C236">
        <v>1</v>
      </c>
      <c r="D236" t="s">
        <v>291</v>
      </c>
      <c r="E236" s="3">
        <v>508.11</v>
      </c>
      <c r="F236" s="3">
        <v>508.11</v>
      </c>
      <c r="G236" s="3">
        <v>96.32</v>
      </c>
      <c r="H236" s="3">
        <v>96.32</v>
      </c>
      <c r="I236" s="3">
        <v>96.32</v>
      </c>
      <c r="J236" s="3">
        <v>96.32</v>
      </c>
      <c r="K236" s="3">
        <v>96.32</v>
      </c>
      <c r="L236" s="3">
        <v>96.32</v>
      </c>
      <c r="M236" s="3">
        <v>96.32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</row>
    <row r="237" spans="1:21" x14ac:dyDescent="0.2">
      <c r="A237" t="s">
        <v>832</v>
      </c>
      <c r="B237">
        <v>743</v>
      </c>
      <c r="C237">
        <v>1</v>
      </c>
      <c r="D237" t="s">
        <v>292</v>
      </c>
      <c r="E237" s="3">
        <v>214.47</v>
      </c>
      <c r="F237" s="3">
        <v>214.47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</row>
    <row r="238" spans="1:21" x14ac:dyDescent="0.2">
      <c r="A238" t="s">
        <v>832</v>
      </c>
      <c r="B238">
        <v>745</v>
      </c>
      <c r="C238">
        <v>1</v>
      </c>
      <c r="D238" t="s">
        <v>293</v>
      </c>
      <c r="E238" s="3">
        <v>345.87</v>
      </c>
      <c r="F238" s="3">
        <v>345.87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</row>
    <row r="239" spans="1:21" x14ac:dyDescent="0.2">
      <c r="A239" t="s">
        <v>832</v>
      </c>
      <c r="B239">
        <v>748</v>
      </c>
      <c r="C239">
        <v>1</v>
      </c>
      <c r="D239" t="s">
        <v>294</v>
      </c>
      <c r="E239" s="3">
        <v>318.13</v>
      </c>
      <c r="F239" s="3">
        <v>318.13</v>
      </c>
      <c r="G239" s="3">
        <v>300</v>
      </c>
      <c r="H239" s="3">
        <v>300</v>
      </c>
      <c r="I239" s="3">
        <v>300</v>
      </c>
      <c r="J239" s="3">
        <v>300</v>
      </c>
      <c r="K239" s="3">
        <v>300</v>
      </c>
      <c r="L239" s="3">
        <v>300</v>
      </c>
      <c r="M239" s="3">
        <v>300</v>
      </c>
      <c r="N239" s="3">
        <v>300</v>
      </c>
      <c r="O239" s="3">
        <v>300</v>
      </c>
      <c r="P239" s="3">
        <v>300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</row>
    <row r="240" spans="1:21" x14ac:dyDescent="0.2">
      <c r="A240" t="s">
        <v>832</v>
      </c>
      <c r="B240">
        <v>750</v>
      </c>
      <c r="C240">
        <v>1</v>
      </c>
      <c r="D240" t="s">
        <v>295</v>
      </c>
      <c r="E240" s="3">
        <v>350</v>
      </c>
      <c r="F240" s="3">
        <v>350</v>
      </c>
      <c r="G240" s="3">
        <v>126</v>
      </c>
      <c r="H240" s="3">
        <v>126</v>
      </c>
      <c r="I240" s="3">
        <v>126</v>
      </c>
      <c r="J240" s="3">
        <v>126</v>
      </c>
      <c r="K240" s="3">
        <v>126</v>
      </c>
      <c r="L240" s="3">
        <v>126</v>
      </c>
      <c r="M240" s="3">
        <v>126</v>
      </c>
      <c r="N240" s="3">
        <v>126</v>
      </c>
      <c r="O240" s="3">
        <v>126</v>
      </c>
      <c r="P240" s="3">
        <v>126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</row>
    <row r="241" spans="1:21" x14ac:dyDescent="0.2">
      <c r="A241" t="s">
        <v>832</v>
      </c>
      <c r="B241">
        <v>756</v>
      </c>
      <c r="C241">
        <v>1</v>
      </c>
      <c r="D241" t="s">
        <v>296</v>
      </c>
      <c r="E241" s="3">
        <v>350.71</v>
      </c>
      <c r="F241" s="3">
        <v>350.71</v>
      </c>
      <c r="G241" s="3">
        <v>350</v>
      </c>
      <c r="H241" s="3">
        <v>350</v>
      </c>
      <c r="I241" s="3">
        <v>350</v>
      </c>
      <c r="J241" s="3">
        <v>350</v>
      </c>
      <c r="K241" s="3">
        <v>350</v>
      </c>
      <c r="L241" s="3">
        <v>350</v>
      </c>
      <c r="M241" s="3">
        <v>350</v>
      </c>
      <c r="N241" s="3">
        <v>350</v>
      </c>
      <c r="O241" s="3">
        <v>350</v>
      </c>
      <c r="P241" s="3">
        <v>350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</row>
    <row r="242" spans="1:21" x14ac:dyDescent="0.2">
      <c r="A242" t="s">
        <v>832</v>
      </c>
      <c r="B242">
        <v>761</v>
      </c>
      <c r="C242">
        <v>1</v>
      </c>
      <c r="D242" t="s">
        <v>297</v>
      </c>
      <c r="E242" s="3">
        <v>413.61</v>
      </c>
      <c r="F242" s="3">
        <v>413.61</v>
      </c>
      <c r="G242" s="3">
        <v>0.46000000000000796</v>
      </c>
      <c r="H242" s="3">
        <v>0.46000000000000796</v>
      </c>
      <c r="I242" s="3">
        <v>0.46000000000000796</v>
      </c>
      <c r="J242" s="3">
        <v>0.46000000000000796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</row>
    <row r="243" spans="1:21" x14ac:dyDescent="0.2">
      <c r="A243" t="s">
        <v>832</v>
      </c>
      <c r="B243">
        <v>763</v>
      </c>
      <c r="C243">
        <v>1</v>
      </c>
      <c r="D243" t="s">
        <v>298</v>
      </c>
      <c r="E243" s="3">
        <v>638.09</v>
      </c>
      <c r="F243" s="3">
        <v>638.09</v>
      </c>
      <c r="G243" s="3">
        <v>224.94</v>
      </c>
      <c r="H243" s="3">
        <v>224.94</v>
      </c>
      <c r="I243" s="3">
        <v>224.94</v>
      </c>
      <c r="J243" s="3">
        <v>224.94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</row>
    <row r="244" spans="1:21" x14ac:dyDescent="0.2">
      <c r="A244" t="s">
        <v>832</v>
      </c>
      <c r="B244">
        <v>768</v>
      </c>
      <c r="C244">
        <v>1</v>
      </c>
      <c r="D244" t="s">
        <v>299</v>
      </c>
      <c r="E244" s="3">
        <v>439.7</v>
      </c>
      <c r="F244" s="3">
        <v>439.7</v>
      </c>
      <c r="G244" s="3">
        <v>44.52</v>
      </c>
      <c r="H244" s="3">
        <v>44.52</v>
      </c>
      <c r="I244" s="3">
        <v>44.52</v>
      </c>
      <c r="J244" s="3">
        <v>44.52</v>
      </c>
      <c r="K244" s="3">
        <v>44.52</v>
      </c>
      <c r="L244" s="3">
        <v>44.52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</row>
    <row r="245" spans="1:21" x14ac:dyDescent="0.2">
      <c r="A245" t="s">
        <v>832</v>
      </c>
      <c r="B245">
        <v>769</v>
      </c>
      <c r="C245">
        <v>1</v>
      </c>
      <c r="D245" t="s">
        <v>300</v>
      </c>
      <c r="E245" s="3">
        <v>315</v>
      </c>
      <c r="F245" s="3">
        <v>715</v>
      </c>
      <c r="G245" s="3">
        <v>301.5</v>
      </c>
      <c r="H245" s="3">
        <v>301.5</v>
      </c>
      <c r="I245" s="3">
        <v>301.5</v>
      </c>
      <c r="J245" s="3">
        <v>301.5</v>
      </c>
      <c r="K245" s="3">
        <v>301.5</v>
      </c>
      <c r="L245" s="3">
        <v>301.5</v>
      </c>
      <c r="M245" s="3">
        <v>301.5</v>
      </c>
      <c r="N245" s="3">
        <v>301.5</v>
      </c>
      <c r="O245" s="3">
        <v>301.5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</row>
    <row r="246" spans="1:21" x14ac:dyDescent="0.2">
      <c r="A246" t="s">
        <v>832</v>
      </c>
      <c r="B246">
        <v>771</v>
      </c>
      <c r="C246">
        <v>1</v>
      </c>
      <c r="D246" t="s">
        <v>301</v>
      </c>
      <c r="E246" s="3">
        <v>1033.3800000000001</v>
      </c>
      <c r="F246" s="3">
        <v>1033.3800000000001</v>
      </c>
      <c r="G246" s="3">
        <v>955.42</v>
      </c>
      <c r="H246" s="3">
        <v>955.42</v>
      </c>
      <c r="I246" s="3">
        <v>955.42</v>
      </c>
      <c r="J246" s="3">
        <v>955.42</v>
      </c>
      <c r="K246" s="3">
        <v>609.09</v>
      </c>
      <c r="L246" s="3">
        <v>289.08999999999997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</row>
    <row r="247" spans="1:21" x14ac:dyDescent="0.2">
      <c r="A247" t="s">
        <v>832</v>
      </c>
      <c r="B247">
        <v>775</v>
      </c>
      <c r="C247">
        <v>1</v>
      </c>
      <c r="D247" t="s">
        <v>302</v>
      </c>
      <c r="E247" s="3">
        <v>518.1</v>
      </c>
      <c r="F247" s="3">
        <v>518.1</v>
      </c>
      <c r="G247" s="3">
        <v>104.58</v>
      </c>
      <c r="H247" s="3">
        <v>104.58</v>
      </c>
      <c r="I247" s="3">
        <v>104.58</v>
      </c>
      <c r="J247" s="3">
        <v>104.58</v>
      </c>
      <c r="K247" s="3">
        <v>104.58</v>
      </c>
      <c r="L247" s="3">
        <v>104.58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</row>
    <row r="248" spans="1:21" x14ac:dyDescent="0.2">
      <c r="A248" t="s">
        <v>832</v>
      </c>
      <c r="B248">
        <v>777</v>
      </c>
      <c r="C248">
        <v>1</v>
      </c>
      <c r="D248" t="s">
        <v>303</v>
      </c>
      <c r="E248" s="3">
        <v>315</v>
      </c>
      <c r="F248" s="3">
        <v>315</v>
      </c>
      <c r="G248" s="3">
        <v>315</v>
      </c>
      <c r="H248" s="3">
        <v>315</v>
      </c>
      <c r="I248" s="3">
        <v>315</v>
      </c>
      <c r="J248" s="3">
        <v>315</v>
      </c>
      <c r="K248" s="3">
        <v>315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</row>
    <row r="249" spans="1:21" x14ac:dyDescent="0.2">
      <c r="A249" t="s">
        <v>832</v>
      </c>
      <c r="B249">
        <v>786</v>
      </c>
      <c r="C249">
        <v>1</v>
      </c>
      <c r="D249" t="s">
        <v>304</v>
      </c>
      <c r="E249" s="3">
        <v>315</v>
      </c>
      <c r="F249" s="3">
        <v>315</v>
      </c>
      <c r="G249" s="3">
        <v>126</v>
      </c>
      <c r="H249" s="3">
        <v>126</v>
      </c>
      <c r="I249" s="3">
        <v>126</v>
      </c>
      <c r="J249" s="3">
        <v>126</v>
      </c>
      <c r="K249" s="3">
        <v>126</v>
      </c>
      <c r="L249" s="3">
        <v>126</v>
      </c>
      <c r="M249" s="3">
        <v>126</v>
      </c>
      <c r="N249" s="3">
        <v>126</v>
      </c>
      <c r="O249" s="3">
        <v>126</v>
      </c>
      <c r="P249" s="3">
        <v>126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</row>
    <row r="250" spans="1:21" x14ac:dyDescent="0.2">
      <c r="A250" t="s">
        <v>832</v>
      </c>
      <c r="B250">
        <v>787</v>
      </c>
      <c r="C250">
        <v>1</v>
      </c>
      <c r="D250" t="s">
        <v>305</v>
      </c>
      <c r="E250" s="3">
        <v>415</v>
      </c>
      <c r="F250" s="3">
        <v>415</v>
      </c>
      <c r="G250" s="3">
        <v>126</v>
      </c>
      <c r="H250" s="3">
        <v>126</v>
      </c>
      <c r="I250" s="3">
        <v>126</v>
      </c>
      <c r="J250" s="3">
        <v>126</v>
      </c>
      <c r="K250" s="3">
        <v>126</v>
      </c>
      <c r="L250" s="3">
        <v>126</v>
      </c>
      <c r="M250" s="3">
        <v>126</v>
      </c>
      <c r="N250" s="3">
        <v>126</v>
      </c>
      <c r="O250" s="3">
        <v>126</v>
      </c>
      <c r="P250" s="3">
        <v>126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</row>
    <row r="251" spans="1:21" x14ac:dyDescent="0.2">
      <c r="A251" t="s">
        <v>832</v>
      </c>
      <c r="B251">
        <v>801</v>
      </c>
      <c r="C251">
        <v>1</v>
      </c>
      <c r="D251" t="s">
        <v>306</v>
      </c>
      <c r="E251" s="3">
        <v>1757.07</v>
      </c>
      <c r="F251" s="3">
        <v>1757.07</v>
      </c>
      <c r="G251" s="3">
        <v>1481.4</v>
      </c>
      <c r="H251" s="3">
        <v>1481.4</v>
      </c>
      <c r="I251" s="3">
        <v>1481.4</v>
      </c>
      <c r="J251" s="3">
        <v>1481.4</v>
      </c>
      <c r="K251" s="3">
        <v>1481.4</v>
      </c>
      <c r="L251" s="3">
        <v>1481.4</v>
      </c>
      <c r="M251" s="3">
        <v>1318.3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</row>
    <row r="252" spans="1:21" x14ac:dyDescent="0.2">
      <c r="A252" t="s">
        <v>832</v>
      </c>
      <c r="B252">
        <v>803</v>
      </c>
      <c r="C252">
        <v>1</v>
      </c>
      <c r="D252" t="s">
        <v>307</v>
      </c>
      <c r="E252" s="3">
        <v>657.1</v>
      </c>
      <c r="F252" s="3">
        <v>657.1</v>
      </c>
      <c r="G252" s="3">
        <v>244.34</v>
      </c>
      <c r="H252" s="3">
        <v>244.34</v>
      </c>
      <c r="I252" s="3">
        <v>244.34</v>
      </c>
      <c r="J252" s="3">
        <v>244.34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</row>
    <row r="253" spans="1:21" x14ac:dyDescent="0.2">
      <c r="A253" t="s">
        <v>832</v>
      </c>
      <c r="B253">
        <v>806</v>
      </c>
      <c r="C253">
        <v>1</v>
      </c>
      <c r="D253" t="s">
        <v>308</v>
      </c>
      <c r="E253" s="3">
        <v>350</v>
      </c>
      <c r="F253" s="3">
        <v>350</v>
      </c>
      <c r="G253" s="3">
        <v>350</v>
      </c>
      <c r="H253" s="3">
        <v>350</v>
      </c>
      <c r="I253" s="3">
        <v>350</v>
      </c>
      <c r="J253" s="3">
        <v>350</v>
      </c>
      <c r="K253" s="3">
        <v>350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</row>
    <row r="254" spans="1:21" x14ac:dyDescent="0.2">
      <c r="A254" t="s">
        <v>832</v>
      </c>
      <c r="B254">
        <v>810</v>
      </c>
      <c r="C254">
        <v>1</v>
      </c>
      <c r="D254" t="s">
        <v>309</v>
      </c>
      <c r="E254" s="3">
        <v>0</v>
      </c>
      <c r="F254" s="3">
        <v>0</v>
      </c>
      <c r="G254" s="3">
        <v>126</v>
      </c>
      <c r="H254" s="3">
        <v>126</v>
      </c>
      <c r="I254" s="3">
        <v>126</v>
      </c>
      <c r="J254" s="3">
        <v>126</v>
      </c>
      <c r="K254" s="3">
        <v>126</v>
      </c>
      <c r="L254" s="3">
        <v>126</v>
      </c>
      <c r="M254" s="3">
        <v>126</v>
      </c>
      <c r="N254" s="3">
        <v>126</v>
      </c>
      <c r="O254" s="3">
        <v>126</v>
      </c>
      <c r="P254" s="3">
        <v>126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</row>
    <row r="255" spans="1:21" x14ac:dyDescent="0.2">
      <c r="A255" t="s">
        <v>832</v>
      </c>
      <c r="B255">
        <v>811</v>
      </c>
      <c r="C255">
        <v>1</v>
      </c>
      <c r="D255" t="s">
        <v>310</v>
      </c>
      <c r="E255" s="3">
        <v>0</v>
      </c>
      <c r="F255" s="3">
        <v>415</v>
      </c>
      <c r="G255" s="3">
        <v>132.99</v>
      </c>
      <c r="H255" s="3">
        <v>132.99</v>
      </c>
      <c r="I255" s="3">
        <v>132.99</v>
      </c>
      <c r="J255" s="3">
        <v>132.99</v>
      </c>
      <c r="K255" s="3">
        <v>126</v>
      </c>
      <c r="L255" s="3">
        <v>126</v>
      </c>
      <c r="M255" s="3">
        <v>126</v>
      </c>
      <c r="N255" s="3">
        <v>126</v>
      </c>
      <c r="O255" s="3">
        <v>126</v>
      </c>
      <c r="P255" s="3">
        <v>126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</row>
    <row r="256" spans="1:21" x14ac:dyDescent="0.2">
      <c r="A256" t="s">
        <v>832</v>
      </c>
      <c r="B256">
        <v>813</v>
      </c>
      <c r="C256">
        <v>1</v>
      </c>
      <c r="D256" t="s">
        <v>311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</row>
    <row r="257" spans="1:21" x14ac:dyDescent="0.2">
      <c r="A257" t="s">
        <v>832</v>
      </c>
      <c r="B257">
        <v>815</v>
      </c>
      <c r="C257">
        <v>2</v>
      </c>
      <c r="D257" t="s">
        <v>312</v>
      </c>
      <c r="E257" s="3">
        <v>0</v>
      </c>
      <c r="F257" s="3">
        <v>0</v>
      </c>
      <c r="G257" s="3">
        <v>923.04</v>
      </c>
      <c r="H257" s="3">
        <v>923.04</v>
      </c>
      <c r="I257" s="3">
        <v>923.04</v>
      </c>
      <c r="J257" s="3">
        <v>923.04</v>
      </c>
      <c r="K257" s="3">
        <v>923.04</v>
      </c>
      <c r="L257" s="3">
        <v>923.04</v>
      </c>
      <c r="M257" s="3">
        <v>923.04</v>
      </c>
      <c r="N257" s="3">
        <v>923.04</v>
      </c>
      <c r="O257" s="3">
        <v>923.04</v>
      </c>
      <c r="P257" s="3">
        <v>923.04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</row>
    <row r="258" spans="1:21" x14ac:dyDescent="0.2">
      <c r="A258" t="s">
        <v>832</v>
      </c>
      <c r="B258">
        <v>818</v>
      </c>
      <c r="C258">
        <v>1</v>
      </c>
      <c r="D258" t="s">
        <v>313</v>
      </c>
      <c r="E258" s="3">
        <v>350</v>
      </c>
      <c r="F258" s="3">
        <v>350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</row>
    <row r="259" spans="1:21" x14ac:dyDescent="0.2">
      <c r="A259" t="s">
        <v>832</v>
      </c>
      <c r="B259">
        <v>820</v>
      </c>
      <c r="C259">
        <v>1</v>
      </c>
      <c r="D259" t="s">
        <v>314</v>
      </c>
      <c r="E259" s="3">
        <v>350</v>
      </c>
      <c r="F259" s="3">
        <v>350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</row>
    <row r="260" spans="1:21" x14ac:dyDescent="0.2">
      <c r="A260" t="s">
        <v>832</v>
      </c>
      <c r="B260">
        <v>821</v>
      </c>
      <c r="C260">
        <v>1</v>
      </c>
      <c r="D260" t="s">
        <v>315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</row>
    <row r="261" spans="1:21" x14ac:dyDescent="0.2">
      <c r="A261" t="s">
        <v>832</v>
      </c>
      <c r="B261">
        <v>829</v>
      </c>
      <c r="C261">
        <v>1</v>
      </c>
      <c r="D261" t="s">
        <v>316</v>
      </c>
      <c r="E261" s="3">
        <v>315</v>
      </c>
      <c r="F261" s="3">
        <v>315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</row>
    <row r="262" spans="1:21" x14ac:dyDescent="0.2">
      <c r="A262" t="s">
        <v>832</v>
      </c>
      <c r="B262">
        <v>831</v>
      </c>
      <c r="C262">
        <v>1</v>
      </c>
      <c r="D262" t="s">
        <v>317</v>
      </c>
      <c r="E262" s="3">
        <v>318.19</v>
      </c>
      <c r="F262" s="3">
        <v>318.19</v>
      </c>
      <c r="G262" s="3">
        <v>650</v>
      </c>
      <c r="H262" s="3">
        <v>650</v>
      </c>
      <c r="I262" s="3">
        <v>650</v>
      </c>
      <c r="J262" s="3">
        <v>650</v>
      </c>
      <c r="K262" s="3">
        <v>650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</row>
    <row r="263" spans="1:21" x14ac:dyDescent="0.2">
      <c r="A263" t="s">
        <v>832</v>
      </c>
      <c r="B263">
        <v>832</v>
      </c>
      <c r="C263">
        <v>1</v>
      </c>
      <c r="D263" t="s">
        <v>318</v>
      </c>
      <c r="E263" s="3">
        <v>763.28</v>
      </c>
      <c r="F263" s="3">
        <v>763.28</v>
      </c>
      <c r="G263" s="3">
        <v>588.47</v>
      </c>
      <c r="H263" s="3">
        <v>588.47</v>
      </c>
      <c r="I263" s="3">
        <v>588.47</v>
      </c>
      <c r="J263" s="3">
        <v>588.47</v>
      </c>
      <c r="K263" s="3">
        <v>588.47</v>
      </c>
      <c r="L263" s="3">
        <v>588.47</v>
      </c>
      <c r="M263" s="3">
        <v>397</v>
      </c>
      <c r="N263" s="3">
        <v>397</v>
      </c>
      <c r="O263" s="3">
        <v>397</v>
      </c>
      <c r="P263" s="3">
        <v>397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</row>
    <row r="264" spans="1:21" x14ac:dyDescent="0.2">
      <c r="A264" t="s">
        <v>832</v>
      </c>
      <c r="B264">
        <v>833</v>
      </c>
      <c r="C264">
        <v>1</v>
      </c>
      <c r="D264" t="s">
        <v>319</v>
      </c>
      <c r="E264" s="3">
        <v>738.97</v>
      </c>
      <c r="F264" s="3">
        <v>738.97</v>
      </c>
      <c r="G264" s="3">
        <v>703.99</v>
      </c>
      <c r="H264" s="3">
        <v>703.99</v>
      </c>
      <c r="I264" s="3">
        <v>703.99</v>
      </c>
      <c r="J264" s="3">
        <v>703.99</v>
      </c>
      <c r="K264" s="3">
        <v>703.99</v>
      </c>
      <c r="L264" s="3">
        <v>703.99</v>
      </c>
      <c r="M264" s="3">
        <v>378</v>
      </c>
      <c r="N264" s="3">
        <v>378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</row>
    <row r="265" spans="1:21" x14ac:dyDescent="0.2">
      <c r="A265" t="s">
        <v>832</v>
      </c>
      <c r="B265">
        <v>834</v>
      </c>
      <c r="C265">
        <v>1</v>
      </c>
      <c r="D265" t="s">
        <v>320</v>
      </c>
      <c r="E265" s="3">
        <v>623.57000000000005</v>
      </c>
      <c r="F265" s="3">
        <v>623.57000000000005</v>
      </c>
      <c r="G265" s="3">
        <v>212.89</v>
      </c>
      <c r="H265" s="3">
        <v>212.89</v>
      </c>
      <c r="I265" s="3">
        <v>212.89</v>
      </c>
      <c r="J265" s="3">
        <v>212.89</v>
      </c>
      <c r="K265" s="3">
        <v>212.89</v>
      </c>
      <c r="L265" s="3">
        <v>212.89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</row>
    <row r="266" spans="1:21" x14ac:dyDescent="0.2">
      <c r="A266" t="s">
        <v>832</v>
      </c>
      <c r="B266">
        <v>836</v>
      </c>
      <c r="C266">
        <v>1</v>
      </c>
      <c r="D266" t="s">
        <v>321</v>
      </c>
      <c r="E266" s="3">
        <v>991</v>
      </c>
      <c r="F266" s="3">
        <v>991</v>
      </c>
      <c r="G266" s="3">
        <v>821.58</v>
      </c>
      <c r="H266" s="3">
        <v>821.58</v>
      </c>
      <c r="I266" s="3">
        <v>821.58</v>
      </c>
      <c r="J266" s="3">
        <v>821.58</v>
      </c>
      <c r="K266" s="3">
        <v>821.58</v>
      </c>
      <c r="L266" s="3">
        <v>821.58</v>
      </c>
      <c r="M266" s="3">
        <v>218.74</v>
      </c>
      <c r="N266" s="3">
        <v>218.74</v>
      </c>
      <c r="O266" s="3">
        <v>218.74</v>
      </c>
      <c r="P266" s="3">
        <v>218.74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</row>
    <row r="267" spans="1:21" x14ac:dyDescent="0.2">
      <c r="A267" t="s">
        <v>832</v>
      </c>
      <c r="B267">
        <v>837</v>
      </c>
      <c r="C267">
        <v>1</v>
      </c>
      <c r="D267" t="s">
        <v>322</v>
      </c>
      <c r="E267" s="3">
        <v>541.63</v>
      </c>
      <c r="F267" s="3">
        <v>541.63</v>
      </c>
      <c r="G267" s="3">
        <v>128.47</v>
      </c>
      <c r="H267" s="3">
        <v>128.47</v>
      </c>
      <c r="I267" s="3">
        <v>128.47</v>
      </c>
      <c r="J267" s="3">
        <v>128.47</v>
      </c>
      <c r="K267" s="3">
        <v>128.47</v>
      </c>
      <c r="L267" s="3">
        <v>128.47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</row>
    <row r="268" spans="1:21" x14ac:dyDescent="0.2">
      <c r="A268" t="s">
        <v>832</v>
      </c>
      <c r="B268">
        <v>840</v>
      </c>
      <c r="C268">
        <v>1</v>
      </c>
      <c r="D268" t="s">
        <v>323</v>
      </c>
      <c r="E268" s="3">
        <v>340.66</v>
      </c>
      <c r="F268" s="3">
        <v>340.66</v>
      </c>
      <c r="G268" s="3">
        <v>568.69000000000005</v>
      </c>
      <c r="H268" s="3">
        <v>568.69000000000005</v>
      </c>
      <c r="I268" s="3">
        <v>568.69000000000005</v>
      </c>
      <c r="J268" s="3">
        <v>568.69000000000005</v>
      </c>
      <c r="K268" s="3">
        <v>568.69000000000005</v>
      </c>
      <c r="L268" s="3">
        <v>568.69000000000005</v>
      </c>
      <c r="M268" s="3">
        <v>568.69000000000005</v>
      </c>
      <c r="N268" s="3">
        <v>568.69000000000005</v>
      </c>
      <c r="O268" s="3">
        <v>568.69000000000005</v>
      </c>
      <c r="P268" s="3">
        <v>568.69000000000005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</row>
    <row r="269" spans="1:21" x14ac:dyDescent="0.2">
      <c r="A269" t="s">
        <v>832</v>
      </c>
      <c r="B269">
        <v>846</v>
      </c>
      <c r="C269">
        <v>1</v>
      </c>
      <c r="D269" t="s">
        <v>324</v>
      </c>
      <c r="E269" s="3">
        <v>99.79</v>
      </c>
      <c r="F269" s="3">
        <v>99.79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</row>
    <row r="270" spans="1:21" x14ac:dyDescent="0.2">
      <c r="A270" t="s">
        <v>832</v>
      </c>
      <c r="B270">
        <v>850</v>
      </c>
      <c r="C270">
        <v>1</v>
      </c>
      <c r="D270" t="s">
        <v>325</v>
      </c>
      <c r="E270" s="3">
        <v>1047.47</v>
      </c>
      <c r="F270" s="3">
        <v>1047.47</v>
      </c>
      <c r="G270" s="3">
        <v>639.89</v>
      </c>
      <c r="H270" s="3">
        <v>639.89</v>
      </c>
      <c r="I270" s="3">
        <v>639.89</v>
      </c>
      <c r="J270" s="3">
        <v>639.89</v>
      </c>
      <c r="K270" s="3">
        <v>639.89</v>
      </c>
      <c r="L270" s="3">
        <v>139.88999999999999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</row>
    <row r="271" spans="1:21" x14ac:dyDescent="0.2">
      <c r="A271" t="s">
        <v>832</v>
      </c>
      <c r="B271">
        <v>852</v>
      </c>
      <c r="C271">
        <v>1</v>
      </c>
      <c r="D271" t="s">
        <v>326</v>
      </c>
      <c r="E271" s="3">
        <v>1455.58</v>
      </c>
      <c r="F271" s="3">
        <v>1455.58</v>
      </c>
      <c r="G271" s="3">
        <v>1195.19</v>
      </c>
      <c r="H271" s="3">
        <v>1195.19</v>
      </c>
      <c r="I271" s="3">
        <v>1195.19</v>
      </c>
      <c r="J271" s="3">
        <v>1195.19</v>
      </c>
      <c r="K271" s="3">
        <v>800</v>
      </c>
      <c r="L271" s="3">
        <v>800</v>
      </c>
      <c r="M271" s="3">
        <v>800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</row>
    <row r="272" spans="1:21" x14ac:dyDescent="0.2">
      <c r="A272" t="s">
        <v>832</v>
      </c>
      <c r="B272">
        <v>857</v>
      </c>
      <c r="C272">
        <v>1</v>
      </c>
      <c r="D272" t="s">
        <v>327</v>
      </c>
      <c r="E272" s="3">
        <v>0</v>
      </c>
      <c r="F272" s="3">
        <v>0</v>
      </c>
      <c r="G272" s="3">
        <v>500</v>
      </c>
      <c r="H272" s="3">
        <v>500</v>
      </c>
      <c r="I272" s="3">
        <v>500</v>
      </c>
      <c r="J272" s="3">
        <v>500</v>
      </c>
      <c r="K272" s="3">
        <v>500</v>
      </c>
      <c r="L272" s="3">
        <v>500</v>
      </c>
      <c r="M272" s="3">
        <v>500</v>
      </c>
      <c r="N272" s="3">
        <v>500</v>
      </c>
      <c r="O272" s="3">
        <v>500</v>
      </c>
      <c r="P272" s="3">
        <v>500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</row>
    <row r="273" spans="1:21" x14ac:dyDescent="0.2">
      <c r="A273" t="s">
        <v>832</v>
      </c>
      <c r="B273">
        <v>858</v>
      </c>
      <c r="C273">
        <v>1</v>
      </c>
      <c r="D273" t="s">
        <v>328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</row>
    <row r="274" spans="1:21" x14ac:dyDescent="0.2">
      <c r="A274" t="s">
        <v>832</v>
      </c>
      <c r="B274">
        <v>861</v>
      </c>
      <c r="C274">
        <v>1</v>
      </c>
      <c r="D274" t="s">
        <v>329</v>
      </c>
      <c r="E274" s="3">
        <v>191.79</v>
      </c>
      <c r="F274" s="3">
        <v>191.79</v>
      </c>
      <c r="G274" s="3">
        <v>480</v>
      </c>
      <c r="H274" s="3">
        <v>480</v>
      </c>
      <c r="I274" s="3">
        <v>480</v>
      </c>
      <c r="J274" s="3">
        <v>480</v>
      </c>
      <c r="K274" s="3">
        <v>480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</row>
    <row r="275" spans="1:21" x14ac:dyDescent="0.2">
      <c r="A275" t="s">
        <v>832</v>
      </c>
      <c r="B275">
        <v>876</v>
      </c>
      <c r="C275">
        <v>1</v>
      </c>
      <c r="D275" t="s">
        <v>330</v>
      </c>
      <c r="E275" s="3">
        <v>387.63</v>
      </c>
      <c r="F275" s="3">
        <v>500</v>
      </c>
      <c r="G275" s="3">
        <v>104.7</v>
      </c>
      <c r="H275" s="3">
        <v>104.7</v>
      </c>
      <c r="I275" s="3">
        <v>104.7</v>
      </c>
      <c r="J275" s="3">
        <v>104.7</v>
      </c>
      <c r="K275" s="3">
        <v>104.7</v>
      </c>
      <c r="L275" s="3">
        <v>104.7</v>
      </c>
      <c r="M275" s="3">
        <v>104.7</v>
      </c>
      <c r="N275" s="3">
        <v>104.7</v>
      </c>
      <c r="O275" s="3">
        <v>104.7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</row>
    <row r="276" spans="1:21" x14ac:dyDescent="0.2">
      <c r="A276" t="s">
        <v>832</v>
      </c>
      <c r="B276">
        <v>877</v>
      </c>
      <c r="C276">
        <v>1</v>
      </c>
      <c r="D276" t="s">
        <v>331</v>
      </c>
      <c r="E276" s="3">
        <v>332.84</v>
      </c>
      <c r="F276" s="3">
        <v>503.84</v>
      </c>
      <c r="G276" s="3">
        <v>110.13</v>
      </c>
      <c r="H276" s="3">
        <v>110.13</v>
      </c>
      <c r="I276" s="3">
        <v>110.13</v>
      </c>
      <c r="J276" s="3">
        <v>110.13</v>
      </c>
      <c r="K276" s="3">
        <v>110.13</v>
      </c>
      <c r="L276" s="3">
        <v>110.13</v>
      </c>
      <c r="M276" s="3">
        <v>110.13</v>
      </c>
      <c r="N276" s="3">
        <v>110.13</v>
      </c>
      <c r="O276" s="3">
        <v>110.13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</row>
    <row r="277" spans="1:21" x14ac:dyDescent="0.2">
      <c r="A277" t="s">
        <v>832</v>
      </c>
      <c r="B277">
        <v>879</v>
      </c>
      <c r="C277">
        <v>1</v>
      </c>
      <c r="D277" t="s">
        <v>332</v>
      </c>
      <c r="E277" s="3">
        <v>359.84</v>
      </c>
      <c r="F277" s="3">
        <v>359.84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</row>
    <row r="278" spans="1:21" x14ac:dyDescent="0.2">
      <c r="A278" t="s">
        <v>832</v>
      </c>
      <c r="B278">
        <v>881</v>
      </c>
      <c r="C278">
        <v>1</v>
      </c>
      <c r="D278" t="s">
        <v>333</v>
      </c>
      <c r="E278" s="3">
        <v>350</v>
      </c>
      <c r="F278" s="3">
        <v>600</v>
      </c>
      <c r="G278" s="3">
        <v>636.45000000000005</v>
      </c>
      <c r="H278" s="3">
        <v>636.45000000000005</v>
      </c>
      <c r="I278" s="3">
        <v>636.45000000000005</v>
      </c>
      <c r="J278" s="3">
        <v>636.45000000000005</v>
      </c>
      <c r="K278" s="3">
        <v>636.45000000000005</v>
      </c>
      <c r="L278" s="3">
        <v>636.45000000000005</v>
      </c>
      <c r="M278" s="3">
        <v>636.45000000000005</v>
      </c>
      <c r="N278" s="3">
        <v>450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</row>
    <row r="279" spans="1:21" x14ac:dyDescent="0.2">
      <c r="A279" t="s">
        <v>832</v>
      </c>
      <c r="B279">
        <v>882</v>
      </c>
      <c r="C279">
        <v>1</v>
      </c>
      <c r="D279" t="s">
        <v>334</v>
      </c>
      <c r="E279" s="3">
        <v>317.98</v>
      </c>
      <c r="F279" s="3">
        <v>592.98</v>
      </c>
      <c r="G279" s="3">
        <v>208.43</v>
      </c>
      <c r="H279" s="3">
        <v>208.43</v>
      </c>
      <c r="I279" s="3">
        <v>208.43</v>
      </c>
      <c r="J279" s="3">
        <v>208.43</v>
      </c>
      <c r="K279" s="3">
        <v>208.43</v>
      </c>
      <c r="L279" s="3">
        <v>208.43</v>
      </c>
      <c r="M279" s="3">
        <v>208.43</v>
      </c>
      <c r="N279" s="3">
        <v>208.43</v>
      </c>
      <c r="O279" s="3">
        <v>208.43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</row>
    <row r="280" spans="1:21" x14ac:dyDescent="0.2">
      <c r="A280" t="s">
        <v>832</v>
      </c>
      <c r="B280">
        <v>883</v>
      </c>
      <c r="C280">
        <v>1</v>
      </c>
      <c r="D280" t="s">
        <v>335</v>
      </c>
      <c r="E280" s="3">
        <v>425.93</v>
      </c>
      <c r="F280" s="3">
        <v>425.93</v>
      </c>
      <c r="G280" s="3">
        <v>12.65</v>
      </c>
      <c r="H280" s="3">
        <v>12.65</v>
      </c>
      <c r="I280" s="3">
        <v>12.65</v>
      </c>
      <c r="J280" s="3">
        <v>12.65</v>
      </c>
      <c r="K280" s="3">
        <v>12.65</v>
      </c>
      <c r="L280" s="3">
        <v>12.65</v>
      </c>
      <c r="M280" s="3">
        <v>12.65</v>
      </c>
      <c r="N280" s="3">
        <v>12.65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</row>
    <row r="281" spans="1:21" x14ac:dyDescent="0.2">
      <c r="A281" t="s">
        <v>832</v>
      </c>
      <c r="B281">
        <v>885</v>
      </c>
      <c r="C281">
        <v>1</v>
      </c>
      <c r="D281" t="s">
        <v>336</v>
      </c>
      <c r="E281" s="3">
        <v>350</v>
      </c>
      <c r="F281" s="3">
        <v>415</v>
      </c>
      <c r="G281" s="3">
        <v>14.94</v>
      </c>
      <c r="H281" s="3">
        <v>14.94</v>
      </c>
      <c r="I281" s="3">
        <v>14.94</v>
      </c>
      <c r="J281" s="3">
        <v>14.94</v>
      </c>
      <c r="K281" s="3">
        <v>14.94</v>
      </c>
      <c r="L281" s="3">
        <v>14.94</v>
      </c>
      <c r="M281" s="3">
        <v>14.94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</row>
    <row r="282" spans="1:21" x14ac:dyDescent="0.2">
      <c r="A282" t="s">
        <v>832</v>
      </c>
      <c r="B282">
        <v>891</v>
      </c>
      <c r="C282">
        <v>1</v>
      </c>
      <c r="D282" t="s">
        <v>337</v>
      </c>
      <c r="E282" s="3">
        <v>315</v>
      </c>
      <c r="F282" s="3">
        <v>315</v>
      </c>
      <c r="G282" s="3">
        <v>126</v>
      </c>
      <c r="H282" s="3">
        <v>126</v>
      </c>
      <c r="I282" s="3">
        <v>126</v>
      </c>
      <c r="J282" s="3">
        <v>126</v>
      </c>
      <c r="K282" s="3">
        <v>126</v>
      </c>
      <c r="L282" s="3">
        <v>126</v>
      </c>
      <c r="M282" s="3">
        <v>126</v>
      </c>
      <c r="N282" s="3">
        <v>126</v>
      </c>
      <c r="O282" s="3">
        <v>126</v>
      </c>
      <c r="P282" s="3">
        <v>126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</row>
    <row r="283" spans="1:21" x14ac:dyDescent="0.2">
      <c r="A283" t="s">
        <v>832</v>
      </c>
      <c r="B283">
        <v>911</v>
      </c>
      <c r="C283">
        <v>1</v>
      </c>
      <c r="D283" t="s">
        <v>338</v>
      </c>
      <c r="E283" s="3">
        <v>415</v>
      </c>
      <c r="F283" s="3">
        <v>415</v>
      </c>
      <c r="G283" s="3">
        <v>1.0199999999999818</v>
      </c>
      <c r="H283" s="3">
        <v>1.0199999999999818</v>
      </c>
      <c r="I283" s="3">
        <v>1.0199999999999818</v>
      </c>
      <c r="J283" s="3">
        <v>1.0199999999999818</v>
      </c>
      <c r="K283" s="3">
        <v>1.0199999999999818</v>
      </c>
      <c r="L283" s="3">
        <v>1.0199999999999818</v>
      </c>
      <c r="M283" s="3">
        <v>1.0199999999999818</v>
      </c>
      <c r="N283" s="3">
        <v>1.0199999999999818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</row>
    <row r="284" spans="1:21" x14ac:dyDescent="0.2">
      <c r="A284" t="s">
        <v>832</v>
      </c>
      <c r="B284">
        <v>912</v>
      </c>
      <c r="C284">
        <v>1</v>
      </c>
      <c r="D284" t="s">
        <v>339</v>
      </c>
      <c r="E284" s="3">
        <v>321.02</v>
      </c>
      <c r="F284" s="3">
        <v>321.02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</row>
    <row r="285" spans="1:21" x14ac:dyDescent="0.2">
      <c r="A285" t="s">
        <v>832</v>
      </c>
      <c r="B285">
        <v>914</v>
      </c>
      <c r="C285">
        <v>1</v>
      </c>
      <c r="D285" t="s">
        <v>340</v>
      </c>
      <c r="E285" s="3">
        <v>1047.28</v>
      </c>
      <c r="F285" s="3">
        <v>1300</v>
      </c>
      <c r="G285" s="3">
        <v>888.48</v>
      </c>
      <c r="H285" s="3">
        <v>888.48</v>
      </c>
      <c r="I285" s="3">
        <v>888.48</v>
      </c>
      <c r="J285" s="3">
        <v>888.48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</row>
    <row r="286" spans="1:21" x14ac:dyDescent="0.2">
      <c r="A286" t="s">
        <v>832</v>
      </c>
      <c r="B286">
        <v>2071</v>
      </c>
      <c r="C286">
        <v>1</v>
      </c>
      <c r="D286" t="s">
        <v>341</v>
      </c>
      <c r="E286" s="3">
        <v>731.88</v>
      </c>
      <c r="F286" s="3">
        <v>731.88</v>
      </c>
      <c r="G286" s="3">
        <v>318.41000000000003</v>
      </c>
      <c r="H286" s="3">
        <v>318.41000000000003</v>
      </c>
      <c r="I286" s="3">
        <v>318.41000000000003</v>
      </c>
      <c r="J286" s="3">
        <v>318.41000000000003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</row>
    <row r="287" spans="1:21" x14ac:dyDescent="0.2">
      <c r="A287" t="s">
        <v>832</v>
      </c>
      <c r="B287">
        <v>2125</v>
      </c>
      <c r="C287">
        <v>1</v>
      </c>
      <c r="D287" t="s">
        <v>342</v>
      </c>
      <c r="E287" s="3">
        <v>463.89</v>
      </c>
      <c r="F287" s="3">
        <v>463.89</v>
      </c>
      <c r="G287" s="3">
        <v>50.18</v>
      </c>
      <c r="H287" s="3">
        <v>50.18</v>
      </c>
      <c r="I287" s="3">
        <v>50.18</v>
      </c>
      <c r="J287" s="3">
        <v>50.18</v>
      </c>
      <c r="K287" s="3">
        <v>50.18</v>
      </c>
      <c r="L287" s="3">
        <v>50.18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</row>
    <row r="288" spans="1:21" x14ac:dyDescent="0.2">
      <c r="A288" t="s">
        <v>832</v>
      </c>
      <c r="B288">
        <v>2134</v>
      </c>
      <c r="C288">
        <v>1</v>
      </c>
      <c r="D288" t="s">
        <v>343</v>
      </c>
      <c r="E288" s="3">
        <v>755.3</v>
      </c>
      <c r="F288" s="3">
        <v>755.3</v>
      </c>
      <c r="G288" s="3">
        <v>342.34</v>
      </c>
      <c r="H288" s="3">
        <v>342.34</v>
      </c>
      <c r="I288" s="3">
        <v>342.34</v>
      </c>
      <c r="J288" s="3">
        <v>342.34</v>
      </c>
      <c r="K288" s="3">
        <v>342.34</v>
      </c>
      <c r="L288" s="3">
        <v>342.34</v>
      </c>
      <c r="M288" s="3">
        <v>342.34</v>
      </c>
      <c r="N288" s="3">
        <v>342.34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</row>
    <row r="289" spans="1:21" x14ac:dyDescent="0.2">
      <c r="A289" t="s">
        <v>832</v>
      </c>
      <c r="B289">
        <v>2135</v>
      </c>
      <c r="C289">
        <v>1</v>
      </c>
      <c r="D289" t="s">
        <v>344</v>
      </c>
      <c r="E289" s="3">
        <v>543.11</v>
      </c>
      <c r="F289" s="3">
        <v>543.11</v>
      </c>
      <c r="G289" s="3">
        <v>129.78</v>
      </c>
      <c r="H289" s="3">
        <v>129.78</v>
      </c>
      <c r="I289" s="3">
        <v>129.78</v>
      </c>
      <c r="J289" s="3">
        <v>129.78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</row>
    <row r="290" spans="1:21" x14ac:dyDescent="0.2">
      <c r="A290" t="s">
        <v>832</v>
      </c>
      <c r="B290">
        <v>2137</v>
      </c>
      <c r="C290">
        <v>1</v>
      </c>
      <c r="D290" t="s">
        <v>345</v>
      </c>
      <c r="E290" s="3">
        <v>438.13</v>
      </c>
      <c r="F290" s="3">
        <v>438.13</v>
      </c>
      <c r="G290" s="3">
        <v>300</v>
      </c>
      <c r="H290" s="3">
        <v>300</v>
      </c>
      <c r="I290" s="3">
        <v>300</v>
      </c>
      <c r="J290" s="3">
        <v>300</v>
      </c>
      <c r="K290" s="3">
        <v>300</v>
      </c>
      <c r="L290" s="3">
        <v>300</v>
      </c>
      <c r="M290" s="3">
        <v>300</v>
      </c>
      <c r="N290" s="3">
        <v>300</v>
      </c>
      <c r="O290" s="3">
        <v>300</v>
      </c>
      <c r="P290" s="3">
        <v>300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</row>
    <row r="291" spans="1:21" x14ac:dyDescent="0.2">
      <c r="A291" t="s">
        <v>832</v>
      </c>
      <c r="B291">
        <v>2142</v>
      </c>
      <c r="C291">
        <v>1</v>
      </c>
      <c r="D291" t="s">
        <v>346</v>
      </c>
      <c r="E291" s="3">
        <v>283.2</v>
      </c>
      <c r="F291" s="3">
        <v>283.2</v>
      </c>
      <c r="G291" s="3">
        <v>126</v>
      </c>
      <c r="H291" s="3">
        <v>126</v>
      </c>
      <c r="I291" s="3">
        <v>126</v>
      </c>
      <c r="J291" s="3">
        <v>126</v>
      </c>
      <c r="K291" s="3">
        <v>126</v>
      </c>
      <c r="L291" s="3">
        <v>126</v>
      </c>
      <c r="M291" s="3">
        <v>126</v>
      </c>
      <c r="N291" s="3">
        <v>126</v>
      </c>
      <c r="O291" s="3">
        <v>126</v>
      </c>
      <c r="P291" s="3">
        <v>126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</row>
    <row r="292" spans="1:21" x14ac:dyDescent="0.2">
      <c r="A292" t="s">
        <v>832</v>
      </c>
      <c r="B292">
        <v>2143</v>
      </c>
      <c r="C292">
        <v>1</v>
      </c>
      <c r="D292" t="s">
        <v>347</v>
      </c>
      <c r="E292" s="3">
        <v>413.81</v>
      </c>
      <c r="F292" s="3">
        <v>413.81</v>
      </c>
      <c r="G292" s="3">
        <v>0.41999999999995907</v>
      </c>
      <c r="H292" s="3">
        <v>0.41999999999995907</v>
      </c>
      <c r="I292" s="3">
        <v>0.41999999999995907</v>
      </c>
      <c r="J292" s="3">
        <v>0.41999999999995907</v>
      </c>
      <c r="K292" s="3">
        <v>0.41999999999995907</v>
      </c>
      <c r="L292" s="3">
        <v>0.41999999999995907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</row>
    <row r="293" spans="1:21" x14ac:dyDescent="0.2">
      <c r="A293" t="s">
        <v>832</v>
      </c>
      <c r="B293">
        <v>2144</v>
      </c>
      <c r="C293">
        <v>1</v>
      </c>
      <c r="D293" t="s">
        <v>348</v>
      </c>
      <c r="E293" s="3">
        <v>0</v>
      </c>
      <c r="F293" s="3">
        <v>415</v>
      </c>
      <c r="G293" s="3">
        <v>401.54</v>
      </c>
      <c r="H293" s="3">
        <v>401.54</v>
      </c>
      <c r="I293" s="3">
        <v>401.54</v>
      </c>
      <c r="J293" s="3">
        <v>401.54</v>
      </c>
      <c r="K293" s="3">
        <v>401.54</v>
      </c>
      <c r="L293" s="3">
        <v>401.54</v>
      </c>
      <c r="M293" s="3">
        <v>401.54</v>
      </c>
      <c r="N293" s="3">
        <v>401.54</v>
      </c>
      <c r="O293" s="3">
        <v>401.54</v>
      </c>
      <c r="P293" s="3">
        <v>400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</row>
    <row r="294" spans="1:21" x14ac:dyDescent="0.2">
      <c r="A294" t="s">
        <v>832</v>
      </c>
      <c r="B294">
        <v>2149</v>
      </c>
      <c r="C294">
        <v>1</v>
      </c>
      <c r="D294" t="s">
        <v>349</v>
      </c>
      <c r="E294" s="3">
        <v>413.91</v>
      </c>
      <c r="F294" s="3">
        <v>413.91</v>
      </c>
      <c r="G294" s="3">
        <v>0.40000000000000568</v>
      </c>
      <c r="H294" s="3">
        <v>0.40000000000000568</v>
      </c>
      <c r="I294" s="3">
        <v>0.40000000000000568</v>
      </c>
      <c r="J294" s="3">
        <v>0.40000000000000568</v>
      </c>
      <c r="K294" s="3">
        <v>0.40000000000000568</v>
      </c>
      <c r="L294" s="3">
        <v>0.40000000000000568</v>
      </c>
      <c r="M294" s="3">
        <v>0.40000000000000568</v>
      </c>
      <c r="N294" s="3">
        <v>0.40000000000000568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</row>
    <row r="295" spans="1:21" x14ac:dyDescent="0.2">
      <c r="A295" t="s">
        <v>832</v>
      </c>
      <c r="B295">
        <v>2154</v>
      </c>
      <c r="C295">
        <v>1</v>
      </c>
      <c r="D295" t="s">
        <v>350</v>
      </c>
      <c r="E295" s="3">
        <v>365.58</v>
      </c>
      <c r="F295" s="3">
        <v>365.58</v>
      </c>
      <c r="G295" s="3">
        <v>366.5</v>
      </c>
      <c r="H295" s="3">
        <v>366.5</v>
      </c>
      <c r="I295" s="3">
        <v>366.5</v>
      </c>
      <c r="J295" s="3">
        <v>366.5</v>
      </c>
      <c r="K295" s="3">
        <v>366.5</v>
      </c>
      <c r="L295" s="3">
        <v>366.5</v>
      </c>
      <c r="M295" s="3">
        <v>366.5</v>
      </c>
      <c r="N295" s="3">
        <v>334.64</v>
      </c>
      <c r="O295" s="3">
        <v>334.64</v>
      </c>
      <c r="P295" s="3">
        <v>334.64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</row>
    <row r="296" spans="1:21" x14ac:dyDescent="0.2">
      <c r="A296" t="s">
        <v>832</v>
      </c>
      <c r="B296">
        <v>2155</v>
      </c>
      <c r="C296">
        <v>1</v>
      </c>
      <c r="D296" t="s">
        <v>351</v>
      </c>
      <c r="E296" s="3">
        <v>315.19</v>
      </c>
      <c r="F296" s="3">
        <v>315.19</v>
      </c>
      <c r="G296" s="3">
        <v>100</v>
      </c>
      <c r="H296" s="3">
        <v>100</v>
      </c>
      <c r="I296" s="3">
        <v>100</v>
      </c>
      <c r="J296" s="3">
        <v>100</v>
      </c>
      <c r="K296" s="3">
        <v>100</v>
      </c>
      <c r="L296" s="3">
        <v>100</v>
      </c>
      <c r="M296" s="3">
        <v>100</v>
      </c>
      <c r="N296" s="3">
        <v>100</v>
      </c>
      <c r="O296" s="3">
        <v>100</v>
      </c>
      <c r="P296" s="3">
        <v>100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</row>
    <row r="297" spans="1:21" x14ac:dyDescent="0.2">
      <c r="A297" t="s">
        <v>832</v>
      </c>
      <c r="B297">
        <v>2159</v>
      </c>
      <c r="C297">
        <v>1</v>
      </c>
      <c r="D297" t="s">
        <v>352</v>
      </c>
      <c r="E297" s="3">
        <v>501.03</v>
      </c>
      <c r="F297" s="3">
        <v>501.03</v>
      </c>
      <c r="G297" s="3">
        <v>89.119999999999948</v>
      </c>
      <c r="H297" s="3">
        <v>89.119999999999948</v>
      </c>
      <c r="I297" s="3">
        <v>89.119999999999948</v>
      </c>
      <c r="J297" s="3">
        <v>89.119999999999948</v>
      </c>
      <c r="K297" s="3">
        <v>89.119999999999948</v>
      </c>
      <c r="L297" s="3">
        <v>89.119999999999948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</row>
    <row r="298" spans="1:21" x14ac:dyDescent="0.2">
      <c r="A298" t="s">
        <v>832</v>
      </c>
      <c r="B298">
        <v>2164</v>
      </c>
      <c r="C298">
        <v>1</v>
      </c>
      <c r="D298" t="s">
        <v>353</v>
      </c>
      <c r="E298" s="3">
        <v>339.74</v>
      </c>
      <c r="F298" s="3">
        <v>339.74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</row>
    <row r="299" spans="1:21" x14ac:dyDescent="0.2">
      <c r="A299" t="s">
        <v>832</v>
      </c>
      <c r="B299">
        <v>2165</v>
      </c>
      <c r="C299">
        <v>1</v>
      </c>
      <c r="D299" t="s">
        <v>354</v>
      </c>
      <c r="E299" s="3">
        <v>320.04000000000002</v>
      </c>
      <c r="F299" s="3">
        <v>320.04000000000002</v>
      </c>
      <c r="G299" s="3">
        <v>126</v>
      </c>
      <c r="H299" s="3">
        <v>126</v>
      </c>
      <c r="I299" s="3">
        <v>126</v>
      </c>
      <c r="J299" s="3">
        <v>126</v>
      </c>
      <c r="K299" s="3">
        <v>126</v>
      </c>
      <c r="L299" s="3">
        <v>126</v>
      </c>
      <c r="M299" s="3">
        <v>126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</row>
    <row r="300" spans="1:21" x14ac:dyDescent="0.2">
      <c r="A300" t="s">
        <v>832</v>
      </c>
      <c r="B300">
        <v>2167</v>
      </c>
      <c r="C300">
        <v>1</v>
      </c>
      <c r="D300" t="s">
        <v>355</v>
      </c>
      <c r="E300" s="3">
        <v>265.47000000000003</v>
      </c>
      <c r="F300" s="3">
        <v>265.47000000000003</v>
      </c>
      <c r="G300" s="3">
        <v>5</v>
      </c>
      <c r="H300" s="3">
        <v>5</v>
      </c>
      <c r="I300" s="3">
        <v>5</v>
      </c>
      <c r="J300" s="3">
        <v>5</v>
      </c>
      <c r="K300" s="3">
        <v>5</v>
      </c>
      <c r="L300" s="3">
        <v>5</v>
      </c>
      <c r="M300" s="3">
        <v>5</v>
      </c>
      <c r="N300" s="3">
        <v>5</v>
      </c>
      <c r="O300" s="3">
        <v>5</v>
      </c>
      <c r="P300" s="3">
        <v>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</row>
    <row r="301" spans="1:21" x14ac:dyDescent="0.2">
      <c r="A301" t="s">
        <v>832</v>
      </c>
      <c r="B301">
        <v>2168</v>
      </c>
      <c r="C301">
        <v>1</v>
      </c>
      <c r="D301" t="s">
        <v>356</v>
      </c>
      <c r="E301" s="3">
        <v>351.97</v>
      </c>
      <c r="F301" s="3">
        <v>351.97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</row>
    <row r="302" spans="1:21" x14ac:dyDescent="0.2">
      <c r="A302" t="s">
        <v>832</v>
      </c>
      <c r="B302">
        <v>2169</v>
      </c>
      <c r="C302">
        <v>1</v>
      </c>
      <c r="D302" t="s">
        <v>357</v>
      </c>
      <c r="E302" s="3">
        <v>347.71</v>
      </c>
      <c r="F302" s="3">
        <v>347.71</v>
      </c>
      <c r="G302" s="3">
        <v>833.32</v>
      </c>
      <c r="H302" s="3">
        <v>833.32</v>
      </c>
      <c r="I302" s="3">
        <v>833.32</v>
      </c>
      <c r="J302" s="3">
        <v>833.32</v>
      </c>
      <c r="K302" s="3">
        <v>833.32</v>
      </c>
      <c r="L302" s="3">
        <v>833.32</v>
      </c>
      <c r="M302" s="3">
        <v>828.15</v>
      </c>
      <c r="N302" s="3">
        <v>828.15</v>
      </c>
      <c r="O302" s="3">
        <v>828.15</v>
      </c>
      <c r="P302" s="3">
        <v>828.15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</row>
    <row r="303" spans="1:21" x14ac:dyDescent="0.2">
      <c r="A303" t="s">
        <v>832</v>
      </c>
      <c r="B303">
        <v>2170</v>
      </c>
      <c r="C303">
        <v>1</v>
      </c>
      <c r="D303" t="s">
        <v>358</v>
      </c>
      <c r="E303" s="3">
        <v>415</v>
      </c>
      <c r="F303" s="3">
        <v>415</v>
      </c>
      <c r="G303" s="3">
        <v>60.47</v>
      </c>
      <c r="H303" s="3">
        <v>60.47</v>
      </c>
      <c r="I303" s="3">
        <v>60.47</v>
      </c>
      <c r="J303" s="3">
        <v>60.47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</row>
    <row r="304" spans="1:21" x14ac:dyDescent="0.2">
      <c r="A304" t="s">
        <v>832</v>
      </c>
      <c r="B304">
        <v>2171</v>
      </c>
      <c r="C304">
        <v>1</v>
      </c>
      <c r="D304" t="s">
        <v>359</v>
      </c>
      <c r="E304" s="3">
        <v>2649.97</v>
      </c>
      <c r="F304" s="3">
        <v>2649.97</v>
      </c>
      <c r="G304" s="3">
        <v>2332.9299999999998</v>
      </c>
      <c r="H304" s="3">
        <v>2332.9299999999998</v>
      </c>
      <c r="I304" s="3">
        <v>2332.9299999999998</v>
      </c>
      <c r="J304" s="3">
        <v>2332.9299999999998</v>
      </c>
      <c r="K304" s="3">
        <v>662.49</v>
      </c>
      <c r="L304" s="3">
        <v>662.49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</row>
    <row r="305" spans="1:21" x14ac:dyDescent="0.2">
      <c r="A305" t="s">
        <v>832</v>
      </c>
      <c r="B305">
        <v>2172</v>
      </c>
      <c r="C305">
        <v>1</v>
      </c>
      <c r="D305" t="s">
        <v>360</v>
      </c>
      <c r="E305" s="3">
        <v>352.69</v>
      </c>
      <c r="F305" s="3">
        <v>352.69</v>
      </c>
      <c r="G305" s="3">
        <v>126</v>
      </c>
      <c r="H305" s="3">
        <v>126</v>
      </c>
      <c r="I305" s="3">
        <v>126</v>
      </c>
      <c r="J305" s="3">
        <v>126</v>
      </c>
      <c r="K305" s="3">
        <v>126</v>
      </c>
      <c r="L305" s="3">
        <v>126</v>
      </c>
      <c r="M305" s="3">
        <v>126</v>
      </c>
      <c r="N305" s="3">
        <v>126</v>
      </c>
      <c r="O305" s="3">
        <v>126</v>
      </c>
      <c r="P305" s="3">
        <v>126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</row>
    <row r="306" spans="1:21" x14ac:dyDescent="0.2">
      <c r="A306" t="s">
        <v>832</v>
      </c>
      <c r="B306">
        <v>2174</v>
      </c>
      <c r="C306">
        <v>1</v>
      </c>
      <c r="D306" t="s">
        <v>361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</row>
    <row r="307" spans="1:21" x14ac:dyDescent="0.2">
      <c r="A307" t="s">
        <v>832</v>
      </c>
      <c r="B307">
        <v>2176</v>
      </c>
      <c r="C307">
        <v>1</v>
      </c>
      <c r="D307" t="s">
        <v>362</v>
      </c>
      <c r="E307" s="3">
        <v>1086.08</v>
      </c>
      <c r="F307" s="3">
        <v>1086.08</v>
      </c>
      <c r="G307" s="3">
        <v>673.08</v>
      </c>
      <c r="H307" s="3">
        <v>673.08</v>
      </c>
      <c r="I307" s="3">
        <v>673.08</v>
      </c>
      <c r="J307" s="3">
        <v>673.08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</row>
    <row r="308" spans="1:21" x14ac:dyDescent="0.2">
      <c r="A308" t="s">
        <v>832</v>
      </c>
      <c r="B308">
        <v>2180</v>
      </c>
      <c r="C308">
        <v>1</v>
      </c>
      <c r="D308" t="s">
        <v>363</v>
      </c>
      <c r="E308" s="3">
        <v>674.53</v>
      </c>
      <c r="F308" s="3">
        <v>674.53</v>
      </c>
      <c r="G308" s="3">
        <v>770.09</v>
      </c>
      <c r="H308" s="3">
        <v>770.09</v>
      </c>
      <c r="I308" s="3">
        <v>770.09</v>
      </c>
      <c r="J308" s="3">
        <v>770.09</v>
      </c>
      <c r="K308" s="3">
        <v>500</v>
      </c>
      <c r="L308" s="3">
        <v>500</v>
      </c>
      <c r="M308" s="3">
        <v>500</v>
      </c>
      <c r="N308" s="3">
        <v>500</v>
      </c>
      <c r="O308" s="3">
        <v>500</v>
      </c>
      <c r="P308" s="3">
        <v>500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</row>
    <row r="309" spans="1:21" x14ac:dyDescent="0.2">
      <c r="A309" t="s">
        <v>832</v>
      </c>
      <c r="B309">
        <v>2184</v>
      </c>
      <c r="C309">
        <v>1</v>
      </c>
      <c r="D309" t="s">
        <v>364</v>
      </c>
      <c r="E309" s="3">
        <v>196.63</v>
      </c>
      <c r="F309" s="3">
        <v>196.63</v>
      </c>
      <c r="G309" s="3">
        <v>400</v>
      </c>
      <c r="H309" s="3">
        <v>400</v>
      </c>
      <c r="I309" s="3">
        <v>400</v>
      </c>
      <c r="J309" s="3">
        <v>400</v>
      </c>
      <c r="K309" s="3">
        <v>400</v>
      </c>
      <c r="L309" s="3">
        <v>400</v>
      </c>
      <c r="M309" s="3">
        <v>400</v>
      </c>
      <c r="N309" s="3">
        <v>400</v>
      </c>
      <c r="O309" s="3">
        <v>400</v>
      </c>
      <c r="P309" s="3">
        <v>400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</row>
    <row r="310" spans="1:21" x14ac:dyDescent="0.2">
      <c r="A310" t="s">
        <v>832</v>
      </c>
      <c r="B310">
        <v>2190</v>
      </c>
      <c r="C310">
        <v>1</v>
      </c>
      <c r="D310" t="s">
        <v>365</v>
      </c>
      <c r="E310" s="3">
        <v>431.06</v>
      </c>
      <c r="F310" s="3">
        <v>431.06</v>
      </c>
      <c r="G310" s="3">
        <v>417.88</v>
      </c>
      <c r="H310" s="3">
        <v>417.88</v>
      </c>
      <c r="I310" s="3">
        <v>417.88</v>
      </c>
      <c r="J310" s="3">
        <v>417.88</v>
      </c>
      <c r="K310" s="3">
        <v>417.88</v>
      </c>
      <c r="L310" s="3">
        <v>417.88</v>
      </c>
      <c r="M310" s="3">
        <v>400</v>
      </c>
      <c r="N310" s="3">
        <v>400</v>
      </c>
      <c r="O310" s="3">
        <v>400</v>
      </c>
      <c r="P310" s="3">
        <v>400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</row>
    <row r="311" spans="1:21" x14ac:dyDescent="0.2">
      <c r="A311" t="s">
        <v>832</v>
      </c>
      <c r="B311">
        <v>2198</v>
      </c>
      <c r="C311">
        <v>1</v>
      </c>
      <c r="D311" t="s">
        <v>366</v>
      </c>
      <c r="E311" s="3">
        <v>424.57</v>
      </c>
      <c r="F311" s="3">
        <v>424.57</v>
      </c>
      <c r="G311" s="3">
        <v>410.76</v>
      </c>
      <c r="H311" s="3">
        <v>410.76</v>
      </c>
      <c r="I311" s="3">
        <v>410.76</v>
      </c>
      <c r="J311" s="3">
        <v>410.76</v>
      </c>
      <c r="K311" s="3">
        <v>400</v>
      </c>
      <c r="L311" s="3">
        <v>400</v>
      </c>
      <c r="M311" s="3">
        <v>400</v>
      </c>
      <c r="N311" s="3">
        <v>400</v>
      </c>
      <c r="O311" s="3">
        <v>400</v>
      </c>
      <c r="P311" s="3">
        <v>400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</row>
    <row r="312" spans="1:21" x14ac:dyDescent="0.2">
      <c r="A312" t="s">
        <v>832</v>
      </c>
      <c r="B312">
        <v>2215</v>
      </c>
      <c r="C312">
        <v>1</v>
      </c>
      <c r="D312" t="s">
        <v>367</v>
      </c>
      <c r="E312" s="3">
        <v>446.82</v>
      </c>
      <c r="F312" s="3">
        <v>446.82</v>
      </c>
      <c r="G312" s="3">
        <v>586.54</v>
      </c>
      <c r="H312" s="3">
        <v>586.54</v>
      </c>
      <c r="I312" s="3">
        <v>586.54</v>
      </c>
      <c r="J312" s="3">
        <v>586.54</v>
      </c>
      <c r="K312" s="3">
        <v>586.54</v>
      </c>
      <c r="L312" s="3">
        <v>586.54</v>
      </c>
      <c r="M312" s="3">
        <v>541</v>
      </c>
      <c r="N312" s="3">
        <v>541</v>
      </c>
      <c r="O312" s="3">
        <v>541</v>
      </c>
      <c r="P312" s="3">
        <v>541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</row>
    <row r="313" spans="1:21" x14ac:dyDescent="0.2">
      <c r="A313" t="s">
        <v>832</v>
      </c>
      <c r="B313">
        <v>2310</v>
      </c>
      <c r="C313">
        <v>1</v>
      </c>
      <c r="D313" t="s">
        <v>368</v>
      </c>
      <c r="E313" s="3">
        <v>300</v>
      </c>
      <c r="F313" s="3">
        <v>300</v>
      </c>
      <c r="G313" s="3">
        <v>200</v>
      </c>
      <c r="H313" s="3">
        <v>200</v>
      </c>
      <c r="I313" s="3">
        <v>200</v>
      </c>
      <c r="J313" s="3">
        <v>200</v>
      </c>
      <c r="K313" s="3">
        <v>200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</row>
    <row r="314" spans="1:21" x14ac:dyDescent="0.2">
      <c r="A314" t="s">
        <v>832</v>
      </c>
      <c r="B314">
        <v>2311</v>
      </c>
      <c r="C314">
        <v>1</v>
      </c>
      <c r="D314" t="s">
        <v>369</v>
      </c>
      <c r="E314" s="3">
        <v>491.14</v>
      </c>
      <c r="F314" s="3">
        <v>491.14</v>
      </c>
      <c r="G314" s="3">
        <v>83.229999999999905</v>
      </c>
      <c r="H314" s="3">
        <v>83.229999999999905</v>
      </c>
      <c r="I314" s="3">
        <v>83.229999999999905</v>
      </c>
      <c r="J314" s="3">
        <v>83.229999999999905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</row>
    <row r="315" spans="1:21" x14ac:dyDescent="0.2">
      <c r="A315" t="s">
        <v>832</v>
      </c>
      <c r="B315">
        <v>2342</v>
      </c>
      <c r="C315">
        <v>1</v>
      </c>
      <c r="D315" t="s">
        <v>370</v>
      </c>
      <c r="E315" s="3">
        <v>400</v>
      </c>
      <c r="F315" s="3">
        <v>400</v>
      </c>
      <c r="G315" s="3">
        <v>425</v>
      </c>
      <c r="H315" s="3">
        <v>425</v>
      </c>
      <c r="I315" s="3">
        <v>425</v>
      </c>
      <c r="J315" s="3">
        <v>425</v>
      </c>
      <c r="K315" s="3">
        <v>425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</row>
    <row r="316" spans="1:21" x14ac:dyDescent="0.2">
      <c r="A316" t="s">
        <v>832</v>
      </c>
      <c r="B316">
        <v>2358</v>
      </c>
      <c r="C316">
        <v>1</v>
      </c>
      <c r="D316" t="s">
        <v>371</v>
      </c>
      <c r="E316" s="3">
        <v>534.04999999999995</v>
      </c>
      <c r="F316" s="3">
        <v>534.04999999999995</v>
      </c>
      <c r="G316" s="3">
        <v>121.71</v>
      </c>
      <c r="H316" s="3">
        <v>121.71</v>
      </c>
      <c r="I316" s="3">
        <v>121.71</v>
      </c>
      <c r="J316" s="3">
        <v>121.71</v>
      </c>
      <c r="K316" s="3">
        <v>121.71</v>
      </c>
      <c r="L316" s="3">
        <v>121.71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</row>
    <row r="317" spans="1:21" x14ac:dyDescent="0.2">
      <c r="A317" t="s">
        <v>832</v>
      </c>
      <c r="B317">
        <v>2364</v>
      </c>
      <c r="C317">
        <v>1</v>
      </c>
      <c r="D317" t="s">
        <v>372</v>
      </c>
      <c r="E317" s="3">
        <v>313.74</v>
      </c>
      <c r="F317" s="3">
        <v>313.74</v>
      </c>
      <c r="G317" s="3">
        <v>543</v>
      </c>
      <c r="H317" s="3">
        <v>543</v>
      </c>
      <c r="I317" s="3">
        <v>543</v>
      </c>
      <c r="J317" s="3">
        <v>543</v>
      </c>
      <c r="K317" s="3">
        <v>543</v>
      </c>
      <c r="L317" s="3">
        <v>543</v>
      </c>
      <c r="M317" s="3">
        <v>543</v>
      </c>
      <c r="N317" s="3">
        <v>543</v>
      </c>
      <c r="O317" s="3">
        <v>543</v>
      </c>
      <c r="P317" s="3">
        <v>543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</row>
    <row r="318" spans="1:21" x14ac:dyDescent="0.2">
      <c r="A318" t="s">
        <v>832</v>
      </c>
      <c r="B318">
        <v>2365</v>
      </c>
      <c r="C318">
        <v>1</v>
      </c>
      <c r="D318" t="s">
        <v>373</v>
      </c>
      <c r="E318" s="3">
        <v>62.22</v>
      </c>
      <c r="F318" s="3">
        <v>512.22</v>
      </c>
      <c r="G318" s="3">
        <v>99.2</v>
      </c>
      <c r="H318" s="3">
        <v>99.2</v>
      </c>
      <c r="I318" s="3">
        <v>99.2</v>
      </c>
      <c r="J318" s="3">
        <v>99.2</v>
      </c>
      <c r="K318" s="3">
        <v>99.2</v>
      </c>
      <c r="L318" s="3">
        <v>99.2</v>
      </c>
      <c r="M318" s="3">
        <v>99.2</v>
      </c>
      <c r="N318" s="3">
        <v>99.2</v>
      </c>
      <c r="O318" s="3">
        <v>99.2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</row>
    <row r="319" spans="1:21" x14ac:dyDescent="0.2">
      <c r="A319" t="s">
        <v>832</v>
      </c>
      <c r="B319">
        <v>2396</v>
      </c>
      <c r="C319">
        <v>1</v>
      </c>
      <c r="D319" t="s">
        <v>374</v>
      </c>
      <c r="E319" s="3">
        <v>444.93</v>
      </c>
      <c r="F319" s="3">
        <v>444.93</v>
      </c>
      <c r="G319" s="3">
        <v>31.689999999999941</v>
      </c>
      <c r="H319" s="3">
        <v>31.689999999999941</v>
      </c>
      <c r="I319" s="3">
        <v>31.689999999999941</v>
      </c>
      <c r="J319" s="3">
        <v>31.689999999999941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</row>
    <row r="320" spans="1:21" x14ac:dyDescent="0.2">
      <c r="A320" t="s">
        <v>832</v>
      </c>
      <c r="B320">
        <v>2397</v>
      </c>
      <c r="C320">
        <v>1</v>
      </c>
      <c r="D320" t="s">
        <v>375</v>
      </c>
      <c r="E320" s="3">
        <v>350</v>
      </c>
      <c r="F320" s="3">
        <v>350</v>
      </c>
      <c r="G320" s="3">
        <v>1.38</v>
      </c>
      <c r="H320" s="3">
        <v>1.38</v>
      </c>
      <c r="I320" s="3">
        <v>1.38</v>
      </c>
      <c r="J320" s="3">
        <v>1.38</v>
      </c>
      <c r="K320" s="3">
        <v>1.38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</row>
    <row r="321" spans="1:21" x14ac:dyDescent="0.2">
      <c r="A321" t="s">
        <v>832</v>
      </c>
      <c r="B321">
        <v>2448</v>
      </c>
      <c r="C321">
        <v>1</v>
      </c>
      <c r="D321" t="s">
        <v>376</v>
      </c>
      <c r="E321" s="3">
        <v>757.58</v>
      </c>
      <c r="F321" s="3">
        <v>757.58</v>
      </c>
      <c r="G321" s="3">
        <v>347.23</v>
      </c>
      <c r="H321" s="3">
        <v>347.23</v>
      </c>
      <c r="I321" s="3">
        <v>347.23</v>
      </c>
      <c r="J321" s="3">
        <v>347.23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</row>
    <row r="322" spans="1:21" x14ac:dyDescent="0.2">
      <c r="A322" t="s">
        <v>832</v>
      </c>
      <c r="B322">
        <v>2527</v>
      </c>
      <c r="C322">
        <v>1</v>
      </c>
      <c r="D322" t="s">
        <v>377</v>
      </c>
      <c r="E322" s="3">
        <v>663.07</v>
      </c>
      <c r="F322" s="3">
        <v>663.07</v>
      </c>
      <c r="G322" s="3">
        <v>949.85</v>
      </c>
      <c r="H322" s="3">
        <v>949.85</v>
      </c>
      <c r="I322" s="3">
        <v>949.85</v>
      </c>
      <c r="J322" s="3">
        <v>949.85</v>
      </c>
      <c r="K322" s="3">
        <v>700</v>
      </c>
      <c r="L322" s="3">
        <v>700</v>
      </c>
      <c r="M322" s="3">
        <v>700</v>
      </c>
      <c r="N322" s="3">
        <v>700</v>
      </c>
      <c r="O322" s="3">
        <v>700</v>
      </c>
      <c r="P322" s="3">
        <v>700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</row>
    <row r="323" spans="1:21" x14ac:dyDescent="0.2">
      <c r="A323" t="s">
        <v>832</v>
      </c>
      <c r="B323">
        <v>2534</v>
      </c>
      <c r="C323">
        <v>1</v>
      </c>
      <c r="D323" t="s">
        <v>378</v>
      </c>
      <c r="E323" s="3">
        <v>415</v>
      </c>
      <c r="F323" s="3">
        <v>415</v>
      </c>
      <c r="G323" s="3">
        <v>452.15</v>
      </c>
      <c r="H323" s="3">
        <v>452.15</v>
      </c>
      <c r="I323" s="3">
        <v>452.15</v>
      </c>
      <c r="J323" s="3">
        <v>415</v>
      </c>
      <c r="K323" s="3">
        <v>415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</row>
    <row r="324" spans="1:21" x14ac:dyDescent="0.2">
      <c r="A324" t="s">
        <v>832</v>
      </c>
      <c r="B324">
        <v>2536</v>
      </c>
      <c r="C324">
        <v>1</v>
      </c>
      <c r="D324" t="s">
        <v>379</v>
      </c>
      <c r="E324" s="3">
        <v>991</v>
      </c>
      <c r="F324" s="3">
        <v>991</v>
      </c>
      <c r="G324" s="3">
        <v>836.62</v>
      </c>
      <c r="H324" s="3">
        <v>836.62</v>
      </c>
      <c r="I324" s="3">
        <v>836.62</v>
      </c>
      <c r="J324" s="3">
        <v>836.62</v>
      </c>
      <c r="K324" s="3">
        <v>756</v>
      </c>
      <c r="L324" s="3">
        <v>756</v>
      </c>
      <c r="M324" s="3">
        <v>756</v>
      </c>
      <c r="N324" s="3">
        <v>756</v>
      </c>
      <c r="O324" s="3">
        <v>256</v>
      </c>
      <c r="P324" s="3">
        <v>256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</row>
    <row r="325" spans="1:21" x14ac:dyDescent="0.2">
      <c r="A325" t="s">
        <v>832</v>
      </c>
      <c r="B325">
        <v>2580</v>
      </c>
      <c r="C325">
        <v>1</v>
      </c>
      <c r="D325" t="s">
        <v>380</v>
      </c>
      <c r="E325" s="3">
        <v>415</v>
      </c>
      <c r="F325" s="3">
        <v>415</v>
      </c>
      <c r="G325" s="3">
        <v>34.549999999999997</v>
      </c>
      <c r="H325" s="3">
        <v>34.549999999999997</v>
      </c>
      <c r="I325" s="3">
        <v>34.549999999999997</v>
      </c>
      <c r="J325" s="3">
        <v>34.549999999999997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</row>
    <row r="326" spans="1:21" x14ac:dyDescent="0.2">
      <c r="A326" t="s">
        <v>832</v>
      </c>
      <c r="B326">
        <v>2609</v>
      </c>
      <c r="C326">
        <v>1</v>
      </c>
      <c r="D326" t="s">
        <v>381</v>
      </c>
      <c r="E326" s="3">
        <v>232.5</v>
      </c>
      <c r="F326" s="3">
        <v>232.5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</row>
    <row r="327" spans="1:21" x14ac:dyDescent="0.2">
      <c r="A327" t="s">
        <v>832</v>
      </c>
      <c r="B327">
        <v>2683</v>
      </c>
      <c r="C327">
        <v>1</v>
      </c>
      <c r="D327" t="s">
        <v>382</v>
      </c>
      <c r="E327" s="3">
        <v>600.95000000000005</v>
      </c>
      <c r="F327" s="3">
        <v>600.95000000000005</v>
      </c>
      <c r="G327" s="3">
        <v>836.7</v>
      </c>
      <c r="H327" s="3">
        <v>836.7</v>
      </c>
      <c r="I327" s="3">
        <v>836.7</v>
      </c>
      <c r="J327" s="3">
        <v>836.7</v>
      </c>
      <c r="K327" s="3">
        <v>640.59</v>
      </c>
      <c r="L327" s="3">
        <v>640.59</v>
      </c>
      <c r="M327" s="3">
        <v>640.59</v>
      </c>
      <c r="N327" s="3">
        <v>640.59</v>
      </c>
      <c r="O327" s="3">
        <v>640.59</v>
      </c>
      <c r="P327" s="3">
        <v>640.59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</row>
    <row r="328" spans="1:21" x14ac:dyDescent="0.2">
      <c r="A328" t="s">
        <v>832</v>
      </c>
      <c r="B328">
        <v>2687</v>
      </c>
      <c r="C328">
        <v>1</v>
      </c>
      <c r="D328" t="s">
        <v>383</v>
      </c>
      <c r="E328" s="3">
        <v>514.16999999999996</v>
      </c>
      <c r="F328" s="3">
        <v>514.16999999999996</v>
      </c>
      <c r="G328" s="3">
        <v>100.87</v>
      </c>
      <c r="H328" s="3">
        <v>100.87</v>
      </c>
      <c r="I328" s="3">
        <v>100.87</v>
      </c>
      <c r="J328" s="3">
        <v>100.87</v>
      </c>
      <c r="K328" s="3">
        <v>100.87</v>
      </c>
      <c r="L328" s="3">
        <v>100.87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</row>
    <row r="329" spans="1:21" x14ac:dyDescent="0.2">
      <c r="A329" t="s">
        <v>832</v>
      </c>
      <c r="B329">
        <v>2689</v>
      </c>
      <c r="C329">
        <v>1</v>
      </c>
      <c r="D329" t="s">
        <v>384</v>
      </c>
      <c r="E329" s="3">
        <v>170.41</v>
      </c>
      <c r="F329" s="3">
        <v>170.41</v>
      </c>
      <c r="G329" s="3">
        <v>400</v>
      </c>
      <c r="H329" s="3">
        <v>400</v>
      </c>
      <c r="I329" s="3">
        <v>400</v>
      </c>
      <c r="J329" s="3">
        <v>400</v>
      </c>
      <c r="K329" s="3">
        <v>400</v>
      </c>
      <c r="L329" s="3">
        <v>400</v>
      </c>
      <c r="M329" s="3">
        <v>400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</row>
    <row r="330" spans="1:21" x14ac:dyDescent="0.2">
      <c r="A330" t="s">
        <v>832</v>
      </c>
      <c r="B330">
        <v>2711</v>
      </c>
      <c r="C330">
        <v>1</v>
      </c>
      <c r="D330" t="s">
        <v>385</v>
      </c>
      <c r="E330" s="3">
        <v>428.92</v>
      </c>
      <c r="F330" s="3">
        <v>428.92</v>
      </c>
      <c r="G330" s="3">
        <v>136.87</v>
      </c>
      <c r="H330" s="3">
        <v>136.87</v>
      </c>
      <c r="I330" s="3">
        <v>136.87</v>
      </c>
      <c r="J330" s="3">
        <v>136.87</v>
      </c>
      <c r="K330" s="3">
        <v>136.87</v>
      </c>
      <c r="L330" s="3">
        <v>136.87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</row>
    <row r="331" spans="1:21" x14ac:dyDescent="0.2">
      <c r="A331" t="s">
        <v>832</v>
      </c>
      <c r="B331">
        <v>2752</v>
      </c>
      <c r="C331">
        <v>1</v>
      </c>
      <c r="D331" t="s">
        <v>386</v>
      </c>
      <c r="E331" s="3">
        <v>190.56</v>
      </c>
      <c r="F331" s="3">
        <v>190.56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</row>
    <row r="332" spans="1:21" x14ac:dyDescent="0.2">
      <c r="A332" t="s">
        <v>832</v>
      </c>
      <c r="B332">
        <v>2753</v>
      </c>
      <c r="C332">
        <v>1</v>
      </c>
      <c r="D332" t="s">
        <v>387</v>
      </c>
      <c r="E332" s="3">
        <v>415</v>
      </c>
      <c r="F332" s="3">
        <v>415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</row>
    <row r="333" spans="1:21" x14ac:dyDescent="0.2">
      <c r="A333" t="s">
        <v>832</v>
      </c>
      <c r="B333">
        <v>2754</v>
      </c>
      <c r="C333">
        <v>1</v>
      </c>
      <c r="D333" t="s">
        <v>388</v>
      </c>
      <c r="E333" s="3">
        <v>659.98</v>
      </c>
      <c r="F333" s="3">
        <v>659.98</v>
      </c>
      <c r="G333" s="3">
        <v>538.09</v>
      </c>
      <c r="H333" s="3">
        <v>538.09</v>
      </c>
      <c r="I333" s="3">
        <v>538.09</v>
      </c>
      <c r="J333" s="3">
        <v>538.09</v>
      </c>
      <c r="K333" s="3">
        <v>538.09</v>
      </c>
      <c r="L333" s="3">
        <v>538.09</v>
      </c>
      <c r="M333" s="3">
        <v>290</v>
      </c>
      <c r="N333" s="3">
        <v>290</v>
      </c>
      <c r="O333" s="3">
        <v>290</v>
      </c>
      <c r="P333" s="3">
        <v>290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</row>
    <row r="334" spans="1:21" x14ac:dyDescent="0.2">
      <c r="A334" t="s">
        <v>832</v>
      </c>
      <c r="B334">
        <v>2759</v>
      </c>
      <c r="C334">
        <v>1</v>
      </c>
      <c r="D334" t="s">
        <v>389</v>
      </c>
      <c r="E334" s="3">
        <v>359.82</v>
      </c>
      <c r="F334" s="3">
        <v>359.82</v>
      </c>
      <c r="G334" s="3">
        <v>300</v>
      </c>
      <c r="H334" s="3">
        <v>300</v>
      </c>
      <c r="I334" s="3">
        <v>300</v>
      </c>
      <c r="J334" s="3">
        <v>300</v>
      </c>
      <c r="K334" s="3">
        <v>300</v>
      </c>
      <c r="L334" s="3">
        <v>300</v>
      </c>
      <c r="M334" s="3">
        <v>300</v>
      </c>
      <c r="N334" s="3">
        <v>300</v>
      </c>
      <c r="O334" s="3">
        <v>300</v>
      </c>
      <c r="P334" s="3">
        <v>300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</row>
    <row r="335" spans="1:21" x14ac:dyDescent="0.2">
      <c r="A335" t="s">
        <v>832</v>
      </c>
      <c r="B335">
        <v>2805</v>
      </c>
      <c r="C335">
        <v>1</v>
      </c>
      <c r="D335" t="s">
        <v>390</v>
      </c>
      <c r="E335" s="3">
        <v>623.24</v>
      </c>
      <c r="F335" s="3">
        <v>623.24</v>
      </c>
      <c r="G335" s="3">
        <v>209.29</v>
      </c>
      <c r="H335" s="3">
        <v>209.29</v>
      </c>
      <c r="I335" s="3">
        <v>209.29</v>
      </c>
      <c r="J335" s="3">
        <v>209.29</v>
      </c>
      <c r="K335" s="3">
        <v>209.29</v>
      </c>
      <c r="L335" s="3">
        <v>209.29</v>
      </c>
      <c r="M335" s="3">
        <v>209.29</v>
      </c>
      <c r="N335" s="3">
        <v>209.29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</row>
    <row r="336" spans="1:21" x14ac:dyDescent="0.2">
      <c r="A336" t="s">
        <v>832</v>
      </c>
      <c r="B336">
        <v>2835</v>
      </c>
      <c r="C336">
        <v>1</v>
      </c>
      <c r="D336" t="s">
        <v>391</v>
      </c>
      <c r="E336" s="3">
        <v>734.11</v>
      </c>
      <c r="F336" s="3">
        <v>731</v>
      </c>
      <c r="G336" s="3">
        <v>317.54000000000002</v>
      </c>
      <c r="H336" s="3">
        <v>317.54000000000002</v>
      </c>
      <c r="I336" s="3">
        <v>317.54000000000002</v>
      </c>
      <c r="J336" s="3">
        <v>317.54000000000002</v>
      </c>
      <c r="K336" s="3">
        <v>317.54000000000002</v>
      </c>
      <c r="L336" s="3">
        <v>317.54000000000002</v>
      </c>
      <c r="M336" s="3">
        <v>317.54000000000002</v>
      </c>
      <c r="N336" s="3">
        <v>317.54000000000002</v>
      </c>
      <c r="O336" s="3">
        <v>317.54000000000002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</row>
    <row r="337" spans="1:21" x14ac:dyDescent="0.2">
      <c r="A337" t="s">
        <v>832</v>
      </c>
      <c r="B337">
        <v>2853</v>
      </c>
      <c r="C337">
        <v>1</v>
      </c>
      <c r="D337" t="s">
        <v>392</v>
      </c>
      <c r="E337" s="3">
        <v>342.13</v>
      </c>
      <c r="F337" s="3">
        <v>342.13</v>
      </c>
      <c r="G337" s="3">
        <v>501.86</v>
      </c>
      <c r="H337" s="3">
        <v>501.86</v>
      </c>
      <c r="I337" s="3">
        <v>501.86</v>
      </c>
      <c r="J337" s="3">
        <v>501.86</v>
      </c>
      <c r="K337" s="3">
        <v>501.86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</row>
    <row r="338" spans="1:21" x14ac:dyDescent="0.2">
      <c r="A338" t="s">
        <v>832</v>
      </c>
      <c r="B338">
        <v>2854</v>
      </c>
      <c r="C338">
        <v>1</v>
      </c>
      <c r="D338" t="s">
        <v>393</v>
      </c>
      <c r="E338" s="3">
        <v>323.5</v>
      </c>
      <c r="F338" s="3">
        <v>323.5</v>
      </c>
      <c r="G338" s="3">
        <v>400</v>
      </c>
      <c r="H338" s="3">
        <v>400</v>
      </c>
      <c r="I338" s="3">
        <v>400</v>
      </c>
      <c r="J338" s="3">
        <v>400</v>
      </c>
      <c r="K338" s="3">
        <v>400</v>
      </c>
      <c r="L338" s="3">
        <v>400</v>
      </c>
      <c r="M338" s="3">
        <v>400</v>
      </c>
      <c r="N338" s="3">
        <v>400</v>
      </c>
      <c r="O338" s="3">
        <v>400</v>
      </c>
      <c r="P338" s="3">
        <v>400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</row>
    <row r="339" spans="1:21" x14ac:dyDescent="0.2">
      <c r="A339" t="s">
        <v>832</v>
      </c>
      <c r="B339">
        <v>2856</v>
      </c>
      <c r="C339">
        <v>1</v>
      </c>
      <c r="D339" t="s">
        <v>394</v>
      </c>
      <c r="E339" s="3">
        <v>837.79</v>
      </c>
      <c r="F339" s="3">
        <v>837.79</v>
      </c>
      <c r="G339" s="3">
        <v>426.51</v>
      </c>
      <c r="H339" s="3">
        <v>426.51</v>
      </c>
      <c r="I339" s="3">
        <v>426.51</v>
      </c>
      <c r="J339" s="3">
        <v>426.51</v>
      </c>
      <c r="K339" s="3">
        <v>237.79</v>
      </c>
      <c r="L339" s="3">
        <v>237.79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</row>
    <row r="340" spans="1:21" x14ac:dyDescent="0.2">
      <c r="A340" t="s">
        <v>832</v>
      </c>
      <c r="B340">
        <v>2859</v>
      </c>
      <c r="C340">
        <v>1</v>
      </c>
      <c r="D340" t="s">
        <v>395</v>
      </c>
      <c r="E340" s="3">
        <v>494.96</v>
      </c>
      <c r="F340" s="3">
        <v>494.96</v>
      </c>
      <c r="G340" s="3">
        <v>80.959999999999923</v>
      </c>
      <c r="H340" s="3">
        <v>80.959999999999923</v>
      </c>
      <c r="I340" s="3">
        <v>80.959999999999923</v>
      </c>
      <c r="J340" s="3">
        <v>80.959999999999923</v>
      </c>
      <c r="K340" s="3">
        <v>80.959999999999923</v>
      </c>
      <c r="L340" s="3">
        <v>80.959999999999923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</row>
    <row r="341" spans="1:21" x14ac:dyDescent="0.2">
      <c r="A341" t="s">
        <v>832</v>
      </c>
      <c r="B341">
        <v>2860</v>
      </c>
      <c r="C341">
        <v>1</v>
      </c>
      <c r="D341" t="s">
        <v>396</v>
      </c>
      <c r="E341" s="3">
        <v>455</v>
      </c>
      <c r="F341" s="3">
        <v>455</v>
      </c>
      <c r="G341" s="3">
        <v>42.09</v>
      </c>
      <c r="H341" s="3">
        <v>42.09</v>
      </c>
      <c r="I341" s="3">
        <v>42.09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</row>
    <row r="342" spans="1:21" x14ac:dyDescent="0.2">
      <c r="A342" t="s">
        <v>832</v>
      </c>
      <c r="B342">
        <v>2884</v>
      </c>
      <c r="C342">
        <v>1</v>
      </c>
      <c r="D342" t="s">
        <v>397</v>
      </c>
      <c r="E342" s="3">
        <v>287.20999999999998</v>
      </c>
      <c r="F342" s="3">
        <v>287.20999999999998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</row>
    <row r="343" spans="1:21" x14ac:dyDescent="0.2">
      <c r="A343" t="s">
        <v>832</v>
      </c>
      <c r="B343">
        <v>2886</v>
      </c>
      <c r="C343">
        <v>1</v>
      </c>
      <c r="D343" t="s">
        <v>398</v>
      </c>
      <c r="E343" s="3">
        <v>846.76</v>
      </c>
      <c r="F343" s="3">
        <v>846.76</v>
      </c>
      <c r="G343" s="3">
        <v>433.34</v>
      </c>
      <c r="H343" s="3">
        <v>433.34</v>
      </c>
      <c r="I343" s="3">
        <v>433.34</v>
      </c>
      <c r="J343" s="3">
        <v>433.34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</row>
    <row r="344" spans="1:21" x14ac:dyDescent="0.2">
      <c r="A344" t="s">
        <v>832</v>
      </c>
      <c r="B344">
        <v>2887</v>
      </c>
      <c r="C344">
        <v>1</v>
      </c>
      <c r="D344" t="s">
        <v>399</v>
      </c>
      <c r="E344" s="3">
        <v>203.78</v>
      </c>
      <c r="F344" s="3">
        <v>203.78</v>
      </c>
      <c r="G344" s="3">
        <v>250</v>
      </c>
      <c r="H344" s="3">
        <v>250</v>
      </c>
      <c r="I344" s="3">
        <v>250</v>
      </c>
      <c r="J344" s="3">
        <v>250</v>
      </c>
      <c r="K344" s="3">
        <v>250</v>
      </c>
      <c r="L344" s="3">
        <v>250</v>
      </c>
      <c r="M344" s="3">
        <v>250</v>
      </c>
      <c r="N344" s="3">
        <v>250</v>
      </c>
      <c r="O344" s="3">
        <v>250</v>
      </c>
      <c r="P344" s="3">
        <v>250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</row>
    <row r="345" spans="1:21" x14ac:dyDescent="0.2">
      <c r="A345" t="s">
        <v>832</v>
      </c>
      <c r="B345">
        <v>2888</v>
      </c>
      <c r="C345">
        <v>1</v>
      </c>
      <c r="D345" t="s">
        <v>400</v>
      </c>
      <c r="E345" s="3">
        <v>296.83</v>
      </c>
      <c r="F345" s="3">
        <v>296.83</v>
      </c>
      <c r="G345" s="3">
        <v>126</v>
      </c>
      <c r="H345" s="3">
        <v>126</v>
      </c>
      <c r="I345" s="3">
        <v>126</v>
      </c>
      <c r="J345" s="3">
        <v>126</v>
      </c>
      <c r="K345" s="3">
        <v>126</v>
      </c>
      <c r="L345" s="3">
        <v>126</v>
      </c>
      <c r="M345" s="3">
        <v>126</v>
      </c>
      <c r="N345" s="3">
        <v>126</v>
      </c>
      <c r="O345" s="3">
        <v>126</v>
      </c>
      <c r="P345" s="3">
        <v>126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</row>
    <row r="346" spans="1:21" x14ac:dyDescent="0.2">
      <c r="A346" t="s">
        <v>832</v>
      </c>
      <c r="B346">
        <v>2889</v>
      </c>
      <c r="C346">
        <v>1</v>
      </c>
      <c r="D346" t="s">
        <v>401</v>
      </c>
      <c r="E346" s="3">
        <v>107.78</v>
      </c>
      <c r="F346" s="3">
        <v>415</v>
      </c>
      <c r="G346" s="3">
        <v>3.5800000000000267</v>
      </c>
      <c r="H346" s="3">
        <v>3.5800000000000267</v>
      </c>
      <c r="I346" s="3">
        <v>3.5800000000000267</v>
      </c>
      <c r="J346" s="3">
        <v>3.5800000000000267</v>
      </c>
      <c r="K346" s="3">
        <v>3.5800000000000267</v>
      </c>
      <c r="L346" s="3">
        <v>3.5800000000000267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</row>
    <row r="347" spans="1:21" x14ac:dyDescent="0.2">
      <c r="A347" t="s">
        <v>832</v>
      </c>
      <c r="B347">
        <v>2890</v>
      </c>
      <c r="C347">
        <v>1</v>
      </c>
      <c r="D347" t="s">
        <v>402</v>
      </c>
      <c r="E347" s="3">
        <v>0</v>
      </c>
      <c r="F347" s="3">
        <v>800</v>
      </c>
      <c r="G347" s="3">
        <v>388.02</v>
      </c>
      <c r="H347" s="3">
        <v>388.02</v>
      </c>
      <c r="I347" s="3">
        <v>388.02</v>
      </c>
      <c r="J347" s="3">
        <v>388.02</v>
      </c>
      <c r="K347" s="3">
        <v>388.02</v>
      </c>
      <c r="L347" s="3">
        <v>388.02</v>
      </c>
      <c r="M347" s="3">
        <v>388.02</v>
      </c>
      <c r="N347" s="3">
        <v>388.02</v>
      </c>
      <c r="O347" s="3">
        <v>388.02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</row>
    <row r="348" spans="1:21" x14ac:dyDescent="0.2">
      <c r="A348" t="s">
        <v>832</v>
      </c>
      <c r="B348">
        <v>2895</v>
      </c>
      <c r="C348">
        <v>1</v>
      </c>
      <c r="D348" t="s">
        <v>403</v>
      </c>
      <c r="E348" s="3">
        <v>114.64</v>
      </c>
      <c r="F348" s="3">
        <v>114.64</v>
      </c>
      <c r="G348" s="3">
        <v>50</v>
      </c>
      <c r="H348" s="3">
        <v>50</v>
      </c>
      <c r="I348" s="3">
        <v>50</v>
      </c>
      <c r="J348" s="3">
        <v>50</v>
      </c>
      <c r="K348" s="3">
        <v>50</v>
      </c>
      <c r="L348" s="3">
        <v>50</v>
      </c>
      <c r="M348" s="3">
        <v>50</v>
      </c>
      <c r="N348" s="3">
        <v>50</v>
      </c>
      <c r="O348" s="3">
        <v>50</v>
      </c>
      <c r="P348" s="3">
        <v>50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</row>
    <row r="349" spans="1:21" x14ac:dyDescent="0.2">
      <c r="A349" t="s">
        <v>832</v>
      </c>
      <c r="B349">
        <v>2897</v>
      </c>
      <c r="C349">
        <v>1</v>
      </c>
      <c r="D349" t="s">
        <v>404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</row>
    <row r="350" spans="1:21" x14ac:dyDescent="0.2">
      <c r="A350" t="s">
        <v>832</v>
      </c>
      <c r="B350">
        <v>2898</v>
      </c>
      <c r="C350">
        <v>1</v>
      </c>
      <c r="D350" t="s">
        <v>405</v>
      </c>
      <c r="E350" s="3">
        <v>724.38</v>
      </c>
      <c r="F350" s="3">
        <v>724.38</v>
      </c>
      <c r="G350" s="3">
        <v>312.91000000000003</v>
      </c>
      <c r="H350" s="3">
        <v>312.91000000000003</v>
      </c>
      <c r="I350" s="3">
        <v>312.91000000000003</v>
      </c>
      <c r="J350" s="3">
        <v>312.91000000000003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</row>
    <row r="352" spans="1:21" x14ac:dyDescent="0.2">
      <c r="A352" t="s">
        <v>833</v>
      </c>
      <c r="B352">
        <v>1</v>
      </c>
      <c r="C352">
        <v>1</v>
      </c>
      <c r="D352" t="s">
        <v>63</v>
      </c>
      <c r="E352" s="40">
        <v>0</v>
      </c>
      <c r="F352" s="40">
        <v>0</v>
      </c>
      <c r="G352" s="40">
        <v>0</v>
      </c>
      <c r="H352" s="40">
        <v>0</v>
      </c>
      <c r="I352" s="40">
        <v>0</v>
      </c>
      <c r="J352" s="40">
        <v>0</v>
      </c>
      <c r="K352" s="40">
        <v>0</v>
      </c>
      <c r="L352" s="40">
        <v>0</v>
      </c>
      <c r="M352" s="40">
        <v>0</v>
      </c>
      <c r="N352" s="40">
        <v>0</v>
      </c>
      <c r="O352" s="40">
        <v>0</v>
      </c>
      <c r="P352" s="40">
        <v>0</v>
      </c>
      <c r="Q352" s="40">
        <v>0</v>
      </c>
      <c r="R352" s="40">
        <v>0</v>
      </c>
      <c r="S352" s="40">
        <v>0</v>
      </c>
      <c r="T352" s="40">
        <v>0</v>
      </c>
      <c r="U352" s="40">
        <v>0</v>
      </c>
    </row>
    <row r="353" spans="1:21" x14ac:dyDescent="0.2">
      <c r="A353" t="s">
        <v>833</v>
      </c>
      <c r="B353">
        <v>1.2</v>
      </c>
      <c r="C353">
        <v>3</v>
      </c>
      <c r="D353" t="s">
        <v>64</v>
      </c>
      <c r="E353" s="40">
        <v>0</v>
      </c>
      <c r="F353" s="40">
        <v>0</v>
      </c>
      <c r="G353" s="40">
        <v>0</v>
      </c>
      <c r="H353" s="40">
        <v>0</v>
      </c>
      <c r="I353" s="40">
        <v>0</v>
      </c>
      <c r="J353" s="40">
        <v>0</v>
      </c>
      <c r="K353" s="40">
        <v>0</v>
      </c>
      <c r="L353" s="40">
        <v>0</v>
      </c>
      <c r="M353" s="40">
        <v>0</v>
      </c>
      <c r="N353" s="40">
        <v>0</v>
      </c>
      <c r="O353" s="40">
        <v>0</v>
      </c>
      <c r="P353" s="40">
        <v>0</v>
      </c>
      <c r="Q353" s="40">
        <v>0</v>
      </c>
      <c r="R353" s="40">
        <v>0</v>
      </c>
      <c r="S353" s="40">
        <v>0</v>
      </c>
      <c r="T353" s="40">
        <v>0</v>
      </c>
      <c r="U353" s="40">
        <v>0</v>
      </c>
    </row>
    <row r="354" spans="1:21" x14ac:dyDescent="0.2">
      <c r="A354" t="s">
        <v>833</v>
      </c>
      <c r="B354">
        <v>2</v>
      </c>
      <c r="C354">
        <v>1</v>
      </c>
      <c r="D354" t="s">
        <v>65</v>
      </c>
      <c r="E354" s="40">
        <v>0</v>
      </c>
      <c r="F354" s="40">
        <v>0</v>
      </c>
      <c r="G354" s="40">
        <v>0</v>
      </c>
      <c r="H354" s="40">
        <v>0</v>
      </c>
      <c r="I354" s="40">
        <v>0</v>
      </c>
      <c r="J354" s="40">
        <v>0</v>
      </c>
      <c r="K354" s="40">
        <v>0</v>
      </c>
      <c r="L354" s="40">
        <v>0</v>
      </c>
      <c r="M354" s="40">
        <v>0</v>
      </c>
      <c r="N354" s="40">
        <v>0</v>
      </c>
      <c r="O354" s="40">
        <v>0</v>
      </c>
      <c r="P354" s="40">
        <v>0</v>
      </c>
      <c r="Q354" s="40">
        <v>0</v>
      </c>
      <c r="R354" s="40">
        <v>0</v>
      </c>
      <c r="S354" s="40">
        <v>0</v>
      </c>
      <c r="T354" s="40">
        <v>0</v>
      </c>
      <c r="U354" s="40">
        <v>0</v>
      </c>
    </row>
    <row r="355" spans="1:21" x14ac:dyDescent="0.2">
      <c r="A355" t="s">
        <v>833</v>
      </c>
      <c r="B355">
        <v>4</v>
      </c>
      <c r="C355">
        <v>1</v>
      </c>
      <c r="D355" t="s">
        <v>66</v>
      </c>
      <c r="E355" s="40">
        <v>0</v>
      </c>
      <c r="F355" s="40">
        <v>0</v>
      </c>
      <c r="G355" s="40">
        <v>0</v>
      </c>
      <c r="H355" s="40">
        <v>0</v>
      </c>
      <c r="I355" s="40">
        <v>0</v>
      </c>
      <c r="J355" s="40">
        <v>0</v>
      </c>
      <c r="K355" s="40">
        <v>0</v>
      </c>
      <c r="L355" s="40">
        <v>0</v>
      </c>
      <c r="M355" s="40">
        <v>0</v>
      </c>
      <c r="N355" s="40">
        <v>0</v>
      </c>
      <c r="O355" s="40">
        <v>0</v>
      </c>
      <c r="P355" s="40">
        <v>0</v>
      </c>
      <c r="Q355" s="40">
        <v>0</v>
      </c>
      <c r="R355" s="40">
        <v>0</v>
      </c>
      <c r="S355" s="40">
        <v>0</v>
      </c>
      <c r="T355" s="40">
        <v>0</v>
      </c>
      <c r="U355" s="40">
        <v>0</v>
      </c>
    </row>
    <row r="356" spans="1:21" x14ac:dyDescent="0.2">
      <c r="A356" t="s">
        <v>833</v>
      </c>
      <c r="B356">
        <v>6</v>
      </c>
      <c r="C356">
        <v>3</v>
      </c>
      <c r="D356" t="s">
        <v>67</v>
      </c>
      <c r="E356" s="40">
        <v>0</v>
      </c>
      <c r="F356" s="40">
        <v>0</v>
      </c>
      <c r="G356" s="40">
        <v>0</v>
      </c>
      <c r="H356" s="40">
        <v>0</v>
      </c>
      <c r="I356" s="40">
        <v>0</v>
      </c>
      <c r="J356" s="40">
        <v>0</v>
      </c>
      <c r="K356" s="40">
        <v>0</v>
      </c>
      <c r="L356" s="40">
        <v>0</v>
      </c>
      <c r="M356" s="40">
        <v>0</v>
      </c>
      <c r="N356" s="40">
        <v>0</v>
      </c>
      <c r="O356" s="40">
        <v>0</v>
      </c>
      <c r="P356" s="40">
        <v>0</v>
      </c>
      <c r="Q356" s="40">
        <v>0</v>
      </c>
      <c r="R356" s="40">
        <v>0</v>
      </c>
      <c r="S356" s="40">
        <v>0</v>
      </c>
      <c r="T356" s="40">
        <v>0</v>
      </c>
      <c r="U356" s="40">
        <v>0</v>
      </c>
    </row>
    <row r="357" spans="1:21" x14ac:dyDescent="0.2">
      <c r="A357" t="s">
        <v>833</v>
      </c>
      <c r="B357">
        <v>11</v>
      </c>
      <c r="C357">
        <v>1</v>
      </c>
      <c r="D357" t="s">
        <v>68</v>
      </c>
      <c r="E357" s="40">
        <v>0</v>
      </c>
      <c r="F357" s="40">
        <v>0</v>
      </c>
      <c r="G357" s="40">
        <v>0</v>
      </c>
      <c r="H357" s="40">
        <v>0</v>
      </c>
      <c r="I357" s="40">
        <v>0</v>
      </c>
      <c r="J357" s="40">
        <v>0</v>
      </c>
      <c r="K357" s="40">
        <v>0</v>
      </c>
      <c r="L357" s="40">
        <v>0</v>
      </c>
      <c r="M357" s="40">
        <v>0</v>
      </c>
      <c r="N357" s="40">
        <v>0</v>
      </c>
      <c r="O357" s="40">
        <v>0</v>
      </c>
      <c r="P357" s="40">
        <v>0</v>
      </c>
      <c r="Q357" s="40">
        <v>0</v>
      </c>
      <c r="R357" s="40">
        <v>0</v>
      </c>
      <c r="S357" s="40">
        <v>0</v>
      </c>
      <c r="T357" s="40">
        <v>0</v>
      </c>
      <c r="U357" s="40">
        <v>0</v>
      </c>
    </row>
    <row r="358" spans="1:21" x14ac:dyDescent="0.2">
      <c r="A358" t="s">
        <v>833</v>
      </c>
      <c r="B358">
        <v>12</v>
      </c>
      <c r="C358">
        <v>1</v>
      </c>
      <c r="D358" t="s">
        <v>69</v>
      </c>
      <c r="E358" s="40">
        <v>0</v>
      </c>
      <c r="F358" s="40">
        <v>0</v>
      </c>
      <c r="G358" s="40">
        <v>0</v>
      </c>
      <c r="H358" s="40">
        <v>0</v>
      </c>
      <c r="I358" s="40">
        <v>0</v>
      </c>
      <c r="J358" s="40">
        <v>0</v>
      </c>
      <c r="K358" s="40">
        <v>0</v>
      </c>
      <c r="L358" s="40">
        <v>0</v>
      </c>
      <c r="M358" s="40">
        <v>0</v>
      </c>
      <c r="N358" s="40">
        <v>0</v>
      </c>
      <c r="O358" s="40">
        <v>0</v>
      </c>
      <c r="P358" s="40">
        <v>0</v>
      </c>
      <c r="Q358" s="40">
        <v>0</v>
      </c>
      <c r="R358" s="40">
        <v>0</v>
      </c>
      <c r="S358" s="40">
        <v>0</v>
      </c>
      <c r="T358" s="40">
        <v>0</v>
      </c>
      <c r="U358" s="40">
        <v>0</v>
      </c>
    </row>
    <row r="359" spans="1:21" x14ac:dyDescent="0.2">
      <c r="A359" t="s">
        <v>833</v>
      </c>
      <c r="B359">
        <v>13</v>
      </c>
      <c r="C359">
        <v>1</v>
      </c>
      <c r="D359" t="s">
        <v>70</v>
      </c>
      <c r="E359" s="40">
        <v>0</v>
      </c>
      <c r="F359" s="40">
        <v>0</v>
      </c>
      <c r="G359" s="40">
        <v>0</v>
      </c>
      <c r="H359" s="40">
        <v>0</v>
      </c>
      <c r="I359" s="40">
        <v>0</v>
      </c>
      <c r="J359" s="40">
        <v>0</v>
      </c>
      <c r="K359" s="40">
        <v>0</v>
      </c>
      <c r="L359" s="40">
        <v>0</v>
      </c>
      <c r="M359" s="40">
        <v>0</v>
      </c>
      <c r="N359" s="40">
        <v>0</v>
      </c>
      <c r="O359" s="40">
        <v>0</v>
      </c>
      <c r="P359" s="40">
        <v>0</v>
      </c>
      <c r="Q359" s="40">
        <v>0</v>
      </c>
      <c r="R359" s="40">
        <v>0</v>
      </c>
      <c r="S359" s="40">
        <v>0</v>
      </c>
      <c r="T359" s="40">
        <v>0</v>
      </c>
      <c r="U359" s="40">
        <v>0</v>
      </c>
    </row>
    <row r="360" spans="1:21" x14ac:dyDescent="0.2">
      <c r="A360" t="s">
        <v>833</v>
      </c>
      <c r="B360">
        <v>14</v>
      </c>
      <c r="C360">
        <v>1</v>
      </c>
      <c r="D360" t="s">
        <v>71</v>
      </c>
      <c r="E360" s="40">
        <v>0</v>
      </c>
      <c r="F360" s="40">
        <v>0</v>
      </c>
      <c r="G360" s="40">
        <v>0</v>
      </c>
      <c r="H360" s="40">
        <v>0</v>
      </c>
      <c r="I360" s="40">
        <v>0</v>
      </c>
      <c r="J360" s="40">
        <v>0</v>
      </c>
      <c r="K360" s="40">
        <v>0</v>
      </c>
      <c r="L360" s="40">
        <v>0</v>
      </c>
      <c r="M360" s="40">
        <v>0</v>
      </c>
      <c r="N360" s="40">
        <v>0</v>
      </c>
      <c r="O360" s="40">
        <v>0</v>
      </c>
      <c r="P360" s="40">
        <v>0</v>
      </c>
      <c r="Q360" s="40">
        <v>0</v>
      </c>
      <c r="R360" s="40">
        <v>0</v>
      </c>
      <c r="S360" s="40">
        <v>0</v>
      </c>
      <c r="T360" s="40">
        <v>0</v>
      </c>
      <c r="U360" s="40">
        <v>0</v>
      </c>
    </row>
    <row r="361" spans="1:21" x14ac:dyDescent="0.2">
      <c r="A361" t="s">
        <v>833</v>
      </c>
      <c r="B361">
        <v>15</v>
      </c>
      <c r="C361">
        <v>1</v>
      </c>
      <c r="D361" t="s">
        <v>72</v>
      </c>
      <c r="E361" s="40">
        <v>0</v>
      </c>
      <c r="F361" s="40">
        <v>0</v>
      </c>
      <c r="G361" s="40">
        <v>0</v>
      </c>
      <c r="H361" s="40">
        <v>0</v>
      </c>
      <c r="I361" s="40">
        <v>0</v>
      </c>
      <c r="J361" s="40">
        <v>0</v>
      </c>
      <c r="K361" s="40">
        <v>0</v>
      </c>
      <c r="L361" s="40">
        <v>0</v>
      </c>
      <c r="M361" s="40">
        <v>0</v>
      </c>
      <c r="N361" s="40">
        <v>0</v>
      </c>
      <c r="O361" s="40">
        <v>0</v>
      </c>
      <c r="P361" s="40">
        <v>0</v>
      </c>
      <c r="Q361" s="40">
        <v>0</v>
      </c>
      <c r="R361" s="40">
        <v>0</v>
      </c>
      <c r="S361" s="40">
        <v>0</v>
      </c>
      <c r="T361" s="40">
        <v>0</v>
      </c>
      <c r="U361" s="40">
        <v>0</v>
      </c>
    </row>
    <row r="362" spans="1:21" x14ac:dyDescent="0.2">
      <c r="A362" t="s">
        <v>833</v>
      </c>
      <c r="B362">
        <v>16</v>
      </c>
      <c r="C362">
        <v>1</v>
      </c>
      <c r="D362" t="s">
        <v>73</v>
      </c>
      <c r="E362" s="40">
        <v>0</v>
      </c>
      <c r="F362" s="40">
        <v>0</v>
      </c>
      <c r="G362" s="40">
        <v>0</v>
      </c>
      <c r="H362" s="40">
        <v>0</v>
      </c>
      <c r="I362" s="40">
        <v>0</v>
      </c>
      <c r="J362" s="40">
        <v>0</v>
      </c>
      <c r="K362" s="40">
        <v>0</v>
      </c>
      <c r="L362" s="40">
        <v>0</v>
      </c>
      <c r="M362" s="40">
        <v>0</v>
      </c>
      <c r="N362" s="40">
        <v>0</v>
      </c>
      <c r="O362" s="40">
        <v>0</v>
      </c>
      <c r="P362" s="40">
        <v>0</v>
      </c>
      <c r="Q362" s="40">
        <v>0</v>
      </c>
      <c r="R362" s="40">
        <v>0</v>
      </c>
      <c r="S362" s="40">
        <v>0</v>
      </c>
      <c r="T362" s="40">
        <v>0</v>
      </c>
      <c r="U362" s="40">
        <v>0</v>
      </c>
    </row>
    <row r="363" spans="1:21" x14ac:dyDescent="0.2">
      <c r="A363" t="s">
        <v>833</v>
      </c>
      <c r="B363">
        <v>22</v>
      </c>
      <c r="C363">
        <v>1</v>
      </c>
      <c r="D363" t="s">
        <v>74</v>
      </c>
      <c r="E363" s="40">
        <v>0</v>
      </c>
      <c r="F363" s="40">
        <v>0</v>
      </c>
      <c r="G363" s="40">
        <v>0</v>
      </c>
      <c r="H363" s="40">
        <v>0</v>
      </c>
      <c r="I363" s="40">
        <v>0</v>
      </c>
      <c r="J363" s="40">
        <v>0</v>
      </c>
      <c r="K363" s="40">
        <v>0</v>
      </c>
      <c r="L363" s="40">
        <v>0</v>
      </c>
      <c r="M363" s="40">
        <v>0</v>
      </c>
      <c r="N363" s="40">
        <v>0</v>
      </c>
      <c r="O363" s="40">
        <v>0</v>
      </c>
      <c r="P363" s="40">
        <v>0</v>
      </c>
      <c r="Q363" s="40">
        <v>0</v>
      </c>
      <c r="R363" s="40">
        <v>0</v>
      </c>
      <c r="S363" s="40">
        <v>0</v>
      </c>
      <c r="T363" s="40">
        <v>0</v>
      </c>
      <c r="U363" s="40">
        <v>0</v>
      </c>
    </row>
    <row r="364" spans="1:21" x14ac:dyDescent="0.2">
      <c r="A364" t="s">
        <v>833</v>
      </c>
      <c r="B364">
        <v>23</v>
      </c>
      <c r="C364">
        <v>1</v>
      </c>
      <c r="D364" t="s">
        <v>75</v>
      </c>
      <c r="E364" s="40">
        <v>0</v>
      </c>
      <c r="F364" s="40">
        <v>0</v>
      </c>
      <c r="G364" s="40">
        <v>0</v>
      </c>
      <c r="H364" s="40">
        <v>0</v>
      </c>
      <c r="I364" s="40">
        <v>0</v>
      </c>
      <c r="J364" s="40">
        <v>0</v>
      </c>
      <c r="K364" s="40">
        <v>0</v>
      </c>
      <c r="L364" s="40">
        <v>0</v>
      </c>
      <c r="M364" s="40">
        <v>0</v>
      </c>
      <c r="N364" s="40">
        <v>0</v>
      </c>
      <c r="O364" s="40">
        <v>0</v>
      </c>
      <c r="P364" s="40">
        <v>0</v>
      </c>
      <c r="Q364" s="40">
        <v>0</v>
      </c>
      <c r="R364" s="40">
        <v>0</v>
      </c>
      <c r="S364" s="40">
        <v>0</v>
      </c>
      <c r="T364" s="40">
        <v>0</v>
      </c>
      <c r="U364" s="40">
        <v>0</v>
      </c>
    </row>
    <row r="365" spans="1:21" x14ac:dyDescent="0.2">
      <c r="A365" t="s">
        <v>833</v>
      </c>
      <c r="B365">
        <v>25</v>
      </c>
      <c r="C365">
        <v>1</v>
      </c>
      <c r="D365" t="s">
        <v>76</v>
      </c>
      <c r="E365" s="40">
        <v>0</v>
      </c>
      <c r="F365" s="40">
        <v>0</v>
      </c>
      <c r="G365" s="40">
        <v>0</v>
      </c>
      <c r="H365" s="40">
        <v>0</v>
      </c>
      <c r="I365" s="40">
        <v>0</v>
      </c>
      <c r="J365" s="40">
        <v>0</v>
      </c>
      <c r="K365" s="40">
        <v>0</v>
      </c>
      <c r="L365" s="40">
        <v>0</v>
      </c>
      <c r="M365" s="40">
        <v>0</v>
      </c>
      <c r="N365" s="40">
        <v>0</v>
      </c>
      <c r="O365" s="40">
        <v>0</v>
      </c>
      <c r="P365" s="40">
        <v>0</v>
      </c>
      <c r="Q365" s="40">
        <v>0</v>
      </c>
      <c r="R365" s="40">
        <v>0</v>
      </c>
      <c r="S365" s="40">
        <v>0</v>
      </c>
      <c r="T365" s="40">
        <v>0</v>
      </c>
      <c r="U365" s="40">
        <v>0</v>
      </c>
    </row>
    <row r="366" spans="1:21" x14ac:dyDescent="0.2">
      <c r="A366" t="s">
        <v>833</v>
      </c>
      <c r="B366">
        <v>31</v>
      </c>
      <c r="C366">
        <v>1</v>
      </c>
      <c r="D366" t="s">
        <v>77</v>
      </c>
      <c r="E366" s="40">
        <v>0</v>
      </c>
      <c r="F366" s="40">
        <v>0</v>
      </c>
      <c r="G366" s="40">
        <v>0</v>
      </c>
      <c r="H366" s="40">
        <v>0</v>
      </c>
      <c r="I366" s="40">
        <v>0</v>
      </c>
      <c r="J366" s="40">
        <v>0</v>
      </c>
      <c r="K366" s="40">
        <v>0</v>
      </c>
      <c r="L366" s="40">
        <v>0</v>
      </c>
      <c r="M366" s="40">
        <v>0</v>
      </c>
      <c r="N366" s="40">
        <v>0</v>
      </c>
      <c r="O366" s="40">
        <v>0</v>
      </c>
      <c r="P366" s="40">
        <v>0</v>
      </c>
      <c r="Q366" s="40">
        <v>0</v>
      </c>
      <c r="R366" s="40">
        <v>0</v>
      </c>
      <c r="S366" s="40">
        <v>0</v>
      </c>
      <c r="T366" s="40">
        <v>0</v>
      </c>
      <c r="U366" s="40">
        <v>0</v>
      </c>
    </row>
    <row r="367" spans="1:21" x14ac:dyDescent="0.2">
      <c r="A367" t="s">
        <v>833</v>
      </c>
      <c r="B367">
        <v>32</v>
      </c>
      <c r="C367">
        <v>1</v>
      </c>
      <c r="D367" t="s">
        <v>78</v>
      </c>
      <c r="E367" s="40">
        <v>0</v>
      </c>
      <c r="F367" s="40">
        <v>0</v>
      </c>
      <c r="G367" s="40">
        <v>0</v>
      </c>
      <c r="H367" s="40">
        <v>0</v>
      </c>
      <c r="I367" s="40">
        <v>0</v>
      </c>
      <c r="J367" s="40">
        <v>0</v>
      </c>
      <c r="K367" s="40">
        <v>0</v>
      </c>
      <c r="L367" s="40">
        <v>0</v>
      </c>
      <c r="M367" s="40">
        <v>0</v>
      </c>
      <c r="N367" s="40">
        <v>0</v>
      </c>
      <c r="O367" s="40">
        <v>0</v>
      </c>
      <c r="P367" s="40">
        <v>0</v>
      </c>
      <c r="Q367" s="40">
        <v>0</v>
      </c>
      <c r="R367" s="40">
        <v>0</v>
      </c>
      <c r="S367" s="40">
        <v>0</v>
      </c>
      <c r="T367" s="40">
        <v>0</v>
      </c>
      <c r="U367" s="40">
        <v>0</v>
      </c>
    </row>
    <row r="368" spans="1:21" x14ac:dyDescent="0.2">
      <c r="A368" t="s">
        <v>833</v>
      </c>
      <c r="B368">
        <v>36</v>
      </c>
      <c r="C368">
        <v>1</v>
      </c>
      <c r="D368" t="s">
        <v>79</v>
      </c>
      <c r="E368" s="40">
        <v>0</v>
      </c>
      <c r="F368" s="40">
        <v>0</v>
      </c>
      <c r="G368" s="40">
        <v>0</v>
      </c>
      <c r="H368" s="40">
        <v>0</v>
      </c>
      <c r="I368" s="40">
        <v>0</v>
      </c>
      <c r="J368" s="40">
        <v>0</v>
      </c>
      <c r="K368" s="40">
        <v>0</v>
      </c>
      <c r="L368" s="40">
        <v>0</v>
      </c>
      <c r="M368" s="40">
        <v>0</v>
      </c>
      <c r="N368" s="40">
        <v>0</v>
      </c>
      <c r="O368" s="40">
        <v>0</v>
      </c>
      <c r="P368" s="40">
        <v>0</v>
      </c>
      <c r="Q368" s="40">
        <v>0</v>
      </c>
      <c r="R368" s="40">
        <v>0</v>
      </c>
      <c r="S368" s="40">
        <v>0</v>
      </c>
      <c r="T368" s="40">
        <v>0</v>
      </c>
      <c r="U368" s="40">
        <v>0</v>
      </c>
    </row>
    <row r="369" spans="1:21" x14ac:dyDescent="0.2">
      <c r="A369" t="s">
        <v>833</v>
      </c>
      <c r="B369">
        <v>38</v>
      </c>
      <c r="C369">
        <v>1</v>
      </c>
      <c r="D369" t="s">
        <v>80</v>
      </c>
      <c r="E369" s="40">
        <v>0</v>
      </c>
      <c r="F369" s="40">
        <v>0</v>
      </c>
      <c r="G369" s="40">
        <v>0</v>
      </c>
      <c r="H369" s="40">
        <v>0</v>
      </c>
      <c r="I369" s="40">
        <v>0</v>
      </c>
      <c r="J369" s="40">
        <v>0</v>
      </c>
      <c r="K369" s="40">
        <v>0</v>
      </c>
      <c r="L369" s="40">
        <v>0</v>
      </c>
      <c r="M369" s="40">
        <v>0</v>
      </c>
      <c r="N369" s="40">
        <v>0</v>
      </c>
      <c r="O369" s="40">
        <v>0</v>
      </c>
      <c r="P369" s="40">
        <v>0</v>
      </c>
      <c r="Q369" s="40">
        <v>0</v>
      </c>
      <c r="R369" s="40">
        <v>0</v>
      </c>
      <c r="S369" s="40">
        <v>0</v>
      </c>
      <c r="T369" s="40">
        <v>0</v>
      </c>
      <c r="U369" s="40">
        <v>0</v>
      </c>
    </row>
    <row r="370" spans="1:21" x14ac:dyDescent="0.2">
      <c r="A370" t="s">
        <v>833</v>
      </c>
      <c r="B370">
        <v>47</v>
      </c>
      <c r="C370">
        <v>1</v>
      </c>
      <c r="D370" t="s">
        <v>81</v>
      </c>
      <c r="E370" s="40">
        <v>0</v>
      </c>
      <c r="F370" s="40">
        <v>0</v>
      </c>
      <c r="G370" s="40">
        <v>0</v>
      </c>
      <c r="H370" s="40">
        <v>0</v>
      </c>
      <c r="I370" s="40">
        <v>0</v>
      </c>
      <c r="J370" s="40">
        <v>0</v>
      </c>
      <c r="K370" s="40">
        <v>0</v>
      </c>
      <c r="L370" s="40">
        <v>0</v>
      </c>
      <c r="M370" s="40">
        <v>0</v>
      </c>
      <c r="N370" s="40">
        <v>0</v>
      </c>
      <c r="O370" s="40">
        <v>0</v>
      </c>
      <c r="P370" s="40">
        <v>0</v>
      </c>
      <c r="Q370" s="40">
        <v>0</v>
      </c>
      <c r="R370" s="40">
        <v>0</v>
      </c>
      <c r="S370" s="40">
        <v>0</v>
      </c>
      <c r="T370" s="40">
        <v>0</v>
      </c>
      <c r="U370" s="40">
        <v>0</v>
      </c>
    </row>
    <row r="371" spans="1:21" x14ac:dyDescent="0.2">
      <c r="A371" t="s">
        <v>833</v>
      </c>
      <c r="B371">
        <v>51</v>
      </c>
      <c r="C371">
        <v>1</v>
      </c>
      <c r="D371" t="s">
        <v>82</v>
      </c>
      <c r="E371" s="40">
        <v>0</v>
      </c>
      <c r="F371" s="40">
        <v>0</v>
      </c>
      <c r="G371" s="40">
        <v>0</v>
      </c>
      <c r="H371" s="40">
        <v>0</v>
      </c>
      <c r="I371" s="40">
        <v>0</v>
      </c>
      <c r="J371" s="40">
        <v>0</v>
      </c>
      <c r="K371" s="40">
        <v>0</v>
      </c>
      <c r="L371" s="40">
        <v>0</v>
      </c>
      <c r="M371" s="40">
        <v>0</v>
      </c>
      <c r="N371" s="40">
        <v>0</v>
      </c>
      <c r="O371" s="40">
        <v>0</v>
      </c>
      <c r="P371" s="40">
        <v>0</v>
      </c>
      <c r="Q371" s="40">
        <v>0</v>
      </c>
      <c r="R371" s="40">
        <v>0</v>
      </c>
      <c r="S371" s="40">
        <v>0</v>
      </c>
      <c r="T371" s="40">
        <v>0</v>
      </c>
      <c r="U371" s="40">
        <v>0</v>
      </c>
    </row>
    <row r="372" spans="1:21" x14ac:dyDescent="0.2">
      <c r="A372" t="s">
        <v>833</v>
      </c>
      <c r="B372">
        <v>62</v>
      </c>
      <c r="C372">
        <v>1</v>
      </c>
      <c r="D372" t="s">
        <v>83</v>
      </c>
      <c r="E372" s="40">
        <v>0</v>
      </c>
      <c r="F372" s="40">
        <v>0</v>
      </c>
      <c r="G372" s="40">
        <v>0</v>
      </c>
      <c r="H372" s="40">
        <v>0</v>
      </c>
      <c r="I372" s="40">
        <v>0</v>
      </c>
      <c r="J372" s="40">
        <v>0</v>
      </c>
      <c r="K372" s="40">
        <v>0</v>
      </c>
      <c r="L372" s="40">
        <v>0</v>
      </c>
      <c r="M372" s="40">
        <v>0</v>
      </c>
      <c r="N372" s="40">
        <v>0</v>
      </c>
      <c r="O372" s="40">
        <v>0</v>
      </c>
      <c r="P372" s="40">
        <v>0</v>
      </c>
      <c r="Q372" s="40">
        <v>0</v>
      </c>
      <c r="R372" s="40">
        <v>0</v>
      </c>
      <c r="S372" s="40">
        <v>0</v>
      </c>
      <c r="T372" s="40">
        <v>0</v>
      </c>
      <c r="U372" s="40">
        <v>0</v>
      </c>
    </row>
    <row r="373" spans="1:21" x14ac:dyDescent="0.2">
      <c r="A373" t="s">
        <v>833</v>
      </c>
      <c r="B373">
        <v>75</v>
      </c>
      <c r="C373">
        <v>1</v>
      </c>
      <c r="D373" t="s">
        <v>84</v>
      </c>
      <c r="E373" s="40">
        <v>0</v>
      </c>
      <c r="F373" s="40">
        <v>0</v>
      </c>
      <c r="G373" s="40">
        <v>0</v>
      </c>
      <c r="H373" s="40">
        <v>0</v>
      </c>
      <c r="I373" s="40">
        <v>0</v>
      </c>
      <c r="J373" s="40">
        <v>0</v>
      </c>
      <c r="K373" s="40">
        <v>0</v>
      </c>
      <c r="L373" s="40">
        <v>0</v>
      </c>
      <c r="M373" s="40">
        <v>0</v>
      </c>
      <c r="N373" s="40">
        <v>0</v>
      </c>
      <c r="O373" s="40">
        <v>0</v>
      </c>
      <c r="P373" s="40">
        <v>0</v>
      </c>
      <c r="Q373" s="40">
        <v>0</v>
      </c>
      <c r="R373" s="40">
        <v>0</v>
      </c>
      <c r="S373" s="40">
        <v>0</v>
      </c>
      <c r="T373" s="40">
        <v>0</v>
      </c>
      <c r="U373" s="40">
        <v>0</v>
      </c>
    </row>
    <row r="374" spans="1:21" x14ac:dyDescent="0.2">
      <c r="A374" t="s">
        <v>833</v>
      </c>
      <c r="B374">
        <v>77</v>
      </c>
      <c r="C374">
        <v>1</v>
      </c>
      <c r="D374" t="s">
        <v>85</v>
      </c>
      <c r="E374" s="40">
        <v>0</v>
      </c>
      <c r="F374" s="40">
        <v>0</v>
      </c>
      <c r="G374" s="40">
        <v>0</v>
      </c>
      <c r="H374" s="40">
        <v>0</v>
      </c>
      <c r="I374" s="40">
        <v>0</v>
      </c>
      <c r="J374" s="40">
        <v>0</v>
      </c>
      <c r="K374" s="40">
        <v>0</v>
      </c>
      <c r="L374" s="40">
        <v>0</v>
      </c>
      <c r="M374" s="40">
        <v>0</v>
      </c>
      <c r="N374" s="40">
        <v>0</v>
      </c>
      <c r="O374" s="40">
        <v>0</v>
      </c>
      <c r="P374" s="40">
        <v>0</v>
      </c>
      <c r="Q374" s="40">
        <v>0</v>
      </c>
      <c r="R374" s="40">
        <v>0</v>
      </c>
      <c r="S374" s="40">
        <v>0</v>
      </c>
      <c r="T374" s="40">
        <v>0</v>
      </c>
      <c r="U374" s="40">
        <v>0</v>
      </c>
    </row>
    <row r="375" spans="1:21" x14ac:dyDescent="0.2">
      <c r="A375" t="s">
        <v>833</v>
      </c>
      <c r="B375">
        <v>81</v>
      </c>
      <c r="C375">
        <v>1</v>
      </c>
      <c r="D375" t="s">
        <v>86</v>
      </c>
      <c r="E375" s="40">
        <v>0</v>
      </c>
      <c r="F375" s="40">
        <v>0</v>
      </c>
      <c r="G375" s="40">
        <v>0</v>
      </c>
      <c r="H375" s="40">
        <v>0</v>
      </c>
      <c r="I375" s="40">
        <v>0</v>
      </c>
      <c r="J375" s="40">
        <v>0</v>
      </c>
      <c r="K375" s="40">
        <v>0</v>
      </c>
      <c r="L375" s="40">
        <v>0</v>
      </c>
      <c r="M375" s="40">
        <v>0</v>
      </c>
      <c r="N375" s="40">
        <v>0</v>
      </c>
      <c r="O375" s="40">
        <v>0</v>
      </c>
      <c r="P375" s="40">
        <v>0</v>
      </c>
      <c r="Q375" s="40">
        <v>0</v>
      </c>
      <c r="R375" s="40">
        <v>0</v>
      </c>
      <c r="S375" s="40">
        <v>0</v>
      </c>
      <c r="T375" s="40">
        <v>0</v>
      </c>
      <c r="U375" s="40">
        <v>0</v>
      </c>
    </row>
    <row r="376" spans="1:21" x14ac:dyDescent="0.2">
      <c r="A376" t="s">
        <v>833</v>
      </c>
      <c r="B376">
        <v>84</v>
      </c>
      <c r="C376">
        <v>1</v>
      </c>
      <c r="D376" t="s">
        <v>87</v>
      </c>
      <c r="E376" s="40">
        <v>0</v>
      </c>
      <c r="F376" s="40">
        <v>0</v>
      </c>
      <c r="G376" s="40">
        <v>0</v>
      </c>
      <c r="H376" s="40">
        <v>0</v>
      </c>
      <c r="I376" s="40">
        <v>0</v>
      </c>
      <c r="J376" s="40">
        <v>0</v>
      </c>
      <c r="K376" s="40">
        <v>0</v>
      </c>
      <c r="L376" s="40">
        <v>0</v>
      </c>
      <c r="M376" s="40">
        <v>0</v>
      </c>
      <c r="N376" s="40">
        <v>0</v>
      </c>
      <c r="O376" s="40">
        <v>0</v>
      </c>
      <c r="P376" s="40">
        <v>0</v>
      </c>
      <c r="Q376" s="40">
        <v>0</v>
      </c>
      <c r="R376" s="40">
        <v>0</v>
      </c>
      <c r="S376" s="40">
        <v>0</v>
      </c>
      <c r="T376" s="40">
        <v>0</v>
      </c>
      <c r="U376" s="40">
        <v>0</v>
      </c>
    </row>
    <row r="377" spans="1:21" x14ac:dyDescent="0.2">
      <c r="A377" t="s">
        <v>833</v>
      </c>
      <c r="B377">
        <v>85</v>
      </c>
      <c r="C377">
        <v>1</v>
      </c>
      <c r="D377" t="s">
        <v>88</v>
      </c>
      <c r="E377" s="40">
        <v>0</v>
      </c>
      <c r="F377" s="40">
        <v>0</v>
      </c>
      <c r="G377" s="40">
        <v>0</v>
      </c>
      <c r="H377" s="40">
        <v>0</v>
      </c>
      <c r="I377" s="40">
        <v>0</v>
      </c>
      <c r="J377" s="40">
        <v>0</v>
      </c>
      <c r="K377" s="40">
        <v>0</v>
      </c>
      <c r="L377" s="40">
        <v>0</v>
      </c>
      <c r="M377" s="40">
        <v>0</v>
      </c>
      <c r="N377" s="40">
        <v>0</v>
      </c>
      <c r="O377" s="40">
        <v>0</v>
      </c>
      <c r="P377" s="40">
        <v>0</v>
      </c>
      <c r="Q377" s="40">
        <v>0</v>
      </c>
      <c r="R377" s="40">
        <v>0</v>
      </c>
      <c r="S377" s="40">
        <v>0</v>
      </c>
      <c r="T377" s="40">
        <v>0</v>
      </c>
      <c r="U377" s="40">
        <v>0</v>
      </c>
    </row>
    <row r="378" spans="1:21" x14ac:dyDescent="0.2">
      <c r="A378" t="s">
        <v>833</v>
      </c>
      <c r="B378">
        <v>88</v>
      </c>
      <c r="C378">
        <v>1</v>
      </c>
      <c r="D378" t="s">
        <v>89</v>
      </c>
      <c r="E378" s="40">
        <v>0</v>
      </c>
      <c r="F378" s="40">
        <v>0</v>
      </c>
      <c r="G378" s="40">
        <v>0</v>
      </c>
      <c r="H378" s="40">
        <v>0</v>
      </c>
      <c r="I378" s="40">
        <v>0</v>
      </c>
      <c r="J378" s="40">
        <v>0</v>
      </c>
      <c r="K378" s="40">
        <v>0</v>
      </c>
      <c r="L378" s="40">
        <v>0</v>
      </c>
      <c r="M378" s="40">
        <v>0</v>
      </c>
      <c r="N378" s="40">
        <v>0</v>
      </c>
      <c r="O378" s="40">
        <v>0</v>
      </c>
      <c r="P378" s="40">
        <v>0</v>
      </c>
      <c r="Q378" s="40">
        <v>0</v>
      </c>
      <c r="R378" s="40">
        <v>0</v>
      </c>
      <c r="S378" s="40">
        <v>0</v>
      </c>
      <c r="T378" s="40">
        <v>0</v>
      </c>
      <c r="U378" s="40">
        <v>0</v>
      </c>
    </row>
    <row r="379" spans="1:21" x14ac:dyDescent="0.2">
      <c r="A379" t="s">
        <v>833</v>
      </c>
      <c r="B379">
        <v>91</v>
      </c>
      <c r="C379">
        <v>1</v>
      </c>
      <c r="D379" t="s">
        <v>90</v>
      </c>
      <c r="E379" s="40">
        <v>0</v>
      </c>
      <c r="F379" s="40">
        <v>0</v>
      </c>
      <c r="G379" s="40">
        <v>0</v>
      </c>
      <c r="H379" s="40">
        <v>0</v>
      </c>
      <c r="I379" s="40">
        <v>0</v>
      </c>
      <c r="J379" s="40">
        <v>0</v>
      </c>
      <c r="K379" s="40">
        <v>0</v>
      </c>
      <c r="L379" s="40">
        <v>0</v>
      </c>
      <c r="M379" s="40">
        <v>0</v>
      </c>
      <c r="N379" s="40">
        <v>0</v>
      </c>
      <c r="O379" s="40">
        <v>0</v>
      </c>
      <c r="P379" s="40">
        <v>0</v>
      </c>
      <c r="Q379" s="40">
        <v>0</v>
      </c>
      <c r="R379" s="40">
        <v>0</v>
      </c>
      <c r="S379" s="40">
        <v>0</v>
      </c>
      <c r="T379" s="40">
        <v>0</v>
      </c>
      <c r="U379" s="40">
        <v>0</v>
      </c>
    </row>
    <row r="380" spans="1:21" x14ac:dyDescent="0.2">
      <c r="A380" t="s">
        <v>833</v>
      </c>
      <c r="B380">
        <v>93</v>
      </c>
      <c r="C380">
        <v>1</v>
      </c>
      <c r="D380" t="s">
        <v>91</v>
      </c>
      <c r="E380" s="40">
        <v>0</v>
      </c>
      <c r="F380" s="40">
        <v>0</v>
      </c>
      <c r="G380" s="40">
        <v>0</v>
      </c>
      <c r="H380" s="40">
        <v>0</v>
      </c>
      <c r="I380" s="40">
        <v>0</v>
      </c>
      <c r="J380" s="40">
        <v>0</v>
      </c>
      <c r="K380" s="40">
        <v>0</v>
      </c>
      <c r="L380" s="40">
        <v>0</v>
      </c>
      <c r="M380" s="40">
        <v>0</v>
      </c>
      <c r="N380" s="40">
        <v>0</v>
      </c>
      <c r="O380" s="40">
        <v>0</v>
      </c>
      <c r="P380" s="40">
        <v>0</v>
      </c>
      <c r="Q380" s="40">
        <v>0</v>
      </c>
      <c r="R380" s="40">
        <v>0</v>
      </c>
      <c r="S380" s="40">
        <v>0</v>
      </c>
      <c r="T380" s="40">
        <v>0</v>
      </c>
      <c r="U380" s="40">
        <v>0</v>
      </c>
    </row>
    <row r="381" spans="1:21" x14ac:dyDescent="0.2">
      <c r="A381" t="s">
        <v>833</v>
      </c>
      <c r="B381">
        <v>94</v>
      </c>
      <c r="C381">
        <v>1</v>
      </c>
      <c r="D381" t="s">
        <v>92</v>
      </c>
      <c r="E381" s="40">
        <v>0</v>
      </c>
      <c r="F381" s="40">
        <v>0</v>
      </c>
      <c r="G381" s="40">
        <v>0</v>
      </c>
      <c r="H381" s="40">
        <v>0</v>
      </c>
      <c r="I381" s="40">
        <v>0</v>
      </c>
      <c r="J381" s="40">
        <v>0</v>
      </c>
      <c r="K381" s="40">
        <v>0</v>
      </c>
      <c r="L381" s="40">
        <v>0</v>
      </c>
      <c r="M381" s="40">
        <v>0</v>
      </c>
      <c r="N381" s="40">
        <v>0</v>
      </c>
      <c r="O381" s="40">
        <v>0</v>
      </c>
      <c r="P381" s="40">
        <v>0</v>
      </c>
      <c r="Q381" s="40">
        <v>0</v>
      </c>
      <c r="R381" s="40">
        <v>0</v>
      </c>
      <c r="S381" s="40">
        <v>0</v>
      </c>
      <c r="T381" s="40">
        <v>0</v>
      </c>
      <c r="U381" s="40">
        <v>0</v>
      </c>
    </row>
    <row r="382" spans="1:21" x14ac:dyDescent="0.2">
      <c r="A382" t="s">
        <v>833</v>
      </c>
      <c r="B382">
        <v>95</v>
      </c>
      <c r="C382">
        <v>1</v>
      </c>
      <c r="D382" t="s">
        <v>93</v>
      </c>
      <c r="E382" s="40">
        <v>0</v>
      </c>
      <c r="F382" s="40">
        <v>0</v>
      </c>
      <c r="G382" s="40">
        <v>0</v>
      </c>
      <c r="H382" s="40">
        <v>0</v>
      </c>
      <c r="I382" s="40">
        <v>0</v>
      </c>
      <c r="J382" s="40">
        <v>0</v>
      </c>
      <c r="K382" s="40">
        <v>0</v>
      </c>
      <c r="L382" s="40">
        <v>0</v>
      </c>
      <c r="M382" s="40">
        <v>0</v>
      </c>
      <c r="N382" s="40">
        <v>0</v>
      </c>
      <c r="O382" s="40">
        <v>0</v>
      </c>
      <c r="P382" s="40">
        <v>0</v>
      </c>
      <c r="Q382" s="40">
        <v>0</v>
      </c>
      <c r="R382" s="40">
        <v>0</v>
      </c>
      <c r="S382" s="40">
        <v>0</v>
      </c>
      <c r="T382" s="40">
        <v>0</v>
      </c>
      <c r="U382" s="40">
        <v>0</v>
      </c>
    </row>
    <row r="383" spans="1:21" x14ac:dyDescent="0.2">
      <c r="A383" t="s">
        <v>833</v>
      </c>
      <c r="B383">
        <v>97</v>
      </c>
      <c r="C383">
        <v>1</v>
      </c>
      <c r="D383" t="s">
        <v>94</v>
      </c>
      <c r="E383" s="40">
        <v>0</v>
      </c>
      <c r="F383" s="40">
        <v>0</v>
      </c>
      <c r="G383" s="40">
        <v>0</v>
      </c>
      <c r="H383" s="40">
        <v>0</v>
      </c>
      <c r="I383" s="40">
        <v>0</v>
      </c>
      <c r="J383" s="40">
        <v>0</v>
      </c>
      <c r="K383" s="40">
        <v>0</v>
      </c>
      <c r="L383" s="40">
        <v>0</v>
      </c>
      <c r="M383" s="40">
        <v>0</v>
      </c>
      <c r="N383" s="40">
        <v>0</v>
      </c>
      <c r="O383" s="40">
        <v>0</v>
      </c>
      <c r="P383" s="40">
        <v>0</v>
      </c>
      <c r="Q383" s="40">
        <v>0</v>
      </c>
      <c r="R383" s="40">
        <v>0</v>
      </c>
      <c r="S383" s="40">
        <v>0</v>
      </c>
      <c r="T383" s="40">
        <v>0</v>
      </c>
      <c r="U383" s="40">
        <v>0</v>
      </c>
    </row>
    <row r="384" spans="1:21" x14ac:dyDescent="0.2">
      <c r="A384" t="s">
        <v>833</v>
      </c>
      <c r="B384">
        <v>99</v>
      </c>
      <c r="C384">
        <v>1</v>
      </c>
      <c r="D384" t="s">
        <v>95</v>
      </c>
      <c r="E384" s="40">
        <v>0</v>
      </c>
      <c r="F384" s="40">
        <v>0</v>
      </c>
      <c r="G384" s="40">
        <v>0</v>
      </c>
      <c r="H384" s="40">
        <v>0</v>
      </c>
      <c r="I384" s="40">
        <v>0</v>
      </c>
      <c r="J384" s="40">
        <v>0</v>
      </c>
      <c r="K384" s="40">
        <v>0</v>
      </c>
      <c r="L384" s="40">
        <v>0</v>
      </c>
      <c r="M384" s="40">
        <v>0</v>
      </c>
      <c r="N384" s="40">
        <v>0</v>
      </c>
      <c r="O384" s="40">
        <v>0</v>
      </c>
      <c r="P384" s="40">
        <v>0</v>
      </c>
      <c r="Q384" s="40">
        <v>0</v>
      </c>
      <c r="R384" s="40">
        <v>0</v>
      </c>
      <c r="S384" s="40">
        <v>0</v>
      </c>
      <c r="T384" s="40">
        <v>0</v>
      </c>
      <c r="U384" s="40">
        <v>0</v>
      </c>
    </row>
    <row r="385" spans="1:21" x14ac:dyDescent="0.2">
      <c r="A385" t="s">
        <v>833</v>
      </c>
      <c r="B385">
        <v>100</v>
      </c>
      <c r="C385">
        <v>1</v>
      </c>
      <c r="D385" t="s">
        <v>96</v>
      </c>
      <c r="E385" s="40">
        <v>0</v>
      </c>
      <c r="F385" s="40">
        <v>0</v>
      </c>
      <c r="G385" s="40">
        <v>0</v>
      </c>
      <c r="H385" s="40">
        <v>0</v>
      </c>
      <c r="I385" s="40">
        <v>0</v>
      </c>
      <c r="J385" s="40">
        <v>0</v>
      </c>
      <c r="K385" s="40">
        <v>0</v>
      </c>
      <c r="L385" s="40">
        <v>0</v>
      </c>
      <c r="M385" s="40">
        <v>0</v>
      </c>
      <c r="N385" s="40">
        <v>0</v>
      </c>
      <c r="O385" s="40">
        <v>0</v>
      </c>
      <c r="P385" s="40">
        <v>0</v>
      </c>
      <c r="Q385" s="40">
        <v>0</v>
      </c>
      <c r="R385" s="40">
        <v>0</v>
      </c>
      <c r="S385" s="40">
        <v>0</v>
      </c>
      <c r="T385" s="40">
        <v>0</v>
      </c>
      <c r="U385" s="40">
        <v>0</v>
      </c>
    </row>
    <row r="386" spans="1:21" x14ac:dyDescent="0.2">
      <c r="A386" t="s">
        <v>833</v>
      </c>
      <c r="B386">
        <v>108</v>
      </c>
      <c r="C386">
        <v>1</v>
      </c>
      <c r="D386" t="s">
        <v>97</v>
      </c>
      <c r="E386" s="40">
        <v>0</v>
      </c>
      <c r="F386" s="40">
        <v>0</v>
      </c>
      <c r="G386" s="40">
        <v>0</v>
      </c>
      <c r="H386" s="40">
        <v>0</v>
      </c>
      <c r="I386" s="40">
        <v>0</v>
      </c>
      <c r="J386" s="40">
        <v>0</v>
      </c>
      <c r="K386" s="40">
        <v>0</v>
      </c>
      <c r="L386" s="40">
        <v>0</v>
      </c>
      <c r="M386" s="40">
        <v>0</v>
      </c>
      <c r="N386" s="40">
        <v>0</v>
      </c>
      <c r="O386" s="40">
        <v>0</v>
      </c>
      <c r="P386" s="40">
        <v>0</v>
      </c>
      <c r="Q386" s="40">
        <v>0</v>
      </c>
      <c r="R386" s="40">
        <v>0</v>
      </c>
      <c r="S386" s="40">
        <v>0</v>
      </c>
      <c r="T386" s="40">
        <v>0</v>
      </c>
      <c r="U386" s="40">
        <v>0</v>
      </c>
    </row>
    <row r="387" spans="1:21" x14ac:dyDescent="0.2">
      <c r="A387" t="s">
        <v>833</v>
      </c>
      <c r="B387">
        <v>110</v>
      </c>
      <c r="C387">
        <v>1</v>
      </c>
      <c r="D387" t="s">
        <v>98</v>
      </c>
      <c r="E387" s="40">
        <v>0</v>
      </c>
      <c r="F387" s="40">
        <v>0</v>
      </c>
      <c r="G387" s="40">
        <v>0</v>
      </c>
      <c r="H387" s="40">
        <v>0</v>
      </c>
      <c r="I387" s="40">
        <v>0</v>
      </c>
      <c r="J387" s="40">
        <v>0</v>
      </c>
      <c r="K387" s="40">
        <v>0</v>
      </c>
      <c r="L387" s="40">
        <v>0</v>
      </c>
      <c r="M387" s="40">
        <v>0</v>
      </c>
      <c r="N387" s="40">
        <v>0</v>
      </c>
      <c r="O387" s="40">
        <v>0</v>
      </c>
      <c r="P387" s="40">
        <v>0</v>
      </c>
      <c r="Q387" s="40">
        <v>0</v>
      </c>
      <c r="R387" s="40">
        <v>0</v>
      </c>
      <c r="S387" s="40">
        <v>0</v>
      </c>
      <c r="T387" s="40">
        <v>0</v>
      </c>
      <c r="U387" s="40">
        <v>0</v>
      </c>
    </row>
    <row r="388" spans="1:21" x14ac:dyDescent="0.2">
      <c r="A388" t="s">
        <v>833</v>
      </c>
      <c r="B388">
        <v>111</v>
      </c>
      <c r="C388">
        <v>1</v>
      </c>
      <c r="D388" t="s">
        <v>99</v>
      </c>
      <c r="E388" s="40">
        <v>0</v>
      </c>
      <c r="F388" s="40">
        <v>0</v>
      </c>
      <c r="G388" s="40">
        <v>0</v>
      </c>
      <c r="H388" s="40">
        <v>0</v>
      </c>
      <c r="I388" s="40">
        <v>0</v>
      </c>
      <c r="J388" s="40">
        <v>0</v>
      </c>
      <c r="K388" s="40">
        <v>0</v>
      </c>
      <c r="L388" s="40">
        <v>0</v>
      </c>
      <c r="M388" s="40">
        <v>0</v>
      </c>
      <c r="N388" s="40">
        <v>0</v>
      </c>
      <c r="O388" s="40">
        <v>0</v>
      </c>
      <c r="P388" s="40">
        <v>0</v>
      </c>
      <c r="Q388" s="40">
        <v>0</v>
      </c>
      <c r="R388" s="40">
        <v>0</v>
      </c>
      <c r="S388" s="40">
        <v>0</v>
      </c>
      <c r="T388" s="40">
        <v>0</v>
      </c>
      <c r="U388" s="40">
        <v>0</v>
      </c>
    </row>
    <row r="389" spans="1:21" x14ac:dyDescent="0.2">
      <c r="A389" t="s">
        <v>833</v>
      </c>
      <c r="B389">
        <v>112</v>
      </c>
      <c r="C389">
        <v>1</v>
      </c>
      <c r="D389" t="s">
        <v>100</v>
      </c>
      <c r="E389" s="40">
        <v>0</v>
      </c>
      <c r="F389" s="40">
        <v>0</v>
      </c>
      <c r="G389" s="40">
        <v>0</v>
      </c>
      <c r="H389" s="40">
        <v>0</v>
      </c>
      <c r="I389" s="40">
        <v>0</v>
      </c>
      <c r="J389" s="40">
        <v>0</v>
      </c>
      <c r="K389" s="40">
        <v>0</v>
      </c>
      <c r="L389" s="40">
        <v>0</v>
      </c>
      <c r="M389" s="40">
        <v>0</v>
      </c>
      <c r="N389" s="40">
        <v>0</v>
      </c>
      <c r="O389" s="40">
        <v>0</v>
      </c>
      <c r="P389" s="40">
        <v>0</v>
      </c>
      <c r="Q389" s="40">
        <v>0</v>
      </c>
      <c r="R389" s="40">
        <v>0</v>
      </c>
      <c r="S389" s="40">
        <v>0</v>
      </c>
      <c r="T389" s="40">
        <v>0</v>
      </c>
      <c r="U389" s="40">
        <v>0</v>
      </c>
    </row>
    <row r="390" spans="1:21" x14ac:dyDescent="0.2">
      <c r="A390" t="s">
        <v>833</v>
      </c>
      <c r="B390">
        <v>113</v>
      </c>
      <c r="C390">
        <v>1</v>
      </c>
      <c r="D390" t="s">
        <v>101</v>
      </c>
      <c r="E390" s="40">
        <v>0</v>
      </c>
      <c r="F390" s="40">
        <v>0</v>
      </c>
      <c r="G390" s="40">
        <v>0</v>
      </c>
      <c r="H390" s="40">
        <v>0</v>
      </c>
      <c r="I390" s="40">
        <v>0</v>
      </c>
      <c r="J390" s="40">
        <v>0</v>
      </c>
      <c r="K390" s="40">
        <v>0</v>
      </c>
      <c r="L390" s="40">
        <v>0</v>
      </c>
      <c r="M390" s="40">
        <v>0</v>
      </c>
      <c r="N390" s="40">
        <v>0</v>
      </c>
      <c r="O390" s="40">
        <v>0</v>
      </c>
      <c r="P390" s="40">
        <v>0</v>
      </c>
      <c r="Q390" s="40">
        <v>0</v>
      </c>
      <c r="R390" s="40">
        <v>0</v>
      </c>
      <c r="S390" s="40">
        <v>0</v>
      </c>
      <c r="T390" s="40">
        <v>0</v>
      </c>
      <c r="U390" s="40">
        <v>0</v>
      </c>
    </row>
    <row r="391" spans="1:21" x14ac:dyDescent="0.2">
      <c r="A391" t="s">
        <v>833</v>
      </c>
      <c r="B391">
        <v>115</v>
      </c>
      <c r="C391">
        <v>1</v>
      </c>
      <c r="D391" t="s">
        <v>102</v>
      </c>
      <c r="E391" s="40">
        <v>0</v>
      </c>
      <c r="F391" s="40">
        <v>0</v>
      </c>
      <c r="G391" s="40">
        <v>0</v>
      </c>
      <c r="H391" s="40">
        <v>0</v>
      </c>
      <c r="I391" s="40">
        <v>0</v>
      </c>
      <c r="J391" s="40">
        <v>0</v>
      </c>
      <c r="K391" s="40">
        <v>0</v>
      </c>
      <c r="L391" s="40">
        <v>0</v>
      </c>
      <c r="M391" s="40">
        <v>0</v>
      </c>
      <c r="N391" s="40">
        <v>0</v>
      </c>
      <c r="O391" s="40">
        <v>0</v>
      </c>
      <c r="P391" s="40">
        <v>0</v>
      </c>
      <c r="Q391" s="40">
        <v>0</v>
      </c>
      <c r="R391" s="40">
        <v>0</v>
      </c>
      <c r="S391" s="40">
        <v>0</v>
      </c>
      <c r="T391" s="40">
        <v>0</v>
      </c>
      <c r="U391" s="40">
        <v>0</v>
      </c>
    </row>
    <row r="392" spans="1:21" x14ac:dyDescent="0.2">
      <c r="A392" t="s">
        <v>833</v>
      </c>
      <c r="B392">
        <v>116</v>
      </c>
      <c r="C392">
        <v>1</v>
      </c>
      <c r="D392" t="s">
        <v>103</v>
      </c>
      <c r="E392" s="40">
        <v>0</v>
      </c>
      <c r="F392" s="40">
        <v>0</v>
      </c>
      <c r="G392" s="40">
        <v>0</v>
      </c>
      <c r="H392" s="40">
        <v>0</v>
      </c>
      <c r="I392" s="40">
        <v>0</v>
      </c>
      <c r="J392" s="40">
        <v>0</v>
      </c>
      <c r="K392" s="40">
        <v>0</v>
      </c>
      <c r="L392" s="40">
        <v>0</v>
      </c>
      <c r="M392" s="40">
        <v>0</v>
      </c>
      <c r="N392" s="40">
        <v>0</v>
      </c>
      <c r="O392" s="40">
        <v>0</v>
      </c>
      <c r="P392" s="40">
        <v>0</v>
      </c>
      <c r="Q392" s="40">
        <v>0</v>
      </c>
      <c r="R392" s="40">
        <v>0</v>
      </c>
      <c r="S392" s="40">
        <v>0</v>
      </c>
      <c r="T392" s="40">
        <v>0</v>
      </c>
      <c r="U392" s="40">
        <v>0</v>
      </c>
    </row>
    <row r="393" spans="1:21" x14ac:dyDescent="0.2">
      <c r="A393" t="s">
        <v>833</v>
      </c>
      <c r="B393">
        <v>118</v>
      </c>
      <c r="C393">
        <v>1</v>
      </c>
      <c r="D393" t="s">
        <v>104</v>
      </c>
      <c r="E393" s="40">
        <v>0</v>
      </c>
      <c r="F393" s="40">
        <v>0</v>
      </c>
      <c r="G393" s="40">
        <v>0</v>
      </c>
      <c r="H393" s="40">
        <v>0</v>
      </c>
      <c r="I393" s="40">
        <v>0</v>
      </c>
      <c r="J393" s="40">
        <v>0</v>
      </c>
      <c r="K393" s="40">
        <v>0</v>
      </c>
      <c r="L393" s="40">
        <v>0</v>
      </c>
      <c r="M393" s="40">
        <v>0</v>
      </c>
      <c r="N393" s="40">
        <v>0</v>
      </c>
      <c r="O393" s="40">
        <v>0</v>
      </c>
      <c r="P393" s="40">
        <v>0</v>
      </c>
      <c r="Q393" s="40">
        <v>0</v>
      </c>
      <c r="R393" s="40">
        <v>0</v>
      </c>
      <c r="S393" s="40">
        <v>0</v>
      </c>
      <c r="T393" s="40">
        <v>0</v>
      </c>
      <c r="U393" s="40">
        <v>0</v>
      </c>
    </row>
    <row r="394" spans="1:21" x14ac:dyDescent="0.2">
      <c r="A394" t="s">
        <v>833</v>
      </c>
      <c r="B394">
        <v>129</v>
      </c>
      <c r="C394">
        <v>1</v>
      </c>
      <c r="D394" t="s">
        <v>105</v>
      </c>
      <c r="E394" s="40">
        <v>0</v>
      </c>
      <c r="F394" s="40">
        <v>0</v>
      </c>
      <c r="G394" s="40">
        <v>0</v>
      </c>
      <c r="H394" s="40">
        <v>0</v>
      </c>
      <c r="I394" s="40">
        <v>0</v>
      </c>
      <c r="J394" s="40">
        <v>0</v>
      </c>
      <c r="K394" s="40">
        <v>0</v>
      </c>
      <c r="L394" s="40">
        <v>0</v>
      </c>
      <c r="M394" s="40">
        <v>0</v>
      </c>
      <c r="N394" s="40">
        <v>0</v>
      </c>
      <c r="O394" s="40">
        <v>0</v>
      </c>
      <c r="P394" s="40">
        <v>0</v>
      </c>
      <c r="Q394" s="40">
        <v>0</v>
      </c>
      <c r="R394" s="40">
        <v>0</v>
      </c>
      <c r="S394" s="40">
        <v>0</v>
      </c>
      <c r="T394" s="40">
        <v>0</v>
      </c>
      <c r="U394" s="40">
        <v>0</v>
      </c>
    </row>
    <row r="395" spans="1:21" x14ac:dyDescent="0.2">
      <c r="A395" t="s">
        <v>833</v>
      </c>
      <c r="B395">
        <v>138</v>
      </c>
      <c r="C395">
        <v>1</v>
      </c>
      <c r="D395" t="s">
        <v>106</v>
      </c>
      <c r="E395" s="40">
        <v>0</v>
      </c>
      <c r="F395" s="40">
        <v>0</v>
      </c>
      <c r="G395" s="40">
        <v>0</v>
      </c>
      <c r="H395" s="40">
        <v>0</v>
      </c>
      <c r="I395" s="40">
        <v>0</v>
      </c>
      <c r="J395" s="40">
        <v>0</v>
      </c>
      <c r="K395" s="40">
        <v>0</v>
      </c>
      <c r="L395" s="40">
        <v>0</v>
      </c>
      <c r="M395" s="40">
        <v>0</v>
      </c>
      <c r="N395" s="40">
        <v>0</v>
      </c>
      <c r="O395" s="40">
        <v>0</v>
      </c>
      <c r="P395" s="40">
        <v>0</v>
      </c>
      <c r="Q395" s="40">
        <v>0</v>
      </c>
      <c r="R395" s="40">
        <v>0</v>
      </c>
      <c r="S395" s="40">
        <v>0</v>
      </c>
      <c r="T395" s="40">
        <v>0</v>
      </c>
      <c r="U395" s="40">
        <v>0</v>
      </c>
    </row>
    <row r="396" spans="1:21" x14ac:dyDescent="0.2">
      <c r="A396" t="s">
        <v>833</v>
      </c>
      <c r="B396">
        <v>139</v>
      </c>
      <c r="C396">
        <v>1</v>
      </c>
      <c r="D396" t="s">
        <v>107</v>
      </c>
      <c r="E396" s="40">
        <v>0</v>
      </c>
      <c r="F396" s="40">
        <v>0</v>
      </c>
      <c r="G396" s="40">
        <v>0</v>
      </c>
      <c r="H396" s="40">
        <v>0</v>
      </c>
      <c r="I396" s="40">
        <v>0</v>
      </c>
      <c r="J396" s="40">
        <v>0</v>
      </c>
      <c r="K396" s="40">
        <v>0</v>
      </c>
      <c r="L396" s="40">
        <v>0</v>
      </c>
      <c r="M396" s="40">
        <v>0</v>
      </c>
      <c r="N396" s="40">
        <v>0</v>
      </c>
      <c r="O396" s="40">
        <v>0</v>
      </c>
      <c r="P396" s="40">
        <v>0</v>
      </c>
      <c r="Q396" s="40">
        <v>0</v>
      </c>
      <c r="R396" s="40">
        <v>0</v>
      </c>
      <c r="S396" s="40">
        <v>0</v>
      </c>
      <c r="T396" s="40">
        <v>0</v>
      </c>
      <c r="U396" s="40">
        <v>0</v>
      </c>
    </row>
    <row r="397" spans="1:21" x14ac:dyDescent="0.2">
      <c r="A397" t="s">
        <v>833</v>
      </c>
      <c r="B397">
        <v>146</v>
      </c>
      <c r="C397">
        <v>1</v>
      </c>
      <c r="D397" t="s">
        <v>108</v>
      </c>
      <c r="E397" s="40">
        <v>0</v>
      </c>
      <c r="F397" s="40">
        <v>0</v>
      </c>
      <c r="G397" s="40">
        <v>0</v>
      </c>
      <c r="H397" s="40">
        <v>0</v>
      </c>
      <c r="I397" s="40">
        <v>0</v>
      </c>
      <c r="J397" s="40">
        <v>0</v>
      </c>
      <c r="K397" s="40">
        <v>0</v>
      </c>
      <c r="L397" s="40">
        <v>0</v>
      </c>
      <c r="M397" s="40">
        <v>0</v>
      </c>
      <c r="N397" s="40">
        <v>0</v>
      </c>
      <c r="O397" s="40">
        <v>0</v>
      </c>
      <c r="P397" s="40">
        <v>0</v>
      </c>
      <c r="Q397" s="40">
        <v>0</v>
      </c>
      <c r="R397" s="40">
        <v>0</v>
      </c>
      <c r="S397" s="40">
        <v>0</v>
      </c>
      <c r="T397" s="40">
        <v>0</v>
      </c>
      <c r="U397" s="40">
        <v>0</v>
      </c>
    </row>
    <row r="398" spans="1:21" x14ac:dyDescent="0.2">
      <c r="A398" t="s">
        <v>833</v>
      </c>
      <c r="B398">
        <v>150</v>
      </c>
      <c r="C398">
        <v>1</v>
      </c>
      <c r="D398" t="s">
        <v>109</v>
      </c>
      <c r="E398" s="40">
        <v>0</v>
      </c>
      <c r="F398" s="40">
        <v>0</v>
      </c>
      <c r="G398" s="40">
        <v>0</v>
      </c>
      <c r="H398" s="40">
        <v>0</v>
      </c>
      <c r="I398" s="40">
        <v>0</v>
      </c>
      <c r="J398" s="40">
        <v>0</v>
      </c>
      <c r="K398" s="40">
        <v>0</v>
      </c>
      <c r="L398" s="40">
        <v>0</v>
      </c>
      <c r="M398" s="40">
        <v>0</v>
      </c>
      <c r="N398" s="40">
        <v>0</v>
      </c>
      <c r="O398" s="40">
        <v>0</v>
      </c>
      <c r="P398" s="40">
        <v>0</v>
      </c>
      <c r="Q398" s="40">
        <v>0</v>
      </c>
      <c r="R398" s="40">
        <v>0</v>
      </c>
      <c r="S398" s="40">
        <v>0</v>
      </c>
      <c r="T398" s="40">
        <v>0</v>
      </c>
      <c r="U398" s="40">
        <v>0</v>
      </c>
    </row>
    <row r="399" spans="1:21" x14ac:dyDescent="0.2">
      <c r="A399" t="s">
        <v>833</v>
      </c>
      <c r="B399">
        <v>152</v>
      </c>
      <c r="C399">
        <v>1</v>
      </c>
      <c r="D399" t="s">
        <v>110</v>
      </c>
      <c r="E399" s="40">
        <v>0</v>
      </c>
      <c r="F399" s="40">
        <v>0</v>
      </c>
      <c r="G399" s="40">
        <v>0</v>
      </c>
      <c r="H399" s="40">
        <v>0</v>
      </c>
      <c r="I399" s="40">
        <v>0</v>
      </c>
      <c r="J399" s="40">
        <v>0</v>
      </c>
      <c r="K399" s="40">
        <v>0</v>
      </c>
      <c r="L399" s="40">
        <v>0</v>
      </c>
      <c r="M399" s="40">
        <v>0</v>
      </c>
      <c r="N399" s="40">
        <v>0</v>
      </c>
      <c r="O399" s="40">
        <v>0</v>
      </c>
      <c r="P399" s="40">
        <v>0</v>
      </c>
      <c r="Q399" s="40">
        <v>0</v>
      </c>
      <c r="R399" s="40">
        <v>0</v>
      </c>
      <c r="S399" s="40">
        <v>0</v>
      </c>
      <c r="T399" s="40">
        <v>0</v>
      </c>
      <c r="U399" s="40">
        <v>0</v>
      </c>
    </row>
    <row r="400" spans="1:21" x14ac:dyDescent="0.2">
      <c r="A400" t="s">
        <v>833</v>
      </c>
      <c r="B400">
        <v>162</v>
      </c>
      <c r="C400">
        <v>1</v>
      </c>
      <c r="D400" t="s">
        <v>111</v>
      </c>
      <c r="E400" s="40">
        <v>0</v>
      </c>
      <c r="F400" s="40">
        <v>0</v>
      </c>
      <c r="G400" s="40">
        <v>0</v>
      </c>
      <c r="H400" s="40">
        <v>0</v>
      </c>
      <c r="I400" s="40">
        <v>0</v>
      </c>
      <c r="J400" s="40">
        <v>0</v>
      </c>
      <c r="K400" s="40">
        <v>0</v>
      </c>
      <c r="L400" s="40">
        <v>0</v>
      </c>
      <c r="M400" s="40">
        <v>0</v>
      </c>
      <c r="N400" s="40">
        <v>0</v>
      </c>
      <c r="O400" s="40">
        <v>0</v>
      </c>
      <c r="P400" s="40">
        <v>0</v>
      </c>
      <c r="Q400" s="40">
        <v>0</v>
      </c>
      <c r="R400" s="40">
        <v>0</v>
      </c>
      <c r="S400" s="40">
        <v>0</v>
      </c>
      <c r="T400" s="40">
        <v>0</v>
      </c>
      <c r="U400" s="40">
        <v>0</v>
      </c>
    </row>
    <row r="401" spans="1:21" x14ac:dyDescent="0.2">
      <c r="A401" t="s">
        <v>833</v>
      </c>
      <c r="B401">
        <v>166</v>
      </c>
      <c r="C401">
        <v>1</v>
      </c>
      <c r="D401" t="s">
        <v>112</v>
      </c>
      <c r="E401" s="40">
        <v>0</v>
      </c>
      <c r="F401" s="40">
        <v>0</v>
      </c>
      <c r="G401" s="40">
        <v>0</v>
      </c>
      <c r="H401" s="40">
        <v>0</v>
      </c>
      <c r="I401" s="40">
        <v>0</v>
      </c>
      <c r="J401" s="40">
        <v>0</v>
      </c>
      <c r="K401" s="40">
        <v>0</v>
      </c>
      <c r="L401" s="40">
        <v>0</v>
      </c>
      <c r="M401" s="40">
        <v>0</v>
      </c>
      <c r="N401" s="40">
        <v>0</v>
      </c>
      <c r="O401" s="40">
        <v>0</v>
      </c>
      <c r="P401" s="40">
        <v>0</v>
      </c>
      <c r="Q401" s="40">
        <v>0</v>
      </c>
      <c r="R401" s="40">
        <v>0</v>
      </c>
      <c r="S401" s="40">
        <v>0</v>
      </c>
      <c r="T401" s="40">
        <v>0</v>
      </c>
      <c r="U401" s="40">
        <v>0</v>
      </c>
    </row>
    <row r="402" spans="1:21" x14ac:dyDescent="0.2">
      <c r="A402" t="s">
        <v>833</v>
      </c>
      <c r="B402">
        <v>173</v>
      </c>
      <c r="C402">
        <v>1</v>
      </c>
      <c r="D402" t="s">
        <v>113</v>
      </c>
      <c r="E402" s="40">
        <v>0</v>
      </c>
      <c r="F402" s="40">
        <v>0</v>
      </c>
      <c r="G402" s="40">
        <v>0</v>
      </c>
      <c r="H402" s="40">
        <v>0</v>
      </c>
      <c r="I402" s="40">
        <v>0</v>
      </c>
      <c r="J402" s="40">
        <v>0</v>
      </c>
      <c r="K402" s="40">
        <v>0</v>
      </c>
      <c r="L402" s="40">
        <v>0</v>
      </c>
      <c r="M402" s="40">
        <v>0</v>
      </c>
      <c r="N402" s="40">
        <v>0</v>
      </c>
      <c r="O402" s="40">
        <v>0</v>
      </c>
      <c r="P402" s="40">
        <v>0</v>
      </c>
      <c r="Q402" s="40">
        <v>0</v>
      </c>
      <c r="R402" s="40">
        <v>0</v>
      </c>
      <c r="S402" s="40">
        <v>0</v>
      </c>
      <c r="T402" s="40">
        <v>0</v>
      </c>
      <c r="U402" s="40">
        <v>0</v>
      </c>
    </row>
    <row r="403" spans="1:21" x14ac:dyDescent="0.2">
      <c r="A403" t="s">
        <v>833</v>
      </c>
      <c r="B403">
        <v>177</v>
      </c>
      <c r="C403">
        <v>1</v>
      </c>
      <c r="D403" t="s">
        <v>114</v>
      </c>
      <c r="E403" s="40">
        <v>0</v>
      </c>
      <c r="F403" s="40">
        <v>0</v>
      </c>
      <c r="G403" s="40">
        <v>0</v>
      </c>
      <c r="H403" s="40">
        <v>0</v>
      </c>
      <c r="I403" s="40">
        <v>0</v>
      </c>
      <c r="J403" s="40">
        <v>0</v>
      </c>
      <c r="K403" s="40">
        <v>0</v>
      </c>
      <c r="L403" s="40">
        <v>0</v>
      </c>
      <c r="M403" s="40">
        <v>0</v>
      </c>
      <c r="N403" s="40">
        <v>0</v>
      </c>
      <c r="O403" s="40">
        <v>0</v>
      </c>
      <c r="P403" s="40">
        <v>0</v>
      </c>
      <c r="Q403" s="40">
        <v>0</v>
      </c>
      <c r="R403" s="40">
        <v>0</v>
      </c>
      <c r="S403" s="40">
        <v>0</v>
      </c>
      <c r="T403" s="40">
        <v>0</v>
      </c>
      <c r="U403" s="40">
        <v>0</v>
      </c>
    </row>
    <row r="404" spans="1:21" x14ac:dyDescent="0.2">
      <c r="A404" t="s">
        <v>833</v>
      </c>
      <c r="B404">
        <v>181</v>
      </c>
      <c r="C404">
        <v>1</v>
      </c>
      <c r="D404" t="s">
        <v>115</v>
      </c>
      <c r="E404" s="40">
        <v>0</v>
      </c>
      <c r="F404" s="40">
        <v>0</v>
      </c>
      <c r="G404" s="40">
        <v>0</v>
      </c>
      <c r="H404" s="40">
        <v>0</v>
      </c>
      <c r="I404" s="40">
        <v>0</v>
      </c>
      <c r="J404" s="40">
        <v>0</v>
      </c>
      <c r="K404" s="40">
        <v>0</v>
      </c>
      <c r="L404" s="40">
        <v>0</v>
      </c>
      <c r="M404" s="40">
        <v>0</v>
      </c>
      <c r="N404" s="40">
        <v>0</v>
      </c>
      <c r="O404" s="40">
        <v>0</v>
      </c>
      <c r="P404" s="40">
        <v>0</v>
      </c>
      <c r="Q404" s="40">
        <v>0</v>
      </c>
      <c r="R404" s="40">
        <v>0</v>
      </c>
      <c r="S404" s="40">
        <v>0</v>
      </c>
      <c r="T404" s="40">
        <v>0</v>
      </c>
      <c r="U404" s="40">
        <v>0</v>
      </c>
    </row>
    <row r="405" spans="1:21" x14ac:dyDescent="0.2">
      <c r="A405" t="s">
        <v>833</v>
      </c>
      <c r="B405">
        <v>182</v>
      </c>
      <c r="C405">
        <v>1</v>
      </c>
      <c r="D405" t="s">
        <v>116</v>
      </c>
      <c r="E405" s="40">
        <v>0</v>
      </c>
      <c r="F405" s="40">
        <v>0</v>
      </c>
      <c r="G405" s="40">
        <v>0</v>
      </c>
      <c r="H405" s="40">
        <v>0</v>
      </c>
      <c r="I405" s="40">
        <v>0</v>
      </c>
      <c r="J405" s="40">
        <v>0</v>
      </c>
      <c r="K405" s="40">
        <v>0</v>
      </c>
      <c r="L405" s="40">
        <v>0</v>
      </c>
      <c r="M405" s="40">
        <v>0</v>
      </c>
      <c r="N405" s="40">
        <v>0</v>
      </c>
      <c r="O405" s="40">
        <v>0</v>
      </c>
      <c r="P405" s="40">
        <v>0</v>
      </c>
      <c r="Q405" s="40">
        <v>0</v>
      </c>
      <c r="R405" s="40">
        <v>0</v>
      </c>
      <c r="S405" s="40">
        <v>0</v>
      </c>
      <c r="T405" s="40">
        <v>0</v>
      </c>
      <c r="U405" s="40">
        <v>0</v>
      </c>
    </row>
    <row r="406" spans="1:21" x14ac:dyDescent="0.2">
      <c r="A406" t="s">
        <v>833</v>
      </c>
      <c r="B406">
        <v>186</v>
      </c>
      <c r="C406">
        <v>1</v>
      </c>
      <c r="D406" t="s">
        <v>117</v>
      </c>
      <c r="E406" s="40">
        <v>0</v>
      </c>
      <c r="F406" s="40">
        <v>0</v>
      </c>
      <c r="G406" s="40">
        <v>0</v>
      </c>
      <c r="H406" s="40">
        <v>0</v>
      </c>
      <c r="I406" s="40">
        <v>0</v>
      </c>
      <c r="J406" s="40">
        <v>0</v>
      </c>
      <c r="K406" s="40">
        <v>0</v>
      </c>
      <c r="L406" s="40">
        <v>0</v>
      </c>
      <c r="M406" s="40">
        <v>0</v>
      </c>
      <c r="N406" s="40">
        <v>0</v>
      </c>
      <c r="O406" s="40">
        <v>0</v>
      </c>
      <c r="P406" s="40">
        <v>0</v>
      </c>
      <c r="Q406" s="40">
        <v>0</v>
      </c>
      <c r="R406" s="40">
        <v>0</v>
      </c>
      <c r="S406" s="40">
        <v>0</v>
      </c>
      <c r="T406" s="40">
        <v>0</v>
      </c>
      <c r="U406" s="40">
        <v>0</v>
      </c>
    </row>
    <row r="407" spans="1:21" x14ac:dyDescent="0.2">
      <c r="A407" t="s">
        <v>833</v>
      </c>
      <c r="B407">
        <v>191</v>
      </c>
      <c r="C407">
        <v>1</v>
      </c>
      <c r="D407" t="s">
        <v>118</v>
      </c>
      <c r="E407" s="40">
        <v>0</v>
      </c>
      <c r="F407" s="40">
        <v>0</v>
      </c>
      <c r="G407" s="40">
        <v>0</v>
      </c>
      <c r="H407" s="3">
        <v>560.32000000000005</v>
      </c>
      <c r="I407" s="3">
        <v>560.32000000000005</v>
      </c>
      <c r="J407" s="3">
        <v>560.32000000000005</v>
      </c>
      <c r="K407" s="3">
        <v>152.04</v>
      </c>
      <c r="L407" s="3">
        <v>152.04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40">
        <v>0</v>
      </c>
      <c r="T407" s="40">
        <v>0</v>
      </c>
      <c r="U407" s="40">
        <v>0</v>
      </c>
    </row>
    <row r="408" spans="1:21" x14ac:dyDescent="0.2">
      <c r="A408" t="s">
        <v>833</v>
      </c>
      <c r="B408">
        <v>192</v>
      </c>
      <c r="C408">
        <v>1</v>
      </c>
      <c r="D408" t="s">
        <v>119</v>
      </c>
      <c r="E408" s="40">
        <v>0</v>
      </c>
      <c r="F408" s="40">
        <v>0</v>
      </c>
      <c r="G408" s="40">
        <v>0</v>
      </c>
      <c r="H408" s="40">
        <v>0</v>
      </c>
      <c r="I408" s="40">
        <v>0</v>
      </c>
      <c r="J408" s="40">
        <v>0</v>
      </c>
      <c r="K408" s="40">
        <v>0</v>
      </c>
      <c r="L408" s="40">
        <v>0</v>
      </c>
      <c r="M408" s="40">
        <v>0</v>
      </c>
      <c r="N408" s="40">
        <v>0</v>
      </c>
      <c r="O408" s="40">
        <v>0</v>
      </c>
      <c r="P408" s="40">
        <v>0</v>
      </c>
      <c r="Q408" s="40">
        <v>0</v>
      </c>
      <c r="R408" s="40">
        <v>0</v>
      </c>
      <c r="S408" s="40">
        <v>0</v>
      </c>
      <c r="T408" s="40">
        <v>0</v>
      </c>
      <c r="U408" s="40">
        <v>0</v>
      </c>
    </row>
    <row r="409" spans="1:21" x14ac:dyDescent="0.2">
      <c r="A409" t="s">
        <v>833</v>
      </c>
      <c r="B409">
        <v>194</v>
      </c>
      <c r="C409">
        <v>1</v>
      </c>
      <c r="D409" t="s">
        <v>120</v>
      </c>
      <c r="E409" s="40">
        <v>0</v>
      </c>
      <c r="F409" s="40">
        <v>0</v>
      </c>
      <c r="G409" s="40">
        <v>0</v>
      </c>
      <c r="H409" s="40">
        <v>0</v>
      </c>
      <c r="I409" s="40">
        <v>0</v>
      </c>
      <c r="J409" s="40">
        <v>0</v>
      </c>
      <c r="K409" s="40">
        <v>0</v>
      </c>
      <c r="L409" s="40">
        <v>0</v>
      </c>
      <c r="M409" s="40">
        <v>0</v>
      </c>
      <c r="N409" s="40">
        <v>0</v>
      </c>
      <c r="O409" s="40">
        <v>0</v>
      </c>
      <c r="P409" s="40">
        <v>0</v>
      </c>
      <c r="Q409" s="40">
        <v>0</v>
      </c>
      <c r="R409" s="40">
        <v>0</v>
      </c>
      <c r="S409" s="40">
        <v>0</v>
      </c>
      <c r="T409" s="40">
        <v>0</v>
      </c>
      <c r="U409" s="40">
        <v>0</v>
      </c>
    </row>
    <row r="410" spans="1:21" x14ac:dyDescent="0.2">
      <c r="A410" t="s">
        <v>833</v>
      </c>
      <c r="B410">
        <v>195</v>
      </c>
      <c r="C410">
        <v>1</v>
      </c>
      <c r="D410" t="s">
        <v>121</v>
      </c>
      <c r="E410" s="40">
        <v>0</v>
      </c>
      <c r="F410" s="40">
        <v>0</v>
      </c>
      <c r="G410" s="40">
        <v>0</v>
      </c>
      <c r="H410" s="40">
        <v>0</v>
      </c>
      <c r="I410" s="40">
        <v>0</v>
      </c>
      <c r="J410" s="40">
        <v>0</v>
      </c>
      <c r="K410" s="40">
        <v>0</v>
      </c>
      <c r="L410" s="40">
        <v>0</v>
      </c>
      <c r="M410" s="40">
        <v>0</v>
      </c>
      <c r="N410" s="40">
        <v>0</v>
      </c>
      <c r="O410" s="40">
        <v>0</v>
      </c>
      <c r="P410" s="40">
        <v>0</v>
      </c>
      <c r="Q410" s="40">
        <v>0</v>
      </c>
      <c r="R410" s="40">
        <v>0</v>
      </c>
      <c r="S410" s="40">
        <v>0</v>
      </c>
      <c r="T410" s="40">
        <v>0</v>
      </c>
      <c r="U410" s="40">
        <v>0</v>
      </c>
    </row>
    <row r="411" spans="1:21" x14ac:dyDescent="0.2">
      <c r="A411" t="s">
        <v>833</v>
      </c>
      <c r="B411">
        <v>196</v>
      </c>
      <c r="C411">
        <v>1</v>
      </c>
      <c r="D411" t="s">
        <v>122</v>
      </c>
      <c r="E411" s="40">
        <v>0</v>
      </c>
      <c r="F411" s="40">
        <v>0</v>
      </c>
      <c r="G411" s="40">
        <v>0</v>
      </c>
      <c r="H411" s="40">
        <v>0</v>
      </c>
      <c r="I411" s="40">
        <v>0</v>
      </c>
      <c r="J411" s="40">
        <v>0</v>
      </c>
      <c r="K411" s="40">
        <v>0</v>
      </c>
      <c r="L411" s="40">
        <v>0</v>
      </c>
      <c r="M411" s="40">
        <v>0</v>
      </c>
      <c r="N411" s="40">
        <v>0</v>
      </c>
      <c r="O411" s="40">
        <v>0</v>
      </c>
      <c r="P411" s="40">
        <v>0</v>
      </c>
      <c r="Q411" s="40">
        <v>0</v>
      </c>
      <c r="R411" s="40">
        <v>0</v>
      </c>
      <c r="S411" s="40">
        <v>0</v>
      </c>
      <c r="T411" s="40">
        <v>0</v>
      </c>
      <c r="U411" s="40">
        <v>0</v>
      </c>
    </row>
    <row r="412" spans="1:21" x14ac:dyDescent="0.2">
      <c r="A412" t="s">
        <v>833</v>
      </c>
      <c r="B412">
        <v>197</v>
      </c>
      <c r="C412">
        <v>1</v>
      </c>
      <c r="D412" t="s">
        <v>123</v>
      </c>
      <c r="E412" s="40">
        <v>0</v>
      </c>
      <c r="F412" s="40">
        <v>0</v>
      </c>
      <c r="G412" s="40">
        <v>0</v>
      </c>
      <c r="H412" s="40">
        <v>0</v>
      </c>
      <c r="I412" s="40">
        <v>0</v>
      </c>
      <c r="J412" s="40">
        <v>0</v>
      </c>
      <c r="K412" s="40">
        <v>0</v>
      </c>
      <c r="L412" s="40">
        <v>0</v>
      </c>
      <c r="M412" s="40">
        <v>0</v>
      </c>
      <c r="N412" s="40">
        <v>0</v>
      </c>
      <c r="O412" s="40">
        <v>0</v>
      </c>
      <c r="P412" s="40">
        <v>0</v>
      </c>
      <c r="Q412" s="40">
        <v>0</v>
      </c>
      <c r="R412" s="40">
        <v>0</v>
      </c>
      <c r="S412" s="40">
        <v>0</v>
      </c>
      <c r="T412" s="40">
        <v>0</v>
      </c>
      <c r="U412" s="40">
        <v>0</v>
      </c>
    </row>
    <row r="413" spans="1:21" x14ac:dyDescent="0.2">
      <c r="A413" t="s">
        <v>833</v>
      </c>
      <c r="B413">
        <v>199</v>
      </c>
      <c r="C413">
        <v>1</v>
      </c>
      <c r="D413" t="s">
        <v>124</v>
      </c>
      <c r="E413" s="40">
        <v>0</v>
      </c>
      <c r="F413" s="40">
        <v>0</v>
      </c>
      <c r="G413" s="40">
        <v>0</v>
      </c>
      <c r="H413" s="40">
        <v>88.1</v>
      </c>
      <c r="I413" s="40">
        <v>88.1</v>
      </c>
      <c r="J413" s="40">
        <v>88.1</v>
      </c>
      <c r="K413" s="40">
        <v>0</v>
      </c>
      <c r="L413" s="40">
        <v>0</v>
      </c>
      <c r="M413" s="40">
        <v>0</v>
      </c>
      <c r="N413" s="40">
        <v>0</v>
      </c>
      <c r="O413" s="40">
        <v>0</v>
      </c>
      <c r="P413" s="40">
        <v>0</v>
      </c>
      <c r="Q413" s="40">
        <v>0</v>
      </c>
      <c r="R413" s="40">
        <v>0</v>
      </c>
      <c r="S413" s="40">
        <v>0</v>
      </c>
      <c r="T413" s="40">
        <v>0</v>
      </c>
      <c r="U413" s="40">
        <v>0</v>
      </c>
    </row>
    <row r="414" spans="1:21" x14ac:dyDescent="0.2">
      <c r="A414" t="s">
        <v>833</v>
      </c>
      <c r="B414">
        <v>200</v>
      </c>
      <c r="C414">
        <v>1</v>
      </c>
      <c r="D414" t="s">
        <v>125</v>
      </c>
      <c r="E414" s="40">
        <v>0</v>
      </c>
      <c r="F414" s="40">
        <v>0</v>
      </c>
      <c r="G414" s="40">
        <v>0</v>
      </c>
      <c r="H414" s="40">
        <v>0</v>
      </c>
      <c r="I414" s="40">
        <v>0</v>
      </c>
      <c r="J414" s="40">
        <v>0</v>
      </c>
      <c r="K414" s="40">
        <v>0</v>
      </c>
      <c r="L414" s="40">
        <v>0</v>
      </c>
      <c r="M414" s="40">
        <v>0</v>
      </c>
      <c r="N414" s="40">
        <v>0</v>
      </c>
      <c r="O414" s="40">
        <v>0</v>
      </c>
      <c r="P414" s="40">
        <v>0</v>
      </c>
      <c r="Q414" s="40">
        <v>0</v>
      </c>
      <c r="R414" s="40">
        <v>0</v>
      </c>
      <c r="S414" s="40">
        <v>0</v>
      </c>
      <c r="T414" s="40">
        <v>0</v>
      </c>
      <c r="U414" s="40">
        <v>0</v>
      </c>
    </row>
    <row r="415" spans="1:21" x14ac:dyDescent="0.2">
      <c r="A415" t="s">
        <v>833</v>
      </c>
      <c r="B415">
        <v>203</v>
      </c>
      <c r="C415">
        <v>1</v>
      </c>
      <c r="D415" t="s">
        <v>126</v>
      </c>
      <c r="E415" s="40">
        <v>0</v>
      </c>
      <c r="F415" s="40">
        <v>0</v>
      </c>
      <c r="G415" s="40">
        <v>0</v>
      </c>
      <c r="H415" s="40">
        <v>0</v>
      </c>
      <c r="I415" s="40">
        <v>0</v>
      </c>
      <c r="J415" s="40">
        <v>0</v>
      </c>
      <c r="K415" s="40">
        <v>0</v>
      </c>
      <c r="L415" s="40">
        <v>0</v>
      </c>
      <c r="M415" s="40">
        <v>0</v>
      </c>
      <c r="N415" s="40">
        <v>0</v>
      </c>
      <c r="O415" s="40">
        <v>0</v>
      </c>
      <c r="P415" s="40">
        <v>0</v>
      </c>
      <c r="Q415" s="40">
        <v>0</v>
      </c>
      <c r="R415" s="40">
        <v>0</v>
      </c>
      <c r="S415" s="40">
        <v>0</v>
      </c>
      <c r="T415" s="40">
        <v>0</v>
      </c>
      <c r="U415" s="40">
        <v>0</v>
      </c>
    </row>
    <row r="416" spans="1:21" x14ac:dyDescent="0.2">
      <c r="A416" t="s">
        <v>833</v>
      </c>
      <c r="B416">
        <v>204</v>
      </c>
      <c r="C416">
        <v>1</v>
      </c>
      <c r="D416" t="s">
        <v>127</v>
      </c>
      <c r="E416" s="40">
        <v>0</v>
      </c>
      <c r="F416" s="40">
        <v>0</v>
      </c>
      <c r="G416" s="40">
        <v>0</v>
      </c>
      <c r="H416" s="40">
        <v>0</v>
      </c>
      <c r="I416" s="40">
        <v>0</v>
      </c>
      <c r="J416" s="40">
        <v>0</v>
      </c>
      <c r="K416" s="40">
        <v>0</v>
      </c>
      <c r="L416" s="40">
        <v>0</v>
      </c>
      <c r="M416" s="40">
        <v>0</v>
      </c>
      <c r="N416" s="40">
        <v>0</v>
      </c>
      <c r="O416" s="40">
        <v>0</v>
      </c>
      <c r="P416" s="40">
        <v>0</v>
      </c>
      <c r="Q416" s="40">
        <v>0</v>
      </c>
      <c r="R416" s="40">
        <v>0</v>
      </c>
      <c r="S416" s="40">
        <v>0</v>
      </c>
      <c r="T416" s="40">
        <v>0</v>
      </c>
      <c r="U416" s="40">
        <v>0</v>
      </c>
    </row>
    <row r="417" spans="1:21" x14ac:dyDescent="0.2">
      <c r="A417" t="s">
        <v>833</v>
      </c>
      <c r="B417">
        <v>206</v>
      </c>
      <c r="C417">
        <v>1</v>
      </c>
      <c r="D417" t="s">
        <v>128</v>
      </c>
      <c r="E417" s="40">
        <v>0</v>
      </c>
      <c r="F417" s="40">
        <v>0</v>
      </c>
      <c r="G417" s="40">
        <v>0</v>
      </c>
      <c r="H417" s="40">
        <v>0</v>
      </c>
      <c r="I417" s="40">
        <v>0</v>
      </c>
      <c r="J417" s="40">
        <v>0</v>
      </c>
      <c r="K417" s="40">
        <v>0</v>
      </c>
      <c r="L417" s="40">
        <v>0</v>
      </c>
      <c r="M417" s="40">
        <v>0</v>
      </c>
      <c r="N417" s="40">
        <v>0</v>
      </c>
      <c r="O417" s="40">
        <v>0</v>
      </c>
      <c r="P417" s="40">
        <v>0</v>
      </c>
      <c r="Q417" s="40">
        <v>0</v>
      </c>
      <c r="R417" s="40">
        <v>0</v>
      </c>
      <c r="S417" s="40">
        <v>0</v>
      </c>
      <c r="T417" s="40">
        <v>0</v>
      </c>
      <c r="U417" s="40">
        <v>0</v>
      </c>
    </row>
    <row r="418" spans="1:21" x14ac:dyDescent="0.2">
      <c r="A418" t="s">
        <v>833</v>
      </c>
      <c r="B418">
        <v>207</v>
      </c>
      <c r="C418">
        <v>1</v>
      </c>
      <c r="D418" t="s">
        <v>129</v>
      </c>
      <c r="E418" s="40">
        <v>0</v>
      </c>
      <c r="F418" s="40">
        <v>0</v>
      </c>
      <c r="G418" s="40">
        <v>0</v>
      </c>
      <c r="H418" s="40">
        <v>0</v>
      </c>
      <c r="I418" s="40">
        <v>0</v>
      </c>
      <c r="J418" s="40">
        <v>0</v>
      </c>
      <c r="K418" s="40">
        <v>0</v>
      </c>
      <c r="L418" s="40">
        <v>0</v>
      </c>
      <c r="M418" s="40">
        <v>0</v>
      </c>
      <c r="N418" s="40">
        <v>0</v>
      </c>
      <c r="O418" s="40">
        <v>0</v>
      </c>
      <c r="P418" s="40">
        <v>0</v>
      </c>
      <c r="Q418" s="40">
        <v>0</v>
      </c>
      <c r="R418" s="40">
        <v>0</v>
      </c>
      <c r="S418" s="40">
        <v>0</v>
      </c>
      <c r="T418" s="40">
        <v>0</v>
      </c>
      <c r="U418" s="40">
        <v>0</v>
      </c>
    </row>
    <row r="419" spans="1:21" x14ac:dyDescent="0.2">
      <c r="A419" t="s">
        <v>833</v>
      </c>
      <c r="B419">
        <v>208</v>
      </c>
      <c r="C419">
        <v>1</v>
      </c>
      <c r="D419" t="s">
        <v>130</v>
      </c>
      <c r="E419" s="40">
        <v>0</v>
      </c>
      <c r="F419" s="40">
        <v>0</v>
      </c>
      <c r="G419" s="40">
        <v>0</v>
      </c>
      <c r="H419" s="40">
        <v>0</v>
      </c>
      <c r="I419" s="40">
        <v>0</v>
      </c>
      <c r="J419" s="40">
        <v>0</v>
      </c>
      <c r="K419" s="40">
        <v>0</v>
      </c>
      <c r="L419" s="40">
        <v>0</v>
      </c>
      <c r="M419" s="40">
        <v>0</v>
      </c>
      <c r="N419" s="40">
        <v>0</v>
      </c>
      <c r="O419" s="40">
        <v>0</v>
      </c>
      <c r="P419" s="40">
        <v>0</v>
      </c>
      <c r="Q419" s="40">
        <v>0</v>
      </c>
      <c r="R419" s="40">
        <v>0</v>
      </c>
      <c r="S419" s="40">
        <v>0</v>
      </c>
      <c r="T419" s="40">
        <v>0</v>
      </c>
      <c r="U419" s="40">
        <v>0</v>
      </c>
    </row>
    <row r="420" spans="1:21" x14ac:dyDescent="0.2">
      <c r="A420" t="s">
        <v>833</v>
      </c>
      <c r="B420">
        <v>213</v>
      </c>
      <c r="C420">
        <v>1</v>
      </c>
      <c r="D420" t="s">
        <v>131</v>
      </c>
      <c r="E420" s="40">
        <v>0</v>
      </c>
      <c r="F420" s="40">
        <v>0</v>
      </c>
      <c r="G420" s="40">
        <v>0</v>
      </c>
      <c r="H420" s="40">
        <v>0</v>
      </c>
      <c r="I420" s="40">
        <v>0</v>
      </c>
      <c r="J420" s="40">
        <v>0</v>
      </c>
      <c r="K420" s="40">
        <v>0</v>
      </c>
      <c r="L420" s="40">
        <v>0</v>
      </c>
      <c r="M420" s="40">
        <v>0</v>
      </c>
      <c r="N420" s="40">
        <v>0</v>
      </c>
      <c r="O420" s="40">
        <v>0</v>
      </c>
      <c r="P420" s="40">
        <v>0</v>
      </c>
      <c r="Q420" s="40">
        <v>0</v>
      </c>
      <c r="R420" s="40">
        <v>0</v>
      </c>
      <c r="S420" s="40">
        <v>0</v>
      </c>
      <c r="T420" s="40">
        <v>0</v>
      </c>
      <c r="U420" s="40">
        <v>0</v>
      </c>
    </row>
    <row r="421" spans="1:21" x14ac:dyDescent="0.2">
      <c r="A421" t="s">
        <v>833</v>
      </c>
      <c r="B421">
        <v>227</v>
      </c>
      <c r="C421">
        <v>1</v>
      </c>
      <c r="D421" t="s">
        <v>132</v>
      </c>
      <c r="E421" s="40">
        <v>0</v>
      </c>
      <c r="F421" s="40">
        <v>0</v>
      </c>
      <c r="G421" s="40">
        <v>0</v>
      </c>
      <c r="H421" s="40">
        <v>0</v>
      </c>
      <c r="I421" s="40">
        <v>0</v>
      </c>
      <c r="J421" s="40">
        <v>0</v>
      </c>
      <c r="K421" s="40">
        <v>0</v>
      </c>
      <c r="L421" s="40">
        <v>0</v>
      </c>
      <c r="M421" s="40">
        <v>0</v>
      </c>
      <c r="N421" s="40">
        <v>0</v>
      </c>
      <c r="O421" s="40">
        <v>0</v>
      </c>
      <c r="P421" s="40">
        <v>0</v>
      </c>
      <c r="Q421" s="40">
        <v>0</v>
      </c>
      <c r="R421" s="40">
        <v>0</v>
      </c>
      <c r="S421" s="40">
        <v>0</v>
      </c>
      <c r="T421" s="40">
        <v>0</v>
      </c>
      <c r="U421" s="40">
        <v>0</v>
      </c>
    </row>
    <row r="422" spans="1:21" x14ac:dyDescent="0.2">
      <c r="A422" t="s">
        <v>833</v>
      </c>
      <c r="B422">
        <v>229</v>
      </c>
      <c r="C422">
        <v>1</v>
      </c>
      <c r="D422" t="s">
        <v>133</v>
      </c>
      <c r="E422" s="40">
        <v>0</v>
      </c>
      <c r="F422" s="40">
        <v>0</v>
      </c>
      <c r="G422" s="40">
        <v>0</v>
      </c>
      <c r="H422" s="40">
        <v>0</v>
      </c>
      <c r="I422" s="40">
        <v>0</v>
      </c>
      <c r="J422" s="40">
        <v>0</v>
      </c>
      <c r="K422" s="40">
        <v>0</v>
      </c>
      <c r="L422" s="40">
        <v>0</v>
      </c>
      <c r="M422" s="40">
        <v>0</v>
      </c>
      <c r="N422" s="40">
        <v>0</v>
      </c>
      <c r="O422" s="40">
        <v>0</v>
      </c>
      <c r="P422" s="40">
        <v>0</v>
      </c>
      <c r="Q422" s="40">
        <v>0</v>
      </c>
      <c r="R422" s="40">
        <v>0</v>
      </c>
      <c r="S422" s="40">
        <v>0</v>
      </c>
      <c r="T422" s="40">
        <v>0</v>
      </c>
      <c r="U422" s="40">
        <v>0</v>
      </c>
    </row>
    <row r="423" spans="1:21" x14ac:dyDescent="0.2">
      <c r="A423" t="s">
        <v>833</v>
      </c>
      <c r="B423">
        <v>238</v>
      </c>
      <c r="C423">
        <v>1</v>
      </c>
      <c r="D423" t="s">
        <v>134</v>
      </c>
      <c r="E423" s="40">
        <v>0</v>
      </c>
      <c r="F423" s="40">
        <v>0</v>
      </c>
      <c r="G423" s="40">
        <v>0</v>
      </c>
      <c r="H423" s="40">
        <v>0</v>
      </c>
      <c r="I423" s="40">
        <v>0</v>
      </c>
      <c r="J423" s="40">
        <v>0</v>
      </c>
      <c r="K423" s="40">
        <v>0</v>
      </c>
      <c r="L423" s="40">
        <v>0</v>
      </c>
      <c r="M423" s="40">
        <v>0</v>
      </c>
      <c r="N423" s="40">
        <v>0</v>
      </c>
      <c r="O423" s="40">
        <v>0</v>
      </c>
      <c r="P423" s="40">
        <v>0</v>
      </c>
      <c r="Q423" s="40">
        <v>0</v>
      </c>
      <c r="R423" s="40">
        <v>0</v>
      </c>
      <c r="S423" s="40">
        <v>0</v>
      </c>
      <c r="T423" s="40">
        <v>0</v>
      </c>
      <c r="U423" s="40">
        <v>0</v>
      </c>
    </row>
    <row r="424" spans="1:21" x14ac:dyDescent="0.2">
      <c r="A424" t="s">
        <v>833</v>
      </c>
      <c r="B424">
        <v>239</v>
      </c>
      <c r="C424">
        <v>1</v>
      </c>
      <c r="D424" t="s">
        <v>135</v>
      </c>
      <c r="E424" s="40">
        <v>0</v>
      </c>
      <c r="F424" s="40">
        <v>0</v>
      </c>
      <c r="G424" s="40">
        <v>0</v>
      </c>
      <c r="H424" s="40">
        <v>0</v>
      </c>
      <c r="I424" s="40">
        <v>0</v>
      </c>
      <c r="J424" s="40">
        <v>0</v>
      </c>
      <c r="K424" s="40">
        <v>0</v>
      </c>
      <c r="L424" s="40">
        <v>0</v>
      </c>
      <c r="M424" s="40">
        <v>0</v>
      </c>
      <c r="N424" s="40">
        <v>0</v>
      </c>
      <c r="O424" s="40">
        <v>0</v>
      </c>
      <c r="P424" s="40">
        <v>0</v>
      </c>
      <c r="Q424" s="40">
        <v>0</v>
      </c>
      <c r="R424" s="40">
        <v>0</v>
      </c>
      <c r="S424" s="40">
        <v>0</v>
      </c>
      <c r="T424" s="40">
        <v>0</v>
      </c>
      <c r="U424" s="40">
        <v>0</v>
      </c>
    </row>
    <row r="425" spans="1:21" x14ac:dyDescent="0.2">
      <c r="A425" t="s">
        <v>833</v>
      </c>
      <c r="B425">
        <v>241</v>
      </c>
      <c r="C425">
        <v>1</v>
      </c>
      <c r="D425" t="s">
        <v>136</v>
      </c>
      <c r="E425" s="40">
        <v>0</v>
      </c>
      <c r="F425" s="40">
        <v>0</v>
      </c>
      <c r="G425" s="40">
        <v>0</v>
      </c>
      <c r="H425" s="40">
        <v>0</v>
      </c>
      <c r="I425" s="40">
        <v>0</v>
      </c>
      <c r="J425" s="40">
        <v>0</v>
      </c>
      <c r="K425" s="40">
        <v>0</v>
      </c>
      <c r="L425" s="40">
        <v>0</v>
      </c>
      <c r="M425" s="40">
        <v>0</v>
      </c>
      <c r="N425" s="40">
        <v>0</v>
      </c>
      <c r="O425" s="40">
        <v>0</v>
      </c>
      <c r="P425" s="40">
        <v>0</v>
      </c>
      <c r="Q425" s="40">
        <v>0</v>
      </c>
      <c r="R425" s="40">
        <v>0</v>
      </c>
      <c r="S425" s="40">
        <v>0</v>
      </c>
      <c r="T425" s="40">
        <v>0</v>
      </c>
      <c r="U425" s="40">
        <v>0</v>
      </c>
    </row>
    <row r="426" spans="1:21" x14ac:dyDescent="0.2">
      <c r="A426" t="s">
        <v>833</v>
      </c>
      <c r="B426">
        <v>242</v>
      </c>
      <c r="C426">
        <v>1</v>
      </c>
      <c r="D426" t="s">
        <v>137</v>
      </c>
      <c r="E426" s="40">
        <v>0</v>
      </c>
      <c r="F426" s="40">
        <v>0</v>
      </c>
      <c r="G426" s="40">
        <v>0</v>
      </c>
      <c r="H426" s="40">
        <v>0</v>
      </c>
      <c r="I426" s="40">
        <v>0</v>
      </c>
      <c r="J426" s="40">
        <v>0</v>
      </c>
      <c r="K426" s="40">
        <v>0</v>
      </c>
      <c r="L426" s="40">
        <v>0</v>
      </c>
      <c r="M426" s="40">
        <v>0</v>
      </c>
      <c r="N426" s="40">
        <v>0</v>
      </c>
      <c r="O426" s="40">
        <v>0</v>
      </c>
      <c r="P426" s="40">
        <v>0</v>
      </c>
      <c r="Q426" s="40">
        <v>0</v>
      </c>
      <c r="R426" s="40">
        <v>0</v>
      </c>
      <c r="S426" s="40">
        <v>0</v>
      </c>
      <c r="T426" s="40">
        <v>0</v>
      </c>
      <c r="U426" s="40">
        <v>0</v>
      </c>
    </row>
    <row r="427" spans="1:21" x14ac:dyDescent="0.2">
      <c r="A427" t="s">
        <v>833</v>
      </c>
      <c r="B427">
        <v>252</v>
      </c>
      <c r="C427">
        <v>1</v>
      </c>
      <c r="D427" t="s">
        <v>138</v>
      </c>
      <c r="E427" s="40">
        <v>0</v>
      </c>
      <c r="F427" s="40">
        <v>0</v>
      </c>
      <c r="G427" s="40">
        <v>0</v>
      </c>
      <c r="H427" s="40">
        <v>0</v>
      </c>
      <c r="I427" s="40">
        <v>0</v>
      </c>
      <c r="J427" s="40">
        <v>0</v>
      </c>
      <c r="K427" s="40">
        <v>0</v>
      </c>
      <c r="L427" s="40">
        <v>0</v>
      </c>
      <c r="M427" s="40">
        <v>0</v>
      </c>
      <c r="N427" s="40">
        <v>0</v>
      </c>
      <c r="O427" s="40">
        <v>0</v>
      </c>
      <c r="P427" s="40">
        <v>0</v>
      </c>
      <c r="Q427" s="40">
        <v>0</v>
      </c>
      <c r="R427" s="40">
        <v>0</v>
      </c>
      <c r="S427" s="40">
        <v>0</v>
      </c>
      <c r="T427" s="40">
        <v>0</v>
      </c>
      <c r="U427" s="40">
        <v>0</v>
      </c>
    </row>
    <row r="428" spans="1:21" x14ac:dyDescent="0.2">
      <c r="A428" t="s">
        <v>833</v>
      </c>
      <c r="B428">
        <v>253</v>
      </c>
      <c r="C428">
        <v>1</v>
      </c>
      <c r="D428" t="s">
        <v>139</v>
      </c>
      <c r="E428" s="40">
        <v>0</v>
      </c>
      <c r="F428" s="40">
        <v>0</v>
      </c>
      <c r="G428" s="40">
        <v>0</v>
      </c>
      <c r="H428" s="40">
        <v>0</v>
      </c>
      <c r="I428" s="40">
        <v>0</v>
      </c>
      <c r="J428" s="40">
        <v>0</v>
      </c>
      <c r="K428" s="40">
        <v>0</v>
      </c>
      <c r="L428" s="40">
        <v>0</v>
      </c>
      <c r="M428" s="40">
        <v>0</v>
      </c>
      <c r="N428" s="40">
        <v>0</v>
      </c>
      <c r="O428" s="40">
        <v>0</v>
      </c>
      <c r="P428" s="40">
        <v>0</v>
      </c>
      <c r="Q428" s="40">
        <v>0</v>
      </c>
      <c r="R428" s="40">
        <v>0</v>
      </c>
      <c r="S428" s="40">
        <v>0</v>
      </c>
      <c r="T428" s="40">
        <v>0</v>
      </c>
      <c r="U428" s="40">
        <v>0</v>
      </c>
    </row>
    <row r="429" spans="1:21" x14ac:dyDescent="0.2">
      <c r="A429" t="s">
        <v>833</v>
      </c>
      <c r="B429">
        <v>255</v>
      </c>
      <c r="C429">
        <v>1</v>
      </c>
      <c r="D429" t="s">
        <v>140</v>
      </c>
      <c r="E429" s="40">
        <v>0</v>
      </c>
      <c r="F429" s="40">
        <v>0</v>
      </c>
      <c r="G429" s="40">
        <v>0</v>
      </c>
      <c r="H429" s="40">
        <v>0</v>
      </c>
      <c r="I429" s="40">
        <v>0</v>
      </c>
      <c r="J429" s="40">
        <v>0</v>
      </c>
      <c r="K429" s="40">
        <v>0</v>
      </c>
      <c r="L429" s="40">
        <v>0</v>
      </c>
      <c r="M429" s="40">
        <v>0</v>
      </c>
      <c r="N429" s="40">
        <v>0</v>
      </c>
      <c r="O429" s="40">
        <v>0</v>
      </c>
      <c r="P429" s="40">
        <v>0</v>
      </c>
      <c r="Q429" s="40">
        <v>0</v>
      </c>
      <c r="R429" s="40">
        <v>0</v>
      </c>
      <c r="S429" s="40">
        <v>0</v>
      </c>
      <c r="T429" s="40">
        <v>0</v>
      </c>
      <c r="U429" s="40">
        <v>0</v>
      </c>
    </row>
    <row r="430" spans="1:21" x14ac:dyDescent="0.2">
      <c r="A430" t="s">
        <v>833</v>
      </c>
      <c r="B430">
        <v>256</v>
      </c>
      <c r="C430">
        <v>1</v>
      </c>
      <c r="D430" t="s">
        <v>141</v>
      </c>
      <c r="E430" s="40">
        <v>0</v>
      </c>
      <c r="F430" s="40">
        <v>0</v>
      </c>
      <c r="G430" s="40">
        <v>0</v>
      </c>
      <c r="H430" s="40">
        <v>0</v>
      </c>
      <c r="I430" s="40">
        <v>0</v>
      </c>
      <c r="J430" s="40">
        <v>0</v>
      </c>
      <c r="K430" s="40">
        <v>0</v>
      </c>
      <c r="L430" s="40">
        <v>0</v>
      </c>
      <c r="M430" s="40">
        <v>0</v>
      </c>
      <c r="N430" s="40">
        <v>0</v>
      </c>
      <c r="O430" s="40">
        <v>0</v>
      </c>
      <c r="P430" s="40">
        <v>0</v>
      </c>
      <c r="Q430" s="40">
        <v>0</v>
      </c>
      <c r="R430" s="40">
        <v>0</v>
      </c>
      <c r="S430" s="40">
        <v>0</v>
      </c>
      <c r="T430" s="40">
        <v>0</v>
      </c>
      <c r="U430" s="40">
        <v>0</v>
      </c>
    </row>
    <row r="431" spans="1:21" x14ac:dyDescent="0.2">
      <c r="A431" t="s">
        <v>833</v>
      </c>
      <c r="B431">
        <v>261</v>
      </c>
      <c r="C431">
        <v>1</v>
      </c>
      <c r="D431" t="s">
        <v>142</v>
      </c>
      <c r="E431" s="40">
        <v>0</v>
      </c>
      <c r="F431" s="40">
        <v>0</v>
      </c>
      <c r="G431" s="40">
        <v>0</v>
      </c>
      <c r="H431" s="40">
        <v>0</v>
      </c>
      <c r="I431" s="40">
        <v>0</v>
      </c>
      <c r="J431" s="40">
        <v>0</v>
      </c>
      <c r="K431" s="40">
        <v>0</v>
      </c>
      <c r="L431" s="40">
        <v>0</v>
      </c>
      <c r="M431" s="40">
        <v>0</v>
      </c>
      <c r="N431" s="40">
        <v>0</v>
      </c>
      <c r="O431" s="40">
        <v>0</v>
      </c>
      <c r="P431" s="40">
        <v>0</v>
      </c>
      <c r="Q431" s="40">
        <v>0</v>
      </c>
      <c r="R431" s="40">
        <v>0</v>
      </c>
      <c r="S431" s="40">
        <v>0</v>
      </c>
      <c r="T431" s="40">
        <v>0</v>
      </c>
      <c r="U431" s="40">
        <v>0</v>
      </c>
    </row>
    <row r="432" spans="1:21" x14ac:dyDescent="0.2">
      <c r="A432" t="s">
        <v>833</v>
      </c>
      <c r="B432">
        <v>264</v>
      </c>
      <c r="C432">
        <v>1</v>
      </c>
      <c r="D432" t="s">
        <v>143</v>
      </c>
      <c r="E432" s="40">
        <v>0</v>
      </c>
      <c r="F432" s="40">
        <v>0</v>
      </c>
      <c r="G432" s="40">
        <v>0</v>
      </c>
      <c r="H432" s="40">
        <v>0</v>
      </c>
      <c r="I432" s="40">
        <v>0</v>
      </c>
      <c r="J432" s="40">
        <v>0</v>
      </c>
      <c r="K432" s="40">
        <v>0</v>
      </c>
      <c r="L432" s="40">
        <v>0</v>
      </c>
      <c r="M432" s="40">
        <v>0</v>
      </c>
      <c r="N432" s="40">
        <v>0</v>
      </c>
      <c r="O432" s="40">
        <v>0</v>
      </c>
      <c r="P432" s="40">
        <v>0</v>
      </c>
      <c r="Q432" s="40">
        <v>0</v>
      </c>
      <c r="R432" s="40">
        <v>0</v>
      </c>
      <c r="S432" s="40">
        <v>0</v>
      </c>
      <c r="T432" s="40">
        <v>0</v>
      </c>
      <c r="U432" s="40">
        <v>0</v>
      </c>
    </row>
    <row r="433" spans="1:21" x14ac:dyDescent="0.2">
      <c r="A433" t="s">
        <v>833</v>
      </c>
      <c r="B433">
        <v>270</v>
      </c>
      <c r="C433">
        <v>1</v>
      </c>
      <c r="D433" t="s">
        <v>144</v>
      </c>
      <c r="E433" s="40">
        <v>0</v>
      </c>
      <c r="F433" s="40">
        <v>0</v>
      </c>
      <c r="G433" s="40">
        <v>0</v>
      </c>
      <c r="H433" s="40">
        <v>0</v>
      </c>
      <c r="I433" s="40">
        <v>0</v>
      </c>
      <c r="J433" s="40">
        <v>0</v>
      </c>
      <c r="K433" s="40">
        <v>0</v>
      </c>
      <c r="L433" s="40">
        <v>0</v>
      </c>
      <c r="M433" s="40">
        <v>0</v>
      </c>
      <c r="N433" s="40">
        <v>0</v>
      </c>
      <c r="O433" s="40">
        <v>0</v>
      </c>
      <c r="P433" s="40">
        <v>0</v>
      </c>
      <c r="Q433" s="40">
        <v>0</v>
      </c>
      <c r="R433" s="40">
        <v>0</v>
      </c>
      <c r="S433" s="40">
        <v>0</v>
      </c>
      <c r="T433" s="40">
        <v>0</v>
      </c>
      <c r="U433" s="40">
        <v>0</v>
      </c>
    </row>
    <row r="434" spans="1:21" x14ac:dyDescent="0.2">
      <c r="A434" t="s">
        <v>833</v>
      </c>
      <c r="B434">
        <v>271</v>
      </c>
      <c r="C434">
        <v>1</v>
      </c>
      <c r="D434" t="s">
        <v>145</v>
      </c>
      <c r="E434" s="40">
        <v>0</v>
      </c>
      <c r="F434" s="40">
        <v>0</v>
      </c>
      <c r="G434" s="40">
        <v>0</v>
      </c>
      <c r="H434" s="40">
        <v>0</v>
      </c>
      <c r="I434" s="40">
        <v>0</v>
      </c>
      <c r="J434" s="40">
        <v>0</v>
      </c>
      <c r="K434" s="40">
        <v>0</v>
      </c>
      <c r="L434" s="40">
        <v>0</v>
      </c>
      <c r="M434" s="40">
        <v>0</v>
      </c>
      <c r="N434" s="40">
        <v>0</v>
      </c>
      <c r="O434" s="40">
        <v>0</v>
      </c>
      <c r="P434" s="40">
        <v>0</v>
      </c>
      <c r="Q434" s="40">
        <v>0</v>
      </c>
      <c r="R434" s="40">
        <v>0</v>
      </c>
      <c r="S434" s="40">
        <v>0</v>
      </c>
      <c r="T434" s="40">
        <v>0</v>
      </c>
      <c r="U434" s="40">
        <v>0</v>
      </c>
    </row>
    <row r="435" spans="1:21" x14ac:dyDescent="0.2">
      <c r="A435" t="s">
        <v>833</v>
      </c>
      <c r="B435">
        <v>272</v>
      </c>
      <c r="C435">
        <v>1</v>
      </c>
      <c r="D435" t="s">
        <v>146</v>
      </c>
      <c r="E435" s="40">
        <v>0</v>
      </c>
      <c r="F435" s="40">
        <v>0</v>
      </c>
      <c r="G435" s="40">
        <v>0</v>
      </c>
      <c r="H435" s="40">
        <v>0</v>
      </c>
      <c r="I435" s="40">
        <v>0</v>
      </c>
      <c r="J435" s="40">
        <v>0</v>
      </c>
      <c r="K435" s="40">
        <v>0</v>
      </c>
      <c r="L435" s="40">
        <v>0</v>
      </c>
      <c r="M435" s="40">
        <v>0</v>
      </c>
      <c r="N435" s="40">
        <v>0</v>
      </c>
      <c r="O435" s="40">
        <v>0</v>
      </c>
      <c r="P435" s="40">
        <v>0</v>
      </c>
      <c r="Q435" s="40">
        <v>0</v>
      </c>
      <c r="R435" s="40">
        <v>0</v>
      </c>
      <c r="S435" s="40">
        <v>0</v>
      </c>
      <c r="T435" s="40">
        <v>0</v>
      </c>
      <c r="U435" s="40">
        <v>0</v>
      </c>
    </row>
    <row r="436" spans="1:21" x14ac:dyDescent="0.2">
      <c r="A436" t="s">
        <v>833</v>
      </c>
      <c r="B436">
        <v>273</v>
      </c>
      <c r="C436">
        <v>1</v>
      </c>
      <c r="D436" t="s">
        <v>147</v>
      </c>
      <c r="E436" s="40">
        <v>0</v>
      </c>
      <c r="F436" s="40">
        <v>0</v>
      </c>
      <c r="G436" s="40">
        <v>0</v>
      </c>
      <c r="H436" s="40">
        <v>0</v>
      </c>
      <c r="I436" s="40">
        <v>0</v>
      </c>
      <c r="J436" s="40">
        <v>0</v>
      </c>
      <c r="K436" s="40">
        <v>0</v>
      </c>
      <c r="L436" s="40">
        <v>0</v>
      </c>
      <c r="M436" s="40">
        <v>0</v>
      </c>
      <c r="N436" s="40">
        <v>0</v>
      </c>
      <c r="O436" s="40">
        <v>0</v>
      </c>
      <c r="P436" s="40">
        <v>0</v>
      </c>
      <c r="Q436" s="40">
        <v>0</v>
      </c>
      <c r="R436" s="40">
        <v>0</v>
      </c>
      <c r="S436" s="40">
        <v>0</v>
      </c>
      <c r="T436" s="40">
        <v>0</v>
      </c>
      <c r="U436" s="40">
        <v>0</v>
      </c>
    </row>
    <row r="437" spans="1:21" x14ac:dyDescent="0.2">
      <c r="A437" t="s">
        <v>833</v>
      </c>
      <c r="B437">
        <v>276</v>
      </c>
      <c r="C437">
        <v>1</v>
      </c>
      <c r="D437" t="s">
        <v>148</v>
      </c>
      <c r="E437" s="40">
        <v>0</v>
      </c>
      <c r="F437" s="40">
        <v>0</v>
      </c>
      <c r="G437" s="40">
        <v>0</v>
      </c>
      <c r="H437" s="3">
        <v>1072.45</v>
      </c>
      <c r="I437" s="3">
        <v>1072.45</v>
      </c>
      <c r="J437" s="3">
        <v>1072.45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40">
        <v>0</v>
      </c>
      <c r="T437" s="40">
        <v>0</v>
      </c>
      <c r="U437" s="40">
        <v>0</v>
      </c>
    </row>
    <row r="438" spans="1:21" x14ac:dyDescent="0.2">
      <c r="A438" t="s">
        <v>833</v>
      </c>
      <c r="B438">
        <v>277</v>
      </c>
      <c r="C438">
        <v>1</v>
      </c>
      <c r="D438" t="s">
        <v>149</v>
      </c>
      <c r="E438" s="40">
        <v>0</v>
      </c>
      <c r="F438" s="40">
        <v>0</v>
      </c>
      <c r="G438" s="40">
        <v>0</v>
      </c>
      <c r="H438" s="40">
        <v>0</v>
      </c>
      <c r="I438" s="40">
        <v>0</v>
      </c>
      <c r="J438" s="40">
        <v>0</v>
      </c>
      <c r="K438" s="40">
        <v>0</v>
      </c>
      <c r="L438" s="40">
        <v>0</v>
      </c>
      <c r="M438" s="40">
        <v>0</v>
      </c>
      <c r="N438" s="40">
        <v>0</v>
      </c>
      <c r="O438" s="40">
        <v>0</v>
      </c>
      <c r="P438" s="40">
        <v>0</v>
      </c>
      <c r="Q438" s="40">
        <v>0</v>
      </c>
      <c r="R438" s="40">
        <v>0</v>
      </c>
      <c r="S438" s="40">
        <v>0</v>
      </c>
      <c r="T438" s="40">
        <v>0</v>
      </c>
      <c r="U438" s="40">
        <v>0</v>
      </c>
    </row>
    <row r="439" spans="1:21" x14ac:dyDescent="0.2">
      <c r="A439" t="s">
        <v>833</v>
      </c>
      <c r="B439">
        <v>278</v>
      </c>
      <c r="C439">
        <v>1</v>
      </c>
      <c r="D439" t="s">
        <v>150</v>
      </c>
      <c r="E439" s="40">
        <v>0</v>
      </c>
      <c r="F439" s="40">
        <v>0</v>
      </c>
      <c r="G439" s="40">
        <v>0</v>
      </c>
      <c r="H439" s="40">
        <v>0</v>
      </c>
      <c r="I439" s="40">
        <v>0</v>
      </c>
      <c r="J439" s="40">
        <v>0</v>
      </c>
      <c r="K439" s="40">
        <v>0</v>
      </c>
      <c r="L439" s="40">
        <v>0</v>
      </c>
      <c r="M439" s="40">
        <v>0</v>
      </c>
      <c r="N439" s="40">
        <v>0</v>
      </c>
      <c r="O439" s="40">
        <v>0</v>
      </c>
      <c r="P439" s="40">
        <v>0</v>
      </c>
      <c r="Q439" s="40">
        <v>0</v>
      </c>
      <c r="R439" s="40">
        <v>0</v>
      </c>
      <c r="S439" s="40">
        <v>0</v>
      </c>
      <c r="T439" s="40">
        <v>0</v>
      </c>
      <c r="U439" s="40">
        <v>0</v>
      </c>
    </row>
    <row r="440" spans="1:21" x14ac:dyDescent="0.2">
      <c r="A440" t="s">
        <v>833</v>
      </c>
      <c r="B440">
        <v>279</v>
      </c>
      <c r="C440">
        <v>1</v>
      </c>
      <c r="D440" t="s">
        <v>151</v>
      </c>
      <c r="E440" s="40">
        <v>0</v>
      </c>
      <c r="F440" s="40">
        <v>0</v>
      </c>
      <c r="G440" s="40">
        <v>0</v>
      </c>
      <c r="H440" s="40">
        <v>0</v>
      </c>
      <c r="I440" s="40">
        <v>0</v>
      </c>
      <c r="J440" s="40">
        <v>0</v>
      </c>
      <c r="K440" s="40">
        <v>0</v>
      </c>
      <c r="L440" s="40">
        <v>0</v>
      </c>
      <c r="M440" s="40">
        <v>0</v>
      </c>
      <c r="N440" s="40">
        <v>0</v>
      </c>
      <c r="O440" s="40">
        <v>0</v>
      </c>
      <c r="P440" s="40">
        <v>0</v>
      </c>
      <c r="Q440" s="40">
        <v>0</v>
      </c>
      <c r="R440" s="40">
        <v>0</v>
      </c>
      <c r="S440" s="40">
        <v>0</v>
      </c>
      <c r="T440" s="40">
        <v>0</v>
      </c>
      <c r="U440" s="40">
        <v>0</v>
      </c>
    </row>
    <row r="441" spans="1:21" x14ac:dyDescent="0.2">
      <c r="A441" t="s">
        <v>833</v>
      </c>
      <c r="B441">
        <v>280</v>
      </c>
      <c r="C441">
        <v>1</v>
      </c>
      <c r="D441" t="s">
        <v>152</v>
      </c>
      <c r="E441" s="40">
        <v>0</v>
      </c>
      <c r="F441" s="40">
        <v>0</v>
      </c>
      <c r="G441" s="40">
        <v>0</v>
      </c>
      <c r="H441" s="40">
        <v>0</v>
      </c>
      <c r="I441" s="40">
        <v>0</v>
      </c>
      <c r="J441" s="40">
        <v>0</v>
      </c>
      <c r="K441" s="40">
        <v>0</v>
      </c>
      <c r="L441" s="40">
        <v>0</v>
      </c>
      <c r="M441" s="40">
        <v>0</v>
      </c>
      <c r="N441" s="40">
        <v>0</v>
      </c>
      <c r="O441" s="40">
        <v>0</v>
      </c>
      <c r="P441" s="40">
        <v>0</v>
      </c>
      <c r="Q441" s="40">
        <v>0</v>
      </c>
      <c r="R441" s="40">
        <v>0</v>
      </c>
      <c r="S441" s="40">
        <v>0</v>
      </c>
      <c r="T441" s="40">
        <v>0</v>
      </c>
      <c r="U441" s="40">
        <v>0</v>
      </c>
    </row>
    <row r="442" spans="1:21" x14ac:dyDescent="0.2">
      <c r="A442" t="s">
        <v>833</v>
      </c>
      <c r="B442">
        <v>281</v>
      </c>
      <c r="C442">
        <v>1</v>
      </c>
      <c r="D442" t="s">
        <v>153</v>
      </c>
      <c r="E442" s="40">
        <v>0</v>
      </c>
      <c r="F442" s="40">
        <v>0</v>
      </c>
      <c r="G442" s="40">
        <v>0</v>
      </c>
      <c r="H442" s="40">
        <v>0</v>
      </c>
      <c r="I442" s="40">
        <v>0</v>
      </c>
      <c r="J442" s="40">
        <v>0</v>
      </c>
      <c r="K442" s="40">
        <v>0</v>
      </c>
      <c r="L442" s="40">
        <v>0</v>
      </c>
      <c r="M442" s="40">
        <v>0</v>
      </c>
      <c r="N442" s="40">
        <v>0</v>
      </c>
      <c r="O442" s="40">
        <v>0</v>
      </c>
      <c r="P442" s="40">
        <v>0</v>
      </c>
      <c r="Q442" s="40">
        <v>0</v>
      </c>
      <c r="R442" s="40">
        <v>0</v>
      </c>
      <c r="S442" s="40">
        <v>0</v>
      </c>
      <c r="T442" s="40">
        <v>0</v>
      </c>
      <c r="U442" s="40">
        <v>0</v>
      </c>
    </row>
    <row r="443" spans="1:21" x14ac:dyDescent="0.2">
      <c r="A443" t="s">
        <v>833</v>
      </c>
      <c r="B443">
        <v>282</v>
      </c>
      <c r="C443">
        <v>1</v>
      </c>
      <c r="D443" t="s">
        <v>154</v>
      </c>
      <c r="E443" s="40">
        <v>0</v>
      </c>
      <c r="F443" s="40">
        <v>0</v>
      </c>
      <c r="G443" s="40">
        <v>0</v>
      </c>
      <c r="H443" s="40">
        <v>0</v>
      </c>
      <c r="I443" s="40">
        <v>0</v>
      </c>
      <c r="J443" s="40">
        <v>0</v>
      </c>
      <c r="K443" s="40">
        <v>0</v>
      </c>
      <c r="L443" s="40">
        <v>0</v>
      </c>
      <c r="M443" s="40">
        <v>0</v>
      </c>
      <c r="N443" s="40">
        <v>0</v>
      </c>
      <c r="O443" s="40">
        <v>0</v>
      </c>
      <c r="P443" s="40">
        <v>0</v>
      </c>
      <c r="Q443" s="40">
        <v>0</v>
      </c>
      <c r="R443" s="40">
        <v>0</v>
      </c>
      <c r="S443" s="40">
        <v>0</v>
      </c>
      <c r="T443" s="40">
        <v>0</v>
      </c>
      <c r="U443" s="40">
        <v>0</v>
      </c>
    </row>
    <row r="444" spans="1:21" x14ac:dyDescent="0.2">
      <c r="A444" t="s">
        <v>833</v>
      </c>
      <c r="B444">
        <v>283</v>
      </c>
      <c r="C444">
        <v>1</v>
      </c>
      <c r="D444" t="s">
        <v>155</v>
      </c>
      <c r="E444" s="40">
        <v>0</v>
      </c>
      <c r="F444" s="40">
        <v>0</v>
      </c>
      <c r="G444" s="40">
        <v>0</v>
      </c>
      <c r="H444" s="40">
        <v>0</v>
      </c>
      <c r="I444" s="40">
        <v>0</v>
      </c>
      <c r="J444" s="40">
        <v>0</v>
      </c>
      <c r="K444" s="40">
        <v>0</v>
      </c>
      <c r="L444" s="40">
        <v>0</v>
      </c>
      <c r="M444" s="40">
        <v>0</v>
      </c>
      <c r="N444" s="40">
        <v>0</v>
      </c>
      <c r="O444" s="40">
        <v>0</v>
      </c>
      <c r="P444" s="40">
        <v>0</v>
      </c>
      <c r="Q444" s="40">
        <v>0</v>
      </c>
      <c r="R444" s="40">
        <v>0</v>
      </c>
      <c r="S444" s="40">
        <v>0</v>
      </c>
      <c r="T444" s="40">
        <v>0</v>
      </c>
      <c r="U444" s="40">
        <v>0</v>
      </c>
    </row>
    <row r="445" spans="1:21" x14ac:dyDescent="0.2">
      <c r="A445" t="s">
        <v>833</v>
      </c>
      <c r="B445">
        <v>284</v>
      </c>
      <c r="C445">
        <v>1</v>
      </c>
      <c r="D445" t="s">
        <v>156</v>
      </c>
      <c r="E445" s="40">
        <v>0</v>
      </c>
      <c r="F445" s="40">
        <v>0</v>
      </c>
      <c r="G445" s="40">
        <v>0</v>
      </c>
      <c r="H445" s="40">
        <v>0</v>
      </c>
      <c r="I445" s="40">
        <v>0</v>
      </c>
      <c r="J445" s="40">
        <v>0</v>
      </c>
      <c r="K445" s="40">
        <v>0</v>
      </c>
      <c r="L445" s="40">
        <v>0</v>
      </c>
      <c r="M445" s="40">
        <v>0</v>
      </c>
      <c r="N445" s="40">
        <v>0</v>
      </c>
      <c r="O445" s="40">
        <v>0</v>
      </c>
      <c r="P445" s="40">
        <v>0</v>
      </c>
      <c r="Q445" s="40">
        <v>0</v>
      </c>
      <c r="R445" s="40">
        <v>0</v>
      </c>
      <c r="S445" s="40">
        <v>0</v>
      </c>
      <c r="T445" s="40">
        <v>0</v>
      </c>
      <c r="U445" s="40">
        <v>0</v>
      </c>
    </row>
    <row r="446" spans="1:21" x14ac:dyDescent="0.2">
      <c r="A446" t="s">
        <v>833</v>
      </c>
      <c r="B446">
        <v>286</v>
      </c>
      <c r="C446">
        <v>1</v>
      </c>
      <c r="D446" t="s">
        <v>157</v>
      </c>
      <c r="E446" s="40">
        <v>0</v>
      </c>
      <c r="F446" s="40">
        <v>0</v>
      </c>
      <c r="G446" s="40">
        <v>0</v>
      </c>
      <c r="H446" s="40">
        <v>0</v>
      </c>
      <c r="I446" s="40">
        <v>0</v>
      </c>
      <c r="J446" s="40">
        <v>0</v>
      </c>
      <c r="K446" s="40">
        <v>0</v>
      </c>
      <c r="L446" s="40">
        <v>0</v>
      </c>
      <c r="M446" s="40">
        <v>0</v>
      </c>
      <c r="N446" s="40">
        <v>0</v>
      </c>
      <c r="O446" s="40">
        <v>0</v>
      </c>
      <c r="P446" s="40">
        <v>0</v>
      </c>
      <c r="Q446" s="40">
        <v>0</v>
      </c>
      <c r="R446" s="40">
        <v>0</v>
      </c>
      <c r="S446" s="40">
        <v>0</v>
      </c>
      <c r="T446" s="40">
        <v>0</v>
      </c>
      <c r="U446" s="40">
        <v>0</v>
      </c>
    </row>
    <row r="447" spans="1:21" x14ac:dyDescent="0.2">
      <c r="A447" t="s">
        <v>833</v>
      </c>
      <c r="B447">
        <v>294</v>
      </c>
      <c r="C447">
        <v>1</v>
      </c>
      <c r="D447" t="s">
        <v>158</v>
      </c>
      <c r="E447" s="40">
        <v>0</v>
      </c>
      <c r="F447" s="40">
        <v>0</v>
      </c>
      <c r="G447" s="40">
        <v>0</v>
      </c>
      <c r="H447" s="40">
        <v>0</v>
      </c>
      <c r="I447" s="40">
        <v>0</v>
      </c>
      <c r="J447" s="40">
        <v>0</v>
      </c>
      <c r="K447" s="40">
        <v>0</v>
      </c>
      <c r="L447" s="40">
        <v>0</v>
      </c>
      <c r="M447" s="40">
        <v>0</v>
      </c>
      <c r="N447" s="40">
        <v>0</v>
      </c>
      <c r="O447" s="40">
        <v>0</v>
      </c>
      <c r="P447" s="40">
        <v>0</v>
      </c>
      <c r="Q447" s="40">
        <v>0</v>
      </c>
      <c r="R447" s="40">
        <v>0</v>
      </c>
      <c r="S447" s="40">
        <v>0</v>
      </c>
      <c r="T447" s="40">
        <v>0</v>
      </c>
      <c r="U447" s="40">
        <v>0</v>
      </c>
    </row>
    <row r="448" spans="1:21" x14ac:dyDescent="0.2">
      <c r="A448" t="s">
        <v>833</v>
      </c>
      <c r="B448">
        <v>297</v>
      </c>
      <c r="C448">
        <v>1</v>
      </c>
      <c r="D448" t="s">
        <v>159</v>
      </c>
      <c r="E448" s="40">
        <v>0</v>
      </c>
      <c r="F448" s="40">
        <v>0</v>
      </c>
      <c r="G448" s="40">
        <v>0</v>
      </c>
      <c r="H448" s="40">
        <v>0</v>
      </c>
      <c r="I448" s="40">
        <v>0</v>
      </c>
      <c r="J448" s="40">
        <v>0</v>
      </c>
      <c r="K448" s="40">
        <v>0</v>
      </c>
      <c r="L448" s="40">
        <v>0</v>
      </c>
      <c r="M448" s="40">
        <v>0</v>
      </c>
      <c r="N448" s="40">
        <v>0</v>
      </c>
      <c r="O448" s="40">
        <v>0</v>
      </c>
      <c r="P448" s="40">
        <v>0</v>
      </c>
      <c r="Q448" s="40">
        <v>0</v>
      </c>
      <c r="R448" s="40">
        <v>0</v>
      </c>
      <c r="S448" s="40">
        <v>0</v>
      </c>
      <c r="T448" s="40">
        <v>0</v>
      </c>
      <c r="U448" s="40">
        <v>0</v>
      </c>
    </row>
    <row r="449" spans="1:21" x14ac:dyDescent="0.2">
      <c r="A449" t="s">
        <v>833</v>
      </c>
      <c r="B449">
        <v>299</v>
      </c>
      <c r="C449">
        <v>1</v>
      </c>
      <c r="D449" t="s">
        <v>160</v>
      </c>
      <c r="E449" s="40">
        <v>0</v>
      </c>
      <c r="F449" s="40">
        <v>0</v>
      </c>
      <c r="G449" s="40">
        <v>0</v>
      </c>
      <c r="H449" s="40">
        <v>0</v>
      </c>
      <c r="I449" s="40">
        <v>0</v>
      </c>
      <c r="J449" s="40">
        <v>0</v>
      </c>
      <c r="K449" s="40">
        <v>0</v>
      </c>
      <c r="L449" s="40">
        <v>0</v>
      </c>
      <c r="M449" s="40">
        <v>0</v>
      </c>
      <c r="N449" s="40">
        <v>0</v>
      </c>
      <c r="O449" s="40">
        <v>0</v>
      </c>
      <c r="P449" s="40">
        <v>0</v>
      </c>
      <c r="Q449" s="40">
        <v>0</v>
      </c>
      <c r="R449" s="40">
        <v>0</v>
      </c>
      <c r="S449" s="40">
        <v>0</v>
      </c>
      <c r="T449" s="40">
        <v>0</v>
      </c>
      <c r="U449" s="40">
        <v>0</v>
      </c>
    </row>
    <row r="450" spans="1:21" x14ac:dyDescent="0.2">
      <c r="A450" t="s">
        <v>833</v>
      </c>
      <c r="B450">
        <v>300</v>
      </c>
      <c r="C450">
        <v>1</v>
      </c>
      <c r="D450" t="s">
        <v>161</v>
      </c>
      <c r="E450" s="40">
        <v>0</v>
      </c>
      <c r="F450" s="40">
        <v>0</v>
      </c>
      <c r="G450" s="40">
        <v>0</v>
      </c>
      <c r="H450" s="40">
        <v>0</v>
      </c>
      <c r="I450" s="40">
        <v>0</v>
      </c>
      <c r="J450" s="40">
        <v>0</v>
      </c>
      <c r="K450" s="40">
        <v>0</v>
      </c>
      <c r="L450" s="40">
        <v>0</v>
      </c>
      <c r="M450" s="40">
        <v>0</v>
      </c>
      <c r="N450" s="40">
        <v>0</v>
      </c>
      <c r="O450" s="40">
        <v>0</v>
      </c>
      <c r="P450" s="40">
        <v>0</v>
      </c>
      <c r="Q450" s="40">
        <v>0</v>
      </c>
      <c r="R450" s="40">
        <v>0</v>
      </c>
      <c r="S450" s="40">
        <v>0</v>
      </c>
      <c r="T450" s="40">
        <v>0</v>
      </c>
      <c r="U450" s="40">
        <v>0</v>
      </c>
    </row>
    <row r="451" spans="1:21" x14ac:dyDescent="0.2">
      <c r="A451" t="s">
        <v>833</v>
      </c>
      <c r="B451">
        <v>306</v>
      </c>
      <c r="C451">
        <v>1</v>
      </c>
      <c r="D451" t="s">
        <v>162</v>
      </c>
      <c r="E451" s="40">
        <v>0</v>
      </c>
      <c r="F451" s="40">
        <v>0</v>
      </c>
      <c r="G451" s="40">
        <v>0</v>
      </c>
      <c r="H451" s="40">
        <v>0</v>
      </c>
      <c r="I451" s="40">
        <v>0</v>
      </c>
      <c r="J451" s="40">
        <v>0</v>
      </c>
      <c r="K451" s="40">
        <v>0</v>
      </c>
      <c r="L451" s="40">
        <v>0</v>
      </c>
      <c r="M451" s="40">
        <v>0</v>
      </c>
      <c r="N451" s="40">
        <v>0</v>
      </c>
      <c r="O451" s="40">
        <v>0</v>
      </c>
      <c r="P451" s="40">
        <v>0</v>
      </c>
      <c r="Q451" s="40">
        <v>0</v>
      </c>
      <c r="R451" s="40">
        <v>0</v>
      </c>
      <c r="S451" s="40">
        <v>0</v>
      </c>
      <c r="T451" s="40">
        <v>0</v>
      </c>
      <c r="U451" s="40">
        <v>0</v>
      </c>
    </row>
    <row r="452" spans="1:21" x14ac:dyDescent="0.2">
      <c r="A452" t="s">
        <v>833</v>
      </c>
      <c r="B452">
        <v>308</v>
      </c>
      <c r="C452">
        <v>1</v>
      </c>
      <c r="D452" t="s">
        <v>163</v>
      </c>
      <c r="E452" s="40">
        <v>0</v>
      </c>
      <c r="F452" s="40">
        <v>0</v>
      </c>
      <c r="G452" s="40">
        <v>0</v>
      </c>
      <c r="H452" s="40">
        <v>0</v>
      </c>
      <c r="I452" s="40">
        <v>0</v>
      </c>
      <c r="J452" s="40">
        <v>0</v>
      </c>
      <c r="K452" s="40">
        <v>0</v>
      </c>
      <c r="L452" s="40">
        <v>0</v>
      </c>
      <c r="M452" s="40">
        <v>0</v>
      </c>
      <c r="N452" s="40">
        <v>0</v>
      </c>
      <c r="O452" s="40">
        <v>0</v>
      </c>
      <c r="P452" s="40">
        <v>0</v>
      </c>
      <c r="Q452" s="40">
        <v>0</v>
      </c>
      <c r="R452" s="40">
        <v>0</v>
      </c>
      <c r="S452" s="40">
        <v>0</v>
      </c>
      <c r="T452" s="40">
        <v>0</v>
      </c>
      <c r="U452" s="40">
        <v>0</v>
      </c>
    </row>
    <row r="453" spans="1:21" x14ac:dyDescent="0.2">
      <c r="A453" t="s">
        <v>833</v>
      </c>
      <c r="B453">
        <v>309</v>
      </c>
      <c r="C453">
        <v>1</v>
      </c>
      <c r="D453" t="s">
        <v>164</v>
      </c>
      <c r="E453" s="40">
        <v>0</v>
      </c>
      <c r="F453" s="40">
        <v>0</v>
      </c>
      <c r="G453" s="40">
        <v>0</v>
      </c>
      <c r="H453" s="40">
        <v>0</v>
      </c>
      <c r="I453" s="40">
        <v>0</v>
      </c>
      <c r="J453" s="40">
        <v>0</v>
      </c>
      <c r="K453" s="40">
        <v>0</v>
      </c>
      <c r="L453" s="40">
        <v>0</v>
      </c>
      <c r="M453" s="40">
        <v>0</v>
      </c>
      <c r="N453" s="40">
        <v>0</v>
      </c>
      <c r="O453" s="40">
        <v>0</v>
      </c>
      <c r="P453" s="40">
        <v>0</v>
      </c>
      <c r="Q453" s="40">
        <v>0</v>
      </c>
      <c r="R453" s="40">
        <v>0</v>
      </c>
      <c r="S453" s="40">
        <v>0</v>
      </c>
      <c r="T453" s="40">
        <v>0</v>
      </c>
      <c r="U453" s="40">
        <v>0</v>
      </c>
    </row>
    <row r="454" spans="1:21" x14ac:dyDescent="0.2">
      <c r="A454" t="s">
        <v>833</v>
      </c>
      <c r="B454">
        <v>314</v>
      </c>
      <c r="C454">
        <v>1</v>
      </c>
      <c r="D454" t="s">
        <v>165</v>
      </c>
      <c r="E454" s="40">
        <v>0</v>
      </c>
      <c r="F454" s="40">
        <v>0</v>
      </c>
      <c r="G454" s="40">
        <v>0</v>
      </c>
      <c r="H454" s="40">
        <v>0</v>
      </c>
      <c r="I454" s="40">
        <v>0</v>
      </c>
      <c r="J454" s="40">
        <v>0</v>
      </c>
      <c r="K454" s="40">
        <v>0</v>
      </c>
      <c r="L454" s="40">
        <v>0</v>
      </c>
      <c r="M454" s="40">
        <v>0</v>
      </c>
      <c r="N454" s="40">
        <v>0</v>
      </c>
      <c r="O454" s="40">
        <v>0</v>
      </c>
      <c r="P454" s="40">
        <v>0</v>
      </c>
      <c r="Q454" s="40">
        <v>0</v>
      </c>
      <c r="R454" s="40">
        <v>0</v>
      </c>
      <c r="S454" s="40">
        <v>0</v>
      </c>
      <c r="T454" s="40">
        <v>0</v>
      </c>
      <c r="U454" s="40">
        <v>0</v>
      </c>
    </row>
    <row r="455" spans="1:21" x14ac:dyDescent="0.2">
      <c r="A455" t="s">
        <v>833</v>
      </c>
      <c r="B455">
        <v>316</v>
      </c>
      <c r="C455">
        <v>1</v>
      </c>
      <c r="D455" t="s">
        <v>166</v>
      </c>
      <c r="E455" s="40">
        <v>0</v>
      </c>
      <c r="F455" s="40">
        <v>0</v>
      </c>
      <c r="G455" s="40">
        <v>0</v>
      </c>
      <c r="H455" s="40">
        <v>0</v>
      </c>
      <c r="I455" s="40">
        <v>0</v>
      </c>
      <c r="J455" s="40">
        <v>0</v>
      </c>
      <c r="K455" s="40">
        <v>0</v>
      </c>
      <c r="L455" s="40">
        <v>0</v>
      </c>
      <c r="M455" s="40">
        <v>0</v>
      </c>
      <c r="N455" s="40">
        <v>0</v>
      </c>
      <c r="O455" s="40">
        <v>0</v>
      </c>
      <c r="P455" s="40">
        <v>0</v>
      </c>
      <c r="Q455" s="40">
        <v>0</v>
      </c>
      <c r="R455" s="40">
        <v>0</v>
      </c>
      <c r="S455" s="40">
        <v>0</v>
      </c>
      <c r="T455" s="40">
        <v>0</v>
      </c>
      <c r="U455" s="40">
        <v>0</v>
      </c>
    </row>
    <row r="456" spans="1:21" x14ac:dyDescent="0.2">
      <c r="A456" t="s">
        <v>833</v>
      </c>
      <c r="B456">
        <v>317</v>
      </c>
      <c r="C456">
        <v>1</v>
      </c>
      <c r="D456" t="s">
        <v>167</v>
      </c>
      <c r="E456" s="40">
        <v>0</v>
      </c>
      <c r="F456" s="40">
        <v>0</v>
      </c>
      <c r="G456" s="40">
        <v>0</v>
      </c>
      <c r="H456" s="40">
        <v>0</v>
      </c>
      <c r="I456" s="40">
        <v>0</v>
      </c>
      <c r="J456" s="40">
        <v>0</v>
      </c>
      <c r="K456" s="40">
        <v>0</v>
      </c>
      <c r="L456" s="40">
        <v>0</v>
      </c>
      <c r="M456" s="40">
        <v>0</v>
      </c>
      <c r="N456" s="40">
        <v>0</v>
      </c>
      <c r="O456" s="40">
        <v>0</v>
      </c>
      <c r="P456" s="40">
        <v>0</v>
      </c>
      <c r="Q456" s="40">
        <v>0</v>
      </c>
      <c r="R456" s="40">
        <v>0</v>
      </c>
      <c r="S456" s="40">
        <v>0</v>
      </c>
      <c r="T456" s="40">
        <v>0</v>
      </c>
      <c r="U456" s="40">
        <v>0</v>
      </c>
    </row>
    <row r="457" spans="1:21" x14ac:dyDescent="0.2">
      <c r="A457" t="s">
        <v>833</v>
      </c>
      <c r="B457">
        <v>318</v>
      </c>
      <c r="C457">
        <v>1</v>
      </c>
      <c r="D457" t="s">
        <v>168</v>
      </c>
      <c r="E457" s="40">
        <v>0</v>
      </c>
      <c r="F457" s="40">
        <v>0</v>
      </c>
      <c r="G457" s="40">
        <v>0</v>
      </c>
      <c r="H457" s="40">
        <v>0</v>
      </c>
      <c r="I457" s="40">
        <v>0</v>
      </c>
      <c r="J457" s="40">
        <v>0</v>
      </c>
      <c r="K457" s="40">
        <v>0</v>
      </c>
      <c r="L457" s="40">
        <v>0</v>
      </c>
      <c r="M457" s="40">
        <v>0</v>
      </c>
      <c r="N457" s="40">
        <v>0</v>
      </c>
      <c r="O457" s="40">
        <v>0</v>
      </c>
      <c r="P457" s="40">
        <v>0</v>
      </c>
      <c r="Q457" s="40">
        <v>0</v>
      </c>
      <c r="R457" s="40">
        <v>0</v>
      </c>
      <c r="S457" s="40">
        <v>0</v>
      </c>
      <c r="T457" s="40">
        <v>0</v>
      </c>
      <c r="U457" s="40">
        <v>0</v>
      </c>
    </row>
    <row r="458" spans="1:21" x14ac:dyDescent="0.2">
      <c r="A458" t="s">
        <v>833</v>
      </c>
      <c r="B458">
        <v>319</v>
      </c>
      <c r="C458">
        <v>1</v>
      </c>
      <c r="D458" t="s">
        <v>169</v>
      </c>
      <c r="E458" s="40">
        <v>0</v>
      </c>
      <c r="F458" s="40">
        <v>0</v>
      </c>
      <c r="G458" s="40">
        <v>0</v>
      </c>
      <c r="H458" s="40">
        <v>0</v>
      </c>
      <c r="I458" s="40">
        <v>0</v>
      </c>
      <c r="J458" s="40">
        <v>0</v>
      </c>
      <c r="K458" s="40">
        <v>0</v>
      </c>
      <c r="L458" s="40">
        <v>0</v>
      </c>
      <c r="M458" s="40">
        <v>0</v>
      </c>
      <c r="N458" s="40">
        <v>0</v>
      </c>
      <c r="O458" s="40">
        <v>0</v>
      </c>
      <c r="P458" s="40">
        <v>0</v>
      </c>
      <c r="Q458" s="40">
        <v>0</v>
      </c>
      <c r="R458" s="40">
        <v>0</v>
      </c>
      <c r="S458" s="40">
        <v>0</v>
      </c>
      <c r="T458" s="40">
        <v>0</v>
      </c>
      <c r="U458" s="40">
        <v>0</v>
      </c>
    </row>
    <row r="459" spans="1:21" x14ac:dyDescent="0.2">
      <c r="A459" t="s">
        <v>833</v>
      </c>
      <c r="B459">
        <v>323</v>
      </c>
      <c r="C459">
        <v>2</v>
      </c>
      <c r="D459" t="s">
        <v>170</v>
      </c>
      <c r="E459" s="40">
        <v>0</v>
      </c>
      <c r="F459" s="40">
        <v>0</v>
      </c>
      <c r="G459" s="40">
        <v>0</v>
      </c>
      <c r="H459" s="40">
        <v>0</v>
      </c>
      <c r="I459" s="40">
        <v>0</v>
      </c>
      <c r="J459" s="40">
        <v>0</v>
      </c>
      <c r="K459" s="40">
        <v>0</v>
      </c>
      <c r="L459" s="40">
        <v>0</v>
      </c>
      <c r="M459" s="40">
        <v>0</v>
      </c>
      <c r="N459" s="40">
        <v>0</v>
      </c>
      <c r="O459" s="40">
        <v>0</v>
      </c>
      <c r="P459" s="40">
        <v>0</v>
      </c>
      <c r="Q459" s="40">
        <v>0</v>
      </c>
      <c r="R459" s="40">
        <v>0</v>
      </c>
      <c r="S459" s="40">
        <v>0</v>
      </c>
      <c r="T459" s="40">
        <v>0</v>
      </c>
      <c r="U459" s="40">
        <v>0</v>
      </c>
    </row>
    <row r="460" spans="1:21" x14ac:dyDescent="0.2">
      <c r="A460" t="s">
        <v>833</v>
      </c>
      <c r="B460">
        <v>330</v>
      </c>
      <c r="C460">
        <v>1</v>
      </c>
      <c r="D460" t="s">
        <v>171</v>
      </c>
      <c r="E460" s="40">
        <v>0</v>
      </c>
      <c r="F460" s="40">
        <v>0</v>
      </c>
      <c r="G460" s="40">
        <v>0</v>
      </c>
      <c r="H460" s="40">
        <v>0</v>
      </c>
      <c r="I460" s="40">
        <v>0</v>
      </c>
      <c r="J460" s="40">
        <v>0</v>
      </c>
      <c r="K460" s="40">
        <v>0</v>
      </c>
      <c r="L460" s="40">
        <v>0</v>
      </c>
      <c r="M460" s="40">
        <v>0</v>
      </c>
      <c r="N460" s="40">
        <v>0</v>
      </c>
      <c r="O460" s="40">
        <v>0</v>
      </c>
      <c r="P460" s="40">
        <v>0</v>
      </c>
      <c r="Q460" s="40">
        <v>0</v>
      </c>
      <c r="R460" s="40">
        <v>0</v>
      </c>
      <c r="S460" s="40">
        <v>0</v>
      </c>
      <c r="T460" s="40">
        <v>0</v>
      </c>
      <c r="U460" s="40">
        <v>0</v>
      </c>
    </row>
    <row r="461" spans="1:21" x14ac:dyDescent="0.2">
      <c r="A461" t="s">
        <v>833</v>
      </c>
      <c r="B461">
        <v>332</v>
      </c>
      <c r="C461">
        <v>1</v>
      </c>
      <c r="D461" t="s">
        <v>172</v>
      </c>
      <c r="E461" s="40">
        <v>0</v>
      </c>
      <c r="F461" s="40">
        <v>0</v>
      </c>
      <c r="G461" s="40">
        <v>0</v>
      </c>
      <c r="H461" s="40">
        <v>0</v>
      </c>
      <c r="I461" s="40">
        <v>0</v>
      </c>
      <c r="J461" s="40">
        <v>0</v>
      </c>
      <c r="K461" s="40">
        <v>0</v>
      </c>
      <c r="L461" s="40">
        <v>0</v>
      </c>
      <c r="M461" s="40">
        <v>0</v>
      </c>
      <c r="N461" s="40">
        <v>0</v>
      </c>
      <c r="O461" s="40">
        <v>0</v>
      </c>
      <c r="P461" s="40">
        <v>0</v>
      </c>
      <c r="Q461" s="40">
        <v>0</v>
      </c>
      <c r="R461" s="40">
        <v>0</v>
      </c>
      <c r="S461" s="40">
        <v>0</v>
      </c>
      <c r="T461" s="40">
        <v>0</v>
      </c>
      <c r="U461" s="40">
        <v>0</v>
      </c>
    </row>
    <row r="462" spans="1:21" x14ac:dyDescent="0.2">
      <c r="A462" t="s">
        <v>833</v>
      </c>
      <c r="B462">
        <v>333</v>
      </c>
      <c r="C462">
        <v>1</v>
      </c>
      <c r="D462" t="s">
        <v>173</v>
      </c>
      <c r="E462" s="40">
        <v>0</v>
      </c>
      <c r="F462" s="40">
        <v>0</v>
      </c>
      <c r="G462" s="40">
        <v>0</v>
      </c>
      <c r="H462" s="40">
        <v>0</v>
      </c>
      <c r="I462" s="40">
        <v>0</v>
      </c>
      <c r="J462" s="40">
        <v>0</v>
      </c>
      <c r="K462" s="40">
        <v>0</v>
      </c>
      <c r="L462" s="40">
        <v>0</v>
      </c>
      <c r="M462" s="40">
        <v>0</v>
      </c>
      <c r="N462" s="40">
        <v>0</v>
      </c>
      <c r="O462" s="40">
        <v>0</v>
      </c>
      <c r="P462" s="40">
        <v>0</v>
      </c>
      <c r="Q462" s="40">
        <v>0</v>
      </c>
      <c r="R462" s="40">
        <v>0</v>
      </c>
      <c r="S462" s="40">
        <v>0</v>
      </c>
      <c r="T462" s="40">
        <v>0</v>
      </c>
      <c r="U462" s="40">
        <v>0</v>
      </c>
    </row>
    <row r="463" spans="1:21" x14ac:dyDescent="0.2">
      <c r="A463" t="s">
        <v>833</v>
      </c>
      <c r="B463">
        <v>345</v>
      </c>
      <c r="C463">
        <v>1</v>
      </c>
      <c r="D463" t="s">
        <v>174</v>
      </c>
      <c r="E463" s="40">
        <v>0</v>
      </c>
      <c r="F463" s="40">
        <v>0</v>
      </c>
      <c r="G463" s="40">
        <v>0</v>
      </c>
      <c r="H463" s="40">
        <v>0</v>
      </c>
      <c r="I463" s="40">
        <v>0</v>
      </c>
      <c r="J463" s="40">
        <v>0</v>
      </c>
      <c r="K463" s="40">
        <v>0</v>
      </c>
      <c r="L463" s="40">
        <v>0</v>
      </c>
      <c r="M463" s="40">
        <v>0</v>
      </c>
      <c r="N463" s="40">
        <v>0</v>
      </c>
      <c r="O463" s="40">
        <v>0</v>
      </c>
      <c r="P463" s="40">
        <v>0</v>
      </c>
      <c r="Q463" s="40">
        <v>0</v>
      </c>
      <c r="R463" s="40">
        <v>0</v>
      </c>
      <c r="S463" s="40">
        <v>0</v>
      </c>
      <c r="T463" s="40">
        <v>0</v>
      </c>
      <c r="U463" s="40">
        <v>0</v>
      </c>
    </row>
    <row r="464" spans="1:21" x14ac:dyDescent="0.2">
      <c r="A464" t="s">
        <v>833</v>
      </c>
      <c r="B464">
        <v>347</v>
      </c>
      <c r="C464">
        <v>1</v>
      </c>
      <c r="D464" t="s">
        <v>175</v>
      </c>
      <c r="E464" s="40">
        <v>0</v>
      </c>
      <c r="F464" s="40">
        <v>0</v>
      </c>
      <c r="G464" s="40">
        <v>0</v>
      </c>
      <c r="H464" s="40">
        <v>0</v>
      </c>
      <c r="I464" s="40">
        <v>0</v>
      </c>
      <c r="J464" s="40">
        <v>0</v>
      </c>
      <c r="K464" s="40">
        <v>0</v>
      </c>
      <c r="L464" s="40">
        <v>0</v>
      </c>
      <c r="M464" s="40">
        <v>0</v>
      </c>
      <c r="N464" s="40">
        <v>0</v>
      </c>
      <c r="O464" s="40">
        <v>0</v>
      </c>
      <c r="P464" s="40">
        <v>0</v>
      </c>
      <c r="Q464" s="40">
        <v>0</v>
      </c>
      <c r="R464" s="40">
        <v>0</v>
      </c>
      <c r="S464" s="40">
        <v>0</v>
      </c>
      <c r="T464" s="40">
        <v>0</v>
      </c>
      <c r="U464" s="40">
        <v>0</v>
      </c>
    </row>
    <row r="465" spans="1:21" x14ac:dyDescent="0.2">
      <c r="A465" t="s">
        <v>833</v>
      </c>
      <c r="B465">
        <v>356</v>
      </c>
      <c r="C465">
        <v>1</v>
      </c>
      <c r="D465" t="s">
        <v>176</v>
      </c>
      <c r="E465" s="40">
        <v>0</v>
      </c>
      <c r="F465" s="40">
        <v>0</v>
      </c>
      <c r="G465" s="40">
        <v>0</v>
      </c>
      <c r="H465" s="40">
        <v>0</v>
      </c>
      <c r="I465" s="40">
        <v>0</v>
      </c>
      <c r="J465" s="40">
        <v>0</v>
      </c>
      <c r="K465" s="40">
        <v>0</v>
      </c>
      <c r="L465" s="40">
        <v>0</v>
      </c>
      <c r="M465" s="40">
        <v>0</v>
      </c>
      <c r="N465" s="40">
        <v>0</v>
      </c>
      <c r="O465" s="40">
        <v>0</v>
      </c>
      <c r="P465" s="40">
        <v>0</v>
      </c>
      <c r="Q465" s="40">
        <v>0</v>
      </c>
      <c r="R465" s="40">
        <v>0</v>
      </c>
      <c r="S465" s="40">
        <v>0</v>
      </c>
      <c r="T465" s="40">
        <v>0</v>
      </c>
      <c r="U465" s="40">
        <v>0</v>
      </c>
    </row>
    <row r="466" spans="1:21" x14ac:dyDescent="0.2">
      <c r="A466" t="s">
        <v>833</v>
      </c>
      <c r="B466">
        <v>361</v>
      </c>
      <c r="C466">
        <v>1</v>
      </c>
      <c r="D466" t="s">
        <v>177</v>
      </c>
      <c r="E466" s="40">
        <v>0</v>
      </c>
      <c r="F466" s="40">
        <v>0</v>
      </c>
      <c r="G466" s="40">
        <v>0</v>
      </c>
      <c r="H466" s="40">
        <v>0</v>
      </c>
      <c r="I466" s="40">
        <v>0</v>
      </c>
      <c r="J466" s="40">
        <v>0</v>
      </c>
      <c r="K466" s="40">
        <v>0</v>
      </c>
      <c r="L466" s="40">
        <v>0</v>
      </c>
      <c r="M466" s="40">
        <v>0</v>
      </c>
      <c r="N466" s="40">
        <v>0</v>
      </c>
      <c r="O466" s="40">
        <v>0</v>
      </c>
      <c r="P466" s="40">
        <v>0</v>
      </c>
      <c r="Q466" s="40">
        <v>0</v>
      </c>
      <c r="R466" s="40">
        <v>0</v>
      </c>
      <c r="S466" s="40">
        <v>0</v>
      </c>
      <c r="T466" s="40">
        <v>0</v>
      </c>
      <c r="U466" s="40">
        <v>0</v>
      </c>
    </row>
    <row r="467" spans="1:21" x14ac:dyDescent="0.2">
      <c r="A467" t="s">
        <v>833</v>
      </c>
      <c r="B467">
        <v>362</v>
      </c>
      <c r="C467">
        <v>1</v>
      </c>
      <c r="D467" t="s">
        <v>178</v>
      </c>
      <c r="E467" s="40">
        <v>0</v>
      </c>
      <c r="F467" s="40">
        <v>0</v>
      </c>
      <c r="G467" s="40">
        <v>0</v>
      </c>
      <c r="H467" s="40">
        <v>0</v>
      </c>
      <c r="I467" s="40">
        <v>0</v>
      </c>
      <c r="J467" s="40">
        <v>0</v>
      </c>
      <c r="K467" s="40">
        <v>0</v>
      </c>
      <c r="L467" s="40">
        <v>0</v>
      </c>
      <c r="M467" s="40">
        <v>0</v>
      </c>
      <c r="N467" s="40">
        <v>0</v>
      </c>
      <c r="O467" s="40">
        <v>0</v>
      </c>
      <c r="P467" s="40">
        <v>0</v>
      </c>
      <c r="Q467" s="40">
        <v>0</v>
      </c>
      <c r="R467" s="40">
        <v>0</v>
      </c>
      <c r="S467" s="40">
        <v>0</v>
      </c>
      <c r="T467" s="40">
        <v>0</v>
      </c>
      <c r="U467" s="40">
        <v>0</v>
      </c>
    </row>
    <row r="468" spans="1:21" x14ac:dyDescent="0.2">
      <c r="A468" t="s">
        <v>833</v>
      </c>
      <c r="B468">
        <v>363</v>
      </c>
      <c r="C468">
        <v>1</v>
      </c>
      <c r="D468" t="s">
        <v>179</v>
      </c>
      <c r="E468" s="40">
        <v>0</v>
      </c>
      <c r="F468" s="40">
        <v>0</v>
      </c>
      <c r="G468" s="40">
        <v>0</v>
      </c>
      <c r="H468" s="40">
        <v>0</v>
      </c>
      <c r="I468" s="40">
        <v>0</v>
      </c>
      <c r="J468" s="40">
        <v>0</v>
      </c>
      <c r="K468" s="40">
        <v>0</v>
      </c>
      <c r="L468" s="40">
        <v>0</v>
      </c>
      <c r="M468" s="40">
        <v>0</v>
      </c>
      <c r="N468" s="40">
        <v>0</v>
      </c>
      <c r="O468" s="40">
        <v>0</v>
      </c>
      <c r="P468" s="40">
        <v>0</v>
      </c>
      <c r="Q468" s="40">
        <v>0</v>
      </c>
      <c r="R468" s="40">
        <v>0</v>
      </c>
      <c r="S468" s="40">
        <v>0</v>
      </c>
      <c r="T468" s="40">
        <v>0</v>
      </c>
      <c r="U468" s="40">
        <v>0</v>
      </c>
    </row>
    <row r="469" spans="1:21" x14ac:dyDescent="0.2">
      <c r="A469" t="s">
        <v>833</v>
      </c>
      <c r="B469">
        <v>371</v>
      </c>
      <c r="C469">
        <v>1</v>
      </c>
      <c r="D469" t="s">
        <v>180</v>
      </c>
      <c r="E469" s="40">
        <v>0</v>
      </c>
      <c r="F469" s="40">
        <v>0</v>
      </c>
      <c r="G469" s="40">
        <v>0</v>
      </c>
      <c r="H469" s="40">
        <v>0</v>
      </c>
      <c r="I469" s="40">
        <v>0</v>
      </c>
      <c r="J469" s="40">
        <v>0</v>
      </c>
      <c r="K469" s="40">
        <v>0</v>
      </c>
      <c r="L469" s="40">
        <v>0</v>
      </c>
      <c r="M469" s="40">
        <v>0</v>
      </c>
      <c r="N469" s="40">
        <v>0</v>
      </c>
      <c r="O469" s="40">
        <v>0</v>
      </c>
      <c r="P469" s="40">
        <v>0</v>
      </c>
      <c r="Q469" s="40">
        <v>0</v>
      </c>
      <c r="R469" s="40">
        <v>0</v>
      </c>
      <c r="S469" s="40">
        <v>0</v>
      </c>
      <c r="T469" s="40">
        <v>0</v>
      </c>
      <c r="U469" s="40">
        <v>0</v>
      </c>
    </row>
    <row r="470" spans="1:21" x14ac:dyDescent="0.2">
      <c r="A470" t="s">
        <v>833</v>
      </c>
      <c r="B470">
        <v>378</v>
      </c>
      <c r="C470">
        <v>1</v>
      </c>
      <c r="D470" t="s">
        <v>181</v>
      </c>
      <c r="E470" s="40">
        <v>0</v>
      </c>
      <c r="F470" s="40">
        <v>0</v>
      </c>
      <c r="G470" s="40">
        <v>0</v>
      </c>
      <c r="H470" s="40">
        <v>0</v>
      </c>
      <c r="I470" s="40">
        <v>0</v>
      </c>
      <c r="J470" s="40">
        <v>0</v>
      </c>
      <c r="K470" s="40">
        <v>0</v>
      </c>
      <c r="L470" s="40">
        <v>0</v>
      </c>
      <c r="M470" s="40">
        <v>0</v>
      </c>
      <c r="N470" s="40">
        <v>0</v>
      </c>
      <c r="O470" s="40">
        <v>0</v>
      </c>
      <c r="P470" s="40">
        <v>0</v>
      </c>
      <c r="Q470" s="40">
        <v>0</v>
      </c>
      <c r="R470" s="40">
        <v>0</v>
      </c>
      <c r="S470" s="40">
        <v>0</v>
      </c>
      <c r="T470" s="40">
        <v>0</v>
      </c>
      <c r="U470" s="40">
        <v>0</v>
      </c>
    </row>
    <row r="471" spans="1:21" x14ac:dyDescent="0.2">
      <c r="A471" t="s">
        <v>833</v>
      </c>
      <c r="B471">
        <v>381</v>
      </c>
      <c r="C471">
        <v>1</v>
      </c>
      <c r="D471" t="s">
        <v>182</v>
      </c>
      <c r="E471" s="40">
        <v>0</v>
      </c>
      <c r="F471" s="40">
        <v>0</v>
      </c>
      <c r="G471" s="40">
        <v>0</v>
      </c>
      <c r="H471" s="40">
        <v>0</v>
      </c>
      <c r="I471" s="40">
        <v>0</v>
      </c>
      <c r="J471" s="40">
        <v>0</v>
      </c>
      <c r="K471" s="40">
        <v>0</v>
      </c>
      <c r="L471" s="40">
        <v>0</v>
      </c>
      <c r="M471" s="40">
        <v>0</v>
      </c>
      <c r="N471" s="40">
        <v>0</v>
      </c>
      <c r="O471" s="40">
        <v>0</v>
      </c>
      <c r="P471" s="40">
        <v>0</v>
      </c>
      <c r="Q471" s="40">
        <v>0</v>
      </c>
      <c r="R471" s="40">
        <v>0</v>
      </c>
      <c r="S471" s="40">
        <v>0</v>
      </c>
      <c r="T471" s="40">
        <v>0</v>
      </c>
      <c r="U471" s="40">
        <v>0</v>
      </c>
    </row>
    <row r="472" spans="1:21" x14ac:dyDescent="0.2">
      <c r="A472" t="s">
        <v>833</v>
      </c>
      <c r="B472">
        <v>390</v>
      </c>
      <c r="C472">
        <v>1</v>
      </c>
      <c r="D472" t="s">
        <v>183</v>
      </c>
      <c r="E472" s="40">
        <v>0</v>
      </c>
      <c r="F472" s="40">
        <v>0</v>
      </c>
      <c r="G472" s="40">
        <v>0</v>
      </c>
      <c r="H472" s="40">
        <v>0</v>
      </c>
      <c r="I472" s="40">
        <v>0</v>
      </c>
      <c r="J472" s="40">
        <v>0</v>
      </c>
      <c r="K472" s="40">
        <v>0</v>
      </c>
      <c r="L472" s="40">
        <v>0</v>
      </c>
      <c r="M472" s="40">
        <v>0</v>
      </c>
      <c r="N472" s="40">
        <v>0</v>
      </c>
      <c r="O472" s="40">
        <v>0</v>
      </c>
      <c r="P472" s="40">
        <v>0</v>
      </c>
      <c r="Q472" s="40">
        <v>0</v>
      </c>
      <c r="R472" s="40">
        <v>0</v>
      </c>
      <c r="S472" s="40">
        <v>0</v>
      </c>
      <c r="T472" s="40">
        <v>0</v>
      </c>
      <c r="U472" s="40">
        <v>0</v>
      </c>
    </row>
    <row r="473" spans="1:21" x14ac:dyDescent="0.2">
      <c r="A473" t="s">
        <v>833</v>
      </c>
      <c r="B473">
        <v>391</v>
      </c>
      <c r="C473">
        <v>1</v>
      </c>
      <c r="D473" t="s">
        <v>184</v>
      </c>
      <c r="E473" s="40">
        <v>0</v>
      </c>
      <c r="F473" s="40">
        <v>0</v>
      </c>
      <c r="G473" s="40">
        <v>0</v>
      </c>
      <c r="H473" s="40">
        <v>0</v>
      </c>
      <c r="I473" s="40">
        <v>0</v>
      </c>
      <c r="J473" s="40">
        <v>0</v>
      </c>
      <c r="K473" s="40">
        <v>0</v>
      </c>
      <c r="L473" s="40">
        <v>0</v>
      </c>
      <c r="M473" s="40">
        <v>0</v>
      </c>
      <c r="N473" s="40">
        <v>0</v>
      </c>
      <c r="O473" s="40">
        <v>0</v>
      </c>
      <c r="P473" s="40">
        <v>0</v>
      </c>
      <c r="Q473" s="40">
        <v>0</v>
      </c>
      <c r="R473" s="40">
        <v>0</v>
      </c>
      <c r="S473" s="40">
        <v>0</v>
      </c>
      <c r="T473" s="40">
        <v>0</v>
      </c>
      <c r="U473" s="40">
        <v>0</v>
      </c>
    </row>
    <row r="474" spans="1:21" x14ac:dyDescent="0.2">
      <c r="A474" t="s">
        <v>833</v>
      </c>
      <c r="B474">
        <v>392</v>
      </c>
      <c r="C474">
        <v>1</v>
      </c>
      <c r="D474" t="s">
        <v>185</v>
      </c>
      <c r="E474" s="40">
        <v>0</v>
      </c>
      <c r="F474" s="40">
        <v>0</v>
      </c>
      <c r="G474" s="40">
        <v>0</v>
      </c>
      <c r="H474" s="40">
        <v>0</v>
      </c>
      <c r="I474" s="40">
        <v>0</v>
      </c>
      <c r="J474" s="40">
        <v>0</v>
      </c>
      <c r="K474" s="40">
        <v>0</v>
      </c>
      <c r="L474" s="40">
        <v>0</v>
      </c>
      <c r="M474" s="40">
        <v>0</v>
      </c>
      <c r="N474" s="40">
        <v>0</v>
      </c>
      <c r="O474" s="40">
        <v>0</v>
      </c>
      <c r="P474" s="40">
        <v>0</v>
      </c>
      <c r="Q474" s="40">
        <v>0</v>
      </c>
      <c r="R474" s="40">
        <v>0</v>
      </c>
      <c r="S474" s="40">
        <v>0</v>
      </c>
      <c r="T474" s="40">
        <v>0</v>
      </c>
      <c r="U474" s="40">
        <v>0</v>
      </c>
    </row>
    <row r="475" spans="1:21" x14ac:dyDescent="0.2">
      <c r="A475" t="s">
        <v>833</v>
      </c>
      <c r="B475">
        <v>394</v>
      </c>
      <c r="C475">
        <v>1</v>
      </c>
      <c r="D475" t="s">
        <v>186</v>
      </c>
      <c r="E475" s="40">
        <v>0</v>
      </c>
      <c r="F475" s="40">
        <v>0</v>
      </c>
      <c r="G475" s="40">
        <v>0</v>
      </c>
      <c r="H475" s="40">
        <v>0</v>
      </c>
      <c r="I475" s="40">
        <v>0</v>
      </c>
      <c r="J475" s="40">
        <v>0</v>
      </c>
      <c r="K475" s="40">
        <v>0</v>
      </c>
      <c r="L475" s="40">
        <v>0</v>
      </c>
      <c r="M475" s="40">
        <v>0</v>
      </c>
      <c r="N475" s="40">
        <v>0</v>
      </c>
      <c r="O475" s="40">
        <v>0</v>
      </c>
      <c r="P475" s="40">
        <v>0</v>
      </c>
      <c r="Q475" s="40">
        <v>0</v>
      </c>
      <c r="R475" s="40">
        <v>0</v>
      </c>
      <c r="S475" s="40">
        <v>0</v>
      </c>
      <c r="T475" s="40">
        <v>0</v>
      </c>
      <c r="U475" s="40">
        <v>0</v>
      </c>
    </row>
    <row r="476" spans="1:21" x14ac:dyDescent="0.2">
      <c r="A476" t="s">
        <v>833</v>
      </c>
      <c r="B476">
        <v>402</v>
      </c>
      <c r="C476">
        <v>1</v>
      </c>
      <c r="D476" t="s">
        <v>187</v>
      </c>
      <c r="E476" s="40">
        <v>0</v>
      </c>
      <c r="F476" s="40">
        <v>0</v>
      </c>
      <c r="G476" s="40">
        <v>0</v>
      </c>
      <c r="H476" s="40">
        <v>0</v>
      </c>
      <c r="I476" s="40">
        <v>0</v>
      </c>
      <c r="J476" s="40">
        <v>0</v>
      </c>
      <c r="K476" s="40">
        <v>0</v>
      </c>
      <c r="L476" s="40">
        <v>0</v>
      </c>
      <c r="M476" s="40">
        <v>0</v>
      </c>
      <c r="N476" s="40">
        <v>0</v>
      </c>
      <c r="O476" s="40">
        <v>0</v>
      </c>
      <c r="P476" s="40">
        <v>0</v>
      </c>
      <c r="Q476" s="40">
        <v>0</v>
      </c>
      <c r="R476" s="40">
        <v>0</v>
      </c>
      <c r="S476" s="40">
        <v>0</v>
      </c>
      <c r="T476" s="40">
        <v>0</v>
      </c>
      <c r="U476" s="40">
        <v>0</v>
      </c>
    </row>
    <row r="477" spans="1:21" x14ac:dyDescent="0.2">
      <c r="A477" t="s">
        <v>833</v>
      </c>
      <c r="B477">
        <v>403</v>
      </c>
      <c r="C477">
        <v>1</v>
      </c>
      <c r="D477" t="s">
        <v>188</v>
      </c>
      <c r="E477" s="40">
        <v>0</v>
      </c>
      <c r="F477" s="40">
        <v>0</v>
      </c>
      <c r="G477" s="40">
        <v>0</v>
      </c>
      <c r="H477" s="40">
        <v>0</v>
      </c>
      <c r="I477" s="40">
        <v>0</v>
      </c>
      <c r="J477" s="40">
        <v>0</v>
      </c>
      <c r="K477" s="40">
        <v>0</v>
      </c>
      <c r="L477" s="40">
        <v>0</v>
      </c>
      <c r="M477" s="40">
        <v>0</v>
      </c>
      <c r="N477" s="40">
        <v>0</v>
      </c>
      <c r="O477" s="40">
        <v>0</v>
      </c>
      <c r="P477" s="40">
        <v>0</v>
      </c>
      <c r="Q477" s="40">
        <v>0</v>
      </c>
      <c r="R477" s="40">
        <v>0</v>
      </c>
      <c r="S477" s="40">
        <v>0</v>
      </c>
      <c r="T477" s="40">
        <v>0</v>
      </c>
      <c r="U477" s="40">
        <v>0</v>
      </c>
    </row>
    <row r="478" spans="1:21" x14ac:dyDescent="0.2">
      <c r="A478" t="s">
        <v>833</v>
      </c>
      <c r="B478">
        <v>404</v>
      </c>
      <c r="C478">
        <v>1</v>
      </c>
      <c r="D478" t="s">
        <v>189</v>
      </c>
      <c r="E478" s="40">
        <v>0</v>
      </c>
      <c r="F478" s="40">
        <v>0</v>
      </c>
      <c r="G478" s="40">
        <v>0</v>
      </c>
      <c r="H478" s="40">
        <v>0</v>
      </c>
      <c r="I478" s="40">
        <v>0</v>
      </c>
      <c r="J478" s="40">
        <v>0</v>
      </c>
      <c r="K478" s="40">
        <v>0</v>
      </c>
      <c r="L478" s="40">
        <v>0</v>
      </c>
      <c r="M478" s="40">
        <v>0</v>
      </c>
      <c r="N478" s="40">
        <v>0</v>
      </c>
      <c r="O478" s="40">
        <v>0</v>
      </c>
      <c r="P478" s="40">
        <v>0</v>
      </c>
      <c r="Q478" s="40">
        <v>0</v>
      </c>
      <c r="R478" s="40">
        <v>0</v>
      </c>
      <c r="S478" s="40">
        <v>0</v>
      </c>
      <c r="T478" s="40">
        <v>0</v>
      </c>
      <c r="U478" s="40">
        <v>0</v>
      </c>
    </row>
    <row r="479" spans="1:21" x14ac:dyDescent="0.2">
      <c r="A479" t="s">
        <v>833</v>
      </c>
      <c r="B479">
        <v>409</v>
      </c>
      <c r="C479">
        <v>1</v>
      </c>
      <c r="D479" t="s">
        <v>190</v>
      </c>
      <c r="E479" s="40">
        <v>0</v>
      </c>
      <c r="F479" s="40">
        <v>0</v>
      </c>
      <c r="G479" s="40">
        <v>0</v>
      </c>
      <c r="H479" s="40">
        <v>0</v>
      </c>
      <c r="I479" s="40">
        <v>0</v>
      </c>
      <c r="J479" s="40">
        <v>0</v>
      </c>
      <c r="K479" s="40">
        <v>0</v>
      </c>
      <c r="L479" s="40">
        <v>0</v>
      </c>
      <c r="M479" s="40">
        <v>0</v>
      </c>
      <c r="N479" s="40">
        <v>0</v>
      </c>
      <c r="O479" s="40">
        <v>0</v>
      </c>
      <c r="P479" s="40">
        <v>0</v>
      </c>
      <c r="Q479" s="40">
        <v>0</v>
      </c>
      <c r="R479" s="40">
        <v>0</v>
      </c>
      <c r="S479" s="40">
        <v>0</v>
      </c>
      <c r="T479" s="40">
        <v>0</v>
      </c>
      <c r="U479" s="40">
        <v>0</v>
      </c>
    </row>
    <row r="480" spans="1:21" x14ac:dyDescent="0.2">
      <c r="A480" t="s">
        <v>833</v>
      </c>
      <c r="B480">
        <v>411</v>
      </c>
      <c r="C480">
        <v>1</v>
      </c>
      <c r="D480" t="s">
        <v>191</v>
      </c>
      <c r="E480" s="40">
        <v>0</v>
      </c>
      <c r="F480" s="40">
        <v>0</v>
      </c>
      <c r="G480" s="40">
        <v>0</v>
      </c>
      <c r="H480" s="40">
        <v>0</v>
      </c>
      <c r="I480" s="40">
        <v>0</v>
      </c>
      <c r="J480" s="40">
        <v>0</v>
      </c>
      <c r="K480" s="40">
        <v>0</v>
      </c>
      <c r="L480" s="40">
        <v>0</v>
      </c>
      <c r="M480" s="40">
        <v>0</v>
      </c>
      <c r="N480" s="40">
        <v>0</v>
      </c>
      <c r="O480" s="40">
        <v>0</v>
      </c>
      <c r="P480" s="40">
        <v>0</v>
      </c>
      <c r="Q480" s="40">
        <v>0</v>
      </c>
      <c r="R480" s="40">
        <v>0</v>
      </c>
      <c r="S480" s="40">
        <v>0</v>
      </c>
      <c r="T480" s="40">
        <v>0</v>
      </c>
      <c r="U480" s="40">
        <v>0</v>
      </c>
    </row>
    <row r="481" spans="1:21" x14ac:dyDescent="0.2">
      <c r="A481" t="s">
        <v>833</v>
      </c>
      <c r="B481">
        <v>413</v>
      </c>
      <c r="C481">
        <v>1</v>
      </c>
      <c r="D481" t="s">
        <v>192</v>
      </c>
      <c r="E481" s="40">
        <v>0</v>
      </c>
      <c r="F481" s="40">
        <v>0</v>
      </c>
      <c r="G481" s="40">
        <v>0</v>
      </c>
      <c r="H481" s="40">
        <v>0</v>
      </c>
      <c r="I481" s="40">
        <v>0</v>
      </c>
      <c r="J481" s="40">
        <v>0</v>
      </c>
      <c r="K481" s="40">
        <v>0</v>
      </c>
      <c r="L481" s="40">
        <v>0</v>
      </c>
      <c r="M481" s="40">
        <v>0</v>
      </c>
      <c r="N481" s="40">
        <v>0</v>
      </c>
      <c r="O481" s="40">
        <v>0</v>
      </c>
      <c r="P481" s="40">
        <v>0</v>
      </c>
      <c r="Q481" s="40">
        <v>0</v>
      </c>
      <c r="R481" s="40">
        <v>0</v>
      </c>
      <c r="S481" s="40">
        <v>0</v>
      </c>
      <c r="T481" s="40">
        <v>0</v>
      </c>
      <c r="U481" s="40">
        <v>0</v>
      </c>
    </row>
    <row r="482" spans="1:21" x14ac:dyDescent="0.2">
      <c r="A482" t="s">
        <v>833</v>
      </c>
      <c r="B482">
        <v>414</v>
      </c>
      <c r="C482">
        <v>1</v>
      </c>
      <c r="D482" t="s">
        <v>193</v>
      </c>
      <c r="E482" s="40">
        <v>0</v>
      </c>
      <c r="F482" s="40">
        <v>0</v>
      </c>
      <c r="G482" s="40">
        <v>0</v>
      </c>
      <c r="H482" s="40">
        <v>0</v>
      </c>
      <c r="I482" s="40">
        <v>0</v>
      </c>
      <c r="J482" s="40">
        <v>0</v>
      </c>
      <c r="K482" s="40">
        <v>0</v>
      </c>
      <c r="L482" s="40">
        <v>0</v>
      </c>
      <c r="M482" s="40">
        <v>0</v>
      </c>
      <c r="N482" s="40">
        <v>0</v>
      </c>
      <c r="O482" s="40">
        <v>0</v>
      </c>
      <c r="P482" s="40">
        <v>0</v>
      </c>
      <c r="Q482" s="40">
        <v>0</v>
      </c>
      <c r="R482" s="40">
        <v>0</v>
      </c>
      <c r="S482" s="40">
        <v>0</v>
      </c>
      <c r="T482" s="40">
        <v>0</v>
      </c>
      <c r="U482" s="40">
        <v>0</v>
      </c>
    </row>
    <row r="483" spans="1:21" x14ac:dyDescent="0.2">
      <c r="A483" t="s">
        <v>833</v>
      </c>
      <c r="B483">
        <v>415</v>
      </c>
      <c r="C483">
        <v>1</v>
      </c>
      <c r="D483" t="s">
        <v>194</v>
      </c>
      <c r="E483" s="40">
        <v>0</v>
      </c>
      <c r="F483" s="40">
        <v>0</v>
      </c>
      <c r="G483" s="40">
        <v>0</v>
      </c>
      <c r="H483" s="40">
        <v>0</v>
      </c>
      <c r="I483" s="40">
        <v>0</v>
      </c>
      <c r="J483" s="40">
        <v>0</v>
      </c>
      <c r="K483" s="40">
        <v>0</v>
      </c>
      <c r="L483" s="40">
        <v>0</v>
      </c>
      <c r="M483" s="40">
        <v>0</v>
      </c>
      <c r="N483" s="40">
        <v>0</v>
      </c>
      <c r="O483" s="40">
        <v>0</v>
      </c>
      <c r="P483" s="40">
        <v>0</v>
      </c>
      <c r="Q483" s="40">
        <v>0</v>
      </c>
      <c r="R483" s="40">
        <v>0</v>
      </c>
      <c r="S483" s="40">
        <v>0</v>
      </c>
      <c r="T483" s="40">
        <v>0</v>
      </c>
      <c r="U483" s="40">
        <v>0</v>
      </c>
    </row>
    <row r="484" spans="1:21" x14ac:dyDescent="0.2">
      <c r="A484" t="s">
        <v>833</v>
      </c>
      <c r="B484">
        <v>417</v>
      </c>
      <c r="C484">
        <v>1</v>
      </c>
      <c r="D484" t="s">
        <v>195</v>
      </c>
      <c r="E484" s="40">
        <v>0</v>
      </c>
      <c r="F484" s="40">
        <v>0</v>
      </c>
      <c r="G484" s="40">
        <v>0</v>
      </c>
      <c r="H484" s="40">
        <v>0</v>
      </c>
      <c r="I484" s="40">
        <v>0</v>
      </c>
      <c r="J484" s="40">
        <v>0</v>
      </c>
      <c r="K484" s="40">
        <v>0</v>
      </c>
      <c r="L484" s="40">
        <v>0</v>
      </c>
      <c r="M484" s="40">
        <v>0</v>
      </c>
      <c r="N484" s="40">
        <v>0</v>
      </c>
      <c r="O484" s="40">
        <v>0</v>
      </c>
      <c r="P484" s="40">
        <v>0</v>
      </c>
      <c r="Q484" s="40">
        <v>0</v>
      </c>
      <c r="R484" s="40">
        <v>0</v>
      </c>
      <c r="S484" s="40">
        <v>0</v>
      </c>
      <c r="T484" s="40">
        <v>0</v>
      </c>
      <c r="U484" s="40">
        <v>0</v>
      </c>
    </row>
    <row r="485" spans="1:21" x14ac:dyDescent="0.2">
      <c r="A485" t="s">
        <v>833</v>
      </c>
      <c r="B485">
        <v>418</v>
      </c>
      <c r="C485">
        <v>1</v>
      </c>
      <c r="D485" t="s">
        <v>196</v>
      </c>
      <c r="E485" s="40">
        <v>0</v>
      </c>
      <c r="F485" s="40">
        <v>0</v>
      </c>
      <c r="G485" s="40">
        <v>0</v>
      </c>
      <c r="H485" s="40">
        <v>0</v>
      </c>
      <c r="I485" s="40">
        <v>0</v>
      </c>
      <c r="J485" s="40">
        <v>0</v>
      </c>
      <c r="K485" s="40">
        <v>0</v>
      </c>
      <c r="L485" s="40">
        <v>0</v>
      </c>
      <c r="M485" s="40">
        <v>0</v>
      </c>
      <c r="N485" s="40">
        <v>0</v>
      </c>
      <c r="O485" s="40">
        <v>0</v>
      </c>
      <c r="P485" s="40">
        <v>0</v>
      </c>
      <c r="Q485" s="40">
        <v>0</v>
      </c>
      <c r="R485" s="40">
        <v>0</v>
      </c>
      <c r="S485" s="40">
        <v>0</v>
      </c>
      <c r="T485" s="40">
        <v>0</v>
      </c>
      <c r="U485" s="40">
        <v>0</v>
      </c>
    </row>
    <row r="486" spans="1:21" x14ac:dyDescent="0.2">
      <c r="A486" t="s">
        <v>833</v>
      </c>
      <c r="B486">
        <v>423</v>
      </c>
      <c r="C486">
        <v>1</v>
      </c>
      <c r="D486" t="s">
        <v>197</v>
      </c>
      <c r="E486" s="40">
        <v>0</v>
      </c>
      <c r="F486" s="40">
        <v>0</v>
      </c>
      <c r="G486" s="40">
        <v>0</v>
      </c>
      <c r="H486" s="40">
        <v>0</v>
      </c>
      <c r="I486" s="40">
        <v>0</v>
      </c>
      <c r="J486" s="40">
        <v>0</v>
      </c>
      <c r="K486" s="40">
        <v>0</v>
      </c>
      <c r="L486" s="40">
        <v>0</v>
      </c>
      <c r="M486" s="40">
        <v>0</v>
      </c>
      <c r="N486" s="40">
        <v>0</v>
      </c>
      <c r="O486" s="40">
        <v>0</v>
      </c>
      <c r="P486" s="40">
        <v>0</v>
      </c>
      <c r="Q486" s="40">
        <v>0</v>
      </c>
      <c r="R486" s="40">
        <v>0</v>
      </c>
      <c r="S486" s="40">
        <v>0</v>
      </c>
      <c r="T486" s="40">
        <v>0</v>
      </c>
      <c r="U486" s="40">
        <v>0</v>
      </c>
    </row>
    <row r="487" spans="1:21" x14ac:dyDescent="0.2">
      <c r="A487" t="s">
        <v>833</v>
      </c>
      <c r="B487">
        <v>424</v>
      </c>
      <c r="C487">
        <v>1</v>
      </c>
      <c r="D487" t="s">
        <v>198</v>
      </c>
      <c r="E487" s="40">
        <v>0</v>
      </c>
      <c r="F487" s="40">
        <v>0</v>
      </c>
      <c r="G487" s="40">
        <v>0</v>
      </c>
      <c r="H487" s="40">
        <v>0</v>
      </c>
      <c r="I487" s="40">
        <v>0</v>
      </c>
      <c r="J487" s="40">
        <v>0</v>
      </c>
      <c r="K487" s="40">
        <v>0</v>
      </c>
      <c r="L487" s="40">
        <v>0</v>
      </c>
      <c r="M487" s="40">
        <v>0</v>
      </c>
      <c r="N487" s="40">
        <v>0</v>
      </c>
      <c r="O487" s="40">
        <v>0</v>
      </c>
      <c r="P487" s="40">
        <v>0</v>
      </c>
      <c r="Q487" s="40">
        <v>0</v>
      </c>
      <c r="R487" s="40">
        <v>0</v>
      </c>
      <c r="S487" s="40">
        <v>0</v>
      </c>
      <c r="T487" s="40">
        <v>0</v>
      </c>
      <c r="U487" s="40">
        <v>0</v>
      </c>
    </row>
    <row r="488" spans="1:21" x14ac:dyDescent="0.2">
      <c r="A488" t="s">
        <v>833</v>
      </c>
      <c r="B488">
        <v>432</v>
      </c>
      <c r="C488">
        <v>1</v>
      </c>
      <c r="D488" t="s">
        <v>199</v>
      </c>
      <c r="E488" s="40">
        <v>0</v>
      </c>
      <c r="F488" s="40">
        <v>0</v>
      </c>
      <c r="G488" s="40">
        <v>0</v>
      </c>
      <c r="H488" s="40">
        <v>0</v>
      </c>
      <c r="I488" s="40">
        <v>0</v>
      </c>
      <c r="J488" s="40">
        <v>0</v>
      </c>
      <c r="K488" s="40">
        <v>0</v>
      </c>
      <c r="L488" s="40">
        <v>0</v>
      </c>
      <c r="M488" s="40">
        <v>0</v>
      </c>
      <c r="N488" s="40">
        <v>0</v>
      </c>
      <c r="O488" s="40">
        <v>0</v>
      </c>
      <c r="P488" s="40">
        <v>0</v>
      </c>
      <c r="Q488" s="40">
        <v>0</v>
      </c>
      <c r="R488" s="40">
        <v>0</v>
      </c>
      <c r="S488" s="40">
        <v>0</v>
      </c>
      <c r="T488" s="40">
        <v>0</v>
      </c>
      <c r="U488" s="40">
        <v>0</v>
      </c>
    </row>
    <row r="489" spans="1:21" x14ac:dyDescent="0.2">
      <c r="A489" t="s">
        <v>833</v>
      </c>
      <c r="B489">
        <v>435</v>
      </c>
      <c r="C489">
        <v>1</v>
      </c>
      <c r="D489" t="s">
        <v>200</v>
      </c>
      <c r="E489" s="40">
        <v>0</v>
      </c>
      <c r="F489" s="40">
        <v>0</v>
      </c>
      <c r="G489" s="40">
        <v>0</v>
      </c>
      <c r="H489" s="40">
        <v>0</v>
      </c>
      <c r="I489" s="40">
        <v>0</v>
      </c>
      <c r="J489" s="40">
        <v>0</v>
      </c>
      <c r="K489" s="40">
        <v>0</v>
      </c>
      <c r="L489" s="40">
        <v>0</v>
      </c>
      <c r="M489" s="40">
        <v>0</v>
      </c>
      <c r="N489" s="40">
        <v>0</v>
      </c>
      <c r="O489" s="40">
        <v>0</v>
      </c>
      <c r="P489" s="40">
        <v>0</v>
      </c>
      <c r="Q489" s="40">
        <v>0</v>
      </c>
      <c r="R489" s="40">
        <v>0</v>
      </c>
      <c r="S489" s="40">
        <v>0</v>
      </c>
      <c r="T489" s="40">
        <v>0</v>
      </c>
      <c r="U489" s="40">
        <v>0</v>
      </c>
    </row>
    <row r="490" spans="1:21" x14ac:dyDescent="0.2">
      <c r="A490" t="s">
        <v>833</v>
      </c>
      <c r="B490">
        <v>441</v>
      </c>
      <c r="C490">
        <v>1</v>
      </c>
      <c r="D490" t="s">
        <v>201</v>
      </c>
      <c r="E490" s="40">
        <v>0</v>
      </c>
      <c r="F490" s="40">
        <v>0</v>
      </c>
      <c r="G490" s="40">
        <v>0</v>
      </c>
      <c r="H490" s="40">
        <v>0</v>
      </c>
      <c r="I490" s="40">
        <v>0</v>
      </c>
      <c r="J490" s="40">
        <v>0</v>
      </c>
      <c r="K490" s="40">
        <v>0</v>
      </c>
      <c r="L490" s="40">
        <v>0</v>
      </c>
      <c r="M490" s="40">
        <v>0</v>
      </c>
      <c r="N490" s="40">
        <v>0</v>
      </c>
      <c r="O490" s="40">
        <v>0</v>
      </c>
      <c r="P490" s="40">
        <v>0</v>
      </c>
      <c r="Q490" s="40">
        <v>0</v>
      </c>
      <c r="R490" s="40">
        <v>0</v>
      </c>
      <c r="S490" s="40">
        <v>0</v>
      </c>
      <c r="T490" s="40">
        <v>0</v>
      </c>
      <c r="U490" s="40">
        <v>0</v>
      </c>
    </row>
    <row r="491" spans="1:21" x14ac:dyDescent="0.2">
      <c r="A491" t="s">
        <v>833</v>
      </c>
      <c r="B491">
        <v>447</v>
      </c>
      <c r="C491">
        <v>1</v>
      </c>
      <c r="D491" t="s">
        <v>202</v>
      </c>
      <c r="E491" s="40">
        <v>0</v>
      </c>
      <c r="F491" s="40">
        <v>0</v>
      </c>
      <c r="G491" s="40">
        <v>0</v>
      </c>
      <c r="H491" s="40">
        <v>0</v>
      </c>
      <c r="I491" s="40">
        <v>0</v>
      </c>
      <c r="J491" s="40">
        <v>0</v>
      </c>
      <c r="K491" s="40">
        <v>0</v>
      </c>
      <c r="L491" s="40">
        <v>0</v>
      </c>
      <c r="M491" s="40">
        <v>0</v>
      </c>
      <c r="N491" s="40">
        <v>0</v>
      </c>
      <c r="O491" s="40">
        <v>0</v>
      </c>
      <c r="P491" s="40">
        <v>0</v>
      </c>
      <c r="Q491" s="40">
        <v>0</v>
      </c>
      <c r="R491" s="40">
        <v>0</v>
      </c>
      <c r="S491" s="40">
        <v>0</v>
      </c>
      <c r="T491" s="40">
        <v>0</v>
      </c>
      <c r="U491" s="40">
        <v>0</v>
      </c>
    </row>
    <row r="492" spans="1:21" x14ac:dyDescent="0.2">
      <c r="A492" t="s">
        <v>833</v>
      </c>
      <c r="B492">
        <v>458</v>
      </c>
      <c r="C492">
        <v>1</v>
      </c>
      <c r="D492" t="s">
        <v>203</v>
      </c>
      <c r="E492" s="40">
        <v>0</v>
      </c>
      <c r="F492" s="40">
        <v>0</v>
      </c>
      <c r="G492" s="40">
        <v>0</v>
      </c>
      <c r="H492" s="40">
        <v>0</v>
      </c>
      <c r="I492" s="40">
        <v>0</v>
      </c>
      <c r="J492" s="40">
        <v>0</v>
      </c>
      <c r="K492" s="40">
        <v>0</v>
      </c>
      <c r="L492" s="40">
        <v>0</v>
      </c>
      <c r="M492" s="40">
        <v>0</v>
      </c>
      <c r="N492" s="40">
        <v>0</v>
      </c>
      <c r="O492" s="40">
        <v>0</v>
      </c>
      <c r="P492" s="40">
        <v>0</v>
      </c>
      <c r="Q492" s="40">
        <v>0</v>
      </c>
      <c r="R492" s="40">
        <v>0</v>
      </c>
      <c r="S492" s="40">
        <v>0</v>
      </c>
      <c r="T492" s="40">
        <v>0</v>
      </c>
      <c r="U492" s="40">
        <v>0</v>
      </c>
    </row>
    <row r="493" spans="1:21" x14ac:dyDescent="0.2">
      <c r="A493" t="s">
        <v>833</v>
      </c>
      <c r="B493">
        <v>463</v>
      </c>
      <c r="C493">
        <v>1</v>
      </c>
      <c r="D493" t="s">
        <v>204</v>
      </c>
      <c r="E493" s="40">
        <v>0</v>
      </c>
      <c r="F493" s="40">
        <v>0</v>
      </c>
      <c r="G493" s="40">
        <v>0</v>
      </c>
      <c r="H493" s="40">
        <v>0</v>
      </c>
      <c r="I493" s="40">
        <v>0</v>
      </c>
      <c r="J493" s="40">
        <v>0</v>
      </c>
      <c r="K493" s="40">
        <v>0</v>
      </c>
      <c r="L493" s="40">
        <v>0</v>
      </c>
      <c r="M493" s="40">
        <v>0</v>
      </c>
      <c r="N493" s="40">
        <v>0</v>
      </c>
      <c r="O493" s="40">
        <v>0</v>
      </c>
      <c r="P493" s="40">
        <v>0</v>
      </c>
      <c r="Q493" s="40">
        <v>0</v>
      </c>
      <c r="R493" s="40">
        <v>0</v>
      </c>
      <c r="S493" s="40">
        <v>0</v>
      </c>
      <c r="T493" s="40">
        <v>0</v>
      </c>
      <c r="U493" s="40">
        <v>0</v>
      </c>
    </row>
    <row r="494" spans="1:21" x14ac:dyDescent="0.2">
      <c r="A494" t="s">
        <v>833</v>
      </c>
      <c r="B494">
        <v>465</v>
      </c>
      <c r="C494">
        <v>1</v>
      </c>
      <c r="D494" t="s">
        <v>205</v>
      </c>
      <c r="E494" s="40">
        <v>0</v>
      </c>
      <c r="F494" s="40">
        <v>0</v>
      </c>
      <c r="G494" s="40">
        <v>0</v>
      </c>
      <c r="H494" s="40">
        <v>0</v>
      </c>
      <c r="I494" s="40">
        <v>0</v>
      </c>
      <c r="J494" s="40">
        <v>0</v>
      </c>
      <c r="K494" s="40">
        <v>0</v>
      </c>
      <c r="L494" s="40">
        <v>0</v>
      </c>
      <c r="M494" s="40">
        <v>0</v>
      </c>
      <c r="N494" s="40">
        <v>0</v>
      </c>
      <c r="O494" s="40">
        <v>0</v>
      </c>
      <c r="P494" s="40">
        <v>0</v>
      </c>
      <c r="Q494" s="40">
        <v>0</v>
      </c>
      <c r="R494" s="40">
        <v>0</v>
      </c>
      <c r="S494" s="40">
        <v>0</v>
      </c>
      <c r="T494" s="40">
        <v>0</v>
      </c>
      <c r="U494" s="40">
        <v>0</v>
      </c>
    </row>
    <row r="495" spans="1:21" x14ac:dyDescent="0.2">
      <c r="A495" t="s">
        <v>833</v>
      </c>
      <c r="B495">
        <v>466</v>
      </c>
      <c r="C495">
        <v>1</v>
      </c>
      <c r="D495" t="s">
        <v>206</v>
      </c>
      <c r="E495" s="40">
        <v>0</v>
      </c>
      <c r="F495" s="40">
        <v>0</v>
      </c>
      <c r="G495" s="40">
        <v>0</v>
      </c>
      <c r="H495" s="40">
        <v>0</v>
      </c>
      <c r="I495" s="40">
        <v>0</v>
      </c>
      <c r="J495" s="40">
        <v>0</v>
      </c>
      <c r="K495" s="40">
        <v>0</v>
      </c>
      <c r="L495" s="40">
        <v>0</v>
      </c>
      <c r="M495" s="40">
        <v>0</v>
      </c>
      <c r="N495" s="40">
        <v>0</v>
      </c>
      <c r="O495" s="40">
        <v>0</v>
      </c>
      <c r="P495" s="40">
        <v>0</v>
      </c>
      <c r="Q495" s="40">
        <v>0</v>
      </c>
      <c r="R495" s="40">
        <v>0</v>
      </c>
      <c r="S495" s="40">
        <v>0</v>
      </c>
      <c r="T495" s="40">
        <v>0</v>
      </c>
      <c r="U495" s="40">
        <v>0</v>
      </c>
    </row>
    <row r="496" spans="1:21" x14ac:dyDescent="0.2">
      <c r="A496" t="s">
        <v>833</v>
      </c>
      <c r="B496">
        <v>473</v>
      </c>
      <c r="C496">
        <v>1</v>
      </c>
      <c r="D496" t="s">
        <v>207</v>
      </c>
      <c r="E496" s="40">
        <v>0</v>
      </c>
      <c r="F496" s="40">
        <v>0</v>
      </c>
      <c r="G496" s="40">
        <v>0</v>
      </c>
      <c r="H496" s="40">
        <v>0</v>
      </c>
      <c r="I496" s="40">
        <v>0</v>
      </c>
      <c r="J496" s="40">
        <v>0</v>
      </c>
      <c r="K496" s="40">
        <v>0</v>
      </c>
      <c r="L496" s="40">
        <v>0</v>
      </c>
      <c r="M496" s="40">
        <v>0</v>
      </c>
      <c r="N496" s="40">
        <v>0</v>
      </c>
      <c r="O496" s="40">
        <v>0</v>
      </c>
      <c r="P496" s="40">
        <v>0</v>
      </c>
      <c r="Q496" s="40">
        <v>0</v>
      </c>
      <c r="R496" s="40">
        <v>0</v>
      </c>
      <c r="S496" s="40">
        <v>0</v>
      </c>
      <c r="T496" s="40">
        <v>0</v>
      </c>
      <c r="U496" s="40">
        <v>0</v>
      </c>
    </row>
    <row r="497" spans="1:21" x14ac:dyDescent="0.2">
      <c r="A497" t="s">
        <v>833</v>
      </c>
      <c r="B497">
        <v>477</v>
      </c>
      <c r="C497">
        <v>1</v>
      </c>
      <c r="D497" t="s">
        <v>208</v>
      </c>
      <c r="E497" s="40">
        <v>0</v>
      </c>
      <c r="F497" s="40">
        <v>0</v>
      </c>
      <c r="G497" s="40">
        <v>0</v>
      </c>
      <c r="H497" s="40">
        <v>0</v>
      </c>
      <c r="I497" s="40">
        <v>0</v>
      </c>
      <c r="J497" s="40">
        <v>0</v>
      </c>
      <c r="K497" s="40">
        <v>0</v>
      </c>
      <c r="L497" s="40">
        <v>0</v>
      </c>
      <c r="M497" s="40">
        <v>0</v>
      </c>
      <c r="N497" s="40">
        <v>0</v>
      </c>
      <c r="O497" s="40">
        <v>0</v>
      </c>
      <c r="P497" s="40">
        <v>0</v>
      </c>
      <c r="Q497" s="40">
        <v>0</v>
      </c>
      <c r="R497" s="40">
        <v>0</v>
      </c>
      <c r="S497" s="40">
        <v>0</v>
      </c>
      <c r="T497" s="40">
        <v>0</v>
      </c>
      <c r="U497" s="40">
        <v>0</v>
      </c>
    </row>
    <row r="498" spans="1:21" x14ac:dyDescent="0.2">
      <c r="A498" t="s">
        <v>833</v>
      </c>
      <c r="B498">
        <v>480</v>
      </c>
      <c r="C498">
        <v>1</v>
      </c>
      <c r="D498" t="s">
        <v>209</v>
      </c>
      <c r="E498" s="40">
        <v>0</v>
      </c>
      <c r="F498" s="40">
        <v>0</v>
      </c>
      <c r="G498" s="40">
        <v>0</v>
      </c>
      <c r="H498" s="40">
        <v>0</v>
      </c>
      <c r="I498" s="40">
        <v>0</v>
      </c>
      <c r="J498" s="40">
        <v>0</v>
      </c>
      <c r="K498" s="40">
        <v>0</v>
      </c>
      <c r="L498" s="40">
        <v>0</v>
      </c>
      <c r="M498" s="40">
        <v>0</v>
      </c>
      <c r="N498" s="40">
        <v>0</v>
      </c>
      <c r="O498" s="40">
        <v>0</v>
      </c>
      <c r="P498" s="40">
        <v>0</v>
      </c>
      <c r="Q498" s="40">
        <v>0</v>
      </c>
      <c r="R498" s="40">
        <v>0</v>
      </c>
      <c r="S498" s="40">
        <v>0</v>
      </c>
      <c r="T498" s="40">
        <v>0</v>
      </c>
      <c r="U498" s="40">
        <v>0</v>
      </c>
    </row>
    <row r="499" spans="1:21" x14ac:dyDescent="0.2">
      <c r="A499" t="s">
        <v>833</v>
      </c>
      <c r="B499">
        <v>482</v>
      </c>
      <c r="C499">
        <v>1</v>
      </c>
      <c r="D499" t="s">
        <v>210</v>
      </c>
      <c r="E499" s="40">
        <v>0</v>
      </c>
      <c r="F499" s="40">
        <v>0</v>
      </c>
      <c r="G499" s="40">
        <v>0</v>
      </c>
      <c r="H499" s="40">
        <v>0</v>
      </c>
      <c r="I499" s="40">
        <v>0</v>
      </c>
      <c r="J499" s="40">
        <v>0</v>
      </c>
      <c r="K499" s="40">
        <v>0</v>
      </c>
      <c r="L499" s="40">
        <v>0</v>
      </c>
      <c r="M499" s="40">
        <v>0</v>
      </c>
      <c r="N499" s="40">
        <v>0</v>
      </c>
      <c r="O499" s="40">
        <v>0</v>
      </c>
      <c r="P499" s="40">
        <v>0</v>
      </c>
      <c r="Q499" s="40">
        <v>0</v>
      </c>
      <c r="R499" s="40">
        <v>0</v>
      </c>
      <c r="S499" s="40">
        <v>0</v>
      </c>
      <c r="T499" s="40">
        <v>0</v>
      </c>
      <c r="U499" s="40">
        <v>0</v>
      </c>
    </row>
    <row r="500" spans="1:21" x14ac:dyDescent="0.2">
      <c r="A500" t="s">
        <v>833</v>
      </c>
      <c r="B500">
        <v>484</v>
      </c>
      <c r="C500">
        <v>1</v>
      </c>
      <c r="D500" t="s">
        <v>211</v>
      </c>
      <c r="E500" s="40">
        <v>0</v>
      </c>
      <c r="F500" s="40">
        <v>0</v>
      </c>
      <c r="G500" s="40">
        <v>0</v>
      </c>
      <c r="H500" s="40">
        <v>0</v>
      </c>
      <c r="I500" s="40">
        <v>0</v>
      </c>
      <c r="J500" s="40">
        <v>0</v>
      </c>
      <c r="K500" s="40">
        <v>0</v>
      </c>
      <c r="L500" s="40">
        <v>0</v>
      </c>
      <c r="M500" s="40">
        <v>0</v>
      </c>
      <c r="N500" s="40">
        <v>0</v>
      </c>
      <c r="O500" s="40">
        <v>0</v>
      </c>
      <c r="P500" s="40">
        <v>0</v>
      </c>
      <c r="Q500" s="40">
        <v>0</v>
      </c>
      <c r="R500" s="40">
        <v>0</v>
      </c>
      <c r="S500" s="40">
        <v>0</v>
      </c>
      <c r="T500" s="40">
        <v>0</v>
      </c>
      <c r="U500" s="40">
        <v>0</v>
      </c>
    </row>
    <row r="501" spans="1:21" x14ac:dyDescent="0.2">
      <c r="A501" t="s">
        <v>833</v>
      </c>
      <c r="B501">
        <v>485</v>
      </c>
      <c r="C501">
        <v>1</v>
      </c>
      <c r="D501" t="s">
        <v>212</v>
      </c>
      <c r="E501" s="40">
        <v>0</v>
      </c>
      <c r="F501" s="40">
        <v>0</v>
      </c>
      <c r="G501" s="40">
        <v>0</v>
      </c>
      <c r="H501" s="40">
        <v>0</v>
      </c>
      <c r="I501" s="40">
        <v>0</v>
      </c>
      <c r="J501" s="40">
        <v>0</v>
      </c>
      <c r="K501" s="40">
        <v>0</v>
      </c>
      <c r="L501" s="40">
        <v>0</v>
      </c>
      <c r="M501" s="40">
        <v>0</v>
      </c>
      <c r="N501" s="40">
        <v>0</v>
      </c>
      <c r="O501" s="40">
        <v>0</v>
      </c>
      <c r="P501" s="40">
        <v>0</v>
      </c>
      <c r="Q501" s="40">
        <v>0</v>
      </c>
      <c r="R501" s="40">
        <v>0</v>
      </c>
      <c r="S501" s="40">
        <v>0</v>
      </c>
      <c r="T501" s="40">
        <v>0</v>
      </c>
      <c r="U501" s="40">
        <v>0</v>
      </c>
    </row>
    <row r="502" spans="1:21" x14ac:dyDescent="0.2">
      <c r="A502" t="s">
        <v>833</v>
      </c>
      <c r="B502">
        <v>486</v>
      </c>
      <c r="C502">
        <v>1</v>
      </c>
      <c r="D502" t="s">
        <v>213</v>
      </c>
      <c r="E502" s="40">
        <v>0</v>
      </c>
      <c r="F502" s="40">
        <v>0</v>
      </c>
      <c r="G502" s="40">
        <v>0</v>
      </c>
      <c r="H502" s="40">
        <v>0</v>
      </c>
      <c r="I502" s="40">
        <v>0</v>
      </c>
      <c r="J502" s="40">
        <v>0</v>
      </c>
      <c r="K502" s="40">
        <v>0</v>
      </c>
      <c r="L502" s="40">
        <v>0</v>
      </c>
      <c r="M502" s="40">
        <v>0</v>
      </c>
      <c r="N502" s="40">
        <v>0</v>
      </c>
      <c r="O502" s="40">
        <v>0</v>
      </c>
      <c r="P502" s="40">
        <v>0</v>
      </c>
      <c r="Q502" s="40">
        <v>0</v>
      </c>
      <c r="R502" s="40">
        <v>0</v>
      </c>
      <c r="S502" s="40">
        <v>0</v>
      </c>
      <c r="T502" s="40">
        <v>0</v>
      </c>
      <c r="U502" s="40">
        <v>0</v>
      </c>
    </row>
    <row r="503" spans="1:21" x14ac:dyDescent="0.2">
      <c r="A503" t="s">
        <v>833</v>
      </c>
      <c r="B503">
        <v>487</v>
      </c>
      <c r="C503">
        <v>1</v>
      </c>
      <c r="D503" t="s">
        <v>214</v>
      </c>
      <c r="E503" s="40">
        <v>0</v>
      </c>
      <c r="F503" s="40">
        <v>0</v>
      </c>
      <c r="G503" s="40">
        <v>0</v>
      </c>
      <c r="H503" s="40">
        <v>0</v>
      </c>
      <c r="I503" s="40">
        <v>0</v>
      </c>
      <c r="J503" s="40">
        <v>0</v>
      </c>
      <c r="K503" s="40">
        <v>0</v>
      </c>
      <c r="L503" s="40">
        <v>0</v>
      </c>
      <c r="M503" s="40">
        <v>0</v>
      </c>
      <c r="N503" s="40">
        <v>0</v>
      </c>
      <c r="O503" s="40">
        <v>0</v>
      </c>
      <c r="P503" s="40">
        <v>0</v>
      </c>
      <c r="Q503" s="40">
        <v>0</v>
      </c>
      <c r="R503" s="40">
        <v>0</v>
      </c>
      <c r="S503" s="40">
        <v>0</v>
      </c>
      <c r="T503" s="40">
        <v>0</v>
      </c>
      <c r="U503" s="40">
        <v>0</v>
      </c>
    </row>
    <row r="504" spans="1:21" x14ac:dyDescent="0.2">
      <c r="A504" t="s">
        <v>833</v>
      </c>
      <c r="B504">
        <v>492</v>
      </c>
      <c r="C504">
        <v>1</v>
      </c>
      <c r="D504" t="s">
        <v>215</v>
      </c>
      <c r="E504" s="40">
        <v>0</v>
      </c>
      <c r="F504" s="40">
        <v>0</v>
      </c>
      <c r="G504" s="40">
        <v>0</v>
      </c>
      <c r="H504" s="40">
        <v>0</v>
      </c>
      <c r="I504" s="40">
        <v>0</v>
      </c>
      <c r="J504" s="40">
        <v>0</v>
      </c>
      <c r="K504" s="40">
        <v>0</v>
      </c>
      <c r="L504" s="40">
        <v>0</v>
      </c>
      <c r="M504" s="40">
        <v>0</v>
      </c>
      <c r="N504" s="40">
        <v>0</v>
      </c>
      <c r="O504" s="40">
        <v>0</v>
      </c>
      <c r="P504" s="40">
        <v>0</v>
      </c>
      <c r="Q504" s="40">
        <v>0</v>
      </c>
      <c r="R504" s="40">
        <v>0</v>
      </c>
      <c r="S504" s="40">
        <v>0</v>
      </c>
      <c r="T504" s="40">
        <v>0</v>
      </c>
      <c r="U504" s="40">
        <v>0</v>
      </c>
    </row>
    <row r="505" spans="1:21" x14ac:dyDescent="0.2">
      <c r="A505" t="s">
        <v>833</v>
      </c>
      <c r="B505">
        <v>495</v>
      </c>
      <c r="C505">
        <v>1</v>
      </c>
      <c r="D505" t="s">
        <v>216</v>
      </c>
      <c r="E505" s="40">
        <v>0</v>
      </c>
      <c r="F505" s="40">
        <v>0</v>
      </c>
      <c r="G505" s="40">
        <v>0</v>
      </c>
      <c r="H505" s="40">
        <v>0</v>
      </c>
      <c r="I505" s="40">
        <v>0</v>
      </c>
      <c r="J505" s="40">
        <v>0</v>
      </c>
      <c r="K505" s="40">
        <v>0</v>
      </c>
      <c r="L505" s="40">
        <v>0</v>
      </c>
      <c r="M505" s="40">
        <v>0</v>
      </c>
      <c r="N505" s="40">
        <v>0</v>
      </c>
      <c r="O505" s="40">
        <v>0</v>
      </c>
      <c r="P505" s="40">
        <v>0</v>
      </c>
      <c r="Q505" s="40">
        <v>0</v>
      </c>
      <c r="R505" s="40">
        <v>0</v>
      </c>
      <c r="S505" s="40">
        <v>0</v>
      </c>
      <c r="T505" s="40">
        <v>0</v>
      </c>
      <c r="U505" s="40">
        <v>0</v>
      </c>
    </row>
    <row r="506" spans="1:21" x14ac:dyDescent="0.2">
      <c r="A506" t="s">
        <v>833</v>
      </c>
      <c r="B506">
        <v>497</v>
      </c>
      <c r="C506">
        <v>1</v>
      </c>
      <c r="D506" t="s">
        <v>217</v>
      </c>
      <c r="E506" s="40">
        <v>0</v>
      </c>
      <c r="F506" s="40">
        <v>0</v>
      </c>
      <c r="G506" s="40">
        <v>0</v>
      </c>
      <c r="H506" s="40">
        <v>0</v>
      </c>
      <c r="I506" s="40">
        <v>0</v>
      </c>
      <c r="J506" s="40">
        <v>0</v>
      </c>
      <c r="K506" s="40">
        <v>0</v>
      </c>
      <c r="L506" s="40">
        <v>0</v>
      </c>
      <c r="M506" s="40">
        <v>0</v>
      </c>
      <c r="N506" s="40">
        <v>0</v>
      </c>
      <c r="O506" s="40">
        <v>0</v>
      </c>
      <c r="P506" s="40">
        <v>0</v>
      </c>
      <c r="Q506" s="40">
        <v>0</v>
      </c>
      <c r="R506" s="40">
        <v>0</v>
      </c>
      <c r="S506" s="40">
        <v>0</v>
      </c>
      <c r="T506" s="40">
        <v>0</v>
      </c>
      <c r="U506" s="40">
        <v>0</v>
      </c>
    </row>
    <row r="507" spans="1:21" x14ac:dyDescent="0.2">
      <c r="A507" t="s">
        <v>833</v>
      </c>
      <c r="B507">
        <v>499</v>
      </c>
      <c r="C507">
        <v>1</v>
      </c>
      <c r="D507" t="s">
        <v>218</v>
      </c>
      <c r="E507" s="40">
        <v>0</v>
      </c>
      <c r="F507" s="40">
        <v>0</v>
      </c>
      <c r="G507" s="40">
        <v>0</v>
      </c>
      <c r="H507" s="40">
        <v>0</v>
      </c>
      <c r="I507" s="40">
        <v>0</v>
      </c>
      <c r="J507" s="40">
        <v>0</v>
      </c>
      <c r="K507" s="40">
        <v>0</v>
      </c>
      <c r="L507" s="40">
        <v>0</v>
      </c>
      <c r="M507" s="40">
        <v>0</v>
      </c>
      <c r="N507" s="40">
        <v>0</v>
      </c>
      <c r="O507" s="40">
        <v>0</v>
      </c>
      <c r="P507" s="40">
        <v>0</v>
      </c>
      <c r="Q507" s="40">
        <v>0</v>
      </c>
      <c r="R507" s="40">
        <v>0</v>
      </c>
      <c r="S507" s="40">
        <v>0</v>
      </c>
      <c r="T507" s="40">
        <v>0</v>
      </c>
      <c r="U507" s="40">
        <v>0</v>
      </c>
    </row>
    <row r="508" spans="1:21" x14ac:dyDescent="0.2">
      <c r="A508" t="s">
        <v>833</v>
      </c>
      <c r="B508">
        <v>500</v>
      </c>
      <c r="C508">
        <v>1</v>
      </c>
      <c r="D508" t="s">
        <v>219</v>
      </c>
      <c r="E508" s="40">
        <v>0</v>
      </c>
      <c r="F508" s="40">
        <v>0</v>
      </c>
      <c r="G508" s="40">
        <v>0</v>
      </c>
      <c r="H508" s="40">
        <v>0</v>
      </c>
      <c r="I508" s="40">
        <v>0</v>
      </c>
      <c r="J508" s="40">
        <v>0</v>
      </c>
      <c r="K508" s="40">
        <v>0</v>
      </c>
      <c r="L508" s="40">
        <v>0</v>
      </c>
      <c r="M508" s="40">
        <v>0</v>
      </c>
      <c r="N508" s="40">
        <v>0</v>
      </c>
      <c r="O508" s="40">
        <v>0</v>
      </c>
      <c r="P508" s="40">
        <v>0</v>
      </c>
      <c r="Q508" s="40">
        <v>0</v>
      </c>
      <c r="R508" s="40">
        <v>0</v>
      </c>
      <c r="S508" s="40">
        <v>0</v>
      </c>
      <c r="T508" s="40">
        <v>0</v>
      </c>
      <c r="U508" s="40">
        <v>0</v>
      </c>
    </row>
    <row r="509" spans="1:21" x14ac:dyDescent="0.2">
      <c r="A509" t="s">
        <v>833</v>
      </c>
      <c r="B509">
        <v>505</v>
      </c>
      <c r="C509">
        <v>1</v>
      </c>
      <c r="D509" t="s">
        <v>220</v>
      </c>
      <c r="E509" s="40">
        <v>0</v>
      </c>
      <c r="F509" s="40">
        <v>0</v>
      </c>
      <c r="G509" s="40">
        <v>0</v>
      </c>
      <c r="H509" s="40">
        <v>0</v>
      </c>
      <c r="I509" s="40">
        <v>0</v>
      </c>
      <c r="J509" s="40">
        <v>0</v>
      </c>
      <c r="K509" s="40">
        <v>0</v>
      </c>
      <c r="L509" s="40">
        <v>0</v>
      </c>
      <c r="M509" s="40">
        <v>0</v>
      </c>
      <c r="N509" s="40">
        <v>0</v>
      </c>
      <c r="O509" s="40">
        <v>0</v>
      </c>
      <c r="P509" s="40">
        <v>0</v>
      </c>
      <c r="Q509" s="40">
        <v>0</v>
      </c>
      <c r="R509" s="40">
        <v>0</v>
      </c>
      <c r="S509" s="40">
        <v>0</v>
      </c>
      <c r="T509" s="40">
        <v>0</v>
      </c>
      <c r="U509" s="40">
        <v>0</v>
      </c>
    </row>
    <row r="510" spans="1:21" x14ac:dyDescent="0.2">
      <c r="A510" t="s">
        <v>833</v>
      </c>
      <c r="B510">
        <v>507</v>
      </c>
      <c r="C510">
        <v>1</v>
      </c>
      <c r="D510" t="s">
        <v>221</v>
      </c>
      <c r="E510" s="40">
        <v>0</v>
      </c>
      <c r="F510" s="40">
        <v>0</v>
      </c>
      <c r="G510" s="40">
        <v>0</v>
      </c>
      <c r="H510" s="40">
        <v>0</v>
      </c>
      <c r="I510" s="40">
        <v>0</v>
      </c>
      <c r="J510" s="40">
        <v>0</v>
      </c>
      <c r="K510" s="40">
        <v>0</v>
      </c>
      <c r="L510" s="40">
        <v>0</v>
      </c>
      <c r="M510" s="40">
        <v>0</v>
      </c>
      <c r="N510" s="40">
        <v>0</v>
      </c>
      <c r="O510" s="40">
        <v>0</v>
      </c>
      <c r="P510" s="40">
        <v>0</v>
      </c>
      <c r="Q510" s="40">
        <v>0</v>
      </c>
      <c r="R510" s="40">
        <v>0</v>
      </c>
      <c r="S510" s="40">
        <v>0</v>
      </c>
      <c r="T510" s="40">
        <v>0</v>
      </c>
      <c r="U510" s="40">
        <v>0</v>
      </c>
    </row>
    <row r="511" spans="1:21" x14ac:dyDescent="0.2">
      <c r="A511" t="s">
        <v>833</v>
      </c>
      <c r="B511">
        <v>508</v>
      </c>
      <c r="C511">
        <v>1</v>
      </c>
      <c r="D511" t="s">
        <v>222</v>
      </c>
      <c r="E511" s="40">
        <v>0</v>
      </c>
      <c r="F511" s="40">
        <v>0</v>
      </c>
      <c r="G511" s="40">
        <v>0</v>
      </c>
      <c r="H511" s="40">
        <v>0</v>
      </c>
      <c r="I511" s="40">
        <v>0</v>
      </c>
      <c r="J511" s="40">
        <v>0</v>
      </c>
      <c r="K511" s="40">
        <v>0</v>
      </c>
      <c r="L511" s="40">
        <v>0</v>
      </c>
      <c r="M511" s="40">
        <v>0</v>
      </c>
      <c r="N511" s="40">
        <v>0</v>
      </c>
      <c r="O511" s="40">
        <v>0</v>
      </c>
      <c r="P511" s="40">
        <v>0</v>
      </c>
      <c r="Q511" s="40">
        <v>0</v>
      </c>
      <c r="R511" s="40">
        <v>0</v>
      </c>
      <c r="S511" s="40">
        <v>0</v>
      </c>
      <c r="T511" s="40">
        <v>0</v>
      </c>
      <c r="U511" s="40">
        <v>0</v>
      </c>
    </row>
    <row r="512" spans="1:21" x14ac:dyDescent="0.2">
      <c r="A512" t="s">
        <v>833</v>
      </c>
      <c r="B512">
        <v>511</v>
      </c>
      <c r="C512">
        <v>1</v>
      </c>
      <c r="D512" t="s">
        <v>223</v>
      </c>
      <c r="E512" s="40">
        <v>0</v>
      </c>
      <c r="F512" s="40">
        <v>0</v>
      </c>
      <c r="G512" s="40">
        <v>0</v>
      </c>
      <c r="H512" s="40">
        <v>0</v>
      </c>
      <c r="I512" s="40">
        <v>0</v>
      </c>
      <c r="J512" s="40">
        <v>0</v>
      </c>
      <c r="K512" s="40">
        <v>0</v>
      </c>
      <c r="L512" s="40">
        <v>0</v>
      </c>
      <c r="M512" s="40">
        <v>0</v>
      </c>
      <c r="N512" s="40">
        <v>0</v>
      </c>
      <c r="O512" s="40">
        <v>0</v>
      </c>
      <c r="P512" s="40">
        <v>0</v>
      </c>
      <c r="Q512" s="40">
        <v>0</v>
      </c>
      <c r="R512" s="40">
        <v>0</v>
      </c>
      <c r="S512" s="40">
        <v>0</v>
      </c>
      <c r="T512" s="40">
        <v>0</v>
      </c>
      <c r="U512" s="40">
        <v>0</v>
      </c>
    </row>
    <row r="513" spans="1:21" x14ac:dyDescent="0.2">
      <c r="A513" t="s">
        <v>833</v>
      </c>
      <c r="B513">
        <v>513</v>
      </c>
      <c r="C513">
        <v>1</v>
      </c>
      <c r="D513" t="s">
        <v>224</v>
      </c>
      <c r="E513" s="40">
        <v>0</v>
      </c>
      <c r="F513" s="40">
        <v>0</v>
      </c>
      <c r="G513" s="40">
        <v>0</v>
      </c>
      <c r="H513" s="40">
        <v>0</v>
      </c>
      <c r="I513" s="40">
        <v>0</v>
      </c>
      <c r="J513" s="40">
        <v>0</v>
      </c>
      <c r="K513" s="40">
        <v>0</v>
      </c>
      <c r="L513" s="40">
        <v>0</v>
      </c>
      <c r="M513" s="40">
        <v>0</v>
      </c>
      <c r="N513" s="40">
        <v>0</v>
      </c>
      <c r="O513" s="40">
        <v>0</v>
      </c>
      <c r="P513" s="40">
        <v>0</v>
      </c>
      <c r="Q513" s="40">
        <v>0</v>
      </c>
      <c r="R513" s="40">
        <v>0</v>
      </c>
      <c r="S513" s="40">
        <v>0</v>
      </c>
      <c r="T513" s="40">
        <v>0</v>
      </c>
      <c r="U513" s="40">
        <v>0</v>
      </c>
    </row>
    <row r="514" spans="1:21" x14ac:dyDescent="0.2">
      <c r="A514" t="s">
        <v>833</v>
      </c>
      <c r="B514">
        <v>514</v>
      </c>
      <c r="C514">
        <v>1</v>
      </c>
      <c r="D514" t="s">
        <v>225</v>
      </c>
      <c r="E514" s="40">
        <v>0</v>
      </c>
      <c r="F514" s="40">
        <v>0</v>
      </c>
      <c r="G514" s="40">
        <v>0</v>
      </c>
      <c r="H514" s="40">
        <v>0</v>
      </c>
      <c r="I514" s="40">
        <v>0</v>
      </c>
      <c r="J514" s="40">
        <v>0</v>
      </c>
      <c r="K514" s="40">
        <v>0</v>
      </c>
      <c r="L514" s="40">
        <v>0</v>
      </c>
      <c r="M514" s="40">
        <v>0</v>
      </c>
      <c r="N514" s="40">
        <v>0</v>
      </c>
      <c r="O514" s="40">
        <v>0</v>
      </c>
      <c r="P514" s="40">
        <v>0</v>
      </c>
      <c r="Q514" s="40">
        <v>0</v>
      </c>
      <c r="R514" s="40">
        <v>0</v>
      </c>
      <c r="S514" s="40">
        <v>0</v>
      </c>
      <c r="T514" s="40">
        <v>0</v>
      </c>
      <c r="U514" s="40">
        <v>0</v>
      </c>
    </row>
    <row r="515" spans="1:21" x14ac:dyDescent="0.2">
      <c r="A515" t="s">
        <v>833</v>
      </c>
      <c r="B515">
        <v>516</v>
      </c>
      <c r="C515">
        <v>1</v>
      </c>
      <c r="D515" t="s">
        <v>226</v>
      </c>
      <c r="E515" s="40">
        <v>0</v>
      </c>
      <c r="F515" s="40">
        <v>0</v>
      </c>
      <c r="G515" s="40">
        <v>0</v>
      </c>
      <c r="H515" s="40">
        <v>0</v>
      </c>
      <c r="I515" s="40">
        <v>0</v>
      </c>
      <c r="J515" s="40">
        <v>0</v>
      </c>
      <c r="K515" s="40">
        <v>0</v>
      </c>
      <c r="L515" s="40">
        <v>0</v>
      </c>
      <c r="M515" s="40">
        <v>0</v>
      </c>
      <c r="N515" s="40">
        <v>0</v>
      </c>
      <c r="O515" s="40">
        <v>0</v>
      </c>
      <c r="P515" s="40">
        <v>0</v>
      </c>
      <c r="Q515" s="40">
        <v>0</v>
      </c>
      <c r="R515" s="40">
        <v>0</v>
      </c>
      <c r="S515" s="40">
        <v>0</v>
      </c>
      <c r="T515" s="40">
        <v>0</v>
      </c>
      <c r="U515" s="40">
        <v>0</v>
      </c>
    </row>
    <row r="516" spans="1:21" x14ac:dyDescent="0.2">
      <c r="A516" t="s">
        <v>833</v>
      </c>
      <c r="B516">
        <v>518</v>
      </c>
      <c r="C516">
        <v>1</v>
      </c>
      <c r="D516" t="s">
        <v>227</v>
      </c>
      <c r="E516" s="40">
        <v>0</v>
      </c>
      <c r="F516" s="40">
        <v>0</v>
      </c>
      <c r="G516" s="40">
        <v>0</v>
      </c>
      <c r="H516" s="40">
        <v>0</v>
      </c>
      <c r="I516" s="40">
        <v>0</v>
      </c>
      <c r="J516" s="40">
        <v>0</v>
      </c>
      <c r="K516" s="40">
        <v>0</v>
      </c>
      <c r="L516" s="40">
        <v>0</v>
      </c>
      <c r="M516" s="40">
        <v>0</v>
      </c>
      <c r="N516" s="40">
        <v>0</v>
      </c>
      <c r="O516" s="40">
        <v>0</v>
      </c>
      <c r="P516" s="40">
        <v>0</v>
      </c>
      <c r="Q516" s="40">
        <v>0</v>
      </c>
      <c r="R516" s="40">
        <v>0</v>
      </c>
      <c r="S516" s="40">
        <v>0</v>
      </c>
      <c r="T516" s="40">
        <v>0</v>
      </c>
      <c r="U516" s="40">
        <v>0</v>
      </c>
    </row>
    <row r="517" spans="1:21" x14ac:dyDescent="0.2">
      <c r="A517" t="s">
        <v>833</v>
      </c>
      <c r="B517">
        <v>531</v>
      </c>
      <c r="C517">
        <v>1</v>
      </c>
      <c r="D517" t="s">
        <v>228</v>
      </c>
      <c r="E517" s="40">
        <v>0</v>
      </c>
      <c r="F517" s="40">
        <v>0</v>
      </c>
      <c r="G517" s="40">
        <v>0</v>
      </c>
      <c r="H517" s="40">
        <v>0</v>
      </c>
      <c r="I517" s="40">
        <v>0</v>
      </c>
      <c r="J517" s="40">
        <v>0</v>
      </c>
      <c r="K517" s="40">
        <v>0</v>
      </c>
      <c r="L517" s="40">
        <v>0</v>
      </c>
      <c r="M517" s="40">
        <v>0</v>
      </c>
      <c r="N517" s="40">
        <v>0</v>
      </c>
      <c r="O517" s="40">
        <v>0</v>
      </c>
      <c r="P517" s="40">
        <v>0</v>
      </c>
      <c r="Q517" s="40">
        <v>0</v>
      </c>
      <c r="R517" s="40">
        <v>0</v>
      </c>
      <c r="S517" s="40">
        <v>0</v>
      </c>
      <c r="T517" s="40">
        <v>0</v>
      </c>
      <c r="U517" s="40">
        <v>0</v>
      </c>
    </row>
    <row r="518" spans="1:21" x14ac:dyDescent="0.2">
      <c r="A518" t="s">
        <v>833</v>
      </c>
      <c r="B518">
        <v>533</v>
      </c>
      <c r="C518">
        <v>1</v>
      </c>
      <c r="D518" t="s">
        <v>229</v>
      </c>
      <c r="E518" s="40">
        <v>0</v>
      </c>
      <c r="F518" s="40">
        <v>0</v>
      </c>
      <c r="G518" s="40">
        <v>0</v>
      </c>
      <c r="H518" s="40">
        <v>0</v>
      </c>
      <c r="I518" s="40">
        <v>0</v>
      </c>
      <c r="J518" s="40">
        <v>0</v>
      </c>
      <c r="K518" s="40">
        <v>0</v>
      </c>
      <c r="L518" s="40">
        <v>0</v>
      </c>
      <c r="M518" s="40">
        <v>0</v>
      </c>
      <c r="N518" s="40">
        <v>0</v>
      </c>
      <c r="O518" s="40">
        <v>0</v>
      </c>
      <c r="P518" s="40">
        <v>0</v>
      </c>
      <c r="Q518" s="40">
        <v>0</v>
      </c>
      <c r="R518" s="40">
        <v>0</v>
      </c>
      <c r="S518" s="40">
        <v>0</v>
      </c>
      <c r="T518" s="40">
        <v>0</v>
      </c>
      <c r="U518" s="40">
        <v>0</v>
      </c>
    </row>
    <row r="519" spans="1:21" x14ac:dyDescent="0.2">
      <c r="A519" t="s">
        <v>833</v>
      </c>
      <c r="B519">
        <v>534</v>
      </c>
      <c r="C519">
        <v>1</v>
      </c>
      <c r="D519" t="s">
        <v>230</v>
      </c>
      <c r="E519" s="40">
        <v>0</v>
      </c>
      <c r="F519" s="40">
        <v>0</v>
      </c>
      <c r="G519" s="40">
        <v>0</v>
      </c>
      <c r="H519" s="40">
        <v>0</v>
      </c>
      <c r="I519" s="40">
        <v>0</v>
      </c>
      <c r="J519" s="40">
        <v>0</v>
      </c>
      <c r="K519" s="40">
        <v>0</v>
      </c>
      <c r="L519" s="40">
        <v>0</v>
      </c>
      <c r="M519" s="40">
        <v>0</v>
      </c>
      <c r="N519" s="40">
        <v>0</v>
      </c>
      <c r="O519" s="40">
        <v>0</v>
      </c>
      <c r="P519" s="40">
        <v>0</v>
      </c>
      <c r="Q519" s="40">
        <v>0</v>
      </c>
      <c r="R519" s="40">
        <v>0</v>
      </c>
      <c r="S519" s="40">
        <v>0</v>
      </c>
      <c r="T519" s="40">
        <v>0</v>
      </c>
      <c r="U519" s="40">
        <v>0</v>
      </c>
    </row>
    <row r="520" spans="1:21" x14ac:dyDescent="0.2">
      <c r="A520" t="s">
        <v>833</v>
      </c>
      <c r="B520">
        <v>535</v>
      </c>
      <c r="C520">
        <v>1</v>
      </c>
      <c r="D520" t="s">
        <v>231</v>
      </c>
      <c r="E520" s="40">
        <v>0</v>
      </c>
      <c r="F520" s="40">
        <v>0</v>
      </c>
      <c r="G520" s="40">
        <v>0</v>
      </c>
      <c r="H520" s="40">
        <v>0</v>
      </c>
      <c r="I520" s="40">
        <v>0</v>
      </c>
      <c r="J520" s="40">
        <v>0</v>
      </c>
      <c r="K520" s="40">
        <v>0</v>
      </c>
      <c r="L520" s="40">
        <v>0</v>
      </c>
      <c r="M520" s="40">
        <v>0</v>
      </c>
      <c r="N520" s="40">
        <v>0</v>
      </c>
      <c r="O520" s="40">
        <v>0</v>
      </c>
      <c r="P520" s="40">
        <v>0</v>
      </c>
      <c r="Q520" s="40">
        <v>0</v>
      </c>
      <c r="R520" s="40">
        <v>0</v>
      </c>
      <c r="S520" s="40">
        <v>0</v>
      </c>
      <c r="T520" s="40">
        <v>0</v>
      </c>
      <c r="U520" s="40">
        <v>0</v>
      </c>
    </row>
    <row r="521" spans="1:21" x14ac:dyDescent="0.2">
      <c r="A521" t="s">
        <v>833</v>
      </c>
      <c r="B521">
        <v>542</v>
      </c>
      <c r="C521">
        <v>1</v>
      </c>
      <c r="D521" t="s">
        <v>232</v>
      </c>
      <c r="E521" s="40">
        <v>0</v>
      </c>
      <c r="F521" s="40">
        <v>0</v>
      </c>
      <c r="G521" s="40">
        <v>0</v>
      </c>
      <c r="H521" s="40">
        <v>0</v>
      </c>
      <c r="I521" s="40">
        <v>0</v>
      </c>
      <c r="J521" s="40">
        <v>0</v>
      </c>
      <c r="K521" s="40">
        <v>0</v>
      </c>
      <c r="L521" s="40">
        <v>0</v>
      </c>
      <c r="M521" s="40">
        <v>0</v>
      </c>
      <c r="N521" s="40">
        <v>0</v>
      </c>
      <c r="O521" s="40">
        <v>0</v>
      </c>
      <c r="P521" s="40">
        <v>0</v>
      </c>
      <c r="Q521" s="40">
        <v>0</v>
      </c>
      <c r="R521" s="40">
        <v>0</v>
      </c>
      <c r="S521" s="40">
        <v>0</v>
      </c>
      <c r="T521" s="40">
        <v>0</v>
      </c>
      <c r="U521" s="40">
        <v>0</v>
      </c>
    </row>
    <row r="522" spans="1:21" x14ac:dyDescent="0.2">
      <c r="A522" t="s">
        <v>833</v>
      </c>
      <c r="B522">
        <v>544</v>
      </c>
      <c r="C522">
        <v>1</v>
      </c>
      <c r="D522" t="s">
        <v>233</v>
      </c>
      <c r="E522" s="40">
        <v>0</v>
      </c>
      <c r="F522" s="40">
        <v>0</v>
      </c>
      <c r="G522" s="40">
        <v>0</v>
      </c>
      <c r="H522" s="40">
        <v>0</v>
      </c>
      <c r="I522" s="40">
        <v>0</v>
      </c>
      <c r="J522" s="40">
        <v>0</v>
      </c>
      <c r="K522" s="40">
        <v>0</v>
      </c>
      <c r="L522" s="40">
        <v>0</v>
      </c>
      <c r="M522" s="40">
        <v>0</v>
      </c>
      <c r="N522" s="40">
        <v>0</v>
      </c>
      <c r="O522" s="40">
        <v>0</v>
      </c>
      <c r="P522" s="40">
        <v>0</v>
      </c>
      <c r="Q522" s="40">
        <v>0</v>
      </c>
      <c r="R522" s="40">
        <v>0</v>
      </c>
      <c r="S522" s="40">
        <v>0</v>
      </c>
      <c r="T522" s="40">
        <v>0</v>
      </c>
      <c r="U522" s="40">
        <v>0</v>
      </c>
    </row>
    <row r="523" spans="1:21" x14ac:dyDescent="0.2">
      <c r="A523" t="s">
        <v>833</v>
      </c>
      <c r="B523">
        <v>545</v>
      </c>
      <c r="C523">
        <v>1</v>
      </c>
      <c r="D523" t="s">
        <v>234</v>
      </c>
      <c r="E523" s="40">
        <v>0</v>
      </c>
      <c r="F523" s="40">
        <v>0</v>
      </c>
      <c r="G523" s="40">
        <v>0</v>
      </c>
      <c r="H523" s="40">
        <v>0</v>
      </c>
      <c r="I523" s="40">
        <v>0</v>
      </c>
      <c r="J523" s="40">
        <v>0</v>
      </c>
      <c r="K523" s="40">
        <v>0</v>
      </c>
      <c r="L523" s="40">
        <v>0</v>
      </c>
      <c r="M523" s="40">
        <v>0</v>
      </c>
      <c r="N523" s="40">
        <v>0</v>
      </c>
      <c r="O523" s="40">
        <v>0</v>
      </c>
      <c r="P523" s="40">
        <v>0</v>
      </c>
      <c r="Q523" s="40">
        <v>0</v>
      </c>
      <c r="R523" s="40">
        <v>0</v>
      </c>
      <c r="S523" s="40">
        <v>0</v>
      </c>
      <c r="T523" s="40">
        <v>0</v>
      </c>
      <c r="U523" s="40">
        <v>0</v>
      </c>
    </row>
    <row r="524" spans="1:21" x14ac:dyDescent="0.2">
      <c r="A524" t="s">
        <v>833</v>
      </c>
      <c r="B524">
        <v>547</v>
      </c>
      <c r="C524">
        <v>1</v>
      </c>
      <c r="D524" t="s">
        <v>235</v>
      </c>
      <c r="E524" s="40">
        <v>0</v>
      </c>
      <c r="F524" s="40">
        <v>0</v>
      </c>
      <c r="G524" s="40">
        <v>0</v>
      </c>
      <c r="H524" s="40">
        <v>0</v>
      </c>
      <c r="I524" s="40">
        <v>0</v>
      </c>
      <c r="J524" s="40">
        <v>0</v>
      </c>
      <c r="K524" s="40">
        <v>0</v>
      </c>
      <c r="L524" s="40">
        <v>0</v>
      </c>
      <c r="M524" s="40">
        <v>0</v>
      </c>
      <c r="N524" s="40">
        <v>0</v>
      </c>
      <c r="O524" s="40">
        <v>0</v>
      </c>
      <c r="P524" s="40">
        <v>0</v>
      </c>
      <c r="Q524" s="40">
        <v>0</v>
      </c>
      <c r="R524" s="40">
        <v>0</v>
      </c>
      <c r="S524" s="40">
        <v>0</v>
      </c>
      <c r="T524" s="40">
        <v>0</v>
      </c>
      <c r="U524" s="40">
        <v>0</v>
      </c>
    </row>
    <row r="525" spans="1:21" x14ac:dyDescent="0.2">
      <c r="A525" t="s">
        <v>833</v>
      </c>
      <c r="B525">
        <v>548</v>
      </c>
      <c r="C525">
        <v>1</v>
      </c>
      <c r="D525" t="s">
        <v>236</v>
      </c>
      <c r="E525" s="40">
        <v>0</v>
      </c>
      <c r="F525" s="40">
        <v>0</v>
      </c>
      <c r="G525" s="40">
        <v>0</v>
      </c>
      <c r="H525" s="40">
        <v>0</v>
      </c>
      <c r="I525" s="40">
        <v>0</v>
      </c>
      <c r="J525" s="40">
        <v>0</v>
      </c>
      <c r="K525" s="40">
        <v>0</v>
      </c>
      <c r="L525" s="40">
        <v>0</v>
      </c>
      <c r="M525" s="40">
        <v>0</v>
      </c>
      <c r="N525" s="40">
        <v>0</v>
      </c>
      <c r="O525" s="40">
        <v>0</v>
      </c>
      <c r="P525" s="40">
        <v>0</v>
      </c>
      <c r="Q525" s="40">
        <v>0</v>
      </c>
      <c r="R525" s="40">
        <v>0</v>
      </c>
      <c r="S525" s="40">
        <v>0</v>
      </c>
      <c r="T525" s="40">
        <v>0</v>
      </c>
      <c r="U525" s="40">
        <v>0</v>
      </c>
    </row>
    <row r="526" spans="1:21" x14ac:dyDescent="0.2">
      <c r="A526" t="s">
        <v>833</v>
      </c>
      <c r="B526">
        <v>549</v>
      </c>
      <c r="C526">
        <v>1</v>
      </c>
      <c r="D526" t="s">
        <v>237</v>
      </c>
      <c r="E526" s="40">
        <v>0</v>
      </c>
      <c r="F526" s="40">
        <v>0</v>
      </c>
      <c r="G526" s="40">
        <v>0</v>
      </c>
      <c r="H526" s="40">
        <v>0</v>
      </c>
      <c r="I526" s="40">
        <v>0</v>
      </c>
      <c r="J526" s="40">
        <v>0</v>
      </c>
      <c r="K526" s="40">
        <v>0</v>
      </c>
      <c r="L526" s="40">
        <v>0</v>
      </c>
      <c r="M526" s="40">
        <v>0</v>
      </c>
      <c r="N526" s="40">
        <v>0</v>
      </c>
      <c r="O526" s="40">
        <v>0</v>
      </c>
      <c r="P526" s="40">
        <v>0</v>
      </c>
      <c r="Q526" s="40">
        <v>0</v>
      </c>
      <c r="R526" s="40">
        <v>0</v>
      </c>
      <c r="S526" s="40">
        <v>0</v>
      </c>
      <c r="T526" s="40">
        <v>0</v>
      </c>
      <c r="U526" s="40">
        <v>0</v>
      </c>
    </row>
    <row r="527" spans="1:21" x14ac:dyDescent="0.2">
      <c r="A527" t="s">
        <v>833</v>
      </c>
      <c r="B527">
        <v>550</v>
      </c>
      <c r="C527">
        <v>1</v>
      </c>
      <c r="D527" t="s">
        <v>238</v>
      </c>
      <c r="E527" s="40">
        <v>0</v>
      </c>
      <c r="F527" s="40">
        <v>0</v>
      </c>
      <c r="G527" s="40">
        <v>0</v>
      </c>
      <c r="H527" s="40">
        <v>0</v>
      </c>
      <c r="I527" s="40">
        <v>0</v>
      </c>
      <c r="J527" s="40">
        <v>0</v>
      </c>
      <c r="K527" s="40">
        <v>0</v>
      </c>
      <c r="L527" s="40">
        <v>0</v>
      </c>
      <c r="M527" s="40">
        <v>0</v>
      </c>
      <c r="N527" s="40">
        <v>0</v>
      </c>
      <c r="O527" s="40">
        <v>0</v>
      </c>
      <c r="P527" s="40">
        <v>0</v>
      </c>
      <c r="Q527" s="40">
        <v>0</v>
      </c>
      <c r="R527" s="40">
        <v>0</v>
      </c>
      <c r="S527" s="40">
        <v>0</v>
      </c>
      <c r="T527" s="40">
        <v>0</v>
      </c>
      <c r="U527" s="40">
        <v>0</v>
      </c>
    </row>
    <row r="528" spans="1:21" x14ac:dyDescent="0.2">
      <c r="A528" t="s">
        <v>833</v>
      </c>
      <c r="B528">
        <v>553</v>
      </c>
      <c r="C528">
        <v>1</v>
      </c>
      <c r="D528" t="s">
        <v>239</v>
      </c>
      <c r="E528" s="40">
        <v>0</v>
      </c>
      <c r="F528" s="40">
        <v>0</v>
      </c>
      <c r="G528" s="40">
        <v>0</v>
      </c>
      <c r="H528" s="40">
        <v>0</v>
      </c>
      <c r="I528" s="40">
        <v>0</v>
      </c>
      <c r="J528" s="40">
        <v>0</v>
      </c>
      <c r="K528" s="40">
        <v>0</v>
      </c>
      <c r="L528" s="40">
        <v>0</v>
      </c>
      <c r="M528" s="40">
        <v>0</v>
      </c>
      <c r="N528" s="40">
        <v>0</v>
      </c>
      <c r="O528" s="40">
        <v>0</v>
      </c>
      <c r="P528" s="40">
        <v>0</v>
      </c>
      <c r="Q528" s="40">
        <v>0</v>
      </c>
      <c r="R528" s="40">
        <v>0</v>
      </c>
      <c r="S528" s="40">
        <v>0</v>
      </c>
      <c r="T528" s="40">
        <v>0</v>
      </c>
      <c r="U528" s="40">
        <v>0</v>
      </c>
    </row>
    <row r="529" spans="1:21" x14ac:dyDescent="0.2">
      <c r="A529" t="s">
        <v>833</v>
      </c>
      <c r="B529">
        <v>561</v>
      </c>
      <c r="C529">
        <v>1</v>
      </c>
      <c r="D529" t="s">
        <v>240</v>
      </c>
      <c r="E529" s="40">
        <v>0</v>
      </c>
      <c r="F529" s="40">
        <v>0</v>
      </c>
      <c r="G529" s="40">
        <v>0</v>
      </c>
      <c r="H529" s="40">
        <v>0</v>
      </c>
      <c r="I529" s="40">
        <v>0</v>
      </c>
      <c r="J529" s="40">
        <v>0</v>
      </c>
      <c r="K529" s="40">
        <v>0</v>
      </c>
      <c r="L529" s="40">
        <v>0</v>
      </c>
      <c r="M529" s="40">
        <v>0</v>
      </c>
      <c r="N529" s="40">
        <v>0</v>
      </c>
      <c r="O529" s="40">
        <v>0</v>
      </c>
      <c r="P529" s="40">
        <v>0</v>
      </c>
      <c r="Q529" s="40">
        <v>0</v>
      </c>
      <c r="R529" s="40">
        <v>0</v>
      </c>
      <c r="S529" s="40">
        <v>0</v>
      </c>
      <c r="T529" s="40">
        <v>0</v>
      </c>
      <c r="U529" s="40">
        <v>0</v>
      </c>
    </row>
    <row r="530" spans="1:21" x14ac:dyDescent="0.2">
      <c r="A530" t="s">
        <v>833</v>
      </c>
      <c r="B530">
        <v>564</v>
      </c>
      <c r="C530">
        <v>1</v>
      </c>
      <c r="D530" t="s">
        <v>241</v>
      </c>
      <c r="E530" s="40">
        <v>0</v>
      </c>
      <c r="F530" s="40">
        <v>0</v>
      </c>
      <c r="G530" s="40">
        <v>0</v>
      </c>
      <c r="H530" s="40">
        <v>0</v>
      </c>
      <c r="I530" s="40">
        <v>0</v>
      </c>
      <c r="J530" s="40">
        <v>0</v>
      </c>
      <c r="K530" s="40">
        <v>0</v>
      </c>
      <c r="L530" s="40">
        <v>0</v>
      </c>
      <c r="M530" s="40">
        <v>0</v>
      </c>
      <c r="N530" s="40">
        <v>0</v>
      </c>
      <c r="O530" s="40">
        <v>0</v>
      </c>
      <c r="P530" s="40">
        <v>0</v>
      </c>
      <c r="Q530" s="40">
        <v>0</v>
      </c>
      <c r="R530" s="40">
        <v>0</v>
      </c>
      <c r="S530" s="40">
        <v>0</v>
      </c>
      <c r="T530" s="40">
        <v>0</v>
      </c>
      <c r="U530" s="40">
        <v>0</v>
      </c>
    </row>
    <row r="531" spans="1:21" x14ac:dyDescent="0.2">
      <c r="A531" t="s">
        <v>833</v>
      </c>
      <c r="B531">
        <v>577</v>
      </c>
      <c r="C531">
        <v>1</v>
      </c>
      <c r="D531" t="s">
        <v>242</v>
      </c>
      <c r="E531" s="40">
        <v>0</v>
      </c>
      <c r="F531" s="40">
        <v>0</v>
      </c>
      <c r="G531" s="40">
        <v>0</v>
      </c>
      <c r="H531" s="40">
        <v>0</v>
      </c>
      <c r="I531" s="40">
        <v>0</v>
      </c>
      <c r="J531" s="40">
        <v>0</v>
      </c>
      <c r="K531" s="40">
        <v>0</v>
      </c>
      <c r="L531" s="40">
        <v>0</v>
      </c>
      <c r="M531" s="40">
        <v>0</v>
      </c>
      <c r="N531" s="40">
        <v>0</v>
      </c>
      <c r="O531" s="40">
        <v>0</v>
      </c>
      <c r="P531" s="40">
        <v>0</v>
      </c>
      <c r="Q531" s="40">
        <v>0</v>
      </c>
      <c r="R531" s="40">
        <v>0</v>
      </c>
      <c r="S531" s="40">
        <v>0</v>
      </c>
      <c r="T531" s="40">
        <v>0</v>
      </c>
      <c r="U531" s="40">
        <v>0</v>
      </c>
    </row>
    <row r="532" spans="1:21" x14ac:dyDescent="0.2">
      <c r="A532" t="s">
        <v>833</v>
      </c>
      <c r="B532">
        <v>578</v>
      </c>
      <c r="C532">
        <v>1</v>
      </c>
      <c r="D532" t="s">
        <v>243</v>
      </c>
      <c r="E532" s="40">
        <v>0</v>
      </c>
      <c r="F532" s="40">
        <v>0</v>
      </c>
      <c r="G532" s="40">
        <v>0</v>
      </c>
      <c r="H532" s="40">
        <v>0</v>
      </c>
      <c r="I532" s="40">
        <v>0</v>
      </c>
      <c r="J532" s="40">
        <v>0</v>
      </c>
      <c r="K532" s="40">
        <v>0</v>
      </c>
      <c r="L532" s="40">
        <v>0</v>
      </c>
      <c r="M532" s="40">
        <v>0</v>
      </c>
      <c r="N532" s="40">
        <v>0</v>
      </c>
      <c r="O532" s="40">
        <v>0</v>
      </c>
      <c r="P532" s="40">
        <v>0</v>
      </c>
      <c r="Q532" s="40">
        <v>0</v>
      </c>
      <c r="R532" s="40">
        <v>0</v>
      </c>
      <c r="S532" s="40">
        <v>0</v>
      </c>
      <c r="T532" s="40">
        <v>0</v>
      </c>
      <c r="U532" s="40">
        <v>0</v>
      </c>
    </row>
    <row r="533" spans="1:21" x14ac:dyDescent="0.2">
      <c r="A533" t="s">
        <v>833</v>
      </c>
      <c r="B533">
        <v>581</v>
      </c>
      <c r="C533">
        <v>1</v>
      </c>
      <c r="D533" t="s">
        <v>244</v>
      </c>
      <c r="E533" s="40">
        <v>0</v>
      </c>
      <c r="F533" s="40">
        <v>0</v>
      </c>
      <c r="G533" s="40">
        <v>0</v>
      </c>
      <c r="H533" s="40">
        <v>0</v>
      </c>
      <c r="I533" s="40">
        <v>0</v>
      </c>
      <c r="J533" s="40">
        <v>0</v>
      </c>
      <c r="K533" s="40">
        <v>0</v>
      </c>
      <c r="L533" s="40">
        <v>0</v>
      </c>
      <c r="M533" s="40">
        <v>0</v>
      </c>
      <c r="N533" s="40">
        <v>0</v>
      </c>
      <c r="O533" s="40">
        <v>0</v>
      </c>
      <c r="P533" s="40">
        <v>0</v>
      </c>
      <c r="Q533" s="40">
        <v>0</v>
      </c>
      <c r="R533" s="40">
        <v>0</v>
      </c>
      <c r="S533" s="40">
        <v>0</v>
      </c>
      <c r="T533" s="40">
        <v>0</v>
      </c>
      <c r="U533" s="40">
        <v>0</v>
      </c>
    </row>
    <row r="534" spans="1:21" x14ac:dyDescent="0.2">
      <c r="A534" t="s">
        <v>833</v>
      </c>
      <c r="B534">
        <v>584</v>
      </c>
      <c r="C534">
        <v>1</v>
      </c>
      <c r="D534" t="s">
        <v>245</v>
      </c>
      <c r="E534" s="40">
        <v>0</v>
      </c>
      <c r="F534" s="40">
        <v>0</v>
      </c>
      <c r="G534" s="40">
        <v>0</v>
      </c>
      <c r="H534" s="40">
        <v>0</v>
      </c>
      <c r="I534" s="40">
        <v>0</v>
      </c>
      <c r="J534" s="40">
        <v>0</v>
      </c>
      <c r="K534" s="40">
        <v>0</v>
      </c>
      <c r="L534" s="40">
        <v>0</v>
      </c>
      <c r="M534" s="40">
        <v>0</v>
      </c>
      <c r="N534" s="40">
        <v>0</v>
      </c>
      <c r="O534" s="40">
        <v>0</v>
      </c>
      <c r="P534" s="40">
        <v>0</v>
      </c>
      <c r="Q534" s="40">
        <v>0</v>
      </c>
      <c r="R534" s="40">
        <v>0</v>
      </c>
      <c r="S534" s="40">
        <v>0</v>
      </c>
      <c r="T534" s="40">
        <v>0</v>
      </c>
      <c r="U534" s="40">
        <v>0</v>
      </c>
    </row>
    <row r="535" spans="1:21" x14ac:dyDescent="0.2">
      <c r="A535" t="s">
        <v>833</v>
      </c>
      <c r="B535">
        <v>592</v>
      </c>
      <c r="C535">
        <v>1</v>
      </c>
      <c r="D535" t="s">
        <v>246</v>
      </c>
      <c r="E535" s="40">
        <v>0</v>
      </c>
      <c r="F535" s="40">
        <v>0</v>
      </c>
      <c r="G535" s="40">
        <v>0</v>
      </c>
      <c r="H535" s="3">
        <v>968.62</v>
      </c>
      <c r="I535" s="3">
        <v>968.62</v>
      </c>
      <c r="J535" s="3">
        <v>968.62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40">
        <v>0</v>
      </c>
      <c r="T535" s="40">
        <v>0</v>
      </c>
      <c r="U535" s="40">
        <v>0</v>
      </c>
    </row>
    <row r="536" spans="1:21" x14ac:dyDescent="0.2">
      <c r="A536" t="s">
        <v>833</v>
      </c>
      <c r="B536">
        <v>593</v>
      </c>
      <c r="C536">
        <v>1</v>
      </c>
      <c r="D536" t="s">
        <v>247</v>
      </c>
      <c r="E536" s="40">
        <v>0</v>
      </c>
      <c r="F536" s="40">
        <v>0</v>
      </c>
      <c r="G536" s="40">
        <v>0</v>
      </c>
      <c r="H536" s="40">
        <v>0</v>
      </c>
      <c r="I536" s="40">
        <v>0</v>
      </c>
      <c r="J536" s="40">
        <v>0</v>
      </c>
      <c r="K536" s="40">
        <v>0</v>
      </c>
      <c r="L536" s="40">
        <v>0</v>
      </c>
      <c r="M536" s="40">
        <v>0</v>
      </c>
      <c r="N536" s="40">
        <v>0</v>
      </c>
      <c r="O536" s="40">
        <v>0</v>
      </c>
      <c r="P536" s="40">
        <v>0</v>
      </c>
      <c r="Q536" s="40">
        <v>0</v>
      </c>
      <c r="R536" s="40">
        <v>0</v>
      </c>
      <c r="S536" s="40">
        <v>0</v>
      </c>
      <c r="T536" s="40">
        <v>0</v>
      </c>
      <c r="U536" s="40">
        <v>0</v>
      </c>
    </row>
    <row r="537" spans="1:21" x14ac:dyDescent="0.2">
      <c r="A537" t="s">
        <v>833</v>
      </c>
      <c r="B537">
        <v>595</v>
      </c>
      <c r="C537">
        <v>1</v>
      </c>
      <c r="D537" t="s">
        <v>248</v>
      </c>
      <c r="E537" s="40">
        <v>0</v>
      </c>
      <c r="F537" s="40">
        <v>0</v>
      </c>
      <c r="G537" s="40">
        <v>0</v>
      </c>
      <c r="H537" s="40">
        <v>0</v>
      </c>
      <c r="I537" s="40">
        <v>0</v>
      </c>
      <c r="J537" s="40">
        <v>0</v>
      </c>
      <c r="K537" s="40">
        <v>0</v>
      </c>
      <c r="L537" s="40">
        <v>0</v>
      </c>
      <c r="M537" s="40">
        <v>0</v>
      </c>
      <c r="N537" s="40">
        <v>0</v>
      </c>
      <c r="O537" s="40">
        <v>0</v>
      </c>
      <c r="P537" s="40">
        <v>0</v>
      </c>
      <c r="Q537" s="40">
        <v>0</v>
      </c>
      <c r="R537" s="40">
        <v>0</v>
      </c>
      <c r="S537" s="40">
        <v>0</v>
      </c>
      <c r="T537" s="40">
        <v>0</v>
      </c>
      <c r="U537" s="40">
        <v>0</v>
      </c>
    </row>
    <row r="538" spans="1:21" x14ac:dyDescent="0.2">
      <c r="A538" t="s">
        <v>833</v>
      </c>
      <c r="B538">
        <v>599</v>
      </c>
      <c r="C538">
        <v>1</v>
      </c>
      <c r="D538" t="s">
        <v>249</v>
      </c>
      <c r="E538" s="40">
        <v>0</v>
      </c>
      <c r="F538" s="40">
        <v>0</v>
      </c>
      <c r="G538" s="40">
        <v>0</v>
      </c>
      <c r="H538" s="40">
        <v>0</v>
      </c>
      <c r="I538" s="40">
        <v>0</v>
      </c>
      <c r="J538" s="40">
        <v>0</v>
      </c>
      <c r="K538" s="40">
        <v>0</v>
      </c>
      <c r="L538" s="40">
        <v>0</v>
      </c>
      <c r="M538" s="40">
        <v>0</v>
      </c>
      <c r="N538" s="40">
        <v>0</v>
      </c>
      <c r="O538" s="40">
        <v>0</v>
      </c>
      <c r="P538" s="40">
        <v>0</v>
      </c>
      <c r="Q538" s="40">
        <v>0</v>
      </c>
      <c r="R538" s="40">
        <v>0</v>
      </c>
      <c r="S538" s="40">
        <v>0</v>
      </c>
      <c r="T538" s="40">
        <v>0</v>
      </c>
      <c r="U538" s="40">
        <v>0</v>
      </c>
    </row>
    <row r="539" spans="1:21" x14ac:dyDescent="0.2">
      <c r="A539" t="s">
        <v>833</v>
      </c>
      <c r="B539">
        <v>600</v>
      </c>
      <c r="C539">
        <v>1</v>
      </c>
      <c r="D539" t="s">
        <v>250</v>
      </c>
      <c r="E539" s="40">
        <v>0</v>
      </c>
      <c r="F539" s="40">
        <v>0</v>
      </c>
      <c r="G539" s="40">
        <v>0</v>
      </c>
      <c r="H539" s="40">
        <v>0</v>
      </c>
      <c r="I539" s="40">
        <v>0</v>
      </c>
      <c r="J539" s="40">
        <v>0</v>
      </c>
      <c r="K539" s="40">
        <v>0</v>
      </c>
      <c r="L539" s="40">
        <v>0</v>
      </c>
      <c r="M539" s="40">
        <v>0</v>
      </c>
      <c r="N539" s="40">
        <v>0</v>
      </c>
      <c r="O539" s="40">
        <v>0</v>
      </c>
      <c r="P539" s="40">
        <v>0</v>
      </c>
      <c r="Q539" s="40">
        <v>0</v>
      </c>
      <c r="R539" s="40">
        <v>0</v>
      </c>
      <c r="S539" s="40">
        <v>0</v>
      </c>
      <c r="T539" s="40">
        <v>0</v>
      </c>
      <c r="U539" s="40">
        <v>0</v>
      </c>
    </row>
    <row r="540" spans="1:21" x14ac:dyDescent="0.2">
      <c r="A540" t="s">
        <v>833</v>
      </c>
      <c r="B540">
        <v>601</v>
      </c>
      <c r="C540">
        <v>1</v>
      </c>
      <c r="D540" t="s">
        <v>251</v>
      </c>
      <c r="E540" s="40">
        <v>0</v>
      </c>
      <c r="F540" s="40">
        <v>0</v>
      </c>
      <c r="G540" s="40">
        <v>0</v>
      </c>
      <c r="H540" s="40">
        <v>0</v>
      </c>
      <c r="I540" s="40">
        <v>0</v>
      </c>
      <c r="J540" s="40">
        <v>0</v>
      </c>
      <c r="K540" s="40">
        <v>0</v>
      </c>
      <c r="L540" s="40">
        <v>0</v>
      </c>
      <c r="M540" s="40">
        <v>0</v>
      </c>
      <c r="N540" s="40">
        <v>0</v>
      </c>
      <c r="O540" s="40">
        <v>0</v>
      </c>
      <c r="P540" s="40">
        <v>0</v>
      </c>
      <c r="Q540" s="40">
        <v>0</v>
      </c>
      <c r="R540" s="40">
        <v>0</v>
      </c>
      <c r="S540" s="40">
        <v>0</v>
      </c>
      <c r="T540" s="40">
        <v>0</v>
      </c>
      <c r="U540" s="40">
        <v>0</v>
      </c>
    </row>
    <row r="541" spans="1:21" x14ac:dyDescent="0.2">
      <c r="A541" t="s">
        <v>833</v>
      </c>
      <c r="B541">
        <v>611</v>
      </c>
      <c r="C541">
        <v>1</v>
      </c>
      <c r="D541" t="s">
        <v>252</v>
      </c>
      <c r="E541" s="40">
        <v>0</v>
      </c>
      <c r="F541" s="40">
        <v>0</v>
      </c>
      <c r="G541" s="40">
        <v>0</v>
      </c>
      <c r="H541" s="40">
        <v>0</v>
      </c>
      <c r="I541" s="40">
        <v>0</v>
      </c>
      <c r="J541" s="40">
        <v>0</v>
      </c>
      <c r="K541" s="40">
        <v>0</v>
      </c>
      <c r="L541" s="40">
        <v>0</v>
      </c>
      <c r="M541" s="40">
        <v>0</v>
      </c>
      <c r="N541" s="40">
        <v>0</v>
      </c>
      <c r="O541" s="40">
        <v>0</v>
      </c>
      <c r="P541" s="40">
        <v>0</v>
      </c>
      <c r="Q541" s="40">
        <v>0</v>
      </c>
      <c r="R541" s="40">
        <v>0</v>
      </c>
      <c r="S541" s="40">
        <v>0</v>
      </c>
      <c r="T541" s="40">
        <v>0</v>
      </c>
      <c r="U541" s="40">
        <v>0</v>
      </c>
    </row>
    <row r="542" spans="1:21" x14ac:dyDescent="0.2">
      <c r="A542" t="s">
        <v>833</v>
      </c>
      <c r="B542">
        <v>621</v>
      </c>
      <c r="C542">
        <v>1</v>
      </c>
      <c r="D542" t="s">
        <v>253</v>
      </c>
      <c r="E542" s="40">
        <v>0</v>
      </c>
      <c r="F542" s="40">
        <v>0</v>
      </c>
      <c r="G542" s="40">
        <v>0</v>
      </c>
      <c r="H542" s="40">
        <v>0</v>
      </c>
      <c r="I542" s="40">
        <v>0</v>
      </c>
      <c r="J542" s="40">
        <v>0</v>
      </c>
      <c r="K542" s="40">
        <v>0</v>
      </c>
      <c r="L542" s="40">
        <v>0</v>
      </c>
      <c r="M542" s="40">
        <v>0</v>
      </c>
      <c r="N542" s="40">
        <v>0</v>
      </c>
      <c r="O542" s="40">
        <v>0</v>
      </c>
      <c r="P542" s="40">
        <v>0</v>
      </c>
      <c r="Q542" s="40">
        <v>0</v>
      </c>
      <c r="R542" s="40">
        <v>0</v>
      </c>
      <c r="S542" s="40">
        <v>0</v>
      </c>
      <c r="T542" s="40">
        <v>0</v>
      </c>
      <c r="U542" s="40">
        <v>0</v>
      </c>
    </row>
    <row r="543" spans="1:21" x14ac:dyDescent="0.2">
      <c r="A543" t="s">
        <v>833</v>
      </c>
      <c r="B543">
        <v>622</v>
      </c>
      <c r="C543">
        <v>1</v>
      </c>
      <c r="D543" t="s">
        <v>254</v>
      </c>
      <c r="E543" s="40">
        <v>0</v>
      </c>
      <c r="F543" s="40">
        <v>0</v>
      </c>
      <c r="G543" s="40">
        <v>0</v>
      </c>
      <c r="H543" s="40">
        <v>0</v>
      </c>
      <c r="I543" s="40">
        <v>0</v>
      </c>
      <c r="J543" s="40">
        <v>0</v>
      </c>
      <c r="K543" s="40">
        <v>0</v>
      </c>
      <c r="L543" s="40">
        <v>0</v>
      </c>
      <c r="M543" s="40">
        <v>0</v>
      </c>
      <c r="N543" s="40">
        <v>0</v>
      </c>
      <c r="O543" s="40">
        <v>0</v>
      </c>
      <c r="P543" s="40">
        <v>0</v>
      </c>
      <c r="Q543" s="40">
        <v>0</v>
      </c>
      <c r="R543" s="40">
        <v>0</v>
      </c>
      <c r="S543" s="40">
        <v>0</v>
      </c>
      <c r="T543" s="40">
        <v>0</v>
      </c>
      <c r="U543" s="40">
        <v>0</v>
      </c>
    </row>
    <row r="544" spans="1:21" x14ac:dyDescent="0.2">
      <c r="A544" t="s">
        <v>833</v>
      </c>
      <c r="B544">
        <v>623</v>
      </c>
      <c r="C544">
        <v>1</v>
      </c>
      <c r="D544" t="s">
        <v>255</v>
      </c>
      <c r="E544" s="40">
        <v>0</v>
      </c>
      <c r="F544" s="40">
        <v>0</v>
      </c>
      <c r="G544" s="40">
        <v>0</v>
      </c>
      <c r="H544" s="40">
        <v>0</v>
      </c>
      <c r="I544" s="40">
        <v>0</v>
      </c>
      <c r="J544" s="40">
        <v>0</v>
      </c>
      <c r="K544" s="40">
        <v>0</v>
      </c>
      <c r="L544" s="40">
        <v>0</v>
      </c>
      <c r="M544" s="40">
        <v>0</v>
      </c>
      <c r="N544" s="40">
        <v>0</v>
      </c>
      <c r="O544" s="40">
        <v>0</v>
      </c>
      <c r="P544" s="40">
        <v>0</v>
      </c>
      <c r="Q544" s="40">
        <v>0</v>
      </c>
      <c r="R544" s="40">
        <v>0</v>
      </c>
      <c r="S544" s="40">
        <v>0</v>
      </c>
      <c r="T544" s="40">
        <v>0</v>
      </c>
      <c r="U544" s="40">
        <v>0</v>
      </c>
    </row>
    <row r="545" spans="1:21" x14ac:dyDescent="0.2">
      <c r="A545" t="s">
        <v>833</v>
      </c>
      <c r="B545">
        <v>624</v>
      </c>
      <c r="C545">
        <v>1</v>
      </c>
      <c r="D545" t="s">
        <v>256</v>
      </c>
      <c r="E545" s="40">
        <v>0</v>
      </c>
      <c r="F545" s="40">
        <v>0</v>
      </c>
      <c r="G545" s="40">
        <v>0</v>
      </c>
      <c r="H545" s="40">
        <v>0</v>
      </c>
      <c r="I545" s="40">
        <v>0</v>
      </c>
      <c r="J545" s="40">
        <v>0</v>
      </c>
      <c r="K545" s="40">
        <v>0</v>
      </c>
      <c r="L545" s="40">
        <v>0</v>
      </c>
      <c r="M545" s="40">
        <v>0</v>
      </c>
      <c r="N545" s="40">
        <v>0</v>
      </c>
      <c r="O545" s="40">
        <v>0</v>
      </c>
      <c r="P545" s="40">
        <v>0</v>
      </c>
      <c r="Q545" s="40">
        <v>0</v>
      </c>
      <c r="R545" s="40">
        <v>0</v>
      </c>
      <c r="S545" s="40">
        <v>0</v>
      </c>
      <c r="T545" s="40">
        <v>0</v>
      </c>
      <c r="U545" s="40">
        <v>0</v>
      </c>
    </row>
    <row r="546" spans="1:21" x14ac:dyDescent="0.2">
      <c r="A546" t="s">
        <v>833</v>
      </c>
      <c r="B546">
        <v>625</v>
      </c>
      <c r="C546">
        <v>1</v>
      </c>
      <c r="D546" t="s">
        <v>257</v>
      </c>
      <c r="E546" s="40">
        <v>0</v>
      </c>
      <c r="F546" s="40">
        <v>0</v>
      </c>
      <c r="G546" s="40">
        <v>0</v>
      </c>
      <c r="H546" s="40">
        <v>0</v>
      </c>
      <c r="I546" s="40">
        <v>0</v>
      </c>
      <c r="J546" s="40">
        <v>0</v>
      </c>
      <c r="K546" s="40">
        <v>0</v>
      </c>
      <c r="L546" s="40">
        <v>0</v>
      </c>
      <c r="M546" s="40">
        <v>0</v>
      </c>
      <c r="N546" s="40">
        <v>0</v>
      </c>
      <c r="O546" s="40">
        <v>0</v>
      </c>
      <c r="P546" s="40">
        <v>0</v>
      </c>
      <c r="Q546" s="40">
        <v>0</v>
      </c>
      <c r="R546" s="40">
        <v>0</v>
      </c>
      <c r="S546" s="40">
        <v>0</v>
      </c>
      <c r="T546" s="40">
        <v>0</v>
      </c>
      <c r="U546" s="40">
        <v>0</v>
      </c>
    </row>
    <row r="547" spans="1:21" x14ac:dyDescent="0.2">
      <c r="A547" t="s">
        <v>833</v>
      </c>
      <c r="B547">
        <v>627</v>
      </c>
      <c r="C547">
        <v>1</v>
      </c>
      <c r="D547" t="s">
        <v>258</v>
      </c>
      <c r="E547" s="40">
        <v>0</v>
      </c>
      <c r="F547" s="40">
        <v>0</v>
      </c>
      <c r="G547" s="40">
        <v>0</v>
      </c>
      <c r="H547" s="40">
        <v>0</v>
      </c>
      <c r="I547" s="40">
        <v>0</v>
      </c>
      <c r="J547" s="40">
        <v>0</v>
      </c>
      <c r="K547" s="40">
        <v>0</v>
      </c>
      <c r="L547" s="40">
        <v>0</v>
      </c>
      <c r="M547" s="40">
        <v>0</v>
      </c>
      <c r="N547" s="40">
        <v>0</v>
      </c>
      <c r="O547" s="40">
        <v>0</v>
      </c>
      <c r="P547" s="40">
        <v>0</v>
      </c>
      <c r="Q547" s="40">
        <v>0</v>
      </c>
      <c r="R547" s="40">
        <v>0</v>
      </c>
      <c r="S547" s="40">
        <v>0</v>
      </c>
      <c r="T547" s="40">
        <v>0</v>
      </c>
      <c r="U547" s="40">
        <v>0</v>
      </c>
    </row>
    <row r="548" spans="1:21" x14ac:dyDescent="0.2">
      <c r="A548" t="s">
        <v>833</v>
      </c>
      <c r="B548">
        <v>628</v>
      </c>
      <c r="C548">
        <v>1</v>
      </c>
      <c r="D548" t="s">
        <v>259</v>
      </c>
      <c r="E548" s="40">
        <v>0</v>
      </c>
      <c r="F548" s="40">
        <v>0</v>
      </c>
      <c r="G548" s="40">
        <v>0</v>
      </c>
      <c r="H548" s="40">
        <v>0</v>
      </c>
      <c r="I548" s="40">
        <v>0</v>
      </c>
      <c r="J548" s="40">
        <v>0</v>
      </c>
      <c r="K548" s="40">
        <v>0</v>
      </c>
      <c r="L548" s="40">
        <v>0</v>
      </c>
      <c r="M548" s="40">
        <v>0</v>
      </c>
      <c r="N548" s="40">
        <v>0</v>
      </c>
      <c r="O548" s="40">
        <v>0</v>
      </c>
      <c r="P548" s="40">
        <v>0</v>
      </c>
      <c r="Q548" s="40">
        <v>0</v>
      </c>
      <c r="R548" s="40">
        <v>0</v>
      </c>
      <c r="S548" s="40">
        <v>0</v>
      </c>
      <c r="T548" s="40">
        <v>0</v>
      </c>
      <c r="U548" s="40">
        <v>0</v>
      </c>
    </row>
    <row r="549" spans="1:21" x14ac:dyDescent="0.2">
      <c r="A549" t="s">
        <v>833</v>
      </c>
      <c r="B549">
        <v>630</v>
      </c>
      <c r="C549">
        <v>1</v>
      </c>
      <c r="D549" t="s">
        <v>260</v>
      </c>
      <c r="E549" s="40">
        <v>0</v>
      </c>
      <c r="F549" s="40">
        <v>0</v>
      </c>
      <c r="G549" s="40">
        <v>0</v>
      </c>
      <c r="H549" s="40">
        <v>0</v>
      </c>
      <c r="I549" s="40">
        <v>0</v>
      </c>
      <c r="J549" s="40">
        <v>0</v>
      </c>
      <c r="K549" s="40">
        <v>0</v>
      </c>
      <c r="L549" s="40">
        <v>0</v>
      </c>
      <c r="M549" s="40">
        <v>0</v>
      </c>
      <c r="N549" s="40">
        <v>0</v>
      </c>
      <c r="O549" s="40">
        <v>0</v>
      </c>
      <c r="P549" s="40">
        <v>0</v>
      </c>
      <c r="Q549" s="40">
        <v>0</v>
      </c>
      <c r="R549" s="40">
        <v>0</v>
      </c>
      <c r="S549" s="40">
        <v>0</v>
      </c>
      <c r="T549" s="40">
        <v>0</v>
      </c>
      <c r="U549" s="40">
        <v>0</v>
      </c>
    </row>
    <row r="550" spans="1:21" x14ac:dyDescent="0.2">
      <c r="A550" t="s">
        <v>833</v>
      </c>
      <c r="B550">
        <v>635</v>
      </c>
      <c r="C550">
        <v>1</v>
      </c>
      <c r="D550" t="s">
        <v>261</v>
      </c>
      <c r="E550" s="40">
        <v>0</v>
      </c>
      <c r="F550" s="40">
        <v>0</v>
      </c>
      <c r="G550" s="40">
        <v>0</v>
      </c>
      <c r="H550" s="40">
        <v>0</v>
      </c>
      <c r="I550" s="40">
        <v>0</v>
      </c>
      <c r="J550" s="40">
        <v>0</v>
      </c>
      <c r="K550" s="40">
        <v>0</v>
      </c>
      <c r="L550" s="40">
        <v>0</v>
      </c>
      <c r="M550" s="40">
        <v>0</v>
      </c>
      <c r="N550" s="40">
        <v>0</v>
      </c>
      <c r="O550" s="40">
        <v>0</v>
      </c>
      <c r="P550" s="40">
        <v>0</v>
      </c>
      <c r="Q550" s="40">
        <v>0</v>
      </c>
      <c r="R550" s="40">
        <v>0</v>
      </c>
      <c r="S550" s="40">
        <v>0</v>
      </c>
      <c r="T550" s="40">
        <v>0</v>
      </c>
      <c r="U550" s="40">
        <v>0</v>
      </c>
    </row>
    <row r="551" spans="1:21" x14ac:dyDescent="0.2">
      <c r="A551" t="s">
        <v>833</v>
      </c>
      <c r="B551">
        <v>640</v>
      </c>
      <c r="C551">
        <v>1</v>
      </c>
      <c r="D551" t="s">
        <v>262</v>
      </c>
      <c r="E551" s="40">
        <v>0</v>
      </c>
      <c r="F551" s="40">
        <v>0</v>
      </c>
      <c r="G551" s="40">
        <v>0</v>
      </c>
      <c r="H551" s="40">
        <v>0</v>
      </c>
      <c r="I551" s="40">
        <v>0</v>
      </c>
      <c r="J551" s="40">
        <v>0</v>
      </c>
      <c r="K551" s="40">
        <v>0</v>
      </c>
      <c r="L551" s="40">
        <v>0</v>
      </c>
      <c r="M551" s="40">
        <v>0</v>
      </c>
      <c r="N551" s="40">
        <v>0</v>
      </c>
      <c r="O551" s="40">
        <v>0</v>
      </c>
      <c r="P551" s="40">
        <v>0</v>
      </c>
      <c r="Q551" s="40">
        <v>0</v>
      </c>
      <c r="R551" s="40">
        <v>0</v>
      </c>
      <c r="S551" s="40">
        <v>0</v>
      </c>
      <c r="T551" s="40">
        <v>0</v>
      </c>
      <c r="U551" s="40">
        <v>0</v>
      </c>
    </row>
    <row r="552" spans="1:21" x14ac:dyDescent="0.2">
      <c r="A552" t="s">
        <v>833</v>
      </c>
      <c r="B552">
        <v>656</v>
      </c>
      <c r="C552">
        <v>1</v>
      </c>
      <c r="D552" t="s">
        <v>263</v>
      </c>
      <c r="E552" s="40">
        <v>0</v>
      </c>
      <c r="F552" s="40">
        <v>0</v>
      </c>
      <c r="G552" s="40">
        <v>0</v>
      </c>
      <c r="H552" s="40">
        <v>0</v>
      </c>
      <c r="I552" s="40">
        <v>0</v>
      </c>
      <c r="J552" s="40">
        <v>0</v>
      </c>
      <c r="K552" s="40">
        <v>0</v>
      </c>
      <c r="L552" s="40">
        <v>0</v>
      </c>
      <c r="M552" s="40">
        <v>0</v>
      </c>
      <c r="N552" s="40">
        <v>0</v>
      </c>
      <c r="O552" s="40">
        <v>0</v>
      </c>
      <c r="P552" s="40">
        <v>0</v>
      </c>
      <c r="Q552" s="40">
        <v>0</v>
      </c>
      <c r="R552" s="40">
        <v>0</v>
      </c>
      <c r="S552" s="40">
        <v>0</v>
      </c>
      <c r="T552" s="40">
        <v>0</v>
      </c>
      <c r="U552" s="40">
        <v>0</v>
      </c>
    </row>
    <row r="553" spans="1:21" x14ac:dyDescent="0.2">
      <c r="A553" t="s">
        <v>833</v>
      </c>
      <c r="B553">
        <v>659</v>
      </c>
      <c r="C553">
        <v>1</v>
      </c>
      <c r="D553" t="s">
        <v>264</v>
      </c>
      <c r="E553" s="40">
        <v>0</v>
      </c>
      <c r="F553" s="40">
        <v>0</v>
      </c>
      <c r="G553" s="40">
        <v>0</v>
      </c>
      <c r="H553" s="40">
        <v>0</v>
      </c>
      <c r="I553" s="40">
        <v>0</v>
      </c>
      <c r="J553" s="40">
        <v>0</v>
      </c>
      <c r="K553" s="40">
        <v>0</v>
      </c>
      <c r="L553" s="40">
        <v>0</v>
      </c>
      <c r="M553" s="40">
        <v>0</v>
      </c>
      <c r="N553" s="40">
        <v>0</v>
      </c>
      <c r="O553" s="40">
        <v>0</v>
      </c>
      <c r="P553" s="40">
        <v>0</v>
      </c>
      <c r="Q553" s="40">
        <v>0</v>
      </c>
      <c r="R553" s="40">
        <v>0</v>
      </c>
      <c r="S553" s="40">
        <v>0</v>
      </c>
      <c r="T553" s="40">
        <v>0</v>
      </c>
      <c r="U553" s="40">
        <v>0</v>
      </c>
    </row>
    <row r="554" spans="1:21" x14ac:dyDescent="0.2">
      <c r="A554" t="s">
        <v>833</v>
      </c>
      <c r="B554">
        <v>671</v>
      </c>
      <c r="C554">
        <v>1</v>
      </c>
      <c r="D554" t="s">
        <v>265</v>
      </c>
      <c r="E554" s="40">
        <v>0</v>
      </c>
      <c r="F554" s="40">
        <v>0</v>
      </c>
      <c r="G554" s="40">
        <v>0</v>
      </c>
      <c r="H554" s="40">
        <v>0</v>
      </c>
      <c r="I554" s="40">
        <v>0</v>
      </c>
      <c r="J554" s="40">
        <v>0</v>
      </c>
      <c r="K554" s="40">
        <v>0</v>
      </c>
      <c r="L554" s="40">
        <v>0</v>
      </c>
      <c r="M554" s="40">
        <v>0</v>
      </c>
      <c r="N554" s="40">
        <v>0</v>
      </c>
      <c r="O554" s="40">
        <v>0</v>
      </c>
      <c r="P554" s="40">
        <v>0</v>
      </c>
      <c r="Q554" s="40">
        <v>0</v>
      </c>
      <c r="R554" s="40">
        <v>0</v>
      </c>
      <c r="S554" s="40">
        <v>0</v>
      </c>
      <c r="T554" s="40">
        <v>0</v>
      </c>
      <c r="U554" s="40">
        <v>0</v>
      </c>
    </row>
    <row r="555" spans="1:21" x14ac:dyDescent="0.2">
      <c r="A555" t="s">
        <v>833</v>
      </c>
      <c r="B555">
        <v>676</v>
      </c>
      <c r="C555">
        <v>1</v>
      </c>
      <c r="D555" t="s">
        <v>266</v>
      </c>
      <c r="E555" s="40">
        <v>0</v>
      </c>
      <c r="F555" s="40">
        <v>0</v>
      </c>
      <c r="G555" s="40">
        <v>0</v>
      </c>
      <c r="H555" s="40">
        <v>0</v>
      </c>
      <c r="I555" s="40">
        <v>0</v>
      </c>
      <c r="J555" s="40">
        <v>0</v>
      </c>
      <c r="K555" s="40">
        <v>0</v>
      </c>
      <c r="L555" s="40">
        <v>0</v>
      </c>
      <c r="M555" s="40">
        <v>0</v>
      </c>
      <c r="N555" s="40">
        <v>0</v>
      </c>
      <c r="O555" s="40">
        <v>0</v>
      </c>
      <c r="P555" s="40">
        <v>0</v>
      </c>
      <c r="Q555" s="40">
        <v>0</v>
      </c>
      <c r="R555" s="40">
        <v>0</v>
      </c>
      <c r="S555" s="40">
        <v>0</v>
      </c>
      <c r="T555" s="40">
        <v>0</v>
      </c>
      <c r="U555" s="40">
        <v>0</v>
      </c>
    </row>
    <row r="556" spans="1:21" x14ac:dyDescent="0.2">
      <c r="A556" t="s">
        <v>833</v>
      </c>
      <c r="B556">
        <v>682</v>
      </c>
      <c r="C556">
        <v>1</v>
      </c>
      <c r="D556" t="s">
        <v>267</v>
      </c>
      <c r="E556" s="40">
        <v>0</v>
      </c>
      <c r="F556" s="40">
        <v>0</v>
      </c>
      <c r="G556" s="40">
        <v>0</v>
      </c>
      <c r="H556" s="40">
        <v>0</v>
      </c>
      <c r="I556" s="40">
        <v>0</v>
      </c>
      <c r="J556" s="40">
        <v>0</v>
      </c>
      <c r="K556" s="40">
        <v>0</v>
      </c>
      <c r="L556" s="40">
        <v>0</v>
      </c>
      <c r="M556" s="40">
        <v>0</v>
      </c>
      <c r="N556" s="40">
        <v>0</v>
      </c>
      <c r="O556" s="40">
        <v>0</v>
      </c>
      <c r="P556" s="40">
        <v>0</v>
      </c>
      <c r="Q556" s="40">
        <v>0</v>
      </c>
      <c r="R556" s="40">
        <v>0</v>
      </c>
      <c r="S556" s="40">
        <v>0</v>
      </c>
      <c r="T556" s="40">
        <v>0</v>
      </c>
      <c r="U556" s="40">
        <v>0</v>
      </c>
    </row>
    <row r="557" spans="1:21" x14ac:dyDescent="0.2">
      <c r="A557" t="s">
        <v>833</v>
      </c>
      <c r="B557">
        <v>690</v>
      </c>
      <c r="C557">
        <v>1</v>
      </c>
      <c r="D557" t="s">
        <v>268</v>
      </c>
      <c r="E557" s="40">
        <v>0</v>
      </c>
      <c r="F557" s="40">
        <v>0</v>
      </c>
      <c r="G557" s="40">
        <v>0</v>
      </c>
      <c r="H557" s="40">
        <v>0</v>
      </c>
      <c r="I557" s="40">
        <v>0</v>
      </c>
      <c r="J557" s="40">
        <v>0</v>
      </c>
      <c r="K557" s="40">
        <v>0</v>
      </c>
      <c r="L557" s="40">
        <v>0</v>
      </c>
      <c r="M557" s="40">
        <v>0</v>
      </c>
      <c r="N557" s="40">
        <v>0</v>
      </c>
      <c r="O557" s="40">
        <v>0</v>
      </c>
      <c r="P557" s="40">
        <v>0</v>
      </c>
      <c r="Q557" s="40">
        <v>0</v>
      </c>
      <c r="R557" s="40">
        <v>0</v>
      </c>
      <c r="S557" s="40">
        <v>0</v>
      </c>
      <c r="T557" s="40">
        <v>0</v>
      </c>
      <c r="U557" s="40">
        <v>0</v>
      </c>
    </row>
    <row r="558" spans="1:21" x14ac:dyDescent="0.2">
      <c r="A558" t="s">
        <v>833</v>
      </c>
      <c r="B558">
        <v>695</v>
      </c>
      <c r="C558">
        <v>1</v>
      </c>
      <c r="D558" t="s">
        <v>269</v>
      </c>
      <c r="E558" s="40">
        <v>0</v>
      </c>
      <c r="F558" s="40">
        <v>0</v>
      </c>
      <c r="G558" s="40">
        <v>0</v>
      </c>
      <c r="H558" s="40">
        <v>0</v>
      </c>
      <c r="I558" s="40">
        <v>0</v>
      </c>
      <c r="J558" s="40">
        <v>0</v>
      </c>
      <c r="K558" s="40">
        <v>0</v>
      </c>
      <c r="L558" s="40">
        <v>0</v>
      </c>
      <c r="M558" s="40">
        <v>0</v>
      </c>
      <c r="N558" s="40">
        <v>0</v>
      </c>
      <c r="O558" s="40">
        <v>0</v>
      </c>
      <c r="P558" s="40">
        <v>0</v>
      </c>
      <c r="Q558" s="40">
        <v>0</v>
      </c>
      <c r="R558" s="40">
        <v>0</v>
      </c>
      <c r="S558" s="40">
        <v>0</v>
      </c>
      <c r="T558" s="40">
        <v>0</v>
      </c>
      <c r="U558" s="40">
        <v>0</v>
      </c>
    </row>
    <row r="559" spans="1:21" x14ac:dyDescent="0.2">
      <c r="A559" t="s">
        <v>833</v>
      </c>
      <c r="B559">
        <v>696</v>
      </c>
      <c r="C559">
        <v>1</v>
      </c>
      <c r="D559" t="s">
        <v>270</v>
      </c>
      <c r="E559" s="40">
        <v>0</v>
      </c>
      <c r="F559" s="40">
        <v>0</v>
      </c>
      <c r="G559" s="40">
        <v>0</v>
      </c>
      <c r="H559" s="40">
        <v>0</v>
      </c>
      <c r="I559" s="40">
        <v>0</v>
      </c>
      <c r="J559" s="40">
        <v>0</v>
      </c>
      <c r="K559" s="40">
        <v>0</v>
      </c>
      <c r="L559" s="40">
        <v>0</v>
      </c>
      <c r="M559" s="40">
        <v>0</v>
      </c>
      <c r="N559" s="40">
        <v>0</v>
      </c>
      <c r="O559" s="40">
        <v>0</v>
      </c>
      <c r="P559" s="40">
        <v>0</v>
      </c>
      <c r="Q559" s="40">
        <v>0</v>
      </c>
      <c r="R559" s="40">
        <v>0</v>
      </c>
      <c r="S559" s="40">
        <v>0</v>
      </c>
      <c r="T559" s="40">
        <v>0</v>
      </c>
      <c r="U559" s="40">
        <v>0</v>
      </c>
    </row>
    <row r="560" spans="1:21" x14ac:dyDescent="0.2">
      <c r="A560" t="s">
        <v>833</v>
      </c>
      <c r="B560">
        <v>698</v>
      </c>
      <c r="C560">
        <v>1</v>
      </c>
      <c r="D560" t="s">
        <v>271</v>
      </c>
      <c r="E560" s="40">
        <v>0</v>
      </c>
      <c r="F560" s="40">
        <v>0</v>
      </c>
      <c r="G560" s="40">
        <v>0</v>
      </c>
      <c r="H560" s="40">
        <v>0</v>
      </c>
      <c r="I560" s="40">
        <v>0</v>
      </c>
      <c r="J560" s="40">
        <v>0</v>
      </c>
      <c r="K560" s="40">
        <v>0</v>
      </c>
      <c r="L560" s="40">
        <v>0</v>
      </c>
      <c r="M560" s="40">
        <v>0</v>
      </c>
      <c r="N560" s="40">
        <v>0</v>
      </c>
      <c r="O560" s="40">
        <v>0</v>
      </c>
      <c r="P560" s="40">
        <v>0</v>
      </c>
      <c r="Q560" s="40">
        <v>0</v>
      </c>
      <c r="R560" s="40">
        <v>0</v>
      </c>
      <c r="S560" s="40">
        <v>0</v>
      </c>
      <c r="T560" s="40">
        <v>0</v>
      </c>
      <c r="U560" s="40">
        <v>0</v>
      </c>
    </row>
    <row r="561" spans="1:21" x14ac:dyDescent="0.2">
      <c r="A561" t="s">
        <v>833</v>
      </c>
      <c r="B561">
        <v>700</v>
      </c>
      <c r="C561">
        <v>1</v>
      </c>
      <c r="D561" t="s">
        <v>272</v>
      </c>
      <c r="E561" s="40">
        <v>0</v>
      </c>
      <c r="F561" s="40">
        <v>0</v>
      </c>
      <c r="G561" s="40">
        <v>0</v>
      </c>
      <c r="H561" s="40">
        <v>0</v>
      </c>
      <c r="I561" s="40">
        <v>0</v>
      </c>
      <c r="J561" s="40">
        <v>0</v>
      </c>
      <c r="K561" s="40">
        <v>0</v>
      </c>
      <c r="L561" s="40">
        <v>0</v>
      </c>
      <c r="M561" s="40">
        <v>0</v>
      </c>
      <c r="N561" s="40">
        <v>0</v>
      </c>
      <c r="O561" s="40">
        <v>0</v>
      </c>
      <c r="P561" s="40">
        <v>0</v>
      </c>
      <c r="Q561" s="40">
        <v>0</v>
      </c>
      <c r="R561" s="40">
        <v>0</v>
      </c>
      <c r="S561" s="40">
        <v>0</v>
      </c>
      <c r="T561" s="40">
        <v>0</v>
      </c>
      <c r="U561" s="40">
        <v>0</v>
      </c>
    </row>
    <row r="562" spans="1:21" x14ac:dyDescent="0.2">
      <c r="A562" t="s">
        <v>833</v>
      </c>
      <c r="B562">
        <v>701</v>
      </c>
      <c r="C562">
        <v>1</v>
      </c>
      <c r="D562" t="s">
        <v>273</v>
      </c>
      <c r="E562" s="40">
        <v>0</v>
      </c>
      <c r="F562" s="40">
        <v>0</v>
      </c>
      <c r="G562" s="40">
        <v>0</v>
      </c>
      <c r="H562" s="40">
        <v>0</v>
      </c>
      <c r="I562" s="40">
        <v>0</v>
      </c>
      <c r="J562" s="40">
        <v>0</v>
      </c>
      <c r="K562" s="40">
        <v>0</v>
      </c>
      <c r="L562" s="40">
        <v>0</v>
      </c>
      <c r="M562" s="40">
        <v>0</v>
      </c>
      <c r="N562" s="40">
        <v>0</v>
      </c>
      <c r="O562" s="40">
        <v>0</v>
      </c>
      <c r="P562" s="40">
        <v>0</v>
      </c>
      <c r="Q562" s="40">
        <v>0</v>
      </c>
      <c r="R562" s="40">
        <v>0</v>
      </c>
      <c r="S562" s="40">
        <v>0</v>
      </c>
      <c r="T562" s="40">
        <v>0</v>
      </c>
      <c r="U562" s="40">
        <v>0</v>
      </c>
    </row>
    <row r="563" spans="1:21" x14ac:dyDescent="0.2">
      <c r="A563" t="s">
        <v>833</v>
      </c>
      <c r="B563">
        <v>704</v>
      </c>
      <c r="C563">
        <v>1</v>
      </c>
      <c r="D563" t="s">
        <v>274</v>
      </c>
      <c r="E563" s="40">
        <v>0</v>
      </c>
      <c r="F563" s="40">
        <v>0</v>
      </c>
      <c r="G563" s="40">
        <v>0</v>
      </c>
      <c r="H563" s="40">
        <v>0</v>
      </c>
      <c r="I563" s="40">
        <v>0</v>
      </c>
      <c r="J563" s="40">
        <v>0</v>
      </c>
      <c r="K563" s="40">
        <v>0</v>
      </c>
      <c r="L563" s="40">
        <v>0</v>
      </c>
      <c r="M563" s="40">
        <v>0</v>
      </c>
      <c r="N563" s="40">
        <v>0</v>
      </c>
      <c r="O563" s="40">
        <v>0</v>
      </c>
      <c r="P563" s="40">
        <v>0</v>
      </c>
      <c r="Q563" s="40">
        <v>0</v>
      </c>
      <c r="R563" s="40">
        <v>0</v>
      </c>
      <c r="S563" s="40">
        <v>0</v>
      </c>
      <c r="T563" s="40">
        <v>0</v>
      </c>
      <c r="U563" s="40">
        <v>0</v>
      </c>
    </row>
    <row r="564" spans="1:21" x14ac:dyDescent="0.2">
      <c r="A564" t="s">
        <v>833</v>
      </c>
      <c r="B564">
        <v>706</v>
      </c>
      <c r="C564">
        <v>1</v>
      </c>
      <c r="D564" t="s">
        <v>275</v>
      </c>
      <c r="E564" s="40">
        <v>0</v>
      </c>
      <c r="F564" s="40">
        <v>0</v>
      </c>
      <c r="G564" s="40">
        <v>0</v>
      </c>
      <c r="H564" s="40">
        <v>0</v>
      </c>
      <c r="I564" s="40">
        <v>0</v>
      </c>
      <c r="J564" s="40">
        <v>0</v>
      </c>
      <c r="K564" s="40">
        <v>0</v>
      </c>
      <c r="L564" s="40">
        <v>0</v>
      </c>
      <c r="M564" s="40">
        <v>0</v>
      </c>
      <c r="N564" s="40">
        <v>0</v>
      </c>
      <c r="O564" s="40">
        <v>0</v>
      </c>
      <c r="P564" s="40">
        <v>0</v>
      </c>
      <c r="Q564" s="40">
        <v>0</v>
      </c>
      <c r="R564" s="40">
        <v>0</v>
      </c>
      <c r="S564" s="40">
        <v>0</v>
      </c>
      <c r="T564" s="40">
        <v>0</v>
      </c>
      <c r="U564" s="40">
        <v>0</v>
      </c>
    </row>
    <row r="565" spans="1:21" x14ac:dyDescent="0.2">
      <c r="A565" t="s">
        <v>833</v>
      </c>
      <c r="B565">
        <v>707</v>
      </c>
      <c r="C565">
        <v>1</v>
      </c>
      <c r="D565" t="s">
        <v>276</v>
      </c>
      <c r="E565" s="40">
        <v>0</v>
      </c>
      <c r="F565" s="40">
        <v>0</v>
      </c>
      <c r="G565" s="40">
        <v>0</v>
      </c>
      <c r="H565" s="40">
        <v>0</v>
      </c>
      <c r="I565" s="40">
        <v>0</v>
      </c>
      <c r="J565" s="40">
        <v>0</v>
      </c>
      <c r="K565" s="40">
        <v>0</v>
      </c>
      <c r="L565" s="40">
        <v>0</v>
      </c>
      <c r="M565" s="40">
        <v>0</v>
      </c>
      <c r="N565" s="40">
        <v>0</v>
      </c>
      <c r="O565" s="40">
        <v>0</v>
      </c>
      <c r="P565" s="40">
        <v>0</v>
      </c>
      <c r="Q565" s="40">
        <v>0</v>
      </c>
      <c r="R565" s="40">
        <v>0</v>
      </c>
      <c r="S565" s="40">
        <v>0</v>
      </c>
      <c r="T565" s="40">
        <v>0</v>
      </c>
      <c r="U565" s="40">
        <v>0</v>
      </c>
    </row>
    <row r="566" spans="1:21" x14ac:dyDescent="0.2">
      <c r="A566" t="s">
        <v>833</v>
      </c>
      <c r="B566">
        <v>709</v>
      </c>
      <c r="C566">
        <v>1</v>
      </c>
      <c r="D566" t="s">
        <v>277</v>
      </c>
      <c r="E566" s="40">
        <v>0</v>
      </c>
      <c r="F566" s="40">
        <v>0</v>
      </c>
      <c r="G566" s="40">
        <v>0</v>
      </c>
      <c r="H566" s="40">
        <v>0</v>
      </c>
      <c r="I566" s="40">
        <v>0</v>
      </c>
      <c r="J566" s="40">
        <v>0</v>
      </c>
      <c r="K566" s="40">
        <v>0</v>
      </c>
      <c r="L566" s="40">
        <v>0</v>
      </c>
      <c r="M566" s="40">
        <v>0</v>
      </c>
      <c r="N566" s="40">
        <v>0</v>
      </c>
      <c r="O566" s="40">
        <v>0</v>
      </c>
      <c r="P566" s="40">
        <v>0</v>
      </c>
      <c r="Q566" s="40">
        <v>0</v>
      </c>
      <c r="R566" s="40">
        <v>0</v>
      </c>
      <c r="S566" s="40">
        <v>0</v>
      </c>
      <c r="T566" s="40">
        <v>0</v>
      </c>
      <c r="U566" s="40">
        <v>0</v>
      </c>
    </row>
    <row r="567" spans="1:21" x14ac:dyDescent="0.2">
      <c r="A567" t="s">
        <v>833</v>
      </c>
      <c r="B567">
        <v>712</v>
      </c>
      <c r="C567">
        <v>1</v>
      </c>
      <c r="D567" t="s">
        <v>278</v>
      </c>
      <c r="E567" s="40">
        <v>0</v>
      </c>
      <c r="F567" s="40">
        <v>0</v>
      </c>
      <c r="G567" s="40">
        <v>0</v>
      </c>
      <c r="H567" s="40">
        <v>0</v>
      </c>
      <c r="I567" s="40">
        <v>0</v>
      </c>
      <c r="J567" s="40">
        <v>0</v>
      </c>
      <c r="K567" s="40">
        <v>0</v>
      </c>
      <c r="L567" s="40">
        <v>0</v>
      </c>
      <c r="M567" s="40">
        <v>0</v>
      </c>
      <c r="N567" s="40">
        <v>0</v>
      </c>
      <c r="O567" s="40">
        <v>0</v>
      </c>
      <c r="P567" s="40">
        <v>0</v>
      </c>
      <c r="Q567" s="40">
        <v>0</v>
      </c>
      <c r="R567" s="40">
        <v>0</v>
      </c>
      <c r="S567" s="40">
        <v>0</v>
      </c>
      <c r="T567" s="40">
        <v>0</v>
      </c>
      <c r="U567" s="40">
        <v>0</v>
      </c>
    </row>
    <row r="568" spans="1:21" x14ac:dyDescent="0.2">
      <c r="A568" t="s">
        <v>833</v>
      </c>
      <c r="B568">
        <v>716</v>
      </c>
      <c r="C568">
        <v>1</v>
      </c>
      <c r="D568" t="s">
        <v>279</v>
      </c>
      <c r="E568" s="40">
        <v>0</v>
      </c>
      <c r="F568" s="40">
        <v>0</v>
      </c>
      <c r="G568" s="40">
        <v>0</v>
      </c>
      <c r="H568" s="40">
        <v>0</v>
      </c>
      <c r="I568" s="40">
        <v>0</v>
      </c>
      <c r="J568" s="40">
        <v>0</v>
      </c>
      <c r="K568" s="40">
        <v>0</v>
      </c>
      <c r="L568" s="40">
        <v>0</v>
      </c>
      <c r="M568" s="40">
        <v>0</v>
      </c>
      <c r="N568" s="40">
        <v>0</v>
      </c>
      <c r="O568" s="40">
        <v>0</v>
      </c>
      <c r="P568" s="40">
        <v>0</v>
      </c>
      <c r="Q568" s="40">
        <v>0</v>
      </c>
      <c r="R568" s="40">
        <v>0</v>
      </c>
      <c r="S568" s="40">
        <v>0</v>
      </c>
      <c r="T568" s="40">
        <v>0</v>
      </c>
      <c r="U568" s="40">
        <v>0</v>
      </c>
    </row>
    <row r="569" spans="1:21" x14ac:dyDescent="0.2">
      <c r="A569" t="s">
        <v>833</v>
      </c>
      <c r="B569">
        <v>717</v>
      </c>
      <c r="C569">
        <v>1</v>
      </c>
      <c r="D569" t="s">
        <v>280</v>
      </c>
      <c r="E569" s="40">
        <v>0</v>
      </c>
      <c r="F569" s="40">
        <v>0</v>
      </c>
      <c r="G569" s="40">
        <v>0</v>
      </c>
      <c r="H569" s="40">
        <v>0</v>
      </c>
      <c r="I569" s="40">
        <v>0</v>
      </c>
      <c r="J569" s="40">
        <v>0</v>
      </c>
      <c r="K569" s="40">
        <v>0</v>
      </c>
      <c r="L569" s="40">
        <v>0</v>
      </c>
      <c r="M569" s="40">
        <v>0</v>
      </c>
      <c r="N569" s="40">
        <v>0</v>
      </c>
      <c r="O569" s="40">
        <v>0</v>
      </c>
      <c r="P569" s="40">
        <v>0</v>
      </c>
      <c r="Q569" s="40">
        <v>0</v>
      </c>
      <c r="R569" s="40">
        <v>0</v>
      </c>
      <c r="S569" s="40">
        <v>0</v>
      </c>
      <c r="T569" s="40">
        <v>0</v>
      </c>
      <c r="U569" s="40">
        <v>0</v>
      </c>
    </row>
    <row r="570" spans="1:21" x14ac:dyDescent="0.2">
      <c r="A570" t="s">
        <v>833</v>
      </c>
      <c r="B570">
        <v>719</v>
      </c>
      <c r="C570">
        <v>1</v>
      </c>
      <c r="D570" t="s">
        <v>281</v>
      </c>
      <c r="E570" s="40">
        <v>0</v>
      </c>
      <c r="F570" s="40">
        <v>0</v>
      </c>
      <c r="G570" s="40">
        <v>0</v>
      </c>
      <c r="H570" s="40">
        <v>0</v>
      </c>
      <c r="I570" s="40">
        <v>0</v>
      </c>
      <c r="J570" s="40">
        <v>0</v>
      </c>
      <c r="K570" s="40">
        <v>0</v>
      </c>
      <c r="L570" s="40">
        <v>0</v>
      </c>
      <c r="M570" s="40">
        <v>0</v>
      </c>
      <c r="N570" s="40">
        <v>0</v>
      </c>
      <c r="O570" s="40">
        <v>0</v>
      </c>
      <c r="P570" s="40">
        <v>0</v>
      </c>
      <c r="Q570" s="40">
        <v>0</v>
      </c>
      <c r="R570" s="40">
        <v>0</v>
      </c>
      <c r="S570" s="40">
        <v>0</v>
      </c>
      <c r="T570" s="40">
        <v>0</v>
      </c>
      <c r="U570" s="40">
        <v>0</v>
      </c>
    </row>
    <row r="571" spans="1:21" x14ac:dyDescent="0.2">
      <c r="A571" t="s">
        <v>833</v>
      </c>
      <c r="B571">
        <v>720</v>
      </c>
      <c r="C571">
        <v>1</v>
      </c>
      <c r="D571" t="s">
        <v>282</v>
      </c>
      <c r="E571" s="40">
        <v>0</v>
      </c>
      <c r="F571" s="40">
        <v>0</v>
      </c>
      <c r="G571" s="40">
        <v>0</v>
      </c>
      <c r="H571" s="40">
        <v>0</v>
      </c>
      <c r="I571" s="40">
        <v>0</v>
      </c>
      <c r="J571" s="40">
        <v>0</v>
      </c>
      <c r="K571" s="40">
        <v>0</v>
      </c>
      <c r="L571" s="40">
        <v>0</v>
      </c>
      <c r="M571" s="40">
        <v>0</v>
      </c>
      <c r="N571" s="40">
        <v>0</v>
      </c>
      <c r="O571" s="40">
        <v>0</v>
      </c>
      <c r="P571" s="40">
        <v>0</v>
      </c>
      <c r="Q571" s="40">
        <v>0</v>
      </c>
      <c r="R571" s="40">
        <v>0</v>
      </c>
      <c r="S571" s="40">
        <v>0</v>
      </c>
      <c r="T571" s="40">
        <v>0</v>
      </c>
      <c r="U571" s="40">
        <v>0</v>
      </c>
    </row>
    <row r="572" spans="1:21" x14ac:dyDescent="0.2">
      <c r="A572" t="s">
        <v>833</v>
      </c>
      <c r="B572">
        <v>721</v>
      </c>
      <c r="C572">
        <v>1</v>
      </c>
      <c r="D572" t="s">
        <v>283</v>
      </c>
      <c r="E572" s="40">
        <v>0</v>
      </c>
      <c r="F572" s="40">
        <v>0</v>
      </c>
      <c r="G572" s="40">
        <v>0</v>
      </c>
      <c r="H572" s="40">
        <v>0</v>
      </c>
      <c r="I572" s="40">
        <v>0</v>
      </c>
      <c r="J572" s="40">
        <v>0</v>
      </c>
      <c r="K572" s="40">
        <v>0</v>
      </c>
      <c r="L572" s="40">
        <v>0</v>
      </c>
      <c r="M572" s="40">
        <v>0</v>
      </c>
      <c r="N572" s="40">
        <v>0</v>
      </c>
      <c r="O572" s="40">
        <v>0</v>
      </c>
      <c r="P572" s="40">
        <v>0</v>
      </c>
      <c r="Q572" s="40">
        <v>0</v>
      </c>
      <c r="R572" s="40">
        <v>0</v>
      </c>
      <c r="S572" s="40">
        <v>0</v>
      </c>
      <c r="T572" s="40">
        <v>0</v>
      </c>
      <c r="U572" s="40">
        <v>0</v>
      </c>
    </row>
    <row r="573" spans="1:21" x14ac:dyDescent="0.2">
      <c r="A573" t="s">
        <v>833</v>
      </c>
      <c r="B573">
        <v>726</v>
      </c>
      <c r="C573">
        <v>1</v>
      </c>
      <c r="D573" t="s">
        <v>284</v>
      </c>
      <c r="E573" s="40">
        <v>0</v>
      </c>
      <c r="F573" s="40">
        <v>0</v>
      </c>
      <c r="G573" s="40">
        <v>0</v>
      </c>
      <c r="H573" s="40">
        <v>0</v>
      </c>
      <c r="I573" s="40">
        <v>0</v>
      </c>
      <c r="J573" s="40">
        <v>0</v>
      </c>
      <c r="K573" s="40">
        <v>0</v>
      </c>
      <c r="L573" s="40">
        <v>0</v>
      </c>
      <c r="M573" s="40">
        <v>0</v>
      </c>
      <c r="N573" s="40">
        <v>0</v>
      </c>
      <c r="O573" s="40">
        <v>0</v>
      </c>
      <c r="P573" s="40">
        <v>0</v>
      </c>
      <c r="Q573" s="40">
        <v>0</v>
      </c>
      <c r="R573" s="40">
        <v>0</v>
      </c>
      <c r="S573" s="40">
        <v>0</v>
      </c>
      <c r="T573" s="40">
        <v>0</v>
      </c>
      <c r="U573" s="40">
        <v>0</v>
      </c>
    </row>
    <row r="574" spans="1:21" x14ac:dyDescent="0.2">
      <c r="A574" t="s">
        <v>833</v>
      </c>
      <c r="B574">
        <v>727</v>
      </c>
      <c r="C574">
        <v>1</v>
      </c>
      <c r="D574" t="s">
        <v>285</v>
      </c>
      <c r="E574" s="40">
        <v>0</v>
      </c>
      <c r="F574" s="40">
        <v>0</v>
      </c>
      <c r="G574" s="40">
        <v>0</v>
      </c>
      <c r="H574" s="40">
        <v>0</v>
      </c>
      <c r="I574" s="40">
        <v>0</v>
      </c>
      <c r="J574" s="40">
        <v>0</v>
      </c>
      <c r="K574" s="40">
        <v>0</v>
      </c>
      <c r="L574" s="40">
        <v>0</v>
      </c>
      <c r="M574" s="40">
        <v>0</v>
      </c>
      <c r="N574" s="40">
        <v>0</v>
      </c>
      <c r="O574" s="40">
        <v>0</v>
      </c>
      <c r="P574" s="40">
        <v>0</v>
      </c>
      <c r="Q574" s="40">
        <v>0</v>
      </c>
      <c r="R574" s="40">
        <v>0</v>
      </c>
      <c r="S574" s="40">
        <v>0</v>
      </c>
      <c r="T574" s="40">
        <v>0</v>
      </c>
      <c r="U574" s="40">
        <v>0</v>
      </c>
    </row>
    <row r="575" spans="1:21" x14ac:dyDescent="0.2">
      <c r="A575" t="s">
        <v>833</v>
      </c>
      <c r="B575">
        <v>728</v>
      </c>
      <c r="C575">
        <v>1</v>
      </c>
      <c r="D575" t="s">
        <v>286</v>
      </c>
      <c r="E575" s="40">
        <v>0</v>
      </c>
      <c r="F575" s="40">
        <v>0</v>
      </c>
      <c r="G575" s="40">
        <v>0</v>
      </c>
      <c r="H575" s="40">
        <v>0</v>
      </c>
      <c r="I575" s="40">
        <v>0</v>
      </c>
      <c r="J575" s="40">
        <v>0</v>
      </c>
      <c r="K575" s="40">
        <v>0</v>
      </c>
      <c r="L575" s="40">
        <v>0</v>
      </c>
      <c r="M575" s="40">
        <v>0</v>
      </c>
      <c r="N575" s="40">
        <v>0</v>
      </c>
      <c r="O575" s="40">
        <v>0</v>
      </c>
      <c r="P575" s="40">
        <v>0</v>
      </c>
      <c r="Q575" s="40">
        <v>0</v>
      </c>
      <c r="R575" s="40">
        <v>0</v>
      </c>
      <c r="S575" s="40">
        <v>0</v>
      </c>
      <c r="T575" s="40">
        <v>0</v>
      </c>
      <c r="U575" s="40">
        <v>0</v>
      </c>
    </row>
    <row r="576" spans="1:21" x14ac:dyDescent="0.2">
      <c r="A576" t="s">
        <v>833</v>
      </c>
      <c r="B576">
        <v>738</v>
      </c>
      <c r="C576">
        <v>1</v>
      </c>
      <c r="D576" t="s">
        <v>287</v>
      </c>
      <c r="E576" s="40">
        <v>0</v>
      </c>
      <c r="F576" s="40">
        <v>0</v>
      </c>
      <c r="G576" s="40">
        <v>0</v>
      </c>
      <c r="H576" s="40">
        <v>0</v>
      </c>
      <c r="I576" s="40">
        <v>0</v>
      </c>
      <c r="J576" s="40">
        <v>0</v>
      </c>
      <c r="K576" s="40">
        <v>0</v>
      </c>
      <c r="L576" s="40">
        <v>0</v>
      </c>
      <c r="M576" s="40">
        <v>0</v>
      </c>
      <c r="N576" s="40">
        <v>0</v>
      </c>
      <c r="O576" s="40">
        <v>0</v>
      </c>
      <c r="P576" s="40">
        <v>0</v>
      </c>
      <c r="Q576" s="40">
        <v>0</v>
      </c>
      <c r="R576" s="40">
        <v>0</v>
      </c>
      <c r="S576" s="40">
        <v>0</v>
      </c>
      <c r="T576" s="40">
        <v>0</v>
      </c>
      <c r="U576" s="40">
        <v>0</v>
      </c>
    </row>
    <row r="577" spans="1:21" x14ac:dyDescent="0.2">
      <c r="A577" t="s">
        <v>833</v>
      </c>
      <c r="B577">
        <v>739</v>
      </c>
      <c r="C577">
        <v>1</v>
      </c>
      <c r="D577" t="s">
        <v>288</v>
      </c>
      <c r="E577" s="40">
        <v>0</v>
      </c>
      <c r="F577" s="40">
        <v>0</v>
      </c>
      <c r="G577" s="40">
        <v>0</v>
      </c>
      <c r="H577" s="40">
        <v>0</v>
      </c>
      <c r="I577" s="40">
        <v>0</v>
      </c>
      <c r="J577" s="40">
        <v>0</v>
      </c>
      <c r="K577" s="40">
        <v>0</v>
      </c>
      <c r="L577" s="40">
        <v>0</v>
      </c>
      <c r="M577" s="40">
        <v>0</v>
      </c>
      <c r="N577" s="40">
        <v>0</v>
      </c>
      <c r="O577" s="40">
        <v>0</v>
      </c>
      <c r="P577" s="40">
        <v>0</v>
      </c>
      <c r="Q577" s="40">
        <v>0</v>
      </c>
      <c r="R577" s="40">
        <v>0</v>
      </c>
      <c r="S577" s="40">
        <v>0</v>
      </c>
      <c r="T577" s="40">
        <v>0</v>
      </c>
      <c r="U577" s="40">
        <v>0</v>
      </c>
    </row>
    <row r="578" spans="1:21" x14ac:dyDescent="0.2">
      <c r="A578" t="s">
        <v>833</v>
      </c>
      <c r="B578">
        <v>740</v>
      </c>
      <c r="C578">
        <v>1</v>
      </c>
      <c r="D578" t="s">
        <v>289</v>
      </c>
      <c r="E578" s="40">
        <v>0</v>
      </c>
      <c r="F578" s="40">
        <v>0</v>
      </c>
      <c r="G578" s="40">
        <v>0</v>
      </c>
      <c r="H578" s="40">
        <v>0</v>
      </c>
      <c r="I578" s="40">
        <v>0</v>
      </c>
      <c r="J578" s="40">
        <v>0</v>
      </c>
      <c r="K578" s="40">
        <v>0</v>
      </c>
      <c r="L578" s="40">
        <v>0</v>
      </c>
      <c r="M578" s="40">
        <v>0</v>
      </c>
      <c r="N578" s="40">
        <v>0</v>
      </c>
      <c r="O578" s="40">
        <v>0</v>
      </c>
      <c r="P578" s="40">
        <v>0</v>
      </c>
      <c r="Q578" s="40">
        <v>0</v>
      </c>
      <c r="R578" s="40">
        <v>0</v>
      </c>
      <c r="S578" s="40">
        <v>0</v>
      </c>
      <c r="T578" s="40">
        <v>0</v>
      </c>
      <c r="U578" s="40">
        <v>0</v>
      </c>
    </row>
    <row r="579" spans="1:21" x14ac:dyDescent="0.2">
      <c r="A579" t="s">
        <v>833</v>
      </c>
      <c r="B579">
        <v>741</v>
      </c>
      <c r="C579">
        <v>1</v>
      </c>
      <c r="D579" t="s">
        <v>290</v>
      </c>
      <c r="E579" s="40">
        <v>0</v>
      </c>
      <c r="F579" s="40">
        <v>0</v>
      </c>
      <c r="G579" s="40">
        <v>0</v>
      </c>
      <c r="H579" s="40">
        <v>0</v>
      </c>
      <c r="I579" s="40">
        <v>0</v>
      </c>
      <c r="J579" s="40">
        <v>0</v>
      </c>
      <c r="K579" s="40">
        <v>0</v>
      </c>
      <c r="L579" s="40">
        <v>0</v>
      </c>
      <c r="M579" s="40">
        <v>0</v>
      </c>
      <c r="N579" s="40">
        <v>0</v>
      </c>
      <c r="O579" s="40">
        <v>0</v>
      </c>
      <c r="P579" s="40">
        <v>0</v>
      </c>
      <c r="Q579" s="40">
        <v>0</v>
      </c>
      <c r="R579" s="40">
        <v>0</v>
      </c>
      <c r="S579" s="40">
        <v>0</v>
      </c>
      <c r="T579" s="40">
        <v>0</v>
      </c>
      <c r="U579" s="40">
        <v>0</v>
      </c>
    </row>
    <row r="580" spans="1:21" x14ac:dyDescent="0.2">
      <c r="A580" t="s">
        <v>833</v>
      </c>
      <c r="B580">
        <v>742</v>
      </c>
      <c r="C580">
        <v>1</v>
      </c>
      <c r="D580" t="s">
        <v>291</v>
      </c>
      <c r="E580" s="40">
        <v>0</v>
      </c>
      <c r="F580" s="40">
        <v>0</v>
      </c>
      <c r="G580" s="40">
        <v>0</v>
      </c>
      <c r="H580" s="40">
        <v>0</v>
      </c>
      <c r="I580" s="40">
        <v>0</v>
      </c>
      <c r="J580" s="40">
        <v>0</v>
      </c>
      <c r="K580" s="40">
        <v>0</v>
      </c>
      <c r="L580" s="40">
        <v>0</v>
      </c>
      <c r="M580" s="40">
        <v>0</v>
      </c>
      <c r="N580" s="40">
        <v>0</v>
      </c>
      <c r="O580" s="40">
        <v>0</v>
      </c>
      <c r="P580" s="40">
        <v>0</v>
      </c>
      <c r="Q580" s="40">
        <v>0</v>
      </c>
      <c r="R580" s="40">
        <v>0</v>
      </c>
      <c r="S580" s="40">
        <v>0</v>
      </c>
      <c r="T580" s="40">
        <v>0</v>
      </c>
      <c r="U580" s="40">
        <v>0</v>
      </c>
    </row>
    <row r="581" spans="1:21" x14ac:dyDescent="0.2">
      <c r="A581" t="s">
        <v>833</v>
      </c>
      <c r="B581">
        <v>743</v>
      </c>
      <c r="C581">
        <v>1</v>
      </c>
      <c r="D581" t="s">
        <v>292</v>
      </c>
      <c r="E581" s="40">
        <v>0</v>
      </c>
      <c r="F581" s="40">
        <v>0</v>
      </c>
      <c r="G581" s="40">
        <v>0</v>
      </c>
      <c r="H581" s="40">
        <v>0</v>
      </c>
      <c r="I581" s="40">
        <v>0</v>
      </c>
      <c r="J581" s="40">
        <v>0</v>
      </c>
      <c r="K581" s="40">
        <v>0</v>
      </c>
      <c r="L581" s="40">
        <v>0</v>
      </c>
      <c r="M581" s="40">
        <v>0</v>
      </c>
      <c r="N581" s="40">
        <v>0</v>
      </c>
      <c r="O581" s="40">
        <v>0</v>
      </c>
      <c r="P581" s="40">
        <v>0</v>
      </c>
      <c r="Q581" s="40">
        <v>0</v>
      </c>
      <c r="R581" s="40">
        <v>0</v>
      </c>
      <c r="S581" s="40">
        <v>0</v>
      </c>
      <c r="T581" s="40">
        <v>0</v>
      </c>
      <c r="U581" s="40">
        <v>0</v>
      </c>
    </row>
    <row r="582" spans="1:21" x14ac:dyDescent="0.2">
      <c r="A582" t="s">
        <v>833</v>
      </c>
      <c r="B582">
        <v>745</v>
      </c>
      <c r="C582">
        <v>1</v>
      </c>
      <c r="D582" t="s">
        <v>293</v>
      </c>
      <c r="E582" s="40">
        <v>0</v>
      </c>
      <c r="F582" s="40">
        <v>0</v>
      </c>
      <c r="G582" s="40">
        <v>0</v>
      </c>
      <c r="H582" s="40">
        <v>0</v>
      </c>
      <c r="I582" s="40">
        <v>0</v>
      </c>
      <c r="J582" s="40">
        <v>0</v>
      </c>
      <c r="K582" s="40">
        <v>0</v>
      </c>
      <c r="L582" s="40">
        <v>0</v>
      </c>
      <c r="M582" s="40">
        <v>0</v>
      </c>
      <c r="N582" s="40">
        <v>0</v>
      </c>
      <c r="O582" s="40">
        <v>0</v>
      </c>
      <c r="P582" s="40">
        <v>0</v>
      </c>
      <c r="Q582" s="40">
        <v>0</v>
      </c>
      <c r="R582" s="40">
        <v>0</v>
      </c>
      <c r="S582" s="40">
        <v>0</v>
      </c>
      <c r="T582" s="40">
        <v>0</v>
      </c>
      <c r="U582" s="40">
        <v>0</v>
      </c>
    </row>
    <row r="583" spans="1:21" x14ac:dyDescent="0.2">
      <c r="A583" t="s">
        <v>833</v>
      </c>
      <c r="B583">
        <v>748</v>
      </c>
      <c r="C583">
        <v>1</v>
      </c>
      <c r="D583" t="s">
        <v>294</v>
      </c>
      <c r="E583" s="40">
        <v>0</v>
      </c>
      <c r="F583" s="40">
        <v>0</v>
      </c>
      <c r="G583" s="40">
        <v>0</v>
      </c>
      <c r="H583" s="40">
        <v>0</v>
      </c>
      <c r="I583" s="40">
        <v>0</v>
      </c>
      <c r="J583" s="40">
        <v>0</v>
      </c>
      <c r="K583" s="40">
        <v>0</v>
      </c>
      <c r="L583" s="40">
        <v>0</v>
      </c>
      <c r="M583" s="40">
        <v>0</v>
      </c>
      <c r="N583" s="40">
        <v>0</v>
      </c>
      <c r="O583" s="40">
        <v>0</v>
      </c>
      <c r="P583" s="40">
        <v>0</v>
      </c>
      <c r="Q583" s="40">
        <v>0</v>
      </c>
      <c r="R583" s="40">
        <v>0</v>
      </c>
      <c r="S583" s="40">
        <v>0</v>
      </c>
      <c r="T583" s="40">
        <v>0</v>
      </c>
      <c r="U583" s="40">
        <v>0</v>
      </c>
    </row>
    <row r="584" spans="1:21" x14ac:dyDescent="0.2">
      <c r="A584" t="s">
        <v>833</v>
      </c>
      <c r="B584">
        <v>750</v>
      </c>
      <c r="C584">
        <v>1</v>
      </c>
      <c r="D584" t="s">
        <v>295</v>
      </c>
      <c r="E584" s="40">
        <v>0</v>
      </c>
      <c r="F584" s="40">
        <v>0</v>
      </c>
      <c r="G584" s="40">
        <v>0</v>
      </c>
      <c r="H584" s="40">
        <v>0</v>
      </c>
      <c r="I584" s="40">
        <v>0</v>
      </c>
      <c r="J584" s="40">
        <v>0</v>
      </c>
      <c r="K584" s="40">
        <v>0</v>
      </c>
      <c r="L584" s="40">
        <v>0</v>
      </c>
      <c r="M584" s="40">
        <v>0</v>
      </c>
      <c r="N584" s="40">
        <v>0</v>
      </c>
      <c r="O584" s="40">
        <v>0</v>
      </c>
      <c r="P584" s="40">
        <v>0</v>
      </c>
      <c r="Q584" s="40">
        <v>0</v>
      </c>
      <c r="R584" s="40">
        <v>0</v>
      </c>
      <c r="S584" s="40">
        <v>0</v>
      </c>
      <c r="T584" s="40">
        <v>0</v>
      </c>
      <c r="U584" s="40">
        <v>0</v>
      </c>
    </row>
    <row r="585" spans="1:21" x14ac:dyDescent="0.2">
      <c r="A585" t="s">
        <v>833</v>
      </c>
      <c r="B585">
        <v>756</v>
      </c>
      <c r="C585">
        <v>1</v>
      </c>
      <c r="D585" t="s">
        <v>296</v>
      </c>
      <c r="E585" s="40">
        <v>0</v>
      </c>
      <c r="F585" s="40">
        <v>0</v>
      </c>
      <c r="G585" s="40">
        <v>0</v>
      </c>
      <c r="H585" s="40">
        <v>0</v>
      </c>
      <c r="I585" s="40">
        <v>0</v>
      </c>
      <c r="J585" s="40">
        <v>0</v>
      </c>
      <c r="K585" s="40">
        <v>0</v>
      </c>
      <c r="L585" s="40">
        <v>0</v>
      </c>
      <c r="M585" s="40">
        <v>0</v>
      </c>
      <c r="N585" s="40">
        <v>0</v>
      </c>
      <c r="O585" s="40">
        <v>0</v>
      </c>
      <c r="P585" s="40">
        <v>0</v>
      </c>
      <c r="Q585" s="40">
        <v>0</v>
      </c>
      <c r="R585" s="40">
        <v>0</v>
      </c>
      <c r="S585" s="40">
        <v>0</v>
      </c>
      <c r="T585" s="40">
        <v>0</v>
      </c>
      <c r="U585" s="40">
        <v>0</v>
      </c>
    </row>
    <row r="586" spans="1:21" x14ac:dyDescent="0.2">
      <c r="A586" t="s">
        <v>833</v>
      </c>
      <c r="B586">
        <v>761</v>
      </c>
      <c r="C586">
        <v>1</v>
      </c>
      <c r="D586" t="s">
        <v>297</v>
      </c>
      <c r="E586" s="40">
        <v>0</v>
      </c>
      <c r="F586" s="40">
        <v>0</v>
      </c>
      <c r="G586" s="40">
        <v>0</v>
      </c>
      <c r="H586" s="40">
        <v>0</v>
      </c>
      <c r="I586" s="40">
        <v>0</v>
      </c>
      <c r="J586" s="40">
        <v>0</v>
      </c>
      <c r="K586" s="40">
        <v>0</v>
      </c>
      <c r="L586" s="40">
        <v>0</v>
      </c>
      <c r="M586" s="40">
        <v>0</v>
      </c>
      <c r="N586" s="40">
        <v>0</v>
      </c>
      <c r="O586" s="40">
        <v>0</v>
      </c>
      <c r="P586" s="40">
        <v>0</v>
      </c>
      <c r="Q586" s="40">
        <v>0</v>
      </c>
      <c r="R586" s="40">
        <v>0</v>
      </c>
      <c r="S586" s="40">
        <v>0</v>
      </c>
      <c r="T586" s="40">
        <v>0</v>
      </c>
      <c r="U586" s="40">
        <v>0</v>
      </c>
    </row>
    <row r="587" spans="1:21" x14ac:dyDescent="0.2">
      <c r="A587" t="s">
        <v>833</v>
      </c>
      <c r="B587">
        <v>763</v>
      </c>
      <c r="C587">
        <v>1</v>
      </c>
      <c r="D587" t="s">
        <v>298</v>
      </c>
      <c r="E587" s="40">
        <v>0</v>
      </c>
      <c r="F587" s="40">
        <v>0</v>
      </c>
      <c r="G587" s="40">
        <v>0</v>
      </c>
      <c r="H587" s="40">
        <v>0</v>
      </c>
      <c r="I587" s="40">
        <v>0</v>
      </c>
      <c r="J587" s="40">
        <v>0</v>
      </c>
      <c r="K587" s="40">
        <v>0</v>
      </c>
      <c r="L587" s="40">
        <v>0</v>
      </c>
      <c r="M587" s="40">
        <v>0</v>
      </c>
      <c r="N587" s="40">
        <v>0</v>
      </c>
      <c r="O587" s="40">
        <v>0</v>
      </c>
      <c r="P587" s="40">
        <v>0</v>
      </c>
      <c r="Q587" s="40">
        <v>0</v>
      </c>
      <c r="R587" s="40">
        <v>0</v>
      </c>
      <c r="S587" s="40">
        <v>0</v>
      </c>
      <c r="T587" s="40">
        <v>0</v>
      </c>
      <c r="U587" s="40">
        <v>0</v>
      </c>
    </row>
    <row r="588" spans="1:21" x14ac:dyDescent="0.2">
      <c r="A588" t="s">
        <v>833</v>
      </c>
      <c r="B588">
        <v>768</v>
      </c>
      <c r="C588">
        <v>1</v>
      </c>
      <c r="D588" t="s">
        <v>299</v>
      </c>
      <c r="E588" s="40">
        <v>0</v>
      </c>
      <c r="F588" s="40">
        <v>0</v>
      </c>
      <c r="G588" s="40">
        <v>0</v>
      </c>
      <c r="H588" s="40">
        <v>0</v>
      </c>
      <c r="I588" s="40">
        <v>0</v>
      </c>
      <c r="J588" s="40">
        <v>0</v>
      </c>
      <c r="K588" s="40">
        <v>0</v>
      </c>
      <c r="L588" s="40">
        <v>0</v>
      </c>
      <c r="M588" s="40">
        <v>0</v>
      </c>
      <c r="N588" s="40">
        <v>0</v>
      </c>
      <c r="O588" s="40">
        <v>0</v>
      </c>
      <c r="P588" s="40">
        <v>0</v>
      </c>
      <c r="Q588" s="40">
        <v>0</v>
      </c>
      <c r="R588" s="40">
        <v>0</v>
      </c>
      <c r="S588" s="40">
        <v>0</v>
      </c>
      <c r="T588" s="40">
        <v>0</v>
      </c>
      <c r="U588" s="40">
        <v>0</v>
      </c>
    </row>
    <row r="589" spans="1:21" x14ac:dyDescent="0.2">
      <c r="A589" t="s">
        <v>833</v>
      </c>
      <c r="B589">
        <v>769</v>
      </c>
      <c r="C589">
        <v>1</v>
      </c>
      <c r="D589" t="s">
        <v>300</v>
      </c>
      <c r="E589" s="40">
        <v>0</v>
      </c>
      <c r="F589" s="40">
        <v>0</v>
      </c>
      <c r="G589" s="40">
        <v>0</v>
      </c>
      <c r="H589" s="40">
        <v>0</v>
      </c>
      <c r="I589" s="40">
        <v>0</v>
      </c>
      <c r="J589" s="40">
        <v>0</v>
      </c>
      <c r="K589" s="40">
        <v>0</v>
      </c>
      <c r="L589" s="40">
        <v>0</v>
      </c>
      <c r="M589" s="40">
        <v>0</v>
      </c>
      <c r="N589" s="40">
        <v>0</v>
      </c>
      <c r="O589" s="40">
        <v>0</v>
      </c>
      <c r="P589" s="40">
        <v>0</v>
      </c>
      <c r="Q589" s="40">
        <v>0</v>
      </c>
      <c r="R589" s="40">
        <v>0</v>
      </c>
      <c r="S589" s="40">
        <v>0</v>
      </c>
      <c r="T589" s="40">
        <v>0</v>
      </c>
      <c r="U589" s="40">
        <v>0</v>
      </c>
    </row>
    <row r="590" spans="1:21" x14ac:dyDescent="0.2">
      <c r="A590" t="s">
        <v>833</v>
      </c>
      <c r="B590">
        <v>771</v>
      </c>
      <c r="C590">
        <v>1</v>
      </c>
      <c r="D590" t="s">
        <v>301</v>
      </c>
      <c r="E590" s="40">
        <v>0</v>
      </c>
      <c r="F590" s="40">
        <v>0</v>
      </c>
      <c r="G590" s="40">
        <v>0</v>
      </c>
      <c r="H590" s="40">
        <v>0</v>
      </c>
      <c r="I590" s="40">
        <v>0</v>
      </c>
      <c r="J590" s="40">
        <v>0</v>
      </c>
      <c r="K590" s="40">
        <v>0</v>
      </c>
      <c r="L590" s="40">
        <v>0</v>
      </c>
      <c r="M590" s="40">
        <v>0</v>
      </c>
      <c r="N590" s="40">
        <v>0</v>
      </c>
      <c r="O590" s="40">
        <v>0</v>
      </c>
      <c r="P590" s="40">
        <v>0</v>
      </c>
      <c r="Q590" s="40">
        <v>0</v>
      </c>
      <c r="R590" s="40">
        <v>0</v>
      </c>
      <c r="S590" s="40">
        <v>0</v>
      </c>
      <c r="T590" s="40">
        <v>0</v>
      </c>
      <c r="U590" s="40">
        <v>0</v>
      </c>
    </row>
    <row r="591" spans="1:21" x14ac:dyDescent="0.2">
      <c r="A591" t="s">
        <v>833</v>
      </c>
      <c r="B591">
        <v>775</v>
      </c>
      <c r="C591">
        <v>1</v>
      </c>
      <c r="D591" t="s">
        <v>302</v>
      </c>
      <c r="E591" s="40">
        <v>0</v>
      </c>
      <c r="F591" s="40">
        <v>0</v>
      </c>
      <c r="G591" s="40">
        <v>0</v>
      </c>
      <c r="H591" s="40">
        <v>0</v>
      </c>
      <c r="I591" s="40">
        <v>0</v>
      </c>
      <c r="J591" s="40">
        <v>0</v>
      </c>
      <c r="K591" s="40">
        <v>0</v>
      </c>
      <c r="L591" s="40">
        <v>0</v>
      </c>
      <c r="M591" s="40">
        <v>0</v>
      </c>
      <c r="N591" s="40">
        <v>0</v>
      </c>
      <c r="O591" s="40">
        <v>0</v>
      </c>
      <c r="P591" s="40">
        <v>0</v>
      </c>
      <c r="Q591" s="40">
        <v>0</v>
      </c>
      <c r="R591" s="40">
        <v>0</v>
      </c>
      <c r="S591" s="40">
        <v>0</v>
      </c>
      <c r="T591" s="40">
        <v>0</v>
      </c>
      <c r="U591" s="40">
        <v>0</v>
      </c>
    </row>
    <row r="592" spans="1:21" x14ac:dyDescent="0.2">
      <c r="A592" t="s">
        <v>833</v>
      </c>
      <c r="B592">
        <v>777</v>
      </c>
      <c r="C592">
        <v>1</v>
      </c>
      <c r="D592" t="s">
        <v>303</v>
      </c>
      <c r="E592" s="40">
        <v>0</v>
      </c>
      <c r="F592" s="40">
        <v>0</v>
      </c>
      <c r="G592" s="40">
        <v>0</v>
      </c>
      <c r="H592" s="40">
        <v>0</v>
      </c>
      <c r="I592" s="40">
        <v>0</v>
      </c>
      <c r="J592" s="40">
        <v>0</v>
      </c>
      <c r="K592" s="40">
        <v>0</v>
      </c>
      <c r="L592" s="40">
        <v>0</v>
      </c>
      <c r="M592" s="40">
        <v>0</v>
      </c>
      <c r="N592" s="40">
        <v>0</v>
      </c>
      <c r="O592" s="40">
        <v>0</v>
      </c>
      <c r="P592" s="40">
        <v>0</v>
      </c>
      <c r="Q592" s="40">
        <v>0</v>
      </c>
      <c r="R592" s="40">
        <v>0</v>
      </c>
      <c r="S592" s="40">
        <v>0</v>
      </c>
      <c r="T592" s="40">
        <v>0</v>
      </c>
      <c r="U592" s="40">
        <v>0</v>
      </c>
    </row>
    <row r="593" spans="1:21" x14ac:dyDescent="0.2">
      <c r="A593" t="s">
        <v>833</v>
      </c>
      <c r="B593">
        <v>786</v>
      </c>
      <c r="C593">
        <v>1</v>
      </c>
      <c r="D593" t="s">
        <v>304</v>
      </c>
      <c r="E593" s="40">
        <v>0</v>
      </c>
      <c r="F593" s="40">
        <v>0</v>
      </c>
      <c r="G593" s="40">
        <v>0</v>
      </c>
      <c r="H593" s="40">
        <v>0</v>
      </c>
      <c r="I593" s="40">
        <v>0</v>
      </c>
      <c r="J593" s="40">
        <v>0</v>
      </c>
      <c r="K593" s="40">
        <v>0</v>
      </c>
      <c r="L593" s="40">
        <v>0</v>
      </c>
      <c r="M593" s="40">
        <v>0</v>
      </c>
      <c r="N593" s="40">
        <v>0</v>
      </c>
      <c r="O593" s="40">
        <v>0</v>
      </c>
      <c r="P593" s="40">
        <v>0</v>
      </c>
      <c r="Q593" s="40">
        <v>0</v>
      </c>
      <c r="R593" s="40">
        <v>0</v>
      </c>
      <c r="S593" s="40">
        <v>0</v>
      </c>
      <c r="T593" s="40">
        <v>0</v>
      </c>
      <c r="U593" s="40">
        <v>0</v>
      </c>
    </row>
    <row r="594" spans="1:21" x14ac:dyDescent="0.2">
      <c r="A594" t="s">
        <v>833</v>
      </c>
      <c r="B594">
        <v>787</v>
      </c>
      <c r="C594">
        <v>1</v>
      </c>
      <c r="D594" t="s">
        <v>305</v>
      </c>
      <c r="E594" s="40">
        <v>0</v>
      </c>
      <c r="F594" s="40">
        <v>0</v>
      </c>
      <c r="G594" s="40">
        <v>0</v>
      </c>
      <c r="H594" s="40">
        <v>0</v>
      </c>
      <c r="I594" s="40">
        <v>0</v>
      </c>
      <c r="J594" s="40">
        <v>0</v>
      </c>
      <c r="K594" s="40">
        <v>0</v>
      </c>
      <c r="L594" s="40">
        <v>0</v>
      </c>
      <c r="M594" s="40">
        <v>0</v>
      </c>
      <c r="N594" s="40">
        <v>0</v>
      </c>
      <c r="O594" s="40">
        <v>0</v>
      </c>
      <c r="P594" s="40">
        <v>0</v>
      </c>
      <c r="Q594" s="40">
        <v>0</v>
      </c>
      <c r="R594" s="40">
        <v>0</v>
      </c>
      <c r="S594" s="40">
        <v>0</v>
      </c>
      <c r="T594" s="40">
        <v>0</v>
      </c>
      <c r="U594" s="40">
        <v>0</v>
      </c>
    </row>
    <row r="595" spans="1:21" x14ac:dyDescent="0.2">
      <c r="A595" t="s">
        <v>833</v>
      </c>
      <c r="B595">
        <v>801</v>
      </c>
      <c r="C595">
        <v>1</v>
      </c>
      <c r="D595" t="s">
        <v>306</v>
      </c>
      <c r="E595" s="40">
        <v>0</v>
      </c>
      <c r="F595" s="40">
        <v>0</v>
      </c>
      <c r="G595" s="40">
        <v>0</v>
      </c>
      <c r="H595" s="40">
        <v>0</v>
      </c>
      <c r="I595" s="40">
        <v>0</v>
      </c>
      <c r="J595" s="40">
        <v>0</v>
      </c>
      <c r="K595" s="40">
        <v>0</v>
      </c>
      <c r="L595" s="40">
        <v>0</v>
      </c>
      <c r="M595" s="40">
        <v>0</v>
      </c>
      <c r="N595" s="40">
        <v>0</v>
      </c>
      <c r="O595" s="40">
        <v>0</v>
      </c>
      <c r="P595" s="40">
        <v>0</v>
      </c>
      <c r="Q595" s="40">
        <v>0</v>
      </c>
      <c r="R595" s="40">
        <v>0</v>
      </c>
      <c r="S595" s="40">
        <v>0</v>
      </c>
      <c r="T595" s="40">
        <v>0</v>
      </c>
      <c r="U595" s="40">
        <v>0</v>
      </c>
    </row>
    <row r="596" spans="1:21" x14ac:dyDescent="0.2">
      <c r="A596" t="s">
        <v>833</v>
      </c>
      <c r="B596">
        <v>803</v>
      </c>
      <c r="C596">
        <v>1</v>
      </c>
      <c r="D596" t="s">
        <v>307</v>
      </c>
      <c r="E596" s="40">
        <v>0</v>
      </c>
      <c r="F596" s="40">
        <v>0</v>
      </c>
      <c r="G596" s="40">
        <v>0</v>
      </c>
      <c r="H596" s="40">
        <v>0</v>
      </c>
      <c r="I596" s="40">
        <v>0</v>
      </c>
      <c r="J596" s="40">
        <v>0</v>
      </c>
      <c r="K596" s="40">
        <v>0</v>
      </c>
      <c r="L596" s="40">
        <v>0</v>
      </c>
      <c r="M596" s="40">
        <v>0</v>
      </c>
      <c r="N596" s="40">
        <v>0</v>
      </c>
      <c r="O596" s="40">
        <v>0</v>
      </c>
      <c r="P596" s="40">
        <v>0</v>
      </c>
      <c r="Q596" s="40">
        <v>0</v>
      </c>
      <c r="R596" s="40">
        <v>0</v>
      </c>
      <c r="S596" s="40">
        <v>0</v>
      </c>
      <c r="T596" s="40">
        <v>0</v>
      </c>
      <c r="U596" s="40">
        <v>0</v>
      </c>
    </row>
    <row r="597" spans="1:21" x14ac:dyDescent="0.2">
      <c r="A597" t="s">
        <v>833</v>
      </c>
      <c r="B597">
        <v>806</v>
      </c>
      <c r="C597">
        <v>1</v>
      </c>
      <c r="D597" t="s">
        <v>308</v>
      </c>
      <c r="E597" s="40">
        <v>0</v>
      </c>
      <c r="F597" s="40">
        <v>0</v>
      </c>
      <c r="G597" s="40">
        <v>0</v>
      </c>
      <c r="H597" s="40">
        <v>0</v>
      </c>
      <c r="I597" s="40">
        <v>0</v>
      </c>
      <c r="J597" s="40">
        <v>0</v>
      </c>
      <c r="K597" s="40">
        <v>0</v>
      </c>
      <c r="L597" s="40">
        <v>0</v>
      </c>
      <c r="M597" s="40">
        <v>0</v>
      </c>
      <c r="N597" s="40">
        <v>0</v>
      </c>
      <c r="O597" s="40">
        <v>0</v>
      </c>
      <c r="P597" s="40">
        <v>0</v>
      </c>
      <c r="Q597" s="40">
        <v>0</v>
      </c>
      <c r="R597" s="40">
        <v>0</v>
      </c>
      <c r="S597" s="40">
        <v>0</v>
      </c>
      <c r="T597" s="40">
        <v>0</v>
      </c>
      <c r="U597" s="40">
        <v>0</v>
      </c>
    </row>
    <row r="598" spans="1:21" x14ac:dyDescent="0.2">
      <c r="A598" t="s">
        <v>833</v>
      </c>
      <c r="B598">
        <v>810</v>
      </c>
      <c r="C598">
        <v>1</v>
      </c>
      <c r="D598" t="s">
        <v>309</v>
      </c>
      <c r="E598" s="40">
        <v>0</v>
      </c>
      <c r="F598" s="40">
        <v>0</v>
      </c>
      <c r="G598" s="40">
        <v>0</v>
      </c>
      <c r="H598" s="40">
        <v>0</v>
      </c>
      <c r="I598" s="40">
        <v>0</v>
      </c>
      <c r="J598" s="40">
        <v>0</v>
      </c>
      <c r="K598" s="40">
        <v>0</v>
      </c>
      <c r="L598" s="40">
        <v>0</v>
      </c>
      <c r="M598" s="40">
        <v>0</v>
      </c>
      <c r="N598" s="40">
        <v>0</v>
      </c>
      <c r="O598" s="40">
        <v>0</v>
      </c>
      <c r="P598" s="40">
        <v>0</v>
      </c>
      <c r="Q598" s="40">
        <v>0</v>
      </c>
      <c r="R598" s="40">
        <v>0</v>
      </c>
      <c r="S598" s="40">
        <v>0</v>
      </c>
      <c r="T598" s="40">
        <v>0</v>
      </c>
      <c r="U598" s="40">
        <v>0</v>
      </c>
    </row>
    <row r="599" spans="1:21" x14ac:dyDescent="0.2">
      <c r="A599" t="s">
        <v>833</v>
      </c>
      <c r="B599">
        <v>811</v>
      </c>
      <c r="C599">
        <v>1</v>
      </c>
      <c r="D599" t="s">
        <v>310</v>
      </c>
      <c r="E599" s="40">
        <v>0</v>
      </c>
      <c r="F599" s="40">
        <v>0</v>
      </c>
      <c r="G599" s="40">
        <v>0</v>
      </c>
      <c r="H599" s="40">
        <v>0</v>
      </c>
      <c r="I599" s="40">
        <v>0</v>
      </c>
      <c r="J599" s="40">
        <v>0</v>
      </c>
      <c r="K599" s="40">
        <v>0</v>
      </c>
      <c r="L599" s="40">
        <v>0</v>
      </c>
      <c r="M599" s="40">
        <v>0</v>
      </c>
      <c r="N599" s="40">
        <v>0</v>
      </c>
      <c r="O599" s="40">
        <v>0</v>
      </c>
      <c r="P599" s="40">
        <v>0</v>
      </c>
      <c r="Q599" s="40">
        <v>0</v>
      </c>
      <c r="R599" s="40">
        <v>0</v>
      </c>
      <c r="S599" s="40">
        <v>0</v>
      </c>
      <c r="T599" s="40">
        <v>0</v>
      </c>
      <c r="U599" s="40">
        <v>0</v>
      </c>
    </row>
    <row r="600" spans="1:21" x14ac:dyDescent="0.2">
      <c r="A600" t="s">
        <v>833</v>
      </c>
      <c r="B600">
        <v>813</v>
      </c>
      <c r="C600">
        <v>1</v>
      </c>
      <c r="D600" t="s">
        <v>311</v>
      </c>
      <c r="E600" s="40">
        <v>0</v>
      </c>
      <c r="F600" s="40">
        <v>0</v>
      </c>
      <c r="G600" s="40">
        <v>0</v>
      </c>
      <c r="H600" s="40">
        <v>0</v>
      </c>
      <c r="I600" s="40">
        <v>0</v>
      </c>
      <c r="J600" s="40">
        <v>0</v>
      </c>
      <c r="K600" s="40">
        <v>0</v>
      </c>
      <c r="L600" s="40">
        <v>0</v>
      </c>
      <c r="M600" s="40">
        <v>0</v>
      </c>
      <c r="N600" s="40">
        <v>0</v>
      </c>
      <c r="O600" s="40">
        <v>0</v>
      </c>
      <c r="P600" s="40">
        <v>0</v>
      </c>
      <c r="Q600" s="40">
        <v>0</v>
      </c>
      <c r="R600" s="40">
        <v>0</v>
      </c>
      <c r="S600" s="40">
        <v>0</v>
      </c>
      <c r="T600" s="40">
        <v>0</v>
      </c>
      <c r="U600" s="40">
        <v>0</v>
      </c>
    </row>
    <row r="601" spans="1:21" x14ac:dyDescent="0.2">
      <c r="A601" t="s">
        <v>833</v>
      </c>
      <c r="B601">
        <v>815</v>
      </c>
      <c r="C601">
        <v>2</v>
      </c>
      <c r="D601" t="s">
        <v>312</v>
      </c>
      <c r="E601" s="40">
        <v>0</v>
      </c>
      <c r="F601" s="40">
        <v>0</v>
      </c>
      <c r="G601" s="40">
        <v>0</v>
      </c>
      <c r="H601" s="40">
        <v>0</v>
      </c>
      <c r="I601" s="40">
        <v>0</v>
      </c>
      <c r="J601" s="40">
        <v>0</v>
      </c>
      <c r="K601" s="40">
        <v>0</v>
      </c>
      <c r="L601" s="40">
        <v>0</v>
      </c>
      <c r="M601" s="40">
        <v>0</v>
      </c>
      <c r="N601" s="40">
        <v>0</v>
      </c>
      <c r="O601" s="40">
        <v>0</v>
      </c>
      <c r="P601" s="40">
        <v>0</v>
      </c>
      <c r="Q601" s="40">
        <v>0</v>
      </c>
      <c r="R601" s="40">
        <v>0</v>
      </c>
      <c r="S601" s="40">
        <v>0</v>
      </c>
      <c r="T601" s="40">
        <v>0</v>
      </c>
      <c r="U601" s="40">
        <v>0</v>
      </c>
    </row>
    <row r="602" spans="1:21" x14ac:dyDescent="0.2">
      <c r="A602" t="s">
        <v>833</v>
      </c>
      <c r="B602">
        <v>818</v>
      </c>
      <c r="C602">
        <v>1</v>
      </c>
      <c r="D602" t="s">
        <v>313</v>
      </c>
      <c r="E602" s="40">
        <v>0</v>
      </c>
      <c r="F602" s="40">
        <v>0</v>
      </c>
      <c r="G602" s="40">
        <v>0</v>
      </c>
      <c r="H602" s="40">
        <v>0</v>
      </c>
      <c r="I602" s="40">
        <v>0</v>
      </c>
      <c r="J602" s="40">
        <v>0</v>
      </c>
      <c r="K602" s="40">
        <v>0</v>
      </c>
      <c r="L602" s="40">
        <v>0</v>
      </c>
      <c r="M602" s="40">
        <v>0</v>
      </c>
      <c r="N602" s="40">
        <v>0</v>
      </c>
      <c r="O602" s="40">
        <v>0</v>
      </c>
      <c r="P602" s="40">
        <v>0</v>
      </c>
      <c r="Q602" s="40">
        <v>0</v>
      </c>
      <c r="R602" s="40">
        <v>0</v>
      </c>
      <c r="S602" s="40">
        <v>0</v>
      </c>
      <c r="T602" s="40">
        <v>0</v>
      </c>
      <c r="U602" s="40">
        <v>0</v>
      </c>
    </row>
    <row r="603" spans="1:21" x14ac:dyDescent="0.2">
      <c r="A603" t="s">
        <v>833</v>
      </c>
      <c r="B603">
        <v>820</v>
      </c>
      <c r="C603">
        <v>1</v>
      </c>
      <c r="D603" t="s">
        <v>314</v>
      </c>
      <c r="E603" s="40">
        <v>0</v>
      </c>
      <c r="F603" s="40">
        <v>0</v>
      </c>
      <c r="G603" s="40">
        <v>0</v>
      </c>
      <c r="H603" s="40">
        <v>0</v>
      </c>
      <c r="I603" s="40">
        <v>0</v>
      </c>
      <c r="J603" s="40">
        <v>0</v>
      </c>
      <c r="K603" s="40">
        <v>0</v>
      </c>
      <c r="L603" s="40">
        <v>0</v>
      </c>
      <c r="M603" s="40">
        <v>0</v>
      </c>
      <c r="N603" s="40">
        <v>0</v>
      </c>
      <c r="O603" s="40">
        <v>0</v>
      </c>
      <c r="P603" s="40">
        <v>0</v>
      </c>
      <c r="Q603" s="40">
        <v>0</v>
      </c>
      <c r="R603" s="40">
        <v>0</v>
      </c>
      <c r="S603" s="40">
        <v>0</v>
      </c>
      <c r="T603" s="40">
        <v>0</v>
      </c>
      <c r="U603" s="40">
        <v>0</v>
      </c>
    </row>
    <row r="604" spans="1:21" x14ac:dyDescent="0.2">
      <c r="A604" t="s">
        <v>833</v>
      </c>
      <c r="B604">
        <v>821</v>
      </c>
      <c r="C604">
        <v>1</v>
      </c>
      <c r="D604" t="s">
        <v>315</v>
      </c>
      <c r="E604" s="40">
        <v>0</v>
      </c>
      <c r="F604" s="40">
        <v>0</v>
      </c>
      <c r="G604" s="40">
        <v>0</v>
      </c>
      <c r="H604" s="40">
        <v>0</v>
      </c>
      <c r="I604" s="40">
        <v>0</v>
      </c>
      <c r="J604" s="40">
        <v>0</v>
      </c>
      <c r="K604" s="40">
        <v>0</v>
      </c>
      <c r="L604" s="40">
        <v>0</v>
      </c>
      <c r="M604" s="40">
        <v>0</v>
      </c>
      <c r="N604" s="40">
        <v>0</v>
      </c>
      <c r="O604" s="40">
        <v>0</v>
      </c>
      <c r="P604" s="40">
        <v>0</v>
      </c>
      <c r="Q604" s="40">
        <v>0</v>
      </c>
      <c r="R604" s="40">
        <v>0</v>
      </c>
      <c r="S604" s="40">
        <v>0</v>
      </c>
      <c r="T604" s="40">
        <v>0</v>
      </c>
      <c r="U604" s="40">
        <v>0</v>
      </c>
    </row>
    <row r="605" spans="1:21" x14ac:dyDescent="0.2">
      <c r="A605" t="s">
        <v>833</v>
      </c>
      <c r="B605">
        <v>829</v>
      </c>
      <c r="C605">
        <v>1</v>
      </c>
      <c r="D605" t="s">
        <v>316</v>
      </c>
      <c r="E605" s="40">
        <v>0</v>
      </c>
      <c r="F605" s="40">
        <v>0</v>
      </c>
      <c r="G605" s="40">
        <v>0</v>
      </c>
      <c r="H605" s="40">
        <v>0</v>
      </c>
      <c r="I605" s="40">
        <v>0</v>
      </c>
      <c r="J605" s="40">
        <v>0</v>
      </c>
      <c r="K605" s="40">
        <v>0</v>
      </c>
      <c r="L605" s="40">
        <v>0</v>
      </c>
      <c r="M605" s="40">
        <v>0</v>
      </c>
      <c r="N605" s="40">
        <v>0</v>
      </c>
      <c r="O605" s="40">
        <v>0</v>
      </c>
      <c r="P605" s="40">
        <v>0</v>
      </c>
      <c r="Q605" s="40">
        <v>0</v>
      </c>
      <c r="R605" s="40">
        <v>0</v>
      </c>
      <c r="S605" s="40">
        <v>0</v>
      </c>
      <c r="T605" s="40">
        <v>0</v>
      </c>
      <c r="U605" s="40">
        <v>0</v>
      </c>
    </row>
    <row r="606" spans="1:21" x14ac:dyDescent="0.2">
      <c r="A606" t="s">
        <v>833</v>
      </c>
      <c r="B606">
        <v>831</v>
      </c>
      <c r="C606">
        <v>1</v>
      </c>
      <c r="D606" t="s">
        <v>317</v>
      </c>
      <c r="E606" s="40">
        <v>0</v>
      </c>
      <c r="F606" s="40">
        <v>0</v>
      </c>
      <c r="G606" s="40">
        <v>0</v>
      </c>
      <c r="H606" s="40">
        <v>0</v>
      </c>
      <c r="I606" s="40">
        <v>0</v>
      </c>
      <c r="J606" s="40">
        <v>0</v>
      </c>
      <c r="K606" s="40">
        <v>0</v>
      </c>
      <c r="L606" s="40">
        <v>0</v>
      </c>
      <c r="M606" s="40">
        <v>0</v>
      </c>
      <c r="N606" s="40">
        <v>0</v>
      </c>
      <c r="O606" s="40">
        <v>0</v>
      </c>
      <c r="P606" s="40">
        <v>0</v>
      </c>
      <c r="Q606" s="40">
        <v>0</v>
      </c>
      <c r="R606" s="40">
        <v>0</v>
      </c>
      <c r="S606" s="40">
        <v>0</v>
      </c>
      <c r="T606" s="40">
        <v>0</v>
      </c>
      <c r="U606" s="40">
        <v>0</v>
      </c>
    </row>
    <row r="607" spans="1:21" x14ac:dyDescent="0.2">
      <c r="A607" t="s">
        <v>833</v>
      </c>
      <c r="B607">
        <v>832</v>
      </c>
      <c r="C607">
        <v>1</v>
      </c>
      <c r="D607" t="s">
        <v>318</v>
      </c>
      <c r="E607" s="40">
        <v>0</v>
      </c>
      <c r="F607" s="40">
        <v>0</v>
      </c>
      <c r="G607" s="40">
        <v>0</v>
      </c>
      <c r="H607" s="40">
        <v>0</v>
      </c>
      <c r="I607" s="40">
        <v>0</v>
      </c>
      <c r="J607" s="40">
        <v>0</v>
      </c>
      <c r="K607" s="40">
        <v>0</v>
      </c>
      <c r="L607" s="40">
        <v>0</v>
      </c>
      <c r="M607" s="40">
        <v>0</v>
      </c>
      <c r="N607" s="40">
        <v>0</v>
      </c>
      <c r="O607" s="40">
        <v>0</v>
      </c>
      <c r="P607" s="40">
        <v>0</v>
      </c>
      <c r="Q607" s="40">
        <v>0</v>
      </c>
      <c r="R607" s="40">
        <v>0</v>
      </c>
      <c r="S607" s="40">
        <v>0</v>
      </c>
      <c r="T607" s="40">
        <v>0</v>
      </c>
      <c r="U607" s="40">
        <v>0</v>
      </c>
    </row>
    <row r="608" spans="1:21" x14ac:dyDescent="0.2">
      <c r="A608" t="s">
        <v>833</v>
      </c>
      <c r="B608">
        <v>833</v>
      </c>
      <c r="C608">
        <v>1</v>
      </c>
      <c r="D608" t="s">
        <v>319</v>
      </c>
      <c r="E608" s="40">
        <v>0</v>
      </c>
      <c r="F608" s="40">
        <v>0</v>
      </c>
      <c r="G608" s="40">
        <v>0</v>
      </c>
      <c r="H608" s="40">
        <v>0</v>
      </c>
      <c r="I608" s="40">
        <v>0</v>
      </c>
      <c r="J608" s="40">
        <v>0</v>
      </c>
      <c r="K608" s="40">
        <v>0</v>
      </c>
      <c r="L608" s="40">
        <v>0</v>
      </c>
      <c r="M608" s="40">
        <v>0</v>
      </c>
      <c r="N608" s="40">
        <v>0</v>
      </c>
      <c r="O608" s="40">
        <v>0</v>
      </c>
      <c r="P608" s="40">
        <v>0</v>
      </c>
      <c r="Q608" s="40">
        <v>0</v>
      </c>
      <c r="R608" s="40">
        <v>0</v>
      </c>
      <c r="S608" s="40">
        <v>0</v>
      </c>
      <c r="T608" s="40">
        <v>0</v>
      </c>
      <c r="U608" s="40">
        <v>0</v>
      </c>
    </row>
    <row r="609" spans="1:21" x14ac:dyDescent="0.2">
      <c r="A609" t="s">
        <v>833</v>
      </c>
      <c r="B609">
        <v>834</v>
      </c>
      <c r="C609">
        <v>1</v>
      </c>
      <c r="D609" t="s">
        <v>320</v>
      </c>
      <c r="E609" s="40">
        <v>0</v>
      </c>
      <c r="F609" s="40">
        <v>0</v>
      </c>
      <c r="G609" s="40">
        <v>0</v>
      </c>
      <c r="H609" s="40">
        <v>0</v>
      </c>
      <c r="I609" s="40">
        <v>0</v>
      </c>
      <c r="J609" s="40">
        <v>0</v>
      </c>
      <c r="K609" s="40">
        <v>0</v>
      </c>
      <c r="L609" s="40">
        <v>0</v>
      </c>
      <c r="M609" s="40">
        <v>0</v>
      </c>
      <c r="N609" s="40">
        <v>0</v>
      </c>
      <c r="O609" s="40">
        <v>0</v>
      </c>
      <c r="P609" s="40">
        <v>0</v>
      </c>
      <c r="Q609" s="40">
        <v>0</v>
      </c>
      <c r="R609" s="40">
        <v>0</v>
      </c>
      <c r="S609" s="40">
        <v>0</v>
      </c>
      <c r="T609" s="40">
        <v>0</v>
      </c>
      <c r="U609" s="40">
        <v>0</v>
      </c>
    </row>
    <row r="610" spans="1:21" x14ac:dyDescent="0.2">
      <c r="A610" t="s">
        <v>833</v>
      </c>
      <c r="B610">
        <v>836</v>
      </c>
      <c r="C610">
        <v>1</v>
      </c>
      <c r="D610" t="s">
        <v>321</v>
      </c>
      <c r="E610" s="40">
        <v>0</v>
      </c>
      <c r="F610" s="40">
        <v>0</v>
      </c>
      <c r="G610" s="40">
        <v>0</v>
      </c>
      <c r="H610" s="40">
        <v>0</v>
      </c>
      <c r="I610" s="40">
        <v>0</v>
      </c>
      <c r="J610" s="40">
        <v>0</v>
      </c>
      <c r="K610" s="40">
        <v>0</v>
      </c>
      <c r="L610" s="40">
        <v>0</v>
      </c>
      <c r="M610" s="40">
        <v>0</v>
      </c>
      <c r="N610" s="40">
        <v>0</v>
      </c>
      <c r="O610" s="40">
        <v>0</v>
      </c>
      <c r="P610" s="40">
        <v>0</v>
      </c>
      <c r="Q610" s="40">
        <v>0</v>
      </c>
      <c r="R610" s="40">
        <v>0</v>
      </c>
      <c r="S610" s="40">
        <v>0</v>
      </c>
      <c r="T610" s="40">
        <v>0</v>
      </c>
      <c r="U610" s="40">
        <v>0</v>
      </c>
    </row>
    <row r="611" spans="1:21" x14ac:dyDescent="0.2">
      <c r="A611" t="s">
        <v>833</v>
      </c>
      <c r="B611">
        <v>837</v>
      </c>
      <c r="C611">
        <v>1</v>
      </c>
      <c r="D611" t="s">
        <v>322</v>
      </c>
      <c r="E611" s="40">
        <v>0</v>
      </c>
      <c r="F611" s="40">
        <v>0</v>
      </c>
      <c r="G611" s="40">
        <v>0</v>
      </c>
      <c r="H611" s="40">
        <v>0</v>
      </c>
      <c r="I611" s="40">
        <v>0</v>
      </c>
      <c r="J611" s="40">
        <v>0</v>
      </c>
      <c r="K611" s="40">
        <v>0</v>
      </c>
      <c r="L611" s="40">
        <v>0</v>
      </c>
      <c r="M611" s="40">
        <v>0</v>
      </c>
      <c r="N611" s="40">
        <v>0</v>
      </c>
      <c r="O611" s="40">
        <v>0</v>
      </c>
      <c r="P611" s="40">
        <v>0</v>
      </c>
      <c r="Q611" s="40">
        <v>0</v>
      </c>
      <c r="R611" s="40">
        <v>0</v>
      </c>
      <c r="S611" s="40">
        <v>0</v>
      </c>
      <c r="T611" s="40">
        <v>0</v>
      </c>
      <c r="U611" s="40">
        <v>0</v>
      </c>
    </row>
    <row r="612" spans="1:21" x14ac:dyDescent="0.2">
      <c r="A612" t="s">
        <v>833</v>
      </c>
      <c r="B612">
        <v>840</v>
      </c>
      <c r="C612">
        <v>1</v>
      </c>
      <c r="D612" t="s">
        <v>323</v>
      </c>
      <c r="E612" s="40">
        <v>0</v>
      </c>
      <c r="F612" s="40">
        <v>0</v>
      </c>
      <c r="G612" s="40">
        <v>0</v>
      </c>
      <c r="H612" s="40">
        <v>0</v>
      </c>
      <c r="I612" s="40">
        <v>0</v>
      </c>
      <c r="J612" s="40">
        <v>0</v>
      </c>
      <c r="K612" s="40">
        <v>0</v>
      </c>
      <c r="L612" s="40">
        <v>0</v>
      </c>
      <c r="M612" s="40">
        <v>0</v>
      </c>
      <c r="N612" s="40">
        <v>0</v>
      </c>
      <c r="O612" s="40">
        <v>0</v>
      </c>
      <c r="P612" s="40">
        <v>0</v>
      </c>
      <c r="Q612" s="40">
        <v>0</v>
      </c>
      <c r="R612" s="40">
        <v>0</v>
      </c>
      <c r="S612" s="40">
        <v>0</v>
      </c>
      <c r="T612" s="40">
        <v>0</v>
      </c>
      <c r="U612" s="40">
        <v>0</v>
      </c>
    </row>
    <row r="613" spans="1:21" x14ac:dyDescent="0.2">
      <c r="A613" t="s">
        <v>833</v>
      </c>
      <c r="B613">
        <v>846</v>
      </c>
      <c r="C613">
        <v>1</v>
      </c>
      <c r="D613" t="s">
        <v>324</v>
      </c>
      <c r="E613" s="40">
        <v>0</v>
      </c>
      <c r="F613" s="40">
        <v>0</v>
      </c>
      <c r="G613" s="40">
        <v>0</v>
      </c>
      <c r="H613" s="40">
        <v>0</v>
      </c>
      <c r="I613" s="40">
        <v>0</v>
      </c>
      <c r="J613" s="40">
        <v>0</v>
      </c>
      <c r="K613" s="40">
        <v>0</v>
      </c>
      <c r="L613" s="40">
        <v>0</v>
      </c>
      <c r="M613" s="40">
        <v>0</v>
      </c>
      <c r="N613" s="40">
        <v>0</v>
      </c>
      <c r="O613" s="40">
        <v>0</v>
      </c>
      <c r="P613" s="40">
        <v>0</v>
      </c>
      <c r="Q613" s="40">
        <v>0</v>
      </c>
      <c r="R613" s="40">
        <v>0</v>
      </c>
      <c r="S613" s="40">
        <v>0</v>
      </c>
      <c r="T613" s="40">
        <v>0</v>
      </c>
      <c r="U613" s="40">
        <v>0</v>
      </c>
    </row>
    <row r="614" spans="1:21" x14ac:dyDescent="0.2">
      <c r="A614" t="s">
        <v>833</v>
      </c>
      <c r="B614">
        <v>850</v>
      </c>
      <c r="C614">
        <v>1</v>
      </c>
      <c r="D614" t="s">
        <v>325</v>
      </c>
      <c r="E614" s="40">
        <v>0</v>
      </c>
      <c r="F614" s="40">
        <v>0</v>
      </c>
      <c r="G614" s="40">
        <v>0</v>
      </c>
      <c r="H614" s="40">
        <v>0</v>
      </c>
      <c r="I614" s="40">
        <v>0</v>
      </c>
      <c r="J614" s="40">
        <v>0</v>
      </c>
      <c r="K614" s="40">
        <v>0</v>
      </c>
      <c r="L614" s="40">
        <v>0</v>
      </c>
      <c r="M614" s="40">
        <v>0</v>
      </c>
      <c r="N614" s="40">
        <v>0</v>
      </c>
      <c r="O614" s="40">
        <v>0</v>
      </c>
      <c r="P614" s="40">
        <v>0</v>
      </c>
      <c r="Q614" s="40">
        <v>0</v>
      </c>
      <c r="R614" s="40">
        <v>0</v>
      </c>
      <c r="S614" s="40">
        <v>0</v>
      </c>
      <c r="T614" s="40">
        <v>0</v>
      </c>
      <c r="U614" s="40">
        <v>0</v>
      </c>
    </row>
    <row r="615" spans="1:21" x14ac:dyDescent="0.2">
      <c r="A615" t="s">
        <v>833</v>
      </c>
      <c r="B615">
        <v>852</v>
      </c>
      <c r="C615">
        <v>1</v>
      </c>
      <c r="D615" t="s">
        <v>326</v>
      </c>
      <c r="E615" s="40">
        <v>0</v>
      </c>
      <c r="F615" s="40">
        <v>0</v>
      </c>
      <c r="G615" s="40">
        <v>0</v>
      </c>
      <c r="H615" s="40">
        <v>0</v>
      </c>
      <c r="I615" s="40">
        <v>0</v>
      </c>
      <c r="J615" s="40">
        <v>0</v>
      </c>
      <c r="K615" s="40">
        <v>0</v>
      </c>
      <c r="L615" s="40">
        <v>0</v>
      </c>
      <c r="M615" s="40">
        <v>0</v>
      </c>
      <c r="N615" s="40">
        <v>0</v>
      </c>
      <c r="O615" s="40">
        <v>0</v>
      </c>
      <c r="P615" s="40">
        <v>0</v>
      </c>
      <c r="Q615" s="40">
        <v>0</v>
      </c>
      <c r="R615" s="40">
        <v>0</v>
      </c>
      <c r="S615" s="40">
        <v>0</v>
      </c>
      <c r="T615" s="40">
        <v>0</v>
      </c>
      <c r="U615" s="40">
        <v>0</v>
      </c>
    </row>
    <row r="616" spans="1:21" x14ac:dyDescent="0.2">
      <c r="A616" t="s">
        <v>833</v>
      </c>
      <c r="B616">
        <v>857</v>
      </c>
      <c r="C616">
        <v>1</v>
      </c>
      <c r="D616" t="s">
        <v>327</v>
      </c>
      <c r="E616" s="40">
        <v>0</v>
      </c>
      <c r="F616" s="40">
        <v>0</v>
      </c>
      <c r="G616" s="40">
        <v>0</v>
      </c>
      <c r="H616" s="40">
        <v>0</v>
      </c>
      <c r="I616" s="40">
        <v>0</v>
      </c>
      <c r="J616" s="40">
        <v>0</v>
      </c>
      <c r="K616" s="40">
        <v>0</v>
      </c>
      <c r="L616" s="40">
        <v>0</v>
      </c>
      <c r="M616" s="40">
        <v>0</v>
      </c>
      <c r="N616" s="40">
        <v>0</v>
      </c>
      <c r="O616" s="40">
        <v>0</v>
      </c>
      <c r="P616" s="40">
        <v>0</v>
      </c>
      <c r="Q616" s="40">
        <v>0</v>
      </c>
      <c r="R616" s="40">
        <v>0</v>
      </c>
      <c r="S616" s="40">
        <v>0</v>
      </c>
      <c r="T616" s="40">
        <v>0</v>
      </c>
      <c r="U616" s="40">
        <v>0</v>
      </c>
    </row>
    <row r="617" spans="1:21" x14ac:dyDescent="0.2">
      <c r="A617" t="s">
        <v>833</v>
      </c>
      <c r="B617">
        <v>858</v>
      </c>
      <c r="C617">
        <v>1</v>
      </c>
      <c r="D617" t="s">
        <v>328</v>
      </c>
      <c r="E617" s="40">
        <v>0</v>
      </c>
      <c r="F617" s="40">
        <v>0</v>
      </c>
      <c r="G617" s="40">
        <v>0</v>
      </c>
      <c r="H617" s="40">
        <v>0</v>
      </c>
      <c r="I617" s="40">
        <v>0</v>
      </c>
      <c r="J617" s="40">
        <v>0</v>
      </c>
      <c r="K617" s="40">
        <v>0</v>
      </c>
      <c r="L617" s="40">
        <v>0</v>
      </c>
      <c r="M617" s="40">
        <v>0</v>
      </c>
      <c r="N617" s="40">
        <v>0</v>
      </c>
      <c r="O617" s="40">
        <v>0</v>
      </c>
      <c r="P617" s="40">
        <v>0</v>
      </c>
      <c r="Q617" s="40">
        <v>0</v>
      </c>
      <c r="R617" s="40">
        <v>0</v>
      </c>
      <c r="S617" s="40">
        <v>0</v>
      </c>
      <c r="T617" s="40">
        <v>0</v>
      </c>
      <c r="U617" s="40">
        <v>0</v>
      </c>
    </row>
    <row r="618" spans="1:21" x14ac:dyDescent="0.2">
      <c r="A618" t="s">
        <v>833</v>
      </c>
      <c r="B618">
        <v>861</v>
      </c>
      <c r="C618">
        <v>1</v>
      </c>
      <c r="D618" t="s">
        <v>329</v>
      </c>
      <c r="E618" s="40">
        <v>0</v>
      </c>
      <c r="F618" s="40">
        <v>0</v>
      </c>
      <c r="G618" s="40">
        <v>0</v>
      </c>
      <c r="H618" s="40">
        <v>0</v>
      </c>
      <c r="I618" s="40">
        <v>0</v>
      </c>
      <c r="J618" s="40">
        <v>0</v>
      </c>
      <c r="K618" s="40">
        <v>0</v>
      </c>
      <c r="L618" s="40">
        <v>0</v>
      </c>
      <c r="M618" s="40">
        <v>0</v>
      </c>
      <c r="N618" s="40">
        <v>0</v>
      </c>
      <c r="O618" s="40">
        <v>0</v>
      </c>
      <c r="P618" s="40">
        <v>0</v>
      </c>
      <c r="Q618" s="40">
        <v>0</v>
      </c>
      <c r="R618" s="40">
        <v>0</v>
      </c>
      <c r="S618" s="40">
        <v>0</v>
      </c>
      <c r="T618" s="40">
        <v>0</v>
      </c>
      <c r="U618" s="40">
        <v>0</v>
      </c>
    </row>
    <row r="619" spans="1:21" x14ac:dyDescent="0.2">
      <c r="A619" t="s">
        <v>833</v>
      </c>
      <c r="B619">
        <v>876</v>
      </c>
      <c r="C619">
        <v>1</v>
      </c>
      <c r="D619" t="s">
        <v>330</v>
      </c>
      <c r="E619" s="40">
        <v>0</v>
      </c>
      <c r="F619" s="40">
        <v>0</v>
      </c>
      <c r="G619" s="40">
        <v>0</v>
      </c>
      <c r="H619" s="40">
        <v>0</v>
      </c>
      <c r="I619" s="40">
        <v>0</v>
      </c>
      <c r="J619" s="40">
        <v>0</v>
      </c>
      <c r="K619" s="40">
        <v>0</v>
      </c>
      <c r="L619" s="40">
        <v>0</v>
      </c>
      <c r="M619" s="40">
        <v>0</v>
      </c>
      <c r="N619" s="40">
        <v>0</v>
      </c>
      <c r="O619" s="40">
        <v>0</v>
      </c>
      <c r="P619" s="40">
        <v>0</v>
      </c>
      <c r="Q619" s="40">
        <v>0</v>
      </c>
      <c r="R619" s="40">
        <v>0</v>
      </c>
      <c r="S619" s="40">
        <v>0</v>
      </c>
      <c r="T619" s="40">
        <v>0</v>
      </c>
      <c r="U619" s="40">
        <v>0</v>
      </c>
    </row>
    <row r="620" spans="1:21" x14ac:dyDescent="0.2">
      <c r="A620" t="s">
        <v>833</v>
      </c>
      <c r="B620">
        <v>877</v>
      </c>
      <c r="C620">
        <v>1</v>
      </c>
      <c r="D620" t="s">
        <v>331</v>
      </c>
      <c r="E620" s="40">
        <v>0</v>
      </c>
      <c r="F620" s="40">
        <v>0</v>
      </c>
      <c r="G620" s="40">
        <v>0</v>
      </c>
      <c r="H620" s="40">
        <v>0</v>
      </c>
      <c r="I620" s="40">
        <v>0</v>
      </c>
      <c r="J620" s="40">
        <v>0</v>
      </c>
      <c r="K620" s="40">
        <v>0</v>
      </c>
      <c r="L620" s="40">
        <v>0</v>
      </c>
      <c r="M620" s="40">
        <v>0</v>
      </c>
      <c r="N620" s="40">
        <v>0</v>
      </c>
      <c r="O620" s="40">
        <v>0</v>
      </c>
      <c r="P620" s="40">
        <v>0</v>
      </c>
      <c r="Q620" s="40">
        <v>0</v>
      </c>
      <c r="R620" s="40">
        <v>0</v>
      </c>
      <c r="S620" s="40">
        <v>0</v>
      </c>
      <c r="T620" s="40">
        <v>0</v>
      </c>
      <c r="U620" s="40">
        <v>0</v>
      </c>
    </row>
    <row r="621" spans="1:21" x14ac:dyDescent="0.2">
      <c r="A621" t="s">
        <v>833</v>
      </c>
      <c r="B621">
        <v>879</v>
      </c>
      <c r="C621">
        <v>1</v>
      </c>
      <c r="D621" t="s">
        <v>332</v>
      </c>
      <c r="E621" s="40">
        <v>0</v>
      </c>
      <c r="F621" s="40">
        <v>0</v>
      </c>
      <c r="G621" s="40">
        <v>0</v>
      </c>
      <c r="H621" s="40">
        <v>0</v>
      </c>
      <c r="I621" s="40">
        <v>0</v>
      </c>
      <c r="J621" s="40">
        <v>0</v>
      </c>
      <c r="K621" s="40">
        <v>0</v>
      </c>
      <c r="L621" s="40">
        <v>0</v>
      </c>
      <c r="M621" s="40">
        <v>0</v>
      </c>
      <c r="N621" s="40">
        <v>0</v>
      </c>
      <c r="O621" s="40">
        <v>0</v>
      </c>
      <c r="P621" s="40">
        <v>0</v>
      </c>
      <c r="Q621" s="40">
        <v>0</v>
      </c>
      <c r="R621" s="40">
        <v>0</v>
      </c>
      <c r="S621" s="40">
        <v>0</v>
      </c>
      <c r="T621" s="40">
        <v>0</v>
      </c>
      <c r="U621" s="40">
        <v>0</v>
      </c>
    </row>
    <row r="622" spans="1:21" x14ac:dyDescent="0.2">
      <c r="A622" t="s">
        <v>833</v>
      </c>
      <c r="B622">
        <v>881</v>
      </c>
      <c r="C622">
        <v>1</v>
      </c>
      <c r="D622" t="s">
        <v>333</v>
      </c>
      <c r="E622" s="40">
        <v>0</v>
      </c>
      <c r="F622" s="40">
        <v>0</v>
      </c>
      <c r="G622" s="40">
        <v>0</v>
      </c>
      <c r="H622" s="40">
        <v>0</v>
      </c>
      <c r="I622" s="40">
        <v>0</v>
      </c>
      <c r="J622" s="40">
        <v>0</v>
      </c>
      <c r="K622" s="40">
        <v>0</v>
      </c>
      <c r="L622" s="40">
        <v>0</v>
      </c>
      <c r="M622" s="40">
        <v>0</v>
      </c>
      <c r="N622" s="40">
        <v>0</v>
      </c>
      <c r="O622" s="40">
        <v>0</v>
      </c>
      <c r="P622" s="40">
        <v>0</v>
      </c>
      <c r="Q622" s="40">
        <v>0</v>
      </c>
      <c r="R622" s="40">
        <v>0</v>
      </c>
      <c r="S622" s="40">
        <v>0</v>
      </c>
      <c r="T622" s="40">
        <v>0</v>
      </c>
      <c r="U622" s="40">
        <v>0</v>
      </c>
    </row>
    <row r="623" spans="1:21" x14ac:dyDescent="0.2">
      <c r="A623" t="s">
        <v>833</v>
      </c>
      <c r="B623">
        <v>882</v>
      </c>
      <c r="C623">
        <v>1</v>
      </c>
      <c r="D623" t="s">
        <v>334</v>
      </c>
      <c r="E623" s="40">
        <v>0</v>
      </c>
      <c r="F623" s="40">
        <v>0</v>
      </c>
      <c r="G623" s="40">
        <v>0</v>
      </c>
      <c r="H623" s="40">
        <v>0</v>
      </c>
      <c r="I623" s="40">
        <v>0</v>
      </c>
      <c r="J623" s="40">
        <v>0</v>
      </c>
      <c r="K623" s="40">
        <v>0</v>
      </c>
      <c r="L623" s="40">
        <v>0</v>
      </c>
      <c r="M623" s="40">
        <v>0</v>
      </c>
      <c r="N623" s="40">
        <v>0</v>
      </c>
      <c r="O623" s="40">
        <v>0</v>
      </c>
      <c r="P623" s="40">
        <v>0</v>
      </c>
      <c r="Q623" s="40">
        <v>0</v>
      </c>
      <c r="R623" s="40">
        <v>0</v>
      </c>
      <c r="S623" s="40">
        <v>0</v>
      </c>
      <c r="T623" s="40">
        <v>0</v>
      </c>
      <c r="U623" s="40">
        <v>0</v>
      </c>
    </row>
    <row r="624" spans="1:21" x14ac:dyDescent="0.2">
      <c r="A624" t="s">
        <v>833</v>
      </c>
      <c r="B624">
        <v>883</v>
      </c>
      <c r="C624">
        <v>1</v>
      </c>
      <c r="D624" t="s">
        <v>335</v>
      </c>
      <c r="E624" s="40">
        <v>0</v>
      </c>
      <c r="F624" s="40">
        <v>0</v>
      </c>
      <c r="G624" s="40">
        <v>0</v>
      </c>
      <c r="H624" s="40">
        <v>0</v>
      </c>
      <c r="I624" s="40">
        <v>0</v>
      </c>
      <c r="J624" s="40">
        <v>0</v>
      </c>
      <c r="K624" s="40">
        <v>0</v>
      </c>
      <c r="L624" s="40">
        <v>0</v>
      </c>
      <c r="M624" s="40">
        <v>0</v>
      </c>
      <c r="N624" s="40">
        <v>0</v>
      </c>
      <c r="O624" s="40">
        <v>0</v>
      </c>
      <c r="P624" s="40">
        <v>0</v>
      </c>
      <c r="Q624" s="40">
        <v>0</v>
      </c>
      <c r="R624" s="40">
        <v>0</v>
      </c>
      <c r="S624" s="40">
        <v>0</v>
      </c>
      <c r="T624" s="40">
        <v>0</v>
      </c>
      <c r="U624" s="40">
        <v>0</v>
      </c>
    </row>
    <row r="625" spans="1:21" x14ac:dyDescent="0.2">
      <c r="A625" t="s">
        <v>833</v>
      </c>
      <c r="B625">
        <v>885</v>
      </c>
      <c r="C625">
        <v>1</v>
      </c>
      <c r="D625" t="s">
        <v>336</v>
      </c>
      <c r="E625" s="40">
        <v>0</v>
      </c>
      <c r="F625" s="40">
        <v>0</v>
      </c>
      <c r="G625" s="40">
        <v>0</v>
      </c>
      <c r="H625" s="40">
        <v>0</v>
      </c>
      <c r="I625" s="40">
        <v>0</v>
      </c>
      <c r="J625" s="40">
        <v>0</v>
      </c>
      <c r="K625" s="40">
        <v>0</v>
      </c>
      <c r="L625" s="40">
        <v>0</v>
      </c>
      <c r="M625" s="40">
        <v>0</v>
      </c>
      <c r="N625" s="40">
        <v>0</v>
      </c>
      <c r="O625" s="40">
        <v>0</v>
      </c>
      <c r="P625" s="40">
        <v>0</v>
      </c>
      <c r="Q625" s="40">
        <v>0</v>
      </c>
      <c r="R625" s="40">
        <v>0</v>
      </c>
      <c r="S625" s="40">
        <v>0</v>
      </c>
      <c r="T625" s="40">
        <v>0</v>
      </c>
      <c r="U625" s="40">
        <v>0</v>
      </c>
    </row>
    <row r="626" spans="1:21" x14ac:dyDescent="0.2">
      <c r="A626" t="s">
        <v>833</v>
      </c>
      <c r="B626">
        <v>891</v>
      </c>
      <c r="C626">
        <v>1</v>
      </c>
      <c r="D626" t="s">
        <v>337</v>
      </c>
      <c r="E626" s="40">
        <v>0</v>
      </c>
      <c r="F626" s="40">
        <v>0</v>
      </c>
      <c r="G626" s="40">
        <v>0</v>
      </c>
      <c r="H626" s="40">
        <v>0</v>
      </c>
      <c r="I626" s="40">
        <v>0</v>
      </c>
      <c r="J626" s="40">
        <v>0</v>
      </c>
      <c r="K626" s="40">
        <v>0</v>
      </c>
      <c r="L626" s="40">
        <v>0</v>
      </c>
      <c r="M626" s="40">
        <v>0</v>
      </c>
      <c r="N626" s="40">
        <v>0</v>
      </c>
      <c r="O626" s="40">
        <v>0</v>
      </c>
      <c r="P626" s="40">
        <v>0</v>
      </c>
      <c r="Q626" s="40">
        <v>0</v>
      </c>
      <c r="R626" s="40">
        <v>0</v>
      </c>
      <c r="S626" s="40">
        <v>0</v>
      </c>
      <c r="T626" s="40">
        <v>0</v>
      </c>
      <c r="U626" s="40">
        <v>0</v>
      </c>
    </row>
    <row r="627" spans="1:21" x14ac:dyDescent="0.2">
      <c r="A627" t="s">
        <v>833</v>
      </c>
      <c r="B627">
        <v>911</v>
      </c>
      <c r="C627">
        <v>1</v>
      </c>
      <c r="D627" t="s">
        <v>338</v>
      </c>
      <c r="E627" s="40">
        <v>0</v>
      </c>
      <c r="F627" s="40">
        <v>0</v>
      </c>
      <c r="G627" s="40">
        <v>0</v>
      </c>
      <c r="H627" s="40">
        <v>0</v>
      </c>
      <c r="I627" s="40">
        <v>0</v>
      </c>
      <c r="J627" s="40">
        <v>0</v>
      </c>
      <c r="K627" s="40">
        <v>0</v>
      </c>
      <c r="L627" s="40">
        <v>0</v>
      </c>
      <c r="M627" s="40">
        <v>0</v>
      </c>
      <c r="N627" s="40">
        <v>0</v>
      </c>
      <c r="O627" s="40">
        <v>0</v>
      </c>
      <c r="P627" s="40">
        <v>0</v>
      </c>
      <c r="Q627" s="40">
        <v>0</v>
      </c>
      <c r="R627" s="40">
        <v>0</v>
      </c>
      <c r="S627" s="40">
        <v>0</v>
      </c>
      <c r="T627" s="40">
        <v>0</v>
      </c>
      <c r="U627" s="40">
        <v>0</v>
      </c>
    </row>
    <row r="628" spans="1:21" x14ac:dyDescent="0.2">
      <c r="A628" t="s">
        <v>833</v>
      </c>
      <c r="B628">
        <v>912</v>
      </c>
      <c r="C628">
        <v>1</v>
      </c>
      <c r="D628" t="s">
        <v>339</v>
      </c>
      <c r="E628" s="40">
        <v>0</v>
      </c>
      <c r="F628" s="40">
        <v>0</v>
      </c>
      <c r="G628" s="40">
        <v>0</v>
      </c>
      <c r="H628" s="40">
        <v>0</v>
      </c>
      <c r="I628" s="40">
        <v>0</v>
      </c>
      <c r="J628" s="40">
        <v>0</v>
      </c>
      <c r="K628" s="40">
        <v>0</v>
      </c>
      <c r="L628" s="40">
        <v>0</v>
      </c>
      <c r="M628" s="40">
        <v>0</v>
      </c>
      <c r="N628" s="40">
        <v>0</v>
      </c>
      <c r="O628" s="40">
        <v>0</v>
      </c>
      <c r="P628" s="40">
        <v>0</v>
      </c>
      <c r="Q628" s="40">
        <v>0</v>
      </c>
      <c r="R628" s="40">
        <v>0</v>
      </c>
      <c r="S628" s="40">
        <v>0</v>
      </c>
      <c r="T628" s="40">
        <v>0</v>
      </c>
      <c r="U628" s="40">
        <v>0</v>
      </c>
    </row>
    <row r="629" spans="1:21" x14ac:dyDescent="0.2">
      <c r="A629" t="s">
        <v>833</v>
      </c>
      <c r="B629">
        <v>914</v>
      </c>
      <c r="C629">
        <v>1</v>
      </c>
      <c r="D629" t="s">
        <v>340</v>
      </c>
      <c r="E629" s="40">
        <v>0</v>
      </c>
      <c r="F629" s="40">
        <v>0</v>
      </c>
      <c r="G629" s="40">
        <v>0</v>
      </c>
      <c r="H629" s="40">
        <v>0</v>
      </c>
      <c r="I629" s="40">
        <v>0</v>
      </c>
      <c r="J629" s="40">
        <v>0</v>
      </c>
      <c r="K629" s="40">
        <v>0</v>
      </c>
      <c r="L629" s="40">
        <v>0</v>
      </c>
      <c r="M629" s="40">
        <v>0</v>
      </c>
      <c r="N629" s="40">
        <v>0</v>
      </c>
      <c r="O629" s="40">
        <v>0</v>
      </c>
      <c r="P629" s="40">
        <v>0</v>
      </c>
      <c r="Q629" s="40">
        <v>0</v>
      </c>
      <c r="R629" s="40">
        <v>0</v>
      </c>
      <c r="S629" s="40">
        <v>0</v>
      </c>
      <c r="T629" s="40">
        <v>0</v>
      </c>
      <c r="U629" s="40">
        <v>0</v>
      </c>
    </row>
    <row r="630" spans="1:21" x14ac:dyDescent="0.2">
      <c r="A630" t="s">
        <v>833</v>
      </c>
      <c r="B630">
        <v>2071</v>
      </c>
      <c r="C630">
        <v>1</v>
      </c>
      <c r="D630" t="s">
        <v>341</v>
      </c>
      <c r="E630" s="40">
        <v>0</v>
      </c>
      <c r="F630" s="40">
        <v>0</v>
      </c>
      <c r="G630" s="40">
        <v>0</v>
      </c>
      <c r="H630" s="40">
        <v>0</v>
      </c>
      <c r="I630" s="40">
        <v>0</v>
      </c>
      <c r="J630" s="40">
        <v>0</v>
      </c>
      <c r="K630" s="40">
        <v>0</v>
      </c>
      <c r="L630" s="40">
        <v>0</v>
      </c>
      <c r="M630" s="40">
        <v>0</v>
      </c>
      <c r="N630" s="40">
        <v>0</v>
      </c>
      <c r="O630" s="40">
        <v>0</v>
      </c>
      <c r="P630" s="40">
        <v>0</v>
      </c>
      <c r="Q630" s="40">
        <v>0</v>
      </c>
      <c r="R630" s="40">
        <v>0</v>
      </c>
      <c r="S630" s="40">
        <v>0</v>
      </c>
      <c r="T630" s="40">
        <v>0</v>
      </c>
      <c r="U630" s="40">
        <v>0</v>
      </c>
    </row>
    <row r="631" spans="1:21" x14ac:dyDescent="0.2">
      <c r="A631" t="s">
        <v>833</v>
      </c>
      <c r="B631">
        <v>2125</v>
      </c>
      <c r="C631">
        <v>1</v>
      </c>
      <c r="D631" t="s">
        <v>342</v>
      </c>
      <c r="E631" s="40">
        <v>0</v>
      </c>
      <c r="F631" s="40">
        <v>0</v>
      </c>
      <c r="G631" s="40">
        <v>0</v>
      </c>
      <c r="H631" s="40">
        <v>0</v>
      </c>
      <c r="I631" s="40">
        <v>0</v>
      </c>
      <c r="J631" s="40">
        <v>0</v>
      </c>
      <c r="K631" s="40">
        <v>0</v>
      </c>
      <c r="L631" s="40">
        <v>0</v>
      </c>
      <c r="M631" s="40">
        <v>0</v>
      </c>
      <c r="N631" s="40">
        <v>0</v>
      </c>
      <c r="O631" s="40">
        <v>0</v>
      </c>
      <c r="P631" s="40">
        <v>0</v>
      </c>
      <c r="Q631" s="40">
        <v>0</v>
      </c>
      <c r="R631" s="40">
        <v>0</v>
      </c>
      <c r="S631" s="40">
        <v>0</v>
      </c>
      <c r="T631" s="40">
        <v>0</v>
      </c>
      <c r="U631" s="40">
        <v>0</v>
      </c>
    </row>
    <row r="632" spans="1:21" x14ac:dyDescent="0.2">
      <c r="A632" t="s">
        <v>833</v>
      </c>
      <c r="B632">
        <v>2134</v>
      </c>
      <c r="C632">
        <v>1</v>
      </c>
      <c r="D632" t="s">
        <v>343</v>
      </c>
      <c r="E632" s="40">
        <v>0</v>
      </c>
      <c r="F632" s="40">
        <v>0</v>
      </c>
      <c r="G632" s="40">
        <v>0</v>
      </c>
      <c r="H632" s="40">
        <v>0</v>
      </c>
      <c r="I632" s="40">
        <v>0</v>
      </c>
      <c r="J632" s="40">
        <v>0</v>
      </c>
      <c r="K632" s="40">
        <v>0</v>
      </c>
      <c r="L632" s="40">
        <v>0</v>
      </c>
      <c r="M632" s="40">
        <v>0</v>
      </c>
      <c r="N632" s="40">
        <v>0</v>
      </c>
      <c r="O632" s="40">
        <v>0</v>
      </c>
      <c r="P632" s="40">
        <v>0</v>
      </c>
      <c r="Q632" s="40">
        <v>0</v>
      </c>
      <c r="R632" s="40">
        <v>0</v>
      </c>
      <c r="S632" s="40">
        <v>0</v>
      </c>
      <c r="T632" s="40">
        <v>0</v>
      </c>
      <c r="U632" s="40">
        <v>0</v>
      </c>
    </row>
    <row r="633" spans="1:21" x14ac:dyDescent="0.2">
      <c r="A633" t="s">
        <v>833</v>
      </c>
      <c r="B633">
        <v>2135</v>
      </c>
      <c r="C633">
        <v>1</v>
      </c>
      <c r="D633" t="s">
        <v>344</v>
      </c>
      <c r="E633" s="40">
        <v>0</v>
      </c>
      <c r="F633" s="40">
        <v>0</v>
      </c>
      <c r="G633" s="40">
        <v>0</v>
      </c>
      <c r="H633" s="40">
        <v>0</v>
      </c>
      <c r="I633" s="40">
        <v>0</v>
      </c>
      <c r="J633" s="40">
        <v>0</v>
      </c>
      <c r="K633" s="40">
        <v>0</v>
      </c>
      <c r="L633" s="40">
        <v>0</v>
      </c>
      <c r="M633" s="40">
        <v>0</v>
      </c>
      <c r="N633" s="40">
        <v>0</v>
      </c>
      <c r="O633" s="40">
        <v>0</v>
      </c>
      <c r="P633" s="40">
        <v>0</v>
      </c>
      <c r="Q633" s="40">
        <v>0</v>
      </c>
      <c r="R633" s="40">
        <v>0</v>
      </c>
      <c r="S633" s="40">
        <v>0</v>
      </c>
      <c r="T633" s="40">
        <v>0</v>
      </c>
      <c r="U633" s="40">
        <v>0</v>
      </c>
    </row>
    <row r="634" spans="1:21" x14ac:dyDescent="0.2">
      <c r="A634" t="s">
        <v>833</v>
      </c>
      <c r="B634">
        <v>2137</v>
      </c>
      <c r="C634">
        <v>1</v>
      </c>
      <c r="D634" t="s">
        <v>345</v>
      </c>
      <c r="E634" s="40">
        <v>0</v>
      </c>
      <c r="F634" s="40">
        <v>0</v>
      </c>
      <c r="G634" s="40">
        <v>0</v>
      </c>
      <c r="H634" s="40">
        <v>0</v>
      </c>
      <c r="I634" s="40">
        <v>0</v>
      </c>
      <c r="J634" s="40">
        <v>0</v>
      </c>
      <c r="K634" s="40">
        <v>0</v>
      </c>
      <c r="L634" s="40">
        <v>0</v>
      </c>
      <c r="M634" s="40">
        <v>0</v>
      </c>
      <c r="N634" s="40">
        <v>0</v>
      </c>
      <c r="O634" s="40">
        <v>0</v>
      </c>
      <c r="P634" s="40">
        <v>0</v>
      </c>
      <c r="Q634" s="40">
        <v>0</v>
      </c>
      <c r="R634" s="40">
        <v>0</v>
      </c>
      <c r="S634" s="40">
        <v>0</v>
      </c>
      <c r="T634" s="40">
        <v>0</v>
      </c>
      <c r="U634" s="40">
        <v>0</v>
      </c>
    </row>
    <row r="635" spans="1:21" x14ac:dyDescent="0.2">
      <c r="A635" t="s">
        <v>833</v>
      </c>
      <c r="B635">
        <v>2142</v>
      </c>
      <c r="C635">
        <v>1</v>
      </c>
      <c r="D635" t="s">
        <v>346</v>
      </c>
      <c r="E635" s="40">
        <v>0</v>
      </c>
      <c r="F635" s="40">
        <v>0</v>
      </c>
      <c r="G635" s="40">
        <v>0</v>
      </c>
      <c r="H635" s="40">
        <v>0</v>
      </c>
      <c r="I635" s="40">
        <v>0</v>
      </c>
      <c r="J635" s="40">
        <v>0</v>
      </c>
      <c r="K635" s="40">
        <v>0</v>
      </c>
      <c r="L635" s="40">
        <v>0</v>
      </c>
      <c r="M635" s="40">
        <v>0</v>
      </c>
      <c r="N635" s="40">
        <v>0</v>
      </c>
      <c r="O635" s="40">
        <v>0</v>
      </c>
      <c r="P635" s="40">
        <v>0</v>
      </c>
      <c r="Q635" s="40">
        <v>0</v>
      </c>
      <c r="R635" s="40">
        <v>0</v>
      </c>
      <c r="S635" s="40">
        <v>0</v>
      </c>
      <c r="T635" s="40">
        <v>0</v>
      </c>
      <c r="U635" s="40">
        <v>0</v>
      </c>
    </row>
    <row r="636" spans="1:21" x14ac:dyDescent="0.2">
      <c r="A636" t="s">
        <v>833</v>
      </c>
      <c r="B636">
        <v>2143</v>
      </c>
      <c r="C636">
        <v>1</v>
      </c>
      <c r="D636" t="s">
        <v>347</v>
      </c>
      <c r="E636" s="40">
        <v>0</v>
      </c>
      <c r="F636" s="40">
        <v>0</v>
      </c>
      <c r="G636" s="40">
        <v>0</v>
      </c>
      <c r="H636" s="40">
        <v>0</v>
      </c>
      <c r="I636" s="40">
        <v>0</v>
      </c>
      <c r="J636" s="40">
        <v>0</v>
      </c>
      <c r="K636" s="40">
        <v>0</v>
      </c>
      <c r="L636" s="40">
        <v>0</v>
      </c>
      <c r="M636" s="40">
        <v>0</v>
      </c>
      <c r="N636" s="40">
        <v>0</v>
      </c>
      <c r="O636" s="40">
        <v>0</v>
      </c>
      <c r="P636" s="40">
        <v>0</v>
      </c>
      <c r="Q636" s="40">
        <v>0</v>
      </c>
      <c r="R636" s="40">
        <v>0</v>
      </c>
      <c r="S636" s="40">
        <v>0</v>
      </c>
      <c r="T636" s="40">
        <v>0</v>
      </c>
      <c r="U636" s="40">
        <v>0</v>
      </c>
    </row>
    <row r="637" spans="1:21" x14ac:dyDescent="0.2">
      <c r="A637" t="s">
        <v>833</v>
      </c>
      <c r="B637">
        <v>2144</v>
      </c>
      <c r="C637">
        <v>1</v>
      </c>
      <c r="D637" t="s">
        <v>348</v>
      </c>
      <c r="E637" s="40">
        <v>0</v>
      </c>
      <c r="F637" s="40">
        <v>0</v>
      </c>
      <c r="G637" s="40">
        <v>0</v>
      </c>
      <c r="H637" s="40">
        <v>0</v>
      </c>
      <c r="I637" s="40">
        <v>0</v>
      </c>
      <c r="J637" s="40">
        <v>0</v>
      </c>
      <c r="K637" s="40">
        <v>0</v>
      </c>
      <c r="L637" s="40">
        <v>0</v>
      </c>
      <c r="M637" s="40">
        <v>0</v>
      </c>
      <c r="N637" s="40">
        <v>0</v>
      </c>
      <c r="O637" s="40">
        <v>0</v>
      </c>
      <c r="P637" s="40">
        <v>0</v>
      </c>
      <c r="Q637" s="40">
        <v>0</v>
      </c>
      <c r="R637" s="40">
        <v>0</v>
      </c>
      <c r="S637" s="40">
        <v>0</v>
      </c>
      <c r="T637" s="40">
        <v>0</v>
      </c>
      <c r="U637" s="40">
        <v>0</v>
      </c>
    </row>
    <row r="638" spans="1:21" x14ac:dyDescent="0.2">
      <c r="A638" t="s">
        <v>833</v>
      </c>
      <c r="B638">
        <v>2149</v>
      </c>
      <c r="C638">
        <v>1</v>
      </c>
      <c r="D638" t="s">
        <v>349</v>
      </c>
      <c r="E638" s="40">
        <v>0</v>
      </c>
      <c r="F638" s="40">
        <v>0</v>
      </c>
      <c r="G638" s="40">
        <v>0</v>
      </c>
      <c r="H638" s="40">
        <v>0</v>
      </c>
      <c r="I638" s="40">
        <v>0</v>
      </c>
      <c r="J638" s="40">
        <v>0</v>
      </c>
      <c r="K638" s="40">
        <v>0</v>
      </c>
      <c r="L638" s="40">
        <v>0</v>
      </c>
      <c r="M638" s="40">
        <v>0</v>
      </c>
      <c r="N638" s="40">
        <v>0</v>
      </c>
      <c r="O638" s="40">
        <v>0</v>
      </c>
      <c r="P638" s="40">
        <v>0</v>
      </c>
      <c r="Q638" s="40">
        <v>0</v>
      </c>
      <c r="R638" s="40">
        <v>0</v>
      </c>
      <c r="S638" s="40">
        <v>0</v>
      </c>
      <c r="T638" s="40">
        <v>0</v>
      </c>
      <c r="U638" s="40">
        <v>0</v>
      </c>
    </row>
    <row r="639" spans="1:21" x14ac:dyDescent="0.2">
      <c r="A639" t="s">
        <v>833</v>
      </c>
      <c r="B639">
        <v>2154</v>
      </c>
      <c r="C639">
        <v>1</v>
      </c>
      <c r="D639" t="s">
        <v>350</v>
      </c>
      <c r="E639" s="40">
        <v>0</v>
      </c>
      <c r="F639" s="40">
        <v>0</v>
      </c>
      <c r="G639" s="40">
        <v>0</v>
      </c>
      <c r="H639" s="40">
        <v>0</v>
      </c>
      <c r="I639" s="40">
        <v>0</v>
      </c>
      <c r="J639" s="40">
        <v>0</v>
      </c>
      <c r="K639" s="40">
        <v>0</v>
      </c>
      <c r="L639" s="40">
        <v>0</v>
      </c>
      <c r="M639" s="40">
        <v>0</v>
      </c>
      <c r="N639" s="40">
        <v>0</v>
      </c>
      <c r="O639" s="40">
        <v>0</v>
      </c>
      <c r="P639" s="40">
        <v>0</v>
      </c>
      <c r="Q639" s="40">
        <v>0</v>
      </c>
      <c r="R639" s="40">
        <v>0</v>
      </c>
      <c r="S639" s="40">
        <v>0</v>
      </c>
      <c r="T639" s="40">
        <v>0</v>
      </c>
      <c r="U639" s="40">
        <v>0</v>
      </c>
    </row>
    <row r="640" spans="1:21" x14ac:dyDescent="0.2">
      <c r="A640" t="s">
        <v>833</v>
      </c>
      <c r="B640">
        <v>2155</v>
      </c>
      <c r="C640">
        <v>1</v>
      </c>
      <c r="D640" t="s">
        <v>351</v>
      </c>
      <c r="E640" s="40">
        <v>0</v>
      </c>
      <c r="F640" s="40">
        <v>0</v>
      </c>
      <c r="G640" s="40">
        <v>0</v>
      </c>
      <c r="H640" s="40">
        <v>0</v>
      </c>
      <c r="I640" s="40">
        <v>0</v>
      </c>
      <c r="J640" s="40">
        <v>0</v>
      </c>
      <c r="K640" s="40">
        <v>0</v>
      </c>
      <c r="L640" s="40">
        <v>0</v>
      </c>
      <c r="M640" s="40">
        <v>0</v>
      </c>
      <c r="N640" s="40">
        <v>0</v>
      </c>
      <c r="O640" s="40">
        <v>0</v>
      </c>
      <c r="P640" s="40">
        <v>0</v>
      </c>
      <c r="Q640" s="40">
        <v>0</v>
      </c>
      <c r="R640" s="40">
        <v>0</v>
      </c>
      <c r="S640" s="40">
        <v>0</v>
      </c>
      <c r="T640" s="40">
        <v>0</v>
      </c>
      <c r="U640" s="40">
        <v>0</v>
      </c>
    </row>
    <row r="641" spans="1:21" x14ac:dyDescent="0.2">
      <c r="A641" t="s">
        <v>833</v>
      </c>
      <c r="B641">
        <v>2159</v>
      </c>
      <c r="C641">
        <v>1</v>
      </c>
      <c r="D641" t="s">
        <v>352</v>
      </c>
      <c r="E641" s="40">
        <v>0</v>
      </c>
      <c r="F641" s="40">
        <v>0</v>
      </c>
      <c r="G641" s="40">
        <v>0</v>
      </c>
      <c r="H641" s="40">
        <v>0</v>
      </c>
      <c r="I641" s="40">
        <v>0</v>
      </c>
      <c r="J641" s="40">
        <v>0</v>
      </c>
      <c r="K641" s="40">
        <v>0</v>
      </c>
      <c r="L641" s="40">
        <v>0</v>
      </c>
      <c r="M641" s="40">
        <v>0</v>
      </c>
      <c r="N641" s="40">
        <v>0</v>
      </c>
      <c r="O641" s="40">
        <v>0</v>
      </c>
      <c r="P641" s="40">
        <v>0</v>
      </c>
      <c r="Q641" s="40">
        <v>0</v>
      </c>
      <c r="R641" s="40">
        <v>0</v>
      </c>
      <c r="S641" s="40">
        <v>0</v>
      </c>
      <c r="T641" s="40">
        <v>0</v>
      </c>
      <c r="U641" s="40">
        <v>0</v>
      </c>
    </row>
    <row r="642" spans="1:21" x14ac:dyDescent="0.2">
      <c r="A642" t="s">
        <v>833</v>
      </c>
      <c r="B642">
        <v>2164</v>
      </c>
      <c r="C642">
        <v>1</v>
      </c>
      <c r="D642" t="s">
        <v>353</v>
      </c>
      <c r="E642" s="40">
        <v>0</v>
      </c>
      <c r="F642" s="40">
        <v>0</v>
      </c>
      <c r="G642" s="40">
        <v>0</v>
      </c>
      <c r="H642" s="40">
        <v>0</v>
      </c>
      <c r="I642" s="40">
        <v>0</v>
      </c>
      <c r="J642" s="40">
        <v>0</v>
      </c>
      <c r="K642" s="40">
        <v>0</v>
      </c>
      <c r="L642" s="40">
        <v>0</v>
      </c>
      <c r="M642" s="40">
        <v>0</v>
      </c>
      <c r="N642" s="40">
        <v>0</v>
      </c>
      <c r="O642" s="40">
        <v>0</v>
      </c>
      <c r="P642" s="40">
        <v>0</v>
      </c>
      <c r="Q642" s="40">
        <v>0</v>
      </c>
      <c r="R642" s="40">
        <v>0</v>
      </c>
      <c r="S642" s="40">
        <v>0</v>
      </c>
      <c r="T642" s="40">
        <v>0</v>
      </c>
      <c r="U642" s="40">
        <v>0</v>
      </c>
    </row>
    <row r="643" spans="1:21" x14ac:dyDescent="0.2">
      <c r="A643" t="s">
        <v>833</v>
      </c>
      <c r="B643">
        <v>2165</v>
      </c>
      <c r="C643">
        <v>1</v>
      </c>
      <c r="D643" t="s">
        <v>354</v>
      </c>
      <c r="E643" s="40">
        <v>0</v>
      </c>
      <c r="F643" s="40">
        <v>0</v>
      </c>
      <c r="G643" s="40">
        <v>0</v>
      </c>
      <c r="H643" s="40">
        <v>0</v>
      </c>
      <c r="I643" s="40">
        <v>0</v>
      </c>
      <c r="J643" s="40">
        <v>0</v>
      </c>
      <c r="K643" s="40">
        <v>0</v>
      </c>
      <c r="L643" s="40">
        <v>0</v>
      </c>
      <c r="M643" s="40">
        <v>0</v>
      </c>
      <c r="N643" s="40">
        <v>0</v>
      </c>
      <c r="O643" s="40">
        <v>0</v>
      </c>
      <c r="P643" s="40">
        <v>0</v>
      </c>
      <c r="Q643" s="40">
        <v>0</v>
      </c>
      <c r="R643" s="40">
        <v>0</v>
      </c>
      <c r="S643" s="40">
        <v>0</v>
      </c>
      <c r="T643" s="40">
        <v>0</v>
      </c>
      <c r="U643" s="40">
        <v>0</v>
      </c>
    </row>
    <row r="644" spans="1:21" x14ac:dyDescent="0.2">
      <c r="A644" t="s">
        <v>833</v>
      </c>
      <c r="B644">
        <v>2167</v>
      </c>
      <c r="C644">
        <v>1</v>
      </c>
      <c r="D644" t="s">
        <v>355</v>
      </c>
      <c r="E644" s="40">
        <v>0</v>
      </c>
      <c r="F644" s="40">
        <v>0</v>
      </c>
      <c r="G644" s="40">
        <v>0</v>
      </c>
      <c r="H644" s="40">
        <v>0</v>
      </c>
      <c r="I644" s="40">
        <v>0</v>
      </c>
      <c r="J644" s="40">
        <v>0</v>
      </c>
      <c r="K644" s="40">
        <v>0</v>
      </c>
      <c r="L644" s="40">
        <v>0</v>
      </c>
      <c r="M644" s="40">
        <v>0</v>
      </c>
      <c r="N644" s="40">
        <v>0</v>
      </c>
      <c r="O644" s="40">
        <v>0</v>
      </c>
      <c r="P644" s="40">
        <v>0</v>
      </c>
      <c r="Q644" s="40">
        <v>0</v>
      </c>
      <c r="R644" s="40">
        <v>0</v>
      </c>
      <c r="S644" s="40">
        <v>0</v>
      </c>
      <c r="T644" s="40">
        <v>0</v>
      </c>
      <c r="U644" s="40">
        <v>0</v>
      </c>
    </row>
    <row r="645" spans="1:21" x14ac:dyDescent="0.2">
      <c r="A645" t="s">
        <v>833</v>
      </c>
      <c r="B645">
        <v>2168</v>
      </c>
      <c r="C645">
        <v>1</v>
      </c>
      <c r="D645" t="s">
        <v>356</v>
      </c>
      <c r="E645" s="40">
        <v>0</v>
      </c>
      <c r="F645" s="40">
        <v>0</v>
      </c>
      <c r="G645" s="40">
        <v>0</v>
      </c>
      <c r="H645" s="40">
        <v>0</v>
      </c>
      <c r="I645" s="40">
        <v>0</v>
      </c>
      <c r="J645" s="40">
        <v>0</v>
      </c>
      <c r="K645" s="40">
        <v>0</v>
      </c>
      <c r="L645" s="40">
        <v>0</v>
      </c>
      <c r="M645" s="40">
        <v>0</v>
      </c>
      <c r="N645" s="40">
        <v>0</v>
      </c>
      <c r="O645" s="40">
        <v>0</v>
      </c>
      <c r="P645" s="40">
        <v>0</v>
      </c>
      <c r="Q645" s="40">
        <v>0</v>
      </c>
      <c r="R645" s="40">
        <v>0</v>
      </c>
      <c r="S645" s="40">
        <v>0</v>
      </c>
      <c r="T645" s="40">
        <v>0</v>
      </c>
      <c r="U645" s="40">
        <v>0</v>
      </c>
    </row>
    <row r="646" spans="1:21" x14ac:dyDescent="0.2">
      <c r="A646" t="s">
        <v>833</v>
      </c>
      <c r="B646">
        <v>2169</v>
      </c>
      <c r="C646">
        <v>1</v>
      </c>
      <c r="D646" t="s">
        <v>357</v>
      </c>
      <c r="E646" s="40">
        <v>0</v>
      </c>
      <c r="F646" s="40">
        <v>0</v>
      </c>
      <c r="G646" s="40">
        <v>0</v>
      </c>
      <c r="H646" s="40">
        <v>0</v>
      </c>
      <c r="I646" s="40">
        <v>0</v>
      </c>
      <c r="J646" s="40">
        <v>0</v>
      </c>
      <c r="K646" s="40">
        <v>0</v>
      </c>
      <c r="L646" s="40">
        <v>0</v>
      </c>
      <c r="M646" s="40">
        <v>0</v>
      </c>
      <c r="N646" s="40">
        <v>0</v>
      </c>
      <c r="O646" s="40">
        <v>0</v>
      </c>
      <c r="P646" s="40">
        <v>0</v>
      </c>
      <c r="Q646" s="40">
        <v>0</v>
      </c>
      <c r="R646" s="40">
        <v>0</v>
      </c>
      <c r="S646" s="40">
        <v>0</v>
      </c>
      <c r="T646" s="40">
        <v>0</v>
      </c>
      <c r="U646" s="40">
        <v>0</v>
      </c>
    </row>
    <row r="647" spans="1:21" x14ac:dyDescent="0.2">
      <c r="A647" t="s">
        <v>833</v>
      </c>
      <c r="B647">
        <v>2170</v>
      </c>
      <c r="C647">
        <v>1</v>
      </c>
      <c r="D647" t="s">
        <v>358</v>
      </c>
      <c r="E647" s="40">
        <v>0</v>
      </c>
      <c r="F647" s="40">
        <v>0</v>
      </c>
      <c r="G647" s="40">
        <v>0</v>
      </c>
      <c r="H647" s="40">
        <v>0</v>
      </c>
      <c r="I647" s="40">
        <v>0</v>
      </c>
      <c r="J647" s="40">
        <v>0</v>
      </c>
      <c r="K647" s="40">
        <v>0</v>
      </c>
      <c r="L647" s="40">
        <v>0</v>
      </c>
      <c r="M647" s="40">
        <v>0</v>
      </c>
      <c r="N647" s="40">
        <v>0</v>
      </c>
      <c r="O647" s="40">
        <v>0</v>
      </c>
      <c r="P647" s="40">
        <v>0</v>
      </c>
      <c r="Q647" s="40">
        <v>0</v>
      </c>
      <c r="R647" s="40">
        <v>0</v>
      </c>
      <c r="S647" s="40">
        <v>0</v>
      </c>
      <c r="T647" s="40">
        <v>0</v>
      </c>
      <c r="U647" s="40">
        <v>0</v>
      </c>
    </row>
    <row r="648" spans="1:21" x14ac:dyDescent="0.2">
      <c r="A648" t="s">
        <v>833</v>
      </c>
      <c r="B648">
        <v>2171</v>
      </c>
      <c r="C648">
        <v>1</v>
      </c>
      <c r="D648" t="s">
        <v>359</v>
      </c>
      <c r="E648" s="40">
        <v>0</v>
      </c>
      <c r="F648" s="40">
        <v>0</v>
      </c>
      <c r="G648" s="40">
        <v>0</v>
      </c>
      <c r="H648" s="40">
        <v>0</v>
      </c>
      <c r="I648" s="40">
        <v>0</v>
      </c>
      <c r="J648" s="40">
        <v>0</v>
      </c>
      <c r="K648" s="40">
        <v>0</v>
      </c>
      <c r="L648" s="40">
        <v>0</v>
      </c>
      <c r="M648" s="40">
        <v>0</v>
      </c>
      <c r="N648" s="40">
        <v>0</v>
      </c>
      <c r="O648" s="40">
        <v>0</v>
      </c>
      <c r="P648" s="40">
        <v>0</v>
      </c>
      <c r="Q648" s="40">
        <v>0</v>
      </c>
      <c r="R648" s="40">
        <v>0</v>
      </c>
      <c r="S648" s="40">
        <v>0</v>
      </c>
      <c r="T648" s="40">
        <v>0</v>
      </c>
      <c r="U648" s="40">
        <v>0</v>
      </c>
    </row>
    <row r="649" spans="1:21" x14ac:dyDescent="0.2">
      <c r="A649" t="s">
        <v>833</v>
      </c>
      <c r="B649">
        <v>2172</v>
      </c>
      <c r="C649">
        <v>1</v>
      </c>
      <c r="D649" t="s">
        <v>360</v>
      </c>
      <c r="E649" s="40">
        <v>0</v>
      </c>
      <c r="F649" s="40">
        <v>0</v>
      </c>
      <c r="G649" s="40">
        <v>0</v>
      </c>
      <c r="H649" s="40">
        <v>0</v>
      </c>
      <c r="I649" s="40">
        <v>0</v>
      </c>
      <c r="J649" s="40">
        <v>0</v>
      </c>
      <c r="K649" s="40">
        <v>0</v>
      </c>
      <c r="L649" s="40">
        <v>0</v>
      </c>
      <c r="M649" s="40">
        <v>0</v>
      </c>
      <c r="N649" s="40">
        <v>0</v>
      </c>
      <c r="O649" s="40">
        <v>0</v>
      </c>
      <c r="P649" s="40">
        <v>0</v>
      </c>
      <c r="Q649" s="40">
        <v>0</v>
      </c>
      <c r="R649" s="40">
        <v>0</v>
      </c>
      <c r="S649" s="40">
        <v>0</v>
      </c>
      <c r="T649" s="40">
        <v>0</v>
      </c>
      <c r="U649" s="40">
        <v>0</v>
      </c>
    </row>
    <row r="650" spans="1:21" x14ac:dyDescent="0.2">
      <c r="A650" t="s">
        <v>833</v>
      </c>
      <c r="B650">
        <v>2174</v>
      </c>
      <c r="C650">
        <v>1</v>
      </c>
      <c r="D650" t="s">
        <v>361</v>
      </c>
      <c r="E650" s="40">
        <v>0</v>
      </c>
      <c r="F650" s="40">
        <v>0</v>
      </c>
      <c r="G650" s="40">
        <v>0</v>
      </c>
      <c r="H650" s="40">
        <v>0</v>
      </c>
      <c r="I650" s="40">
        <v>0</v>
      </c>
      <c r="J650" s="40">
        <v>0</v>
      </c>
      <c r="K650" s="40">
        <v>0</v>
      </c>
      <c r="L650" s="40">
        <v>0</v>
      </c>
      <c r="M650" s="40">
        <v>0</v>
      </c>
      <c r="N650" s="40">
        <v>0</v>
      </c>
      <c r="O650" s="40">
        <v>0</v>
      </c>
      <c r="P650" s="40">
        <v>0</v>
      </c>
      <c r="Q650" s="40">
        <v>0</v>
      </c>
      <c r="R650" s="40">
        <v>0</v>
      </c>
      <c r="S650" s="40">
        <v>0</v>
      </c>
      <c r="T650" s="40">
        <v>0</v>
      </c>
      <c r="U650" s="40">
        <v>0</v>
      </c>
    </row>
    <row r="651" spans="1:21" x14ac:dyDescent="0.2">
      <c r="A651" t="s">
        <v>833</v>
      </c>
      <c r="B651">
        <v>2176</v>
      </c>
      <c r="C651">
        <v>1</v>
      </c>
      <c r="D651" t="s">
        <v>362</v>
      </c>
      <c r="E651" s="40">
        <v>0</v>
      </c>
      <c r="F651" s="40">
        <v>0</v>
      </c>
      <c r="G651" s="40">
        <v>0</v>
      </c>
      <c r="H651" s="40">
        <v>0</v>
      </c>
      <c r="I651" s="40">
        <v>0</v>
      </c>
      <c r="J651" s="40">
        <v>0</v>
      </c>
      <c r="K651" s="40">
        <v>0</v>
      </c>
      <c r="L651" s="40">
        <v>0</v>
      </c>
      <c r="M651" s="40">
        <v>0</v>
      </c>
      <c r="N651" s="40">
        <v>0</v>
      </c>
      <c r="O651" s="40">
        <v>0</v>
      </c>
      <c r="P651" s="40">
        <v>0</v>
      </c>
      <c r="Q651" s="40">
        <v>0</v>
      </c>
      <c r="R651" s="40">
        <v>0</v>
      </c>
      <c r="S651" s="40">
        <v>0</v>
      </c>
      <c r="T651" s="40">
        <v>0</v>
      </c>
      <c r="U651" s="40">
        <v>0</v>
      </c>
    </row>
    <row r="652" spans="1:21" x14ac:dyDescent="0.2">
      <c r="A652" t="s">
        <v>833</v>
      </c>
      <c r="B652">
        <v>2180</v>
      </c>
      <c r="C652">
        <v>1</v>
      </c>
      <c r="D652" t="s">
        <v>363</v>
      </c>
      <c r="E652" s="40">
        <v>0</v>
      </c>
      <c r="F652" s="40">
        <v>0</v>
      </c>
      <c r="G652" s="40">
        <v>0</v>
      </c>
      <c r="H652" s="40">
        <v>0</v>
      </c>
      <c r="I652" s="40">
        <v>0</v>
      </c>
      <c r="J652" s="40">
        <v>0</v>
      </c>
      <c r="K652" s="40">
        <v>0</v>
      </c>
      <c r="L652" s="40">
        <v>0</v>
      </c>
      <c r="M652" s="40">
        <v>0</v>
      </c>
      <c r="N652" s="40">
        <v>0</v>
      </c>
      <c r="O652" s="40">
        <v>0</v>
      </c>
      <c r="P652" s="40">
        <v>0</v>
      </c>
      <c r="Q652" s="40">
        <v>0</v>
      </c>
      <c r="R652" s="40">
        <v>0</v>
      </c>
      <c r="S652" s="40">
        <v>0</v>
      </c>
      <c r="T652" s="40">
        <v>0</v>
      </c>
      <c r="U652" s="40">
        <v>0</v>
      </c>
    </row>
    <row r="653" spans="1:21" x14ac:dyDescent="0.2">
      <c r="A653" t="s">
        <v>833</v>
      </c>
      <c r="B653">
        <v>2184</v>
      </c>
      <c r="C653">
        <v>1</v>
      </c>
      <c r="D653" t="s">
        <v>364</v>
      </c>
      <c r="E653" s="40">
        <v>0</v>
      </c>
      <c r="F653" s="40">
        <v>0</v>
      </c>
      <c r="G653" s="40">
        <v>0</v>
      </c>
      <c r="H653" s="40">
        <v>0</v>
      </c>
      <c r="I653" s="40">
        <v>0</v>
      </c>
      <c r="J653" s="40">
        <v>0</v>
      </c>
      <c r="K653" s="40">
        <v>0</v>
      </c>
      <c r="L653" s="40">
        <v>0</v>
      </c>
      <c r="M653" s="40">
        <v>0</v>
      </c>
      <c r="N653" s="40">
        <v>0</v>
      </c>
      <c r="O653" s="40">
        <v>0</v>
      </c>
      <c r="P653" s="40">
        <v>0</v>
      </c>
      <c r="Q653" s="40">
        <v>0</v>
      </c>
      <c r="R653" s="40">
        <v>0</v>
      </c>
      <c r="S653" s="40">
        <v>0</v>
      </c>
      <c r="T653" s="40">
        <v>0</v>
      </c>
      <c r="U653" s="40">
        <v>0</v>
      </c>
    </row>
    <row r="654" spans="1:21" x14ac:dyDescent="0.2">
      <c r="A654" t="s">
        <v>833</v>
      </c>
      <c r="B654">
        <v>2190</v>
      </c>
      <c r="C654">
        <v>1</v>
      </c>
      <c r="D654" t="s">
        <v>365</v>
      </c>
      <c r="E654" s="40">
        <v>0</v>
      </c>
      <c r="F654" s="40">
        <v>0</v>
      </c>
      <c r="G654" s="40">
        <v>0</v>
      </c>
      <c r="H654" s="40">
        <v>0</v>
      </c>
      <c r="I654" s="40">
        <v>0</v>
      </c>
      <c r="J654" s="40">
        <v>0</v>
      </c>
      <c r="K654" s="40">
        <v>0</v>
      </c>
      <c r="L654" s="40">
        <v>0</v>
      </c>
      <c r="M654" s="40">
        <v>0</v>
      </c>
      <c r="N654" s="40">
        <v>0</v>
      </c>
      <c r="O654" s="40">
        <v>0</v>
      </c>
      <c r="P654" s="40">
        <v>0</v>
      </c>
      <c r="Q654" s="40">
        <v>0</v>
      </c>
      <c r="R654" s="40">
        <v>0</v>
      </c>
      <c r="S654" s="40">
        <v>0</v>
      </c>
      <c r="T654" s="40">
        <v>0</v>
      </c>
      <c r="U654" s="40">
        <v>0</v>
      </c>
    </row>
    <row r="655" spans="1:21" x14ac:dyDescent="0.2">
      <c r="A655" t="s">
        <v>833</v>
      </c>
      <c r="B655">
        <v>2198</v>
      </c>
      <c r="C655">
        <v>1</v>
      </c>
      <c r="D655" t="s">
        <v>366</v>
      </c>
      <c r="E655" s="40">
        <v>0</v>
      </c>
      <c r="F655" s="40">
        <v>0</v>
      </c>
      <c r="G655" s="40">
        <v>0</v>
      </c>
      <c r="H655" s="40">
        <v>0</v>
      </c>
      <c r="I655" s="40">
        <v>0</v>
      </c>
      <c r="J655" s="40">
        <v>0</v>
      </c>
      <c r="K655" s="40">
        <v>0</v>
      </c>
      <c r="L655" s="40">
        <v>0</v>
      </c>
      <c r="M655" s="40">
        <v>0</v>
      </c>
      <c r="N655" s="40">
        <v>0</v>
      </c>
      <c r="O655" s="40">
        <v>0</v>
      </c>
      <c r="P655" s="40">
        <v>0</v>
      </c>
      <c r="Q655" s="40">
        <v>0</v>
      </c>
      <c r="R655" s="40">
        <v>0</v>
      </c>
      <c r="S655" s="40">
        <v>0</v>
      </c>
      <c r="T655" s="40">
        <v>0</v>
      </c>
      <c r="U655" s="40">
        <v>0</v>
      </c>
    </row>
    <row r="656" spans="1:21" x14ac:dyDescent="0.2">
      <c r="A656" t="s">
        <v>833</v>
      </c>
      <c r="B656">
        <v>2215</v>
      </c>
      <c r="C656">
        <v>1</v>
      </c>
      <c r="D656" t="s">
        <v>367</v>
      </c>
      <c r="E656" s="40">
        <v>0</v>
      </c>
      <c r="F656" s="40">
        <v>0</v>
      </c>
      <c r="G656" s="40">
        <v>0</v>
      </c>
      <c r="H656" s="40">
        <v>0</v>
      </c>
      <c r="I656" s="40">
        <v>0</v>
      </c>
      <c r="J656" s="40">
        <v>0</v>
      </c>
      <c r="K656" s="40">
        <v>0</v>
      </c>
      <c r="L656" s="40">
        <v>0</v>
      </c>
      <c r="M656" s="40">
        <v>0</v>
      </c>
      <c r="N656" s="40">
        <v>0</v>
      </c>
      <c r="O656" s="40">
        <v>0</v>
      </c>
      <c r="P656" s="40">
        <v>0</v>
      </c>
      <c r="Q656" s="40">
        <v>0</v>
      </c>
      <c r="R656" s="40">
        <v>0</v>
      </c>
      <c r="S656" s="40">
        <v>0</v>
      </c>
      <c r="T656" s="40">
        <v>0</v>
      </c>
      <c r="U656" s="40">
        <v>0</v>
      </c>
    </row>
    <row r="657" spans="1:21" x14ac:dyDescent="0.2">
      <c r="A657" t="s">
        <v>833</v>
      </c>
      <c r="B657">
        <v>2310</v>
      </c>
      <c r="C657">
        <v>1</v>
      </c>
      <c r="D657" t="s">
        <v>368</v>
      </c>
      <c r="E657" s="40">
        <v>0</v>
      </c>
      <c r="F657" s="40">
        <v>0</v>
      </c>
      <c r="G657" s="40">
        <v>0</v>
      </c>
      <c r="H657" s="40">
        <v>0</v>
      </c>
      <c r="I657" s="40">
        <v>0</v>
      </c>
      <c r="J657" s="40">
        <v>0</v>
      </c>
      <c r="K657" s="40">
        <v>0</v>
      </c>
      <c r="L657" s="40">
        <v>0</v>
      </c>
      <c r="M657" s="40">
        <v>0</v>
      </c>
      <c r="N657" s="40">
        <v>0</v>
      </c>
      <c r="O657" s="40">
        <v>0</v>
      </c>
      <c r="P657" s="40">
        <v>0</v>
      </c>
      <c r="Q657" s="40">
        <v>0</v>
      </c>
      <c r="R657" s="40">
        <v>0</v>
      </c>
      <c r="S657" s="40">
        <v>0</v>
      </c>
      <c r="T657" s="40">
        <v>0</v>
      </c>
      <c r="U657" s="40">
        <v>0</v>
      </c>
    </row>
    <row r="658" spans="1:21" x14ac:dyDescent="0.2">
      <c r="A658" t="s">
        <v>833</v>
      </c>
      <c r="B658">
        <v>2311</v>
      </c>
      <c r="C658">
        <v>1</v>
      </c>
      <c r="D658" t="s">
        <v>369</v>
      </c>
      <c r="E658" s="40">
        <v>0</v>
      </c>
      <c r="F658" s="40">
        <v>0</v>
      </c>
      <c r="G658" s="40">
        <v>0</v>
      </c>
      <c r="H658" s="40">
        <v>0</v>
      </c>
      <c r="I658" s="40">
        <v>0</v>
      </c>
      <c r="J658" s="40">
        <v>0</v>
      </c>
      <c r="K658" s="40">
        <v>0</v>
      </c>
      <c r="L658" s="40">
        <v>0</v>
      </c>
      <c r="M658" s="40">
        <v>0</v>
      </c>
      <c r="N658" s="40">
        <v>0</v>
      </c>
      <c r="O658" s="40">
        <v>0</v>
      </c>
      <c r="P658" s="40">
        <v>0</v>
      </c>
      <c r="Q658" s="40">
        <v>0</v>
      </c>
      <c r="R658" s="40">
        <v>0</v>
      </c>
      <c r="S658" s="40">
        <v>0</v>
      </c>
      <c r="T658" s="40">
        <v>0</v>
      </c>
      <c r="U658" s="40">
        <v>0</v>
      </c>
    </row>
    <row r="659" spans="1:21" x14ac:dyDescent="0.2">
      <c r="A659" t="s">
        <v>833</v>
      </c>
      <c r="B659">
        <v>2342</v>
      </c>
      <c r="C659">
        <v>1</v>
      </c>
      <c r="D659" t="s">
        <v>370</v>
      </c>
      <c r="E659" s="40">
        <v>0</v>
      </c>
      <c r="F659" s="40">
        <v>0</v>
      </c>
      <c r="G659" s="40">
        <v>0</v>
      </c>
      <c r="H659" s="40">
        <v>0</v>
      </c>
      <c r="I659" s="40">
        <v>0</v>
      </c>
      <c r="J659" s="40">
        <v>0</v>
      </c>
      <c r="K659" s="40">
        <v>0</v>
      </c>
      <c r="L659" s="40">
        <v>0</v>
      </c>
      <c r="M659" s="40">
        <v>0</v>
      </c>
      <c r="N659" s="40">
        <v>0</v>
      </c>
      <c r="O659" s="40">
        <v>0</v>
      </c>
      <c r="P659" s="40">
        <v>0</v>
      </c>
      <c r="Q659" s="40">
        <v>0</v>
      </c>
      <c r="R659" s="40">
        <v>0</v>
      </c>
      <c r="S659" s="40">
        <v>0</v>
      </c>
      <c r="T659" s="40">
        <v>0</v>
      </c>
      <c r="U659" s="40">
        <v>0</v>
      </c>
    </row>
    <row r="660" spans="1:21" x14ac:dyDescent="0.2">
      <c r="A660" t="s">
        <v>833</v>
      </c>
      <c r="B660">
        <v>2358</v>
      </c>
      <c r="C660">
        <v>1</v>
      </c>
      <c r="D660" t="s">
        <v>371</v>
      </c>
      <c r="E660" s="40">
        <v>0</v>
      </c>
      <c r="F660" s="40">
        <v>0</v>
      </c>
      <c r="G660" s="40">
        <v>0</v>
      </c>
      <c r="H660" s="40">
        <v>0</v>
      </c>
      <c r="I660" s="40">
        <v>0</v>
      </c>
      <c r="J660" s="40">
        <v>0</v>
      </c>
      <c r="K660" s="40">
        <v>0</v>
      </c>
      <c r="L660" s="40">
        <v>0</v>
      </c>
      <c r="M660" s="40">
        <v>0</v>
      </c>
      <c r="N660" s="40">
        <v>0</v>
      </c>
      <c r="O660" s="40">
        <v>0</v>
      </c>
      <c r="P660" s="40">
        <v>0</v>
      </c>
      <c r="Q660" s="40">
        <v>0</v>
      </c>
      <c r="R660" s="40">
        <v>0</v>
      </c>
      <c r="S660" s="40">
        <v>0</v>
      </c>
      <c r="T660" s="40">
        <v>0</v>
      </c>
      <c r="U660" s="40">
        <v>0</v>
      </c>
    </row>
    <row r="661" spans="1:21" x14ac:dyDescent="0.2">
      <c r="A661" t="s">
        <v>833</v>
      </c>
      <c r="B661">
        <v>2364</v>
      </c>
      <c r="C661">
        <v>1</v>
      </c>
      <c r="D661" t="s">
        <v>372</v>
      </c>
      <c r="E661" s="40">
        <v>0</v>
      </c>
      <c r="F661" s="40">
        <v>0</v>
      </c>
      <c r="G661" s="40">
        <v>0</v>
      </c>
      <c r="H661" s="40">
        <v>0</v>
      </c>
      <c r="I661" s="40">
        <v>0</v>
      </c>
      <c r="J661" s="40">
        <v>0</v>
      </c>
      <c r="K661" s="40">
        <v>0</v>
      </c>
      <c r="L661" s="40">
        <v>0</v>
      </c>
      <c r="M661" s="40">
        <v>0</v>
      </c>
      <c r="N661" s="40">
        <v>0</v>
      </c>
      <c r="O661" s="40">
        <v>0</v>
      </c>
      <c r="P661" s="40">
        <v>0</v>
      </c>
      <c r="Q661" s="40">
        <v>0</v>
      </c>
      <c r="R661" s="40">
        <v>0</v>
      </c>
      <c r="S661" s="40">
        <v>0</v>
      </c>
      <c r="T661" s="40">
        <v>0</v>
      </c>
      <c r="U661" s="40">
        <v>0</v>
      </c>
    </row>
    <row r="662" spans="1:21" x14ac:dyDescent="0.2">
      <c r="A662" t="s">
        <v>833</v>
      </c>
      <c r="B662">
        <v>2365</v>
      </c>
      <c r="C662">
        <v>1</v>
      </c>
      <c r="D662" t="s">
        <v>373</v>
      </c>
      <c r="E662" s="40">
        <v>0</v>
      </c>
      <c r="F662" s="40">
        <v>0</v>
      </c>
      <c r="G662" s="40">
        <v>0</v>
      </c>
      <c r="H662" s="40">
        <v>0</v>
      </c>
      <c r="I662" s="40">
        <v>0</v>
      </c>
      <c r="J662" s="40">
        <v>0</v>
      </c>
      <c r="K662" s="40">
        <v>0</v>
      </c>
      <c r="L662" s="40">
        <v>0</v>
      </c>
      <c r="M662" s="40">
        <v>0</v>
      </c>
      <c r="N662" s="40">
        <v>0</v>
      </c>
      <c r="O662" s="40">
        <v>0</v>
      </c>
      <c r="P662" s="40">
        <v>0</v>
      </c>
      <c r="Q662" s="40">
        <v>0</v>
      </c>
      <c r="R662" s="40">
        <v>0</v>
      </c>
      <c r="S662" s="40">
        <v>0</v>
      </c>
      <c r="T662" s="40">
        <v>0</v>
      </c>
      <c r="U662" s="40">
        <v>0</v>
      </c>
    </row>
    <row r="663" spans="1:21" x14ac:dyDescent="0.2">
      <c r="A663" t="s">
        <v>833</v>
      </c>
      <c r="B663">
        <v>2396</v>
      </c>
      <c r="C663">
        <v>1</v>
      </c>
      <c r="D663" t="s">
        <v>374</v>
      </c>
      <c r="E663" s="40">
        <v>0</v>
      </c>
      <c r="F663" s="40">
        <v>0</v>
      </c>
      <c r="G663" s="40">
        <v>0</v>
      </c>
      <c r="H663" s="40">
        <v>0</v>
      </c>
      <c r="I663" s="40">
        <v>0</v>
      </c>
      <c r="J663" s="40">
        <v>0</v>
      </c>
      <c r="K663" s="40">
        <v>0</v>
      </c>
      <c r="L663" s="40">
        <v>0</v>
      </c>
      <c r="M663" s="40">
        <v>0</v>
      </c>
      <c r="N663" s="40">
        <v>0</v>
      </c>
      <c r="O663" s="40">
        <v>0</v>
      </c>
      <c r="P663" s="40">
        <v>0</v>
      </c>
      <c r="Q663" s="40">
        <v>0</v>
      </c>
      <c r="R663" s="40">
        <v>0</v>
      </c>
      <c r="S663" s="40">
        <v>0</v>
      </c>
      <c r="T663" s="40">
        <v>0</v>
      </c>
      <c r="U663" s="40">
        <v>0</v>
      </c>
    </row>
    <row r="664" spans="1:21" x14ac:dyDescent="0.2">
      <c r="A664" t="s">
        <v>833</v>
      </c>
      <c r="B664">
        <v>2397</v>
      </c>
      <c r="C664">
        <v>1</v>
      </c>
      <c r="D664" t="s">
        <v>375</v>
      </c>
      <c r="E664" s="40">
        <v>0</v>
      </c>
      <c r="F664" s="40">
        <v>0</v>
      </c>
      <c r="G664" s="40">
        <v>0</v>
      </c>
      <c r="H664" s="40">
        <v>0</v>
      </c>
      <c r="I664" s="40">
        <v>0</v>
      </c>
      <c r="J664" s="40">
        <v>0</v>
      </c>
      <c r="K664" s="40">
        <v>0</v>
      </c>
      <c r="L664" s="40">
        <v>0</v>
      </c>
      <c r="M664" s="40">
        <v>0</v>
      </c>
      <c r="N664" s="40">
        <v>0</v>
      </c>
      <c r="O664" s="40">
        <v>0</v>
      </c>
      <c r="P664" s="40">
        <v>0</v>
      </c>
      <c r="Q664" s="40">
        <v>0</v>
      </c>
      <c r="R664" s="40">
        <v>0</v>
      </c>
      <c r="S664" s="40">
        <v>0</v>
      </c>
      <c r="T664" s="40">
        <v>0</v>
      </c>
      <c r="U664" s="40">
        <v>0</v>
      </c>
    </row>
    <row r="665" spans="1:21" x14ac:dyDescent="0.2">
      <c r="A665" t="s">
        <v>833</v>
      </c>
      <c r="B665">
        <v>2448</v>
      </c>
      <c r="C665">
        <v>1</v>
      </c>
      <c r="D665" t="s">
        <v>376</v>
      </c>
      <c r="E665" s="40">
        <v>0</v>
      </c>
      <c r="F665" s="40">
        <v>0</v>
      </c>
      <c r="G665" s="40">
        <v>0</v>
      </c>
      <c r="H665" s="40">
        <v>0</v>
      </c>
      <c r="I665" s="40">
        <v>0</v>
      </c>
      <c r="J665" s="40">
        <v>0</v>
      </c>
      <c r="K665" s="40">
        <v>0</v>
      </c>
      <c r="L665" s="40">
        <v>0</v>
      </c>
      <c r="M665" s="40">
        <v>0</v>
      </c>
      <c r="N665" s="40">
        <v>0</v>
      </c>
      <c r="O665" s="40">
        <v>0</v>
      </c>
      <c r="P665" s="40">
        <v>0</v>
      </c>
      <c r="Q665" s="40">
        <v>0</v>
      </c>
      <c r="R665" s="40">
        <v>0</v>
      </c>
      <c r="S665" s="40">
        <v>0</v>
      </c>
      <c r="T665" s="40">
        <v>0</v>
      </c>
      <c r="U665" s="40">
        <v>0</v>
      </c>
    </row>
    <row r="666" spans="1:21" x14ac:dyDescent="0.2">
      <c r="A666" t="s">
        <v>833</v>
      </c>
      <c r="B666">
        <v>2527</v>
      </c>
      <c r="C666">
        <v>1</v>
      </c>
      <c r="D666" t="s">
        <v>377</v>
      </c>
      <c r="E666" s="40">
        <v>0</v>
      </c>
      <c r="F666" s="40">
        <v>0</v>
      </c>
      <c r="G666" s="40">
        <v>0</v>
      </c>
      <c r="H666" s="40">
        <v>0</v>
      </c>
      <c r="I666" s="40">
        <v>0</v>
      </c>
      <c r="J666" s="40">
        <v>0</v>
      </c>
      <c r="K666" s="40">
        <v>0</v>
      </c>
      <c r="L666" s="40">
        <v>0</v>
      </c>
      <c r="M666" s="40">
        <v>0</v>
      </c>
      <c r="N666" s="40">
        <v>0</v>
      </c>
      <c r="O666" s="40">
        <v>0</v>
      </c>
      <c r="P666" s="40">
        <v>0</v>
      </c>
      <c r="Q666" s="40">
        <v>0</v>
      </c>
      <c r="R666" s="40">
        <v>0</v>
      </c>
      <c r="S666" s="40">
        <v>0</v>
      </c>
      <c r="T666" s="40">
        <v>0</v>
      </c>
      <c r="U666" s="40">
        <v>0</v>
      </c>
    </row>
    <row r="667" spans="1:21" x14ac:dyDescent="0.2">
      <c r="A667" t="s">
        <v>833</v>
      </c>
      <c r="B667">
        <v>2534</v>
      </c>
      <c r="C667">
        <v>1</v>
      </c>
      <c r="D667" t="s">
        <v>378</v>
      </c>
      <c r="E667" s="40">
        <v>0</v>
      </c>
      <c r="F667" s="40">
        <v>0</v>
      </c>
      <c r="G667" s="40">
        <v>0</v>
      </c>
      <c r="H667" s="40">
        <v>0</v>
      </c>
      <c r="I667" s="40">
        <v>0</v>
      </c>
      <c r="J667" s="40">
        <v>0</v>
      </c>
      <c r="K667" s="40">
        <v>0</v>
      </c>
      <c r="L667" s="40">
        <v>0</v>
      </c>
      <c r="M667" s="40">
        <v>0</v>
      </c>
      <c r="N667" s="40">
        <v>0</v>
      </c>
      <c r="O667" s="40">
        <v>0</v>
      </c>
      <c r="P667" s="40">
        <v>0</v>
      </c>
      <c r="Q667" s="40">
        <v>0</v>
      </c>
      <c r="R667" s="40">
        <v>0</v>
      </c>
      <c r="S667" s="40">
        <v>0</v>
      </c>
      <c r="T667" s="40">
        <v>0</v>
      </c>
      <c r="U667" s="40">
        <v>0</v>
      </c>
    </row>
    <row r="668" spans="1:21" x14ac:dyDescent="0.2">
      <c r="A668" t="s">
        <v>833</v>
      </c>
      <c r="B668">
        <v>2536</v>
      </c>
      <c r="C668">
        <v>1</v>
      </c>
      <c r="D668" t="s">
        <v>379</v>
      </c>
      <c r="E668" s="40">
        <v>0</v>
      </c>
      <c r="F668" s="40">
        <v>0</v>
      </c>
      <c r="G668" s="40">
        <v>0</v>
      </c>
      <c r="H668" s="40">
        <v>0</v>
      </c>
      <c r="I668" s="40">
        <v>0</v>
      </c>
      <c r="J668" s="40">
        <v>0</v>
      </c>
      <c r="K668" s="40">
        <v>0</v>
      </c>
      <c r="L668" s="40">
        <v>0</v>
      </c>
      <c r="M668" s="40">
        <v>0</v>
      </c>
      <c r="N668" s="40">
        <v>0</v>
      </c>
      <c r="O668" s="40">
        <v>0</v>
      </c>
      <c r="P668" s="40">
        <v>0</v>
      </c>
      <c r="Q668" s="40">
        <v>0</v>
      </c>
      <c r="R668" s="40">
        <v>0</v>
      </c>
      <c r="S668" s="40">
        <v>0</v>
      </c>
      <c r="T668" s="40">
        <v>0</v>
      </c>
      <c r="U668" s="40">
        <v>0</v>
      </c>
    </row>
    <row r="669" spans="1:21" x14ac:dyDescent="0.2">
      <c r="A669" t="s">
        <v>833</v>
      </c>
      <c r="B669">
        <v>2580</v>
      </c>
      <c r="C669">
        <v>1</v>
      </c>
      <c r="D669" t="s">
        <v>380</v>
      </c>
      <c r="E669" s="40">
        <v>0</v>
      </c>
      <c r="F669" s="40">
        <v>0</v>
      </c>
      <c r="G669" s="40">
        <v>0</v>
      </c>
      <c r="H669" s="40">
        <v>0</v>
      </c>
      <c r="I669" s="40">
        <v>0</v>
      </c>
      <c r="J669" s="40">
        <v>0</v>
      </c>
      <c r="K669" s="40">
        <v>0</v>
      </c>
      <c r="L669" s="40">
        <v>0</v>
      </c>
      <c r="M669" s="40">
        <v>0</v>
      </c>
      <c r="N669" s="40">
        <v>0</v>
      </c>
      <c r="O669" s="40">
        <v>0</v>
      </c>
      <c r="P669" s="40">
        <v>0</v>
      </c>
      <c r="Q669" s="40">
        <v>0</v>
      </c>
      <c r="R669" s="40">
        <v>0</v>
      </c>
      <c r="S669" s="40">
        <v>0</v>
      </c>
      <c r="T669" s="40">
        <v>0</v>
      </c>
      <c r="U669" s="40">
        <v>0</v>
      </c>
    </row>
    <row r="670" spans="1:21" x14ac:dyDescent="0.2">
      <c r="A670" t="s">
        <v>833</v>
      </c>
      <c r="B670">
        <v>2609</v>
      </c>
      <c r="C670">
        <v>1</v>
      </c>
      <c r="D670" t="s">
        <v>381</v>
      </c>
      <c r="E670" s="40">
        <v>0</v>
      </c>
      <c r="F670" s="40">
        <v>0</v>
      </c>
      <c r="G670" s="40">
        <v>0</v>
      </c>
      <c r="H670" s="40">
        <v>0</v>
      </c>
      <c r="I670" s="40">
        <v>0</v>
      </c>
      <c r="J670" s="40">
        <v>0</v>
      </c>
      <c r="K670" s="40">
        <v>0</v>
      </c>
      <c r="L670" s="40">
        <v>0</v>
      </c>
      <c r="M670" s="40">
        <v>0</v>
      </c>
      <c r="N670" s="40">
        <v>0</v>
      </c>
      <c r="O670" s="40">
        <v>0</v>
      </c>
      <c r="P670" s="40">
        <v>0</v>
      </c>
      <c r="Q670" s="40">
        <v>0</v>
      </c>
      <c r="R670" s="40">
        <v>0</v>
      </c>
      <c r="S670" s="40">
        <v>0</v>
      </c>
      <c r="T670" s="40">
        <v>0</v>
      </c>
      <c r="U670" s="40">
        <v>0</v>
      </c>
    </row>
    <row r="671" spans="1:21" x14ac:dyDescent="0.2">
      <c r="A671" t="s">
        <v>833</v>
      </c>
      <c r="B671">
        <v>2683</v>
      </c>
      <c r="C671">
        <v>1</v>
      </c>
      <c r="D671" t="s">
        <v>382</v>
      </c>
      <c r="E671" s="40">
        <v>0</v>
      </c>
      <c r="F671" s="40">
        <v>0</v>
      </c>
      <c r="G671" s="40">
        <v>0</v>
      </c>
      <c r="H671" s="40">
        <v>0</v>
      </c>
      <c r="I671" s="40">
        <v>0</v>
      </c>
      <c r="J671" s="40">
        <v>0</v>
      </c>
      <c r="K671" s="40">
        <v>0</v>
      </c>
      <c r="L671" s="40">
        <v>0</v>
      </c>
      <c r="M671" s="40">
        <v>0</v>
      </c>
      <c r="N671" s="40">
        <v>0</v>
      </c>
      <c r="O671" s="40">
        <v>0</v>
      </c>
      <c r="P671" s="40">
        <v>0</v>
      </c>
      <c r="Q671" s="40">
        <v>0</v>
      </c>
      <c r="R671" s="40">
        <v>0</v>
      </c>
      <c r="S671" s="40">
        <v>0</v>
      </c>
      <c r="T671" s="40">
        <v>0</v>
      </c>
      <c r="U671" s="40">
        <v>0</v>
      </c>
    </row>
    <row r="672" spans="1:21" x14ac:dyDescent="0.2">
      <c r="A672" t="s">
        <v>833</v>
      </c>
      <c r="B672">
        <v>2687</v>
      </c>
      <c r="C672">
        <v>1</v>
      </c>
      <c r="D672" t="s">
        <v>383</v>
      </c>
      <c r="E672" s="40">
        <v>0</v>
      </c>
      <c r="F672" s="40">
        <v>0</v>
      </c>
      <c r="G672" s="40">
        <v>0</v>
      </c>
      <c r="H672" s="40">
        <v>0</v>
      </c>
      <c r="I672" s="40">
        <v>0</v>
      </c>
      <c r="J672" s="40">
        <v>0</v>
      </c>
      <c r="K672" s="40">
        <v>0</v>
      </c>
      <c r="L672" s="40">
        <v>0</v>
      </c>
      <c r="M672" s="40">
        <v>0</v>
      </c>
      <c r="N672" s="40">
        <v>0</v>
      </c>
      <c r="O672" s="40">
        <v>0</v>
      </c>
      <c r="P672" s="40">
        <v>0</v>
      </c>
      <c r="Q672" s="40">
        <v>0</v>
      </c>
      <c r="R672" s="40">
        <v>0</v>
      </c>
      <c r="S672" s="40">
        <v>0</v>
      </c>
      <c r="T672" s="40">
        <v>0</v>
      </c>
      <c r="U672" s="40">
        <v>0</v>
      </c>
    </row>
    <row r="673" spans="1:21" x14ac:dyDescent="0.2">
      <c r="A673" t="s">
        <v>833</v>
      </c>
      <c r="B673">
        <v>2689</v>
      </c>
      <c r="C673">
        <v>1</v>
      </c>
      <c r="D673" t="s">
        <v>384</v>
      </c>
      <c r="E673" s="40">
        <v>0</v>
      </c>
      <c r="F673" s="40">
        <v>0</v>
      </c>
      <c r="G673" s="40">
        <v>0</v>
      </c>
      <c r="H673" s="40">
        <v>0</v>
      </c>
      <c r="I673" s="40">
        <v>0</v>
      </c>
      <c r="J673" s="40">
        <v>0</v>
      </c>
      <c r="K673" s="40">
        <v>0</v>
      </c>
      <c r="L673" s="40">
        <v>0</v>
      </c>
      <c r="M673" s="40">
        <v>0</v>
      </c>
      <c r="N673" s="40">
        <v>0</v>
      </c>
      <c r="O673" s="40">
        <v>0</v>
      </c>
      <c r="P673" s="40">
        <v>0</v>
      </c>
      <c r="Q673" s="40">
        <v>0</v>
      </c>
      <c r="R673" s="40">
        <v>0</v>
      </c>
      <c r="S673" s="40">
        <v>0</v>
      </c>
      <c r="T673" s="40">
        <v>0</v>
      </c>
      <c r="U673" s="40">
        <v>0</v>
      </c>
    </row>
    <row r="674" spans="1:21" x14ac:dyDescent="0.2">
      <c r="A674" t="s">
        <v>833</v>
      </c>
      <c r="B674">
        <v>2711</v>
      </c>
      <c r="C674">
        <v>1</v>
      </c>
      <c r="D674" t="s">
        <v>385</v>
      </c>
      <c r="E674" s="40">
        <v>0</v>
      </c>
      <c r="F674" s="40">
        <v>0</v>
      </c>
      <c r="G674" s="40">
        <v>0</v>
      </c>
      <c r="H674" s="40">
        <v>0</v>
      </c>
      <c r="I674" s="40">
        <v>0</v>
      </c>
      <c r="J674" s="40">
        <v>0</v>
      </c>
      <c r="K674" s="40">
        <v>0</v>
      </c>
      <c r="L674" s="40">
        <v>0</v>
      </c>
      <c r="M674" s="40">
        <v>0</v>
      </c>
      <c r="N674" s="40">
        <v>0</v>
      </c>
      <c r="O674" s="40">
        <v>0</v>
      </c>
      <c r="P674" s="40">
        <v>0</v>
      </c>
      <c r="Q674" s="40">
        <v>0</v>
      </c>
      <c r="R674" s="40">
        <v>0</v>
      </c>
      <c r="S674" s="40">
        <v>0</v>
      </c>
      <c r="T674" s="40">
        <v>0</v>
      </c>
      <c r="U674" s="40">
        <v>0</v>
      </c>
    </row>
    <row r="675" spans="1:21" x14ac:dyDescent="0.2">
      <c r="A675" t="s">
        <v>833</v>
      </c>
      <c r="B675">
        <v>2752</v>
      </c>
      <c r="C675">
        <v>1</v>
      </c>
      <c r="D675" t="s">
        <v>386</v>
      </c>
      <c r="E675" s="40">
        <v>0</v>
      </c>
      <c r="F675" s="40">
        <v>0</v>
      </c>
      <c r="G675" s="40">
        <v>0</v>
      </c>
      <c r="H675" s="40">
        <v>0</v>
      </c>
      <c r="I675" s="40">
        <v>0</v>
      </c>
      <c r="J675" s="40">
        <v>0</v>
      </c>
      <c r="K675" s="40">
        <v>0</v>
      </c>
      <c r="L675" s="40">
        <v>0</v>
      </c>
      <c r="M675" s="40">
        <v>0</v>
      </c>
      <c r="N675" s="40">
        <v>0</v>
      </c>
      <c r="O675" s="40">
        <v>0</v>
      </c>
      <c r="P675" s="40">
        <v>0</v>
      </c>
      <c r="Q675" s="40">
        <v>0</v>
      </c>
      <c r="R675" s="40">
        <v>0</v>
      </c>
      <c r="S675" s="40">
        <v>0</v>
      </c>
      <c r="T675" s="40">
        <v>0</v>
      </c>
      <c r="U675" s="40">
        <v>0</v>
      </c>
    </row>
    <row r="676" spans="1:21" x14ac:dyDescent="0.2">
      <c r="A676" t="s">
        <v>833</v>
      </c>
      <c r="B676">
        <v>2753</v>
      </c>
      <c r="C676">
        <v>1</v>
      </c>
      <c r="D676" t="s">
        <v>387</v>
      </c>
      <c r="E676" s="40">
        <v>0</v>
      </c>
      <c r="F676" s="40">
        <v>0</v>
      </c>
      <c r="G676" s="40">
        <v>0</v>
      </c>
      <c r="H676" s="40">
        <v>0</v>
      </c>
      <c r="I676" s="40">
        <v>0</v>
      </c>
      <c r="J676" s="40">
        <v>0</v>
      </c>
      <c r="K676" s="40">
        <v>0</v>
      </c>
      <c r="L676" s="40">
        <v>0</v>
      </c>
      <c r="M676" s="40">
        <v>0</v>
      </c>
      <c r="N676" s="40">
        <v>0</v>
      </c>
      <c r="O676" s="40">
        <v>0</v>
      </c>
      <c r="P676" s="40">
        <v>0</v>
      </c>
      <c r="Q676" s="40">
        <v>0</v>
      </c>
      <c r="R676" s="40">
        <v>0</v>
      </c>
      <c r="S676" s="40">
        <v>0</v>
      </c>
      <c r="T676" s="40">
        <v>0</v>
      </c>
      <c r="U676" s="40">
        <v>0</v>
      </c>
    </row>
    <row r="677" spans="1:21" x14ac:dyDescent="0.2">
      <c r="A677" t="s">
        <v>833</v>
      </c>
      <c r="B677">
        <v>2754</v>
      </c>
      <c r="C677">
        <v>1</v>
      </c>
      <c r="D677" t="s">
        <v>388</v>
      </c>
      <c r="E677" s="40">
        <v>0</v>
      </c>
      <c r="F677" s="40">
        <v>0</v>
      </c>
      <c r="G677" s="40">
        <v>0</v>
      </c>
      <c r="H677" s="40">
        <v>0</v>
      </c>
      <c r="I677" s="40">
        <v>0</v>
      </c>
      <c r="J677" s="40">
        <v>0</v>
      </c>
      <c r="K677" s="40">
        <v>0</v>
      </c>
      <c r="L677" s="40">
        <v>0</v>
      </c>
      <c r="M677" s="40">
        <v>0</v>
      </c>
      <c r="N677" s="40">
        <v>0</v>
      </c>
      <c r="O677" s="40">
        <v>0</v>
      </c>
      <c r="P677" s="40">
        <v>0</v>
      </c>
      <c r="Q677" s="40">
        <v>0</v>
      </c>
      <c r="R677" s="40">
        <v>0</v>
      </c>
      <c r="S677" s="40">
        <v>0</v>
      </c>
      <c r="T677" s="40">
        <v>0</v>
      </c>
      <c r="U677" s="40">
        <v>0</v>
      </c>
    </row>
    <row r="678" spans="1:21" x14ac:dyDescent="0.2">
      <c r="A678" t="s">
        <v>833</v>
      </c>
      <c r="B678">
        <v>2759</v>
      </c>
      <c r="C678">
        <v>1</v>
      </c>
      <c r="D678" t="s">
        <v>389</v>
      </c>
      <c r="E678" s="40">
        <v>0</v>
      </c>
      <c r="F678" s="40">
        <v>0</v>
      </c>
      <c r="G678" s="40">
        <v>0</v>
      </c>
      <c r="H678" s="40">
        <v>0</v>
      </c>
      <c r="I678" s="40">
        <v>0</v>
      </c>
      <c r="J678" s="40">
        <v>0</v>
      </c>
      <c r="K678" s="40">
        <v>0</v>
      </c>
      <c r="L678" s="40">
        <v>0</v>
      </c>
      <c r="M678" s="40">
        <v>0</v>
      </c>
      <c r="N678" s="40">
        <v>0</v>
      </c>
      <c r="O678" s="40">
        <v>0</v>
      </c>
      <c r="P678" s="40">
        <v>0</v>
      </c>
      <c r="Q678" s="40">
        <v>0</v>
      </c>
      <c r="R678" s="40">
        <v>0</v>
      </c>
      <c r="S678" s="40">
        <v>0</v>
      </c>
      <c r="T678" s="40">
        <v>0</v>
      </c>
      <c r="U678" s="40">
        <v>0</v>
      </c>
    </row>
    <row r="679" spans="1:21" x14ac:dyDescent="0.2">
      <c r="A679" t="s">
        <v>833</v>
      </c>
      <c r="B679">
        <v>2805</v>
      </c>
      <c r="C679">
        <v>1</v>
      </c>
      <c r="D679" t="s">
        <v>390</v>
      </c>
      <c r="E679" s="40">
        <v>0</v>
      </c>
      <c r="F679" s="40">
        <v>0</v>
      </c>
      <c r="G679" s="40">
        <v>0</v>
      </c>
      <c r="H679" s="40">
        <v>0</v>
      </c>
      <c r="I679" s="40">
        <v>0</v>
      </c>
      <c r="J679" s="40">
        <v>0</v>
      </c>
      <c r="K679" s="40">
        <v>0</v>
      </c>
      <c r="L679" s="40">
        <v>0</v>
      </c>
      <c r="M679" s="40">
        <v>0</v>
      </c>
      <c r="N679" s="40">
        <v>0</v>
      </c>
      <c r="O679" s="40">
        <v>0</v>
      </c>
      <c r="P679" s="40">
        <v>0</v>
      </c>
      <c r="Q679" s="40">
        <v>0</v>
      </c>
      <c r="R679" s="40">
        <v>0</v>
      </c>
      <c r="S679" s="40">
        <v>0</v>
      </c>
      <c r="T679" s="40">
        <v>0</v>
      </c>
      <c r="U679" s="40">
        <v>0</v>
      </c>
    </row>
    <row r="680" spans="1:21" x14ac:dyDescent="0.2">
      <c r="A680" t="s">
        <v>833</v>
      </c>
      <c r="B680">
        <v>2835</v>
      </c>
      <c r="C680">
        <v>1</v>
      </c>
      <c r="D680" t="s">
        <v>391</v>
      </c>
      <c r="E680" s="40">
        <v>0</v>
      </c>
      <c r="F680" s="40">
        <v>0</v>
      </c>
      <c r="G680" s="40">
        <v>0</v>
      </c>
      <c r="H680" s="40">
        <v>0</v>
      </c>
      <c r="I680" s="40">
        <v>0</v>
      </c>
      <c r="J680" s="40">
        <v>0</v>
      </c>
      <c r="K680" s="40">
        <v>0</v>
      </c>
      <c r="L680" s="40">
        <v>0</v>
      </c>
      <c r="M680" s="40">
        <v>0</v>
      </c>
      <c r="N680" s="40">
        <v>0</v>
      </c>
      <c r="O680" s="40">
        <v>0</v>
      </c>
      <c r="P680" s="40">
        <v>0</v>
      </c>
      <c r="Q680" s="40">
        <v>0</v>
      </c>
      <c r="R680" s="40">
        <v>0</v>
      </c>
      <c r="S680" s="40">
        <v>0</v>
      </c>
      <c r="T680" s="40">
        <v>0</v>
      </c>
      <c r="U680" s="40">
        <v>0</v>
      </c>
    </row>
    <row r="681" spans="1:21" x14ac:dyDescent="0.2">
      <c r="A681" t="s">
        <v>833</v>
      </c>
      <c r="B681">
        <v>2853</v>
      </c>
      <c r="C681">
        <v>1</v>
      </c>
      <c r="D681" t="s">
        <v>392</v>
      </c>
      <c r="E681" s="40">
        <v>0</v>
      </c>
      <c r="F681" s="40">
        <v>0</v>
      </c>
      <c r="G681" s="40">
        <v>0</v>
      </c>
      <c r="H681" s="40">
        <v>0</v>
      </c>
      <c r="I681" s="40">
        <v>0</v>
      </c>
      <c r="J681" s="40">
        <v>0</v>
      </c>
      <c r="K681" s="40">
        <v>0</v>
      </c>
      <c r="L681" s="40">
        <v>0</v>
      </c>
      <c r="M681" s="40">
        <v>0</v>
      </c>
      <c r="N681" s="40">
        <v>0</v>
      </c>
      <c r="O681" s="40">
        <v>0</v>
      </c>
      <c r="P681" s="40">
        <v>0</v>
      </c>
      <c r="Q681" s="40">
        <v>0</v>
      </c>
      <c r="R681" s="40">
        <v>0</v>
      </c>
      <c r="S681" s="40">
        <v>0</v>
      </c>
      <c r="T681" s="40">
        <v>0</v>
      </c>
      <c r="U681" s="40">
        <v>0</v>
      </c>
    </row>
    <row r="682" spans="1:21" x14ac:dyDescent="0.2">
      <c r="A682" t="s">
        <v>833</v>
      </c>
      <c r="B682">
        <v>2854</v>
      </c>
      <c r="C682">
        <v>1</v>
      </c>
      <c r="D682" t="s">
        <v>393</v>
      </c>
      <c r="E682" s="40">
        <v>0</v>
      </c>
      <c r="F682" s="40">
        <v>0</v>
      </c>
      <c r="G682" s="40">
        <v>0</v>
      </c>
      <c r="H682" s="40">
        <v>0</v>
      </c>
      <c r="I682" s="40">
        <v>0</v>
      </c>
      <c r="J682" s="40">
        <v>0</v>
      </c>
      <c r="K682" s="40">
        <v>0</v>
      </c>
      <c r="L682" s="40">
        <v>0</v>
      </c>
      <c r="M682" s="40">
        <v>0</v>
      </c>
      <c r="N682" s="40">
        <v>0</v>
      </c>
      <c r="O682" s="40">
        <v>0</v>
      </c>
      <c r="P682" s="40">
        <v>0</v>
      </c>
      <c r="Q682" s="40">
        <v>0</v>
      </c>
      <c r="R682" s="40">
        <v>0</v>
      </c>
      <c r="S682" s="40">
        <v>0</v>
      </c>
      <c r="T682" s="40">
        <v>0</v>
      </c>
      <c r="U682" s="40">
        <v>0</v>
      </c>
    </row>
    <row r="683" spans="1:21" x14ac:dyDescent="0.2">
      <c r="A683" t="s">
        <v>833</v>
      </c>
      <c r="B683">
        <v>2856</v>
      </c>
      <c r="C683">
        <v>1</v>
      </c>
      <c r="D683" t="s">
        <v>394</v>
      </c>
      <c r="E683" s="40">
        <v>0</v>
      </c>
      <c r="F683" s="40">
        <v>0</v>
      </c>
      <c r="G683" s="40">
        <v>0</v>
      </c>
      <c r="H683" s="40">
        <v>0</v>
      </c>
      <c r="I683" s="40">
        <v>0</v>
      </c>
      <c r="J683" s="40">
        <v>0</v>
      </c>
      <c r="K683" s="40">
        <v>0</v>
      </c>
      <c r="L683" s="40">
        <v>0</v>
      </c>
      <c r="M683" s="40">
        <v>0</v>
      </c>
      <c r="N683" s="40">
        <v>0</v>
      </c>
      <c r="O683" s="40">
        <v>0</v>
      </c>
      <c r="P683" s="40">
        <v>0</v>
      </c>
      <c r="Q683" s="40">
        <v>0</v>
      </c>
      <c r="R683" s="40">
        <v>0</v>
      </c>
      <c r="S683" s="40">
        <v>0</v>
      </c>
      <c r="T683" s="40">
        <v>0</v>
      </c>
      <c r="U683" s="40">
        <v>0</v>
      </c>
    </row>
    <row r="684" spans="1:21" x14ac:dyDescent="0.2">
      <c r="A684" t="s">
        <v>833</v>
      </c>
      <c r="B684">
        <v>2859</v>
      </c>
      <c r="C684">
        <v>1</v>
      </c>
      <c r="D684" t="s">
        <v>395</v>
      </c>
      <c r="E684" s="40">
        <v>0</v>
      </c>
      <c r="F684" s="40">
        <v>0</v>
      </c>
      <c r="G684" s="40">
        <v>0</v>
      </c>
      <c r="H684" s="40">
        <v>0</v>
      </c>
      <c r="I684" s="40">
        <v>0</v>
      </c>
      <c r="J684" s="40">
        <v>0</v>
      </c>
      <c r="K684" s="40">
        <v>0</v>
      </c>
      <c r="L684" s="40">
        <v>0</v>
      </c>
      <c r="M684" s="40">
        <v>0</v>
      </c>
      <c r="N684" s="40">
        <v>0</v>
      </c>
      <c r="O684" s="40">
        <v>0</v>
      </c>
      <c r="P684" s="40">
        <v>0</v>
      </c>
      <c r="Q684" s="40">
        <v>0</v>
      </c>
      <c r="R684" s="40">
        <v>0</v>
      </c>
      <c r="S684" s="40">
        <v>0</v>
      </c>
      <c r="T684" s="40">
        <v>0</v>
      </c>
      <c r="U684" s="40">
        <v>0</v>
      </c>
    </row>
    <row r="685" spans="1:21" x14ac:dyDescent="0.2">
      <c r="A685" t="s">
        <v>833</v>
      </c>
      <c r="B685">
        <v>2860</v>
      </c>
      <c r="C685">
        <v>1</v>
      </c>
      <c r="D685" t="s">
        <v>396</v>
      </c>
      <c r="E685" s="40">
        <v>0</v>
      </c>
      <c r="F685" s="40">
        <v>0</v>
      </c>
      <c r="G685" s="40">
        <v>0</v>
      </c>
      <c r="H685" s="40">
        <v>0</v>
      </c>
      <c r="I685" s="40">
        <v>0</v>
      </c>
      <c r="J685" s="40">
        <v>0</v>
      </c>
      <c r="K685" s="40">
        <v>0</v>
      </c>
      <c r="L685" s="40">
        <v>0</v>
      </c>
      <c r="M685" s="40">
        <v>0</v>
      </c>
      <c r="N685" s="40">
        <v>0</v>
      </c>
      <c r="O685" s="40">
        <v>0</v>
      </c>
      <c r="P685" s="40">
        <v>0</v>
      </c>
      <c r="Q685" s="40">
        <v>0</v>
      </c>
      <c r="R685" s="40">
        <v>0</v>
      </c>
      <c r="S685" s="40">
        <v>0</v>
      </c>
      <c r="T685" s="40">
        <v>0</v>
      </c>
      <c r="U685" s="40">
        <v>0</v>
      </c>
    </row>
    <row r="686" spans="1:21" x14ac:dyDescent="0.2">
      <c r="A686" t="s">
        <v>833</v>
      </c>
      <c r="B686">
        <v>2884</v>
      </c>
      <c r="C686">
        <v>1</v>
      </c>
      <c r="D686" t="s">
        <v>397</v>
      </c>
      <c r="E686" s="40">
        <v>0</v>
      </c>
      <c r="F686" s="40">
        <v>0</v>
      </c>
      <c r="G686" s="40">
        <v>0</v>
      </c>
      <c r="H686" s="40">
        <v>0</v>
      </c>
      <c r="I686" s="40">
        <v>0</v>
      </c>
      <c r="J686" s="40">
        <v>0</v>
      </c>
      <c r="K686" s="40">
        <v>0</v>
      </c>
      <c r="L686" s="40">
        <v>0</v>
      </c>
      <c r="M686" s="40">
        <v>0</v>
      </c>
      <c r="N686" s="40">
        <v>0</v>
      </c>
      <c r="O686" s="40">
        <v>0</v>
      </c>
      <c r="P686" s="40">
        <v>0</v>
      </c>
      <c r="Q686" s="40">
        <v>0</v>
      </c>
      <c r="R686" s="40">
        <v>0</v>
      </c>
      <c r="S686" s="40">
        <v>0</v>
      </c>
      <c r="T686" s="40">
        <v>0</v>
      </c>
      <c r="U686" s="40">
        <v>0</v>
      </c>
    </row>
    <row r="687" spans="1:21" x14ac:dyDescent="0.2">
      <c r="A687" t="s">
        <v>833</v>
      </c>
      <c r="B687">
        <v>2886</v>
      </c>
      <c r="C687">
        <v>1</v>
      </c>
      <c r="D687" t="s">
        <v>398</v>
      </c>
      <c r="E687" s="40">
        <v>0</v>
      </c>
      <c r="F687" s="40">
        <v>0</v>
      </c>
      <c r="G687" s="40">
        <v>0</v>
      </c>
      <c r="H687" s="40">
        <v>0</v>
      </c>
      <c r="I687" s="40">
        <v>0</v>
      </c>
      <c r="J687" s="40">
        <v>0</v>
      </c>
      <c r="K687" s="40">
        <v>0</v>
      </c>
      <c r="L687" s="40">
        <v>0</v>
      </c>
      <c r="M687" s="40">
        <v>0</v>
      </c>
      <c r="N687" s="40">
        <v>0</v>
      </c>
      <c r="O687" s="40">
        <v>0</v>
      </c>
      <c r="P687" s="40">
        <v>0</v>
      </c>
      <c r="Q687" s="40">
        <v>0</v>
      </c>
      <c r="R687" s="40">
        <v>0</v>
      </c>
      <c r="S687" s="40">
        <v>0</v>
      </c>
      <c r="T687" s="40">
        <v>0</v>
      </c>
      <c r="U687" s="40">
        <v>0</v>
      </c>
    </row>
    <row r="688" spans="1:21" x14ac:dyDescent="0.2">
      <c r="A688" t="s">
        <v>833</v>
      </c>
      <c r="B688">
        <v>2887</v>
      </c>
      <c r="C688">
        <v>1</v>
      </c>
      <c r="D688" t="s">
        <v>399</v>
      </c>
      <c r="E688" s="40">
        <v>0</v>
      </c>
      <c r="F688" s="40">
        <v>0</v>
      </c>
      <c r="G688" s="40">
        <v>0</v>
      </c>
      <c r="H688" s="40">
        <v>0</v>
      </c>
      <c r="I688" s="40">
        <v>0</v>
      </c>
      <c r="J688" s="40">
        <v>0</v>
      </c>
      <c r="K688" s="40">
        <v>0</v>
      </c>
      <c r="L688" s="40">
        <v>0</v>
      </c>
      <c r="M688" s="40">
        <v>0</v>
      </c>
      <c r="N688" s="40">
        <v>0</v>
      </c>
      <c r="O688" s="40">
        <v>0</v>
      </c>
      <c r="P688" s="40">
        <v>0</v>
      </c>
      <c r="Q688" s="40">
        <v>0</v>
      </c>
      <c r="R688" s="40">
        <v>0</v>
      </c>
      <c r="S688" s="40">
        <v>0</v>
      </c>
      <c r="T688" s="40">
        <v>0</v>
      </c>
      <c r="U688" s="40">
        <v>0</v>
      </c>
    </row>
    <row r="689" spans="1:21" x14ac:dyDescent="0.2">
      <c r="A689" t="s">
        <v>833</v>
      </c>
      <c r="B689">
        <v>2888</v>
      </c>
      <c r="C689">
        <v>1</v>
      </c>
      <c r="D689" t="s">
        <v>400</v>
      </c>
      <c r="E689" s="40">
        <v>0</v>
      </c>
      <c r="F689" s="40">
        <v>0</v>
      </c>
      <c r="G689" s="40">
        <v>0</v>
      </c>
      <c r="H689" s="40">
        <v>0</v>
      </c>
      <c r="I689" s="40">
        <v>0</v>
      </c>
      <c r="J689" s="40">
        <v>0</v>
      </c>
      <c r="K689" s="40">
        <v>0</v>
      </c>
      <c r="L689" s="40">
        <v>0</v>
      </c>
      <c r="M689" s="40">
        <v>0</v>
      </c>
      <c r="N689" s="40">
        <v>0</v>
      </c>
      <c r="O689" s="40">
        <v>0</v>
      </c>
      <c r="P689" s="40">
        <v>0</v>
      </c>
      <c r="Q689" s="40">
        <v>0</v>
      </c>
      <c r="R689" s="40">
        <v>0</v>
      </c>
      <c r="S689" s="40">
        <v>0</v>
      </c>
      <c r="T689" s="40">
        <v>0</v>
      </c>
      <c r="U689" s="40">
        <v>0</v>
      </c>
    </row>
    <row r="690" spans="1:21" x14ac:dyDescent="0.2">
      <c r="A690" t="s">
        <v>833</v>
      </c>
      <c r="B690">
        <v>2889</v>
      </c>
      <c r="C690">
        <v>1</v>
      </c>
      <c r="D690" t="s">
        <v>401</v>
      </c>
      <c r="E690" s="40">
        <v>0</v>
      </c>
      <c r="F690" s="40">
        <v>0</v>
      </c>
      <c r="G690" s="40">
        <v>0</v>
      </c>
      <c r="H690" s="40">
        <v>0</v>
      </c>
      <c r="I690" s="40">
        <v>0</v>
      </c>
      <c r="J690" s="40">
        <v>0</v>
      </c>
      <c r="K690" s="40">
        <v>0</v>
      </c>
      <c r="L690" s="40">
        <v>0</v>
      </c>
      <c r="M690" s="40">
        <v>0</v>
      </c>
      <c r="N690" s="40">
        <v>0</v>
      </c>
      <c r="O690" s="40">
        <v>0</v>
      </c>
      <c r="P690" s="40">
        <v>0</v>
      </c>
      <c r="Q690" s="40">
        <v>0</v>
      </c>
      <c r="R690" s="40">
        <v>0</v>
      </c>
      <c r="S690" s="40">
        <v>0</v>
      </c>
      <c r="T690" s="40">
        <v>0</v>
      </c>
      <c r="U690" s="40">
        <v>0</v>
      </c>
    </row>
    <row r="691" spans="1:21" x14ac:dyDescent="0.2">
      <c r="A691" t="s">
        <v>833</v>
      </c>
      <c r="B691">
        <v>2890</v>
      </c>
      <c r="C691">
        <v>1</v>
      </c>
      <c r="D691" t="s">
        <v>402</v>
      </c>
      <c r="E691" s="40">
        <v>0</v>
      </c>
      <c r="F691" s="40">
        <v>0</v>
      </c>
      <c r="G691" s="40">
        <v>0</v>
      </c>
      <c r="H691" s="40">
        <v>0</v>
      </c>
      <c r="I691" s="40">
        <v>0</v>
      </c>
      <c r="J691" s="40">
        <v>0</v>
      </c>
      <c r="K691" s="40">
        <v>0</v>
      </c>
      <c r="L691" s="40">
        <v>0</v>
      </c>
      <c r="M691" s="40">
        <v>0</v>
      </c>
      <c r="N691" s="40">
        <v>0</v>
      </c>
      <c r="O691" s="40">
        <v>0</v>
      </c>
      <c r="P691" s="40">
        <v>0</v>
      </c>
      <c r="Q691" s="40">
        <v>0</v>
      </c>
      <c r="R691" s="40">
        <v>0</v>
      </c>
      <c r="S691" s="40">
        <v>0</v>
      </c>
      <c r="T691" s="40">
        <v>0</v>
      </c>
      <c r="U691" s="40">
        <v>0</v>
      </c>
    </row>
    <row r="692" spans="1:21" x14ac:dyDescent="0.2">
      <c r="A692" t="s">
        <v>833</v>
      </c>
      <c r="B692">
        <v>2895</v>
      </c>
      <c r="C692">
        <v>1</v>
      </c>
      <c r="D692" t="s">
        <v>403</v>
      </c>
      <c r="E692" s="40">
        <v>0</v>
      </c>
      <c r="F692" s="40">
        <v>0</v>
      </c>
      <c r="G692" s="40">
        <v>0</v>
      </c>
      <c r="H692" s="40">
        <v>0</v>
      </c>
      <c r="I692" s="40">
        <v>0</v>
      </c>
      <c r="J692" s="40">
        <v>0</v>
      </c>
      <c r="K692" s="40">
        <v>0</v>
      </c>
      <c r="L692" s="40">
        <v>0</v>
      </c>
      <c r="M692" s="40">
        <v>0</v>
      </c>
      <c r="N692" s="40">
        <v>0</v>
      </c>
      <c r="O692" s="40">
        <v>0</v>
      </c>
      <c r="P692" s="40">
        <v>0</v>
      </c>
      <c r="Q692" s="40">
        <v>0</v>
      </c>
      <c r="R692" s="40">
        <v>0</v>
      </c>
      <c r="S692" s="40">
        <v>0</v>
      </c>
      <c r="T692" s="40">
        <v>0</v>
      </c>
      <c r="U692" s="40">
        <v>0</v>
      </c>
    </row>
    <row r="693" spans="1:21" x14ac:dyDescent="0.2">
      <c r="A693" t="s">
        <v>833</v>
      </c>
      <c r="B693">
        <v>2897</v>
      </c>
      <c r="C693">
        <v>1</v>
      </c>
      <c r="D693" t="s">
        <v>404</v>
      </c>
      <c r="E693" s="40">
        <v>0</v>
      </c>
      <c r="F693" s="40">
        <v>0</v>
      </c>
      <c r="G693" s="40">
        <v>0</v>
      </c>
      <c r="H693" s="40">
        <v>0</v>
      </c>
      <c r="I693" s="40">
        <v>0</v>
      </c>
      <c r="J693" s="40">
        <v>0</v>
      </c>
      <c r="K693" s="40">
        <v>0</v>
      </c>
      <c r="L693" s="40">
        <v>0</v>
      </c>
      <c r="M693" s="40">
        <v>0</v>
      </c>
      <c r="N693" s="40">
        <v>0</v>
      </c>
      <c r="O693" s="40">
        <v>0</v>
      </c>
      <c r="P693" s="40">
        <v>0</v>
      </c>
      <c r="Q693" s="40">
        <v>0</v>
      </c>
      <c r="R693" s="40">
        <v>0</v>
      </c>
      <c r="S693" s="40">
        <v>0</v>
      </c>
      <c r="T693" s="40">
        <v>0</v>
      </c>
      <c r="U693" s="40">
        <v>0</v>
      </c>
    </row>
    <row r="694" spans="1:21" x14ac:dyDescent="0.2">
      <c r="A694" t="s">
        <v>833</v>
      </c>
      <c r="B694">
        <v>2898</v>
      </c>
      <c r="C694">
        <v>1</v>
      </c>
      <c r="D694" t="s">
        <v>405</v>
      </c>
      <c r="E694" s="40">
        <v>0</v>
      </c>
      <c r="F694" s="40">
        <v>0</v>
      </c>
      <c r="G694" s="40">
        <v>0</v>
      </c>
      <c r="H694" s="40">
        <v>0</v>
      </c>
      <c r="I694" s="40">
        <v>0</v>
      </c>
      <c r="J694" s="40">
        <v>0</v>
      </c>
      <c r="K694" s="40">
        <v>0</v>
      </c>
      <c r="L694" s="40">
        <v>0</v>
      </c>
      <c r="M694" s="40">
        <v>0</v>
      </c>
      <c r="N694" s="40">
        <v>0</v>
      </c>
      <c r="O694" s="40">
        <v>0</v>
      </c>
      <c r="P694" s="40">
        <v>0</v>
      </c>
      <c r="Q694" s="40">
        <v>0</v>
      </c>
      <c r="R694" s="40">
        <v>0</v>
      </c>
      <c r="S694" s="40">
        <v>0</v>
      </c>
      <c r="T694" s="40">
        <v>0</v>
      </c>
      <c r="U694" s="40">
        <v>0</v>
      </c>
    </row>
    <row r="696" spans="1:21" x14ac:dyDescent="0.2">
      <c r="A696" t="s">
        <v>834</v>
      </c>
      <c r="B696">
        <v>1</v>
      </c>
      <c r="C696">
        <v>1</v>
      </c>
      <c r="D696" t="s">
        <v>63</v>
      </c>
      <c r="E696" s="40">
        <v>0</v>
      </c>
      <c r="F696" s="40">
        <v>0</v>
      </c>
      <c r="G696" s="40">
        <v>0</v>
      </c>
      <c r="H696" s="40">
        <v>0</v>
      </c>
      <c r="I696" s="40">
        <v>0</v>
      </c>
      <c r="J696" s="40">
        <v>0</v>
      </c>
      <c r="K696" s="40">
        <v>0</v>
      </c>
      <c r="L696" s="40">
        <v>0</v>
      </c>
      <c r="M696" s="40">
        <v>0</v>
      </c>
      <c r="N696" s="40">
        <v>0</v>
      </c>
      <c r="O696" s="40">
        <v>0</v>
      </c>
      <c r="P696" s="40">
        <v>0</v>
      </c>
      <c r="Q696" s="40">
        <v>0</v>
      </c>
      <c r="R696" s="40">
        <v>0</v>
      </c>
      <c r="S696" s="40">
        <v>0</v>
      </c>
      <c r="T696" s="40">
        <v>0</v>
      </c>
      <c r="U696" s="40">
        <v>0</v>
      </c>
    </row>
    <row r="697" spans="1:21" x14ac:dyDescent="0.2">
      <c r="A697" t="s">
        <v>834</v>
      </c>
      <c r="B697">
        <v>1.2</v>
      </c>
      <c r="C697">
        <v>3</v>
      </c>
      <c r="D697" t="s">
        <v>64</v>
      </c>
      <c r="E697" s="40">
        <v>0</v>
      </c>
      <c r="F697" s="40">
        <v>0</v>
      </c>
      <c r="G697" s="40">
        <v>0</v>
      </c>
      <c r="H697" s="40">
        <v>0</v>
      </c>
      <c r="I697" s="40">
        <v>0</v>
      </c>
      <c r="J697" s="40">
        <v>0</v>
      </c>
      <c r="K697" s="40">
        <v>0</v>
      </c>
      <c r="L697" s="40">
        <v>0</v>
      </c>
      <c r="M697" s="40">
        <v>0</v>
      </c>
      <c r="N697" s="40">
        <v>0</v>
      </c>
      <c r="O697" s="40">
        <v>0</v>
      </c>
      <c r="P697" s="40">
        <v>0</v>
      </c>
      <c r="Q697" s="40">
        <v>0</v>
      </c>
      <c r="R697" s="40">
        <v>0</v>
      </c>
      <c r="S697" s="40">
        <v>0</v>
      </c>
      <c r="T697" s="40">
        <v>0</v>
      </c>
      <c r="U697" s="40">
        <v>0</v>
      </c>
    </row>
    <row r="698" spans="1:21" x14ac:dyDescent="0.2">
      <c r="A698" t="s">
        <v>834</v>
      </c>
      <c r="B698">
        <v>2</v>
      </c>
      <c r="C698">
        <v>1</v>
      </c>
      <c r="D698" t="s">
        <v>65</v>
      </c>
      <c r="E698" s="40">
        <v>0</v>
      </c>
      <c r="F698" s="40">
        <v>0</v>
      </c>
      <c r="G698" s="40">
        <v>0</v>
      </c>
      <c r="H698" s="40">
        <v>0</v>
      </c>
      <c r="I698" s="40">
        <v>0</v>
      </c>
      <c r="J698" s="40">
        <v>0</v>
      </c>
      <c r="K698" s="40">
        <v>0</v>
      </c>
      <c r="L698" s="40">
        <v>0</v>
      </c>
      <c r="M698" s="40">
        <v>0</v>
      </c>
      <c r="N698" s="40">
        <v>0</v>
      </c>
      <c r="O698" s="40">
        <v>0</v>
      </c>
      <c r="P698" s="40">
        <v>0</v>
      </c>
      <c r="Q698" s="40">
        <v>0</v>
      </c>
      <c r="R698" s="40">
        <v>0</v>
      </c>
      <c r="S698" s="40">
        <v>0</v>
      </c>
      <c r="T698" s="40">
        <v>0</v>
      </c>
      <c r="U698" s="40">
        <v>0</v>
      </c>
    </row>
    <row r="699" spans="1:21" x14ac:dyDescent="0.2">
      <c r="A699" t="s">
        <v>834</v>
      </c>
      <c r="B699">
        <v>4</v>
      </c>
      <c r="C699">
        <v>1</v>
      </c>
      <c r="D699" t="s">
        <v>66</v>
      </c>
      <c r="E699" s="40">
        <v>0</v>
      </c>
      <c r="F699" s="40">
        <v>0</v>
      </c>
      <c r="G699" s="40">
        <v>0</v>
      </c>
      <c r="H699" s="40">
        <v>0</v>
      </c>
      <c r="I699" s="40">
        <v>0</v>
      </c>
      <c r="J699" s="40">
        <v>0</v>
      </c>
      <c r="K699" s="40">
        <v>0</v>
      </c>
      <c r="L699" s="40">
        <v>0</v>
      </c>
      <c r="M699" s="40">
        <v>0</v>
      </c>
      <c r="N699" s="40">
        <v>0</v>
      </c>
      <c r="O699" s="40">
        <v>0</v>
      </c>
      <c r="P699" s="40">
        <v>0</v>
      </c>
      <c r="Q699" s="40">
        <v>0</v>
      </c>
      <c r="R699" s="40">
        <v>0</v>
      </c>
      <c r="S699" s="40">
        <v>0</v>
      </c>
      <c r="T699" s="40">
        <v>0</v>
      </c>
      <c r="U699" s="40">
        <v>0</v>
      </c>
    </row>
    <row r="700" spans="1:21" x14ac:dyDescent="0.2">
      <c r="A700" t="s">
        <v>834</v>
      </c>
      <c r="B700">
        <v>6</v>
      </c>
      <c r="C700">
        <v>3</v>
      </c>
      <c r="D700" t="s">
        <v>67</v>
      </c>
      <c r="E700" s="40">
        <v>0</v>
      </c>
      <c r="F700" s="40">
        <v>0</v>
      </c>
      <c r="G700" s="40">
        <v>0</v>
      </c>
      <c r="H700" s="40">
        <v>0</v>
      </c>
      <c r="I700" s="40">
        <v>0</v>
      </c>
      <c r="J700" s="40">
        <v>0</v>
      </c>
      <c r="K700" s="40">
        <v>0</v>
      </c>
      <c r="L700" s="40">
        <v>0</v>
      </c>
      <c r="M700" s="40">
        <v>0</v>
      </c>
      <c r="N700" s="40">
        <v>0</v>
      </c>
      <c r="O700" s="40">
        <v>0</v>
      </c>
      <c r="P700" s="40">
        <v>0</v>
      </c>
      <c r="Q700" s="40">
        <v>0</v>
      </c>
      <c r="R700" s="40">
        <v>0</v>
      </c>
      <c r="S700" s="40">
        <v>0</v>
      </c>
      <c r="T700" s="40">
        <v>0</v>
      </c>
      <c r="U700" s="40">
        <v>0</v>
      </c>
    </row>
    <row r="701" spans="1:21" x14ac:dyDescent="0.2">
      <c r="A701" t="s">
        <v>834</v>
      </c>
      <c r="B701">
        <v>11</v>
      </c>
      <c r="C701">
        <v>1</v>
      </c>
      <c r="D701" t="s">
        <v>68</v>
      </c>
      <c r="E701" s="40">
        <v>0</v>
      </c>
      <c r="F701" s="40">
        <v>0</v>
      </c>
      <c r="G701" s="40">
        <v>0</v>
      </c>
      <c r="H701" s="40">
        <v>553</v>
      </c>
      <c r="I701" s="40">
        <v>553</v>
      </c>
      <c r="J701" s="40">
        <v>553</v>
      </c>
      <c r="K701" s="40">
        <v>553</v>
      </c>
      <c r="L701" s="40">
        <v>553</v>
      </c>
      <c r="M701" s="40">
        <v>0</v>
      </c>
      <c r="N701" s="40">
        <v>0</v>
      </c>
      <c r="O701" s="40">
        <v>0</v>
      </c>
      <c r="P701" s="40">
        <v>0</v>
      </c>
      <c r="Q701" s="40">
        <v>0</v>
      </c>
      <c r="R701" s="40">
        <v>0</v>
      </c>
      <c r="S701" s="40">
        <v>0</v>
      </c>
      <c r="T701" s="40">
        <v>0</v>
      </c>
      <c r="U701" s="40">
        <v>0</v>
      </c>
    </row>
    <row r="702" spans="1:21" x14ac:dyDescent="0.2">
      <c r="A702" t="s">
        <v>834</v>
      </c>
      <c r="B702">
        <v>12</v>
      </c>
      <c r="C702">
        <v>1</v>
      </c>
      <c r="D702" t="s">
        <v>69</v>
      </c>
      <c r="E702" s="40">
        <v>0</v>
      </c>
      <c r="F702" s="40">
        <v>0</v>
      </c>
      <c r="G702" s="40">
        <v>0</v>
      </c>
      <c r="H702" s="40">
        <v>0</v>
      </c>
      <c r="I702" s="40">
        <v>0</v>
      </c>
      <c r="J702" s="40">
        <v>0</v>
      </c>
      <c r="K702" s="40">
        <v>0</v>
      </c>
      <c r="L702" s="40">
        <v>0</v>
      </c>
      <c r="M702" s="40">
        <v>0</v>
      </c>
      <c r="N702" s="40">
        <v>0</v>
      </c>
      <c r="O702" s="40">
        <v>0</v>
      </c>
      <c r="P702" s="40">
        <v>0</v>
      </c>
      <c r="Q702" s="40">
        <v>0</v>
      </c>
      <c r="R702" s="40">
        <v>0</v>
      </c>
      <c r="S702" s="40">
        <v>0</v>
      </c>
      <c r="T702" s="40">
        <v>0</v>
      </c>
      <c r="U702" s="40">
        <v>0</v>
      </c>
    </row>
    <row r="703" spans="1:21" x14ac:dyDescent="0.2">
      <c r="A703" t="s">
        <v>834</v>
      </c>
      <c r="B703">
        <v>13</v>
      </c>
      <c r="C703">
        <v>1</v>
      </c>
      <c r="D703" t="s">
        <v>70</v>
      </c>
      <c r="E703" s="40">
        <v>0</v>
      </c>
      <c r="F703" s="40">
        <v>0</v>
      </c>
      <c r="G703" s="40">
        <v>0</v>
      </c>
      <c r="H703" s="40">
        <v>0</v>
      </c>
      <c r="I703" s="40">
        <v>0</v>
      </c>
      <c r="J703" s="40">
        <v>0</v>
      </c>
      <c r="K703" s="40">
        <v>0</v>
      </c>
      <c r="L703" s="40">
        <v>0</v>
      </c>
      <c r="M703" s="40">
        <v>0</v>
      </c>
      <c r="N703" s="40">
        <v>0</v>
      </c>
      <c r="O703" s="40">
        <v>0</v>
      </c>
      <c r="P703" s="40">
        <v>0</v>
      </c>
      <c r="Q703" s="40">
        <v>0</v>
      </c>
      <c r="R703" s="40">
        <v>0</v>
      </c>
      <c r="S703" s="40">
        <v>0</v>
      </c>
      <c r="T703" s="40">
        <v>0</v>
      </c>
      <c r="U703" s="40">
        <v>0</v>
      </c>
    </row>
    <row r="704" spans="1:21" x14ac:dyDescent="0.2">
      <c r="A704" t="s">
        <v>834</v>
      </c>
      <c r="B704">
        <v>14</v>
      </c>
      <c r="C704">
        <v>1</v>
      </c>
      <c r="D704" t="s">
        <v>71</v>
      </c>
      <c r="E704" s="40">
        <v>0</v>
      </c>
      <c r="F704" s="40">
        <v>0</v>
      </c>
      <c r="G704" s="40">
        <v>0</v>
      </c>
      <c r="H704" s="40">
        <v>406.18</v>
      </c>
      <c r="I704" s="40">
        <v>406.18</v>
      </c>
      <c r="J704" s="40">
        <v>406.18</v>
      </c>
      <c r="K704" s="40">
        <v>406.18</v>
      </c>
      <c r="L704" s="40">
        <v>406.18</v>
      </c>
      <c r="M704" s="40">
        <v>406.18</v>
      </c>
      <c r="N704" s="40">
        <v>406.18</v>
      </c>
      <c r="O704" s="40">
        <v>406.18</v>
      </c>
      <c r="P704" s="40">
        <v>406.18</v>
      </c>
      <c r="Q704" s="40">
        <v>0</v>
      </c>
      <c r="R704" s="40">
        <v>0</v>
      </c>
      <c r="S704" s="40">
        <v>0</v>
      </c>
      <c r="T704" s="40">
        <v>0</v>
      </c>
      <c r="U704" s="40">
        <v>0</v>
      </c>
    </row>
    <row r="705" spans="1:21" x14ac:dyDescent="0.2">
      <c r="A705" t="s">
        <v>834</v>
      </c>
      <c r="B705">
        <v>15</v>
      </c>
      <c r="C705">
        <v>1</v>
      </c>
      <c r="D705" t="s">
        <v>72</v>
      </c>
      <c r="E705" s="40">
        <v>0</v>
      </c>
      <c r="F705" s="40">
        <v>0</v>
      </c>
      <c r="G705" s="40">
        <v>0</v>
      </c>
      <c r="H705" s="40">
        <v>0</v>
      </c>
      <c r="I705" s="40">
        <v>0</v>
      </c>
      <c r="J705" s="40">
        <v>0</v>
      </c>
      <c r="K705" s="40">
        <v>0</v>
      </c>
      <c r="L705" s="40">
        <v>0</v>
      </c>
      <c r="M705" s="40">
        <v>0</v>
      </c>
      <c r="N705" s="40">
        <v>0</v>
      </c>
      <c r="O705" s="40">
        <v>0</v>
      </c>
      <c r="P705" s="40">
        <v>0</v>
      </c>
      <c r="Q705" s="40">
        <v>0</v>
      </c>
      <c r="R705" s="40">
        <v>0</v>
      </c>
      <c r="S705" s="40">
        <v>0</v>
      </c>
      <c r="T705" s="40">
        <v>0</v>
      </c>
      <c r="U705" s="40">
        <v>0</v>
      </c>
    </row>
    <row r="706" spans="1:21" x14ac:dyDescent="0.2">
      <c r="A706" t="s">
        <v>834</v>
      </c>
      <c r="B706">
        <v>16</v>
      </c>
      <c r="C706">
        <v>1</v>
      </c>
      <c r="D706" t="s">
        <v>73</v>
      </c>
      <c r="E706" s="40">
        <v>0</v>
      </c>
      <c r="F706" s="40">
        <v>0</v>
      </c>
      <c r="G706" s="40">
        <v>0</v>
      </c>
      <c r="H706" s="40">
        <v>510</v>
      </c>
      <c r="I706" s="40">
        <v>510</v>
      </c>
      <c r="J706" s="40">
        <v>510</v>
      </c>
      <c r="K706" s="40">
        <v>510</v>
      </c>
      <c r="L706" s="40">
        <v>510</v>
      </c>
      <c r="M706" s="40">
        <v>510</v>
      </c>
      <c r="N706" s="40">
        <v>510</v>
      </c>
      <c r="O706" s="40">
        <v>510</v>
      </c>
      <c r="P706" s="40">
        <v>510</v>
      </c>
      <c r="Q706" s="40">
        <v>510</v>
      </c>
      <c r="R706" s="40">
        <v>0</v>
      </c>
      <c r="S706" s="40">
        <v>0</v>
      </c>
      <c r="T706" s="40">
        <v>0</v>
      </c>
      <c r="U706" s="40">
        <v>0</v>
      </c>
    </row>
    <row r="707" spans="1:21" x14ac:dyDescent="0.2">
      <c r="A707" t="s">
        <v>834</v>
      </c>
      <c r="B707">
        <v>22</v>
      </c>
      <c r="C707">
        <v>1</v>
      </c>
      <c r="D707" t="s">
        <v>74</v>
      </c>
      <c r="E707" s="40">
        <v>0</v>
      </c>
      <c r="F707" s="40">
        <v>0</v>
      </c>
      <c r="G707" s="40">
        <v>0</v>
      </c>
      <c r="H707" s="40">
        <v>0</v>
      </c>
      <c r="I707" s="40">
        <v>0</v>
      </c>
      <c r="J707" s="40">
        <v>0</v>
      </c>
      <c r="K707" s="40">
        <v>0</v>
      </c>
      <c r="L707" s="40">
        <v>0</v>
      </c>
      <c r="M707" s="40">
        <v>0</v>
      </c>
      <c r="N707" s="40">
        <v>0</v>
      </c>
      <c r="O707" s="40">
        <v>0</v>
      </c>
      <c r="P707" s="40">
        <v>0</v>
      </c>
      <c r="Q707" s="40">
        <v>0</v>
      </c>
      <c r="R707" s="40">
        <v>0</v>
      </c>
      <c r="S707" s="40">
        <v>0</v>
      </c>
      <c r="T707" s="40">
        <v>0</v>
      </c>
      <c r="U707" s="40">
        <v>0</v>
      </c>
    </row>
    <row r="708" spans="1:21" x14ac:dyDescent="0.2">
      <c r="A708" t="s">
        <v>834</v>
      </c>
      <c r="B708">
        <v>23</v>
      </c>
      <c r="C708">
        <v>1</v>
      </c>
      <c r="D708" t="s">
        <v>75</v>
      </c>
      <c r="E708" s="40">
        <v>0</v>
      </c>
      <c r="F708" s="40">
        <v>0</v>
      </c>
      <c r="G708" s="40">
        <v>0</v>
      </c>
      <c r="H708" s="40">
        <v>0</v>
      </c>
      <c r="I708" s="40">
        <v>0</v>
      </c>
      <c r="J708" s="40">
        <v>0</v>
      </c>
      <c r="K708" s="40">
        <v>0</v>
      </c>
      <c r="L708" s="40">
        <v>0</v>
      </c>
      <c r="M708" s="40">
        <v>0</v>
      </c>
      <c r="N708" s="40">
        <v>0</v>
      </c>
      <c r="O708" s="40">
        <v>0</v>
      </c>
      <c r="P708" s="40">
        <v>0</v>
      </c>
      <c r="Q708" s="40">
        <v>0</v>
      </c>
      <c r="R708" s="40">
        <v>0</v>
      </c>
      <c r="S708" s="40">
        <v>0</v>
      </c>
      <c r="T708" s="40">
        <v>0</v>
      </c>
      <c r="U708" s="40">
        <v>0</v>
      </c>
    </row>
    <row r="709" spans="1:21" x14ac:dyDescent="0.2">
      <c r="A709" t="s">
        <v>834</v>
      </c>
      <c r="B709">
        <v>25</v>
      </c>
      <c r="C709">
        <v>1</v>
      </c>
      <c r="D709" t="s">
        <v>76</v>
      </c>
      <c r="E709" s="40">
        <v>0</v>
      </c>
      <c r="F709" s="40">
        <v>0</v>
      </c>
      <c r="G709" s="40">
        <v>0</v>
      </c>
      <c r="H709" s="40">
        <v>0</v>
      </c>
      <c r="I709" s="40">
        <v>0</v>
      </c>
      <c r="J709" s="40">
        <v>0</v>
      </c>
      <c r="K709" s="40">
        <v>0</v>
      </c>
      <c r="L709" s="40">
        <v>0</v>
      </c>
      <c r="M709" s="40">
        <v>0</v>
      </c>
      <c r="N709" s="40">
        <v>0</v>
      </c>
      <c r="O709" s="40">
        <v>0</v>
      </c>
      <c r="P709" s="40">
        <v>0</v>
      </c>
      <c r="Q709" s="40">
        <v>0</v>
      </c>
      <c r="R709" s="40">
        <v>0</v>
      </c>
      <c r="S709" s="40">
        <v>0</v>
      </c>
      <c r="T709" s="40">
        <v>0</v>
      </c>
      <c r="U709" s="40">
        <v>0</v>
      </c>
    </row>
    <row r="710" spans="1:21" x14ac:dyDescent="0.2">
      <c r="A710" t="s">
        <v>834</v>
      </c>
      <c r="B710">
        <v>31</v>
      </c>
      <c r="C710">
        <v>1</v>
      </c>
      <c r="D710" t="s">
        <v>77</v>
      </c>
      <c r="E710" s="40">
        <v>0</v>
      </c>
      <c r="F710" s="40">
        <v>0</v>
      </c>
      <c r="G710" s="40">
        <v>0</v>
      </c>
      <c r="H710" s="40">
        <v>0</v>
      </c>
      <c r="I710" s="40">
        <v>0</v>
      </c>
      <c r="J710" s="40">
        <v>0</v>
      </c>
      <c r="K710" s="40">
        <v>0</v>
      </c>
      <c r="L710" s="40">
        <v>0</v>
      </c>
      <c r="M710" s="40">
        <v>0</v>
      </c>
      <c r="N710" s="40">
        <v>0</v>
      </c>
      <c r="O710" s="40">
        <v>0</v>
      </c>
      <c r="P710" s="40">
        <v>0</v>
      </c>
      <c r="Q710" s="40">
        <v>0</v>
      </c>
      <c r="R710" s="40">
        <v>0</v>
      </c>
      <c r="S710" s="40">
        <v>0</v>
      </c>
      <c r="T710" s="40">
        <v>0</v>
      </c>
      <c r="U710" s="40">
        <v>0</v>
      </c>
    </row>
    <row r="711" spans="1:21" x14ac:dyDescent="0.2">
      <c r="A711" t="s">
        <v>834</v>
      </c>
      <c r="B711">
        <v>32</v>
      </c>
      <c r="C711">
        <v>1</v>
      </c>
      <c r="D711" t="s">
        <v>78</v>
      </c>
      <c r="E711" s="40">
        <v>0</v>
      </c>
      <c r="F711" s="40">
        <v>0</v>
      </c>
      <c r="G711" s="40">
        <v>0</v>
      </c>
      <c r="H711" s="40">
        <v>0</v>
      </c>
      <c r="I711" s="40">
        <v>0</v>
      </c>
      <c r="J711" s="40">
        <v>0</v>
      </c>
      <c r="K711" s="40">
        <v>0</v>
      </c>
      <c r="L711" s="40">
        <v>0</v>
      </c>
      <c r="M711" s="40">
        <v>0</v>
      </c>
      <c r="N711" s="40">
        <v>0</v>
      </c>
      <c r="O711" s="40">
        <v>0</v>
      </c>
      <c r="P711" s="40">
        <v>0</v>
      </c>
      <c r="Q711" s="40">
        <v>0</v>
      </c>
      <c r="R711" s="40">
        <v>0</v>
      </c>
      <c r="S711" s="40">
        <v>0</v>
      </c>
      <c r="T711" s="40">
        <v>0</v>
      </c>
      <c r="U711" s="40">
        <v>0</v>
      </c>
    </row>
    <row r="712" spans="1:21" x14ac:dyDescent="0.2">
      <c r="A712" t="s">
        <v>834</v>
      </c>
      <c r="B712">
        <v>36</v>
      </c>
      <c r="C712">
        <v>1</v>
      </c>
      <c r="D712" t="s">
        <v>79</v>
      </c>
      <c r="E712" s="40">
        <v>0</v>
      </c>
      <c r="F712" s="40">
        <v>0</v>
      </c>
      <c r="G712" s="40">
        <v>0</v>
      </c>
      <c r="H712" s="40">
        <v>0</v>
      </c>
      <c r="I712" s="40">
        <v>0</v>
      </c>
      <c r="J712" s="40">
        <v>0</v>
      </c>
      <c r="K712" s="40">
        <v>0</v>
      </c>
      <c r="L712" s="40">
        <v>0</v>
      </c>
      <c r="M712" s="40">
        <v>0</v>
      </c>
      <c r="N712" s="40">
        <v>0</v>
      </c>
      <c r="O712" s="40">
        <v>0</v>
      </c>
      <c r="P712" s="40">
        <v>0</v>
      </c>
      <c r="Q712" s="40">
        <v>0</v>
      </c>
      <c r="R712" s="40">
        <v>0</v>
      </c>
      <c r="S712" s="40">
        <v>0</v>
      </c>
      <c r="T712" s="40">
        <v>0</v>
      </c>
      <c r="U712" s="40">
        <v>0</v>
      </c>
    </row>
    <row r="713" spans="1:21" x14ac:dyDescent="0.2">
      <c r="A713" t="s">
        <v>834</v>
      </c>
      <c r="B713">
        <v>38</v>
      </c>
      <c r="C713">
        <v>1</v>
      </c>
      <c r="D713" t="s">
        <v>80</v>
      </c>
      <c r="E713" s="40">
        <v>0</v>
      </c>
      <c r="F713" s="40">
        <v>0</v>
      </c>
      <c r="G713" s="40">
        <v>0</v>
      </c>
      <c r="H713" s="40">
        <v>0</v>
      </c>
      <c r="I713" s="40">
        <v>0</v>
      </c>
      <c r="J713" s="40">
        <v>0</v>
      </c>
      <c r="K713" s="40">
        <v>0</v>
      </c>
      <c r="L713" s="40">
        <v>0</v>
      </c>
      <c r="M713" s="40">
        <v>0</v>
      </c>
      <c r="N713" s="40">
        <v>0</v>
      </c>
      <c r="O713" s="40">
        <v>0</v>
      </c>
      <c r="P713" s="40">
        <v>0</v>
      </c>
      <c r="Q713" s="40">
        <v>0</v>
      </c>
      <c r="R713" s="40">
        <v>0</v>
      </c>
      <c r="S713" s="40">
        <v>0</v>
      </c>
      <c r="T713" s="40">
        <v>0</v>
      </c>
      <c r="U713" s="40">
        <v>0</v>
      </c>
    </row>
    <row r="714" spans="1:21" x14ac:dyDescent="0.2">
      <c r="A714" t="s">
        <v>834</v>
      </c>
      <c r="B714">
        <v>47</v>
      </c>
      <c r="C714">
        <v>1</v>
      </c>
      <c r="D714" t="s">
        <v>81</v>
      </c>
      <c r="E714" s="40">
        <v>0</v>
      </c>
      <c r="F714" s="40">
        <v>0</v>
      </c>
      <c r="G714" s="40">
        <v>0</v>
      </c>
      <c r="H714" s="40">
        <v>0</v>
      </c>
      <c r="I714" s="40">
        <v>0</v>
      </c>
      <c r="J714" s="40">
        <v>0</v>
      </c>
      <c r="K714" s="40">
        <v>0</v>
      </c>
      <c r="L714" s="40">
        <v>0</v>
      </c>
      <c r="M714" s="40">
        <v>0</v>
      </c>
      <c r="N714" s="40">
        <v>0</v>
      </c>
      <c r="O714" s="40">
        <v>0</v>
      </c>
      <c r="P714" s="40">
        <v>0</v>
      </c>
      <c r="Q714" s="40">
        <v>0</v>
      </c>
      <c r="R714" s="40">
        <v>0</v>
      </c>
      <c r="S714" s="40">
        <v>0</v>
      </c>
      <c r="T714" s="40">
        <v>0</v>
      </c>
      <c r="U714" s="40">
        <v>0</v>
      </c>
    </row>
    <row r="715" spans="1:21" x14ac:dyDescent="0.2">
      <c r="A715" t="s">
        <v>834</v>
      </c>
      <c r="B715">
        <v>51</v>
      </c>
      <c r="C715">
        <v>1</v>
      </c>
      <c r="D715" t="s">
        <v>82</v>
      </c>
      <c r="E715" s="40">
        <v>0</v>
      </c>
      <c r="F715" s="40">
        <v>0</v>
      </c>
      <c r="G715" s="40">
        <v>0</v>
      </c>
      <c r="H715" s="40">
        <v>0</v>
      </c>
      <c r="I715" s="40">
        <v>0</v>
      </c>
      <c r="J715" s="40">
        <v>0</v>
      </c>
      <c r="K715" s="40">
        <v>0</v>
      </c>
      <c r="L715" s="40">
        <v>0</v>
      </c>
      <c r="M715" s="40">
        <v>0</v>
      </c>
      <c r="N715" s="40">
        <v>0</v>
      </c>
      <c r="O715" s="40">
        <v>0</v>
      </c>
      <c r="P715" s="40">
        <v>0</v>
      </c>
      <c r="Q715" s="40">
        <v>0</v>
      </c>
      <c r="R715" s="40">
        <v>0</v>
      </c>
      <c r="S715" s="40">
        <v>0</v>
      </c>
      <c r="T715" s="40">
        <v>0</v>
      </c>
      <c r="U715" s="40">
        <v>0</v>
      </c>
    </row>
    <row r="716" spans="1:21" x14ac:dyDescent="0.2">
      <c r="A716" t="s">
        <v>834</v>
      </c>
      <c r="B716">
        <v>62</v>
      </c>
      <c r="C716">
        <v>1</v>
      </c>
      <c r="D716" t="s">
        <v>83</v>
      </c>
      <c r="E716" s="40">
        <v>0</v>
      </c>
      <c r="F716" s="40">
        <v>0</v>
      </c>
      <c r="G716" s="40">
        <v>0</v>
      </c>
      <c r="H716" s="40">
        <v>0</v>
      </c>
      <c r="I716" s="40">
        <v>0</v>
      </c>
      <c r="J716" s="40">
        <v>0</v>
      </c>
      <c r="K716" s="40">
        <v>0</v>
      </c>
      <c r="L716" s="40">
        <v>0</v>
      </c>
      <c r="M716" s="40">
        <v>0</v>
      </c>
      <c r="N716" s="40">
        <v>0</v>
      </c>
      <c r="O716" s="40">
        <v>0</v>
      </c>
      <c r="P716" s="40">
        <v>0</v>
      </c>
      <c r="Q716" s="40">
        <v>0</v>
      </c>
      <c r="R716" s="40">
        <v>0</v>
      </c>
      <c r="S716" s="40">
        <v>0</v>
      </c>
      <c r="T716" s="40">
        <v>0</v>
      </c>
      <c r="U716" s="40">
        <v>0</v>
      </c>
    </row>
    <row r="717" spans="1:21" x14ac:dyDescent="0.2">
      <c r="A717" t="s">
        <v>834</v>
      </c>
      <c r="B717">
        <v>75</v>
      </c>
      <c r="C717">
        <v>1</v>
      </c>
      <c r="D717" t="s">
        <v>84</v>
      </c>
      <c r="E717" s="40">
        <v>0</v>
      </c>
      <c r="F717" s="40">
        <v>0</v>
      </c>
      <c r="G717" s="40">
        <v>0</v>
      </c>
      <c r="H717" s="40">
        <v>0</v>
      </c>
      <c r="I717" s="40">
        <v>0</v>
      </c>
      <c r="J717" s="40">
        <v>0</v>
      </c>
      <c r="K717" s="40">
        <v>0</v>
      </c>
      <c r="L717" s="40">
        <v>0</v>
      </c>
      <c r="M717" s="40">
        <v>0</v>
      </c>
      <c r="N717" s="40">
        <v>0</v>
      </c>
      <c r="O717" s="40">
        <v>0</v>
      </c>
      <c r="P717" s="40">
        <v>0</v>
      </c>
      <c r="Q717" s="40">
        <v>0</v>
      </c>
      <c r="R717" s="40">
        <v>0</v>
      </c>
      <c r="S717" s="40">
        <v>0</v>
      </c>
      <c r="T717" s="40">
        <v>0</v>
      </c>
      <c r="U717" s="40">
        <v>0</v>
      </c>
    </row>
    <row r="718" spans="1:21" x14ac:dyDescent="0.2">
      <c r="A718" t="s">
        <v>834</v>
      </c>
      <c r="B718">
        <v>77</v>
      </c>
      <c r="C718">
        <v>1</v>
      </c>
      <c r="D718" t="s">
        <v>85</v>
      </c>
      <c r="E718" s="40">
        <v>0</v>
      </c>
      <c r="F718" s="40">
        <v>0</v>
      </c>
      <c r="G718" s="40">
        <v>0</v>
      </c>
      <c r="H718" s="40">
        <v>350</v>
      </c>
      <c r="I718" s="40">
        <v>350</v>
      </c>
      <c r="J718" s="40">
        <v>350</v>
      </c>
      <c r="K718" s="40">
        <v>350</v>
      </c>
      <c r="L718" s="40">
        <v>350</v>
      </c>
      <c r="M718" s="40">
        <v>350</v>
      </c>
      <c r="N718" s="40">
        <v>350</v>
      </c>
      <c r="O718" s="40">
        <v>0</v>
      </c>
      <c r="P718" s="40">
        <v>0</v>
      </c>
      <c r="Q718" s="40">
        <v>0</v>
      </c>
      <c r="R718" s="40">
        <v>0</v>
      </c>
      <c r="S718" s="40">
        <v>0</v>
      </c>
      <c r="T718" s="40">
        <v>0</v>
      </c>
      <c r="U718" s="40">
        <v>0</v>
      </c>
    </row>
    <row r="719" spans="1:21" x14ac:dyDescent="0.2">
      <c r="A719" t="s">
        <v>834</v>
      </c>
      <c r="B719">
        <v>81</v>
      </c>
      <c r="C719">
        <v>1</v>
      </c>
      <c r="D719" t="s">
        <v>86</v>
      </c>
      <c r="E719" s="40">
        <v>0</v>
      </c>
      <c r="F719" s="40">
        <v>0</v>
      </c>
      <c r="G719" s="40">
        <v>0</v>
      </c>
      <c r="H719" s="40">
        <v>0</v>
      </c>
      <c r="I719" s="40">
        <v>0</v>
      </c>
      <c r="J719" s="40">
        <v>0</v>
      </c>
      <c r="K719" s="40">
        <v>0</v>
      </c>
      <c r="L719" s="40">
        <v>0</v>
      </c>
      <c r="M719" s="40">
        <v>0</v>
      </c>
      <c r="N719" s="40">
        <v>0</v>
      </c>
      <c r="O719" s="40">
        <v>0</v>
      </c>
      <c r="P719" s="40">
        <v>0</v>
      </c>
      <c r="Q719" s="40">
        <v>0</v>
      </c>
      <c r="R719" s="40">
        <v>0</v>
      </c>
      <c r="S719" s="40">
        <v>0</v>
      </c>
      <c r="T719" s="40">
        <v>0</v>
      </c>
      <c r="U719" s="40">
        <v>0</v>
      </c>
    </row>
    <row r="720" spans="1:21" x14ac:dyDescent="0.2">
      <c r="A720" t="s">
        <v>834</v>
      </c>
      <c r="B720">
        <v>84</v>
      </c>
      <c r="C720">
        <v>1</v>
      </c>
      <c r="D720" t="s">
        <v>87</v>
      </c>
      <c r="E720" s="40">
        <v>0</v>
      </c>
      <c r="F720" s="40">
        <v>0</v>
      </c>
      <c r="G720" s="40">
        <v>0</v>
      </c>
      <c r="H720" s="40">
        <v>0</v>
      </c>
      <c r="I720" s="40">
        <v>0</v>
      </c>
      <c r="J720" s="40">
        <v>0</v>
      </c>
      <c r="K720" s="40">
        <v>0</v>
      </c>
      <c r="L720" s="40">
        <v>0</v>
      </c>
      <c r="M720" s="40">
        <v>0</v>
      </c>
      <c r="N720" s="40">
        <v>0</v>
      </c>
      <c r="O720" s="40">
        <v>0</v>
      </c>
      <c r="P720" s="40">
        <v>0</v>
      </c>
      <c r="Q720" s="40">
        <v>0</v>
      </c>
      <c r="R720" s="40">
        <v>0</v>
      </c>
      <c r="S720" s="40">
        <v>0</v>
      </c>
      <c r="T720" s="40">
        <v>0</v>
      </c>
      <c r="U720" s="40">
        <v>0</v>
      </c>
    </row>
    <row r="721" spans="1:21" x14ac:dyDescent="0.2">
      <c r="A721" t="s">
        <v>834</v>
      </c>
      <c r="B721">
        <v>85</v>
      </c>
      <c r="C721">
        <v>1</v>
      </c>
      <c r="D721" t="s">
        <v>88</v>
      </c>
      <c r="E721" s="40">
        <v>0</v>
      </c>
      <c r="F721" s="40">
        <v>0</v>
      </c>
      <c r="G721" s="40">
        <v>0</v>
      </c>
      <c r="H721" s="40">
        <v>0</v>
      </c>
      <c r="I721" s="40">
        <v>0</v>
      </c>
      <c r="J721" s="40">
        <v>0</v>
      </c>
      <c r="K721" s="40">
        <v>0</v>
      </c>
      <c r="L721" s="40">
        <v>0</v>
      </c>
      <c r="M721" s="40">
        <v>0</v>
      </c>
      <c r="N721" s="40">
        <v>0</v>
      </c>
      <c r="O721" s="40">
        <v>0</v>
      </c>
      <c r="P721" s="40">
        <v>0</v>
      </c>
      <c r="Q721" s="40">
        <v>0</v>
      </c>
      <c r="R721" s="40">
        <v>0</v>
      </c>
      <c r="S721" s="40">
        <v>0</v>
      </c>
      <c r="T721" s="40">
        <v>0</v>
      </c>
      <c r="U721" s="40">
        <v>0</v>
      </c>
    </row>
    <row r="722" spans="1:21" x14ac:dyDescent="0.2">
      <c r="A722" t="s">
        <v>834</v>
      </c>
      <c r="B722">
        <v>88</v>
      </c>
      <c r="C722">
        <v>1</v>
      </c>
      <c r="D722" t="s">
        <v>89</v>
      </c>
      <c r="E722" s="40">
        <v>0</v>
      </c>
      <c r="F722" s="40">
        <v>0</v>
      </c>
      <c r="G722" s="40">
        <v>0</v>
      </c>
      <c r="H722" s="40">
        <v>0</v>
      </c>
      <c r="I722" s="40">
        <v>0</v>
      </c>
      <c r="J722" s="40">
        <v>0</v>
      </c>
      <c r="K722" s="40">
        <v>0</v>
      </c>
      <c r="L722" s="40">
        <v>0</v>
      </c>
      <c r="M722" s="40">
        <v>0</v>
      </c>
      <c r="N722" s="40">
        <v>0</v>
      </c>
      <c r="O722" s="40">
        <v>0</v>
      </c>
      <c r="P722" s="40">
        <v>0</v>
      </c>
      <c r="Q722" s="40">
        <v>0</v>
      </c>
      <c r="R722" s="40">
        <v>0</v>
      </c>
      <c r="S722" s="40">
        <v>0</v>
      </c>
      <c r="T722" s="40">
        <v>0</v>
      </c>
      <c r="U722" s="40">
        <v>0</v>
      </c>
    </row>
    <row r="723" spans="1:21" x14ac:dyDescent="0.2">
      <c r="A723" t="s">
        <v>834</v>
      </c>
      <c r="B723">
        <v>91</v>
      </c>
      <c r="C723">
        <v>1</v>
      </c>
      <c r="D723" t="s">
        <v>90</v>
      </c>
      <c r="E723" s="40">
        <v>0</v>
      </c>
      <c r="F723" s="40">
        <v>0</v>
      </c>
      <c r="G723" s="40">
        <v>0</v>
      </c>
      <c r="H723" s="40">
        <v>0</v>
      </c>
      <c r="I723" s="40">
        <v>0</v>
      </c>
      <c r="J723" s="40">
        <v>0</v>
      </c>
      <c r="K723" s="40">
        <v>0</v>
      </c>
      <c r="L723" s="40">
        <v>0</v>
      </c>
      <c r="M723" s="40">
        <v>0</v>
      </c>
      <c r="N723" s="40">
        <v>0</v>
      </c>
      <c r="O723" s="40">
        <v>0</v>
      </c>
      <c r="P723" s="40">
        <v>0</v>
      </c>
      <c r="Q723" s="40">
        <v>0</v>
      </c>
      <c r="R723" s="40">
        <v>0</v>
      </c>
      <c r="S723" s="40">
        <v>0</v>
      </c>
      <c r="T723" s="40">
        <v>0</v>
      </c>
      <c r="U723" s="40">
        <v>0</v>
      </c>
    </row>
    <row r="724" spans="1:21" x14ac:dyDescent="0.2">
      <c r="A724" t="s">
        <v>834</v>
      </c>
      <c r="B724">
        <v>93</v>
      </c>
      <c r="C724">
        <v>1</v>
      </c>
      <c r="D724" t="s">
        <v>91</v>
      </c>
      <c r="E724" s="40">
        <v>0</v>
      </c>
      <c r="F724" s="40">
        <v>0</v>
      </c>
      <c r="G724" s="40">
        <v>0</v>
      </c>
      <c r="H724" s="40">
        <v>0</v>
      </c>
      <c r="I724" s="40">
        <v>0</v>
      </c>
      <c r="J724" s="40">
        <v>0</v>
      </c>
      <c r="K724" s="40">
        <v>0</v>
      </c>
      <c r="L724" s="40">
        <v>0</v>
      </c>
      <c r="M724" s="40">
        <v>0</v>
      </c>
      <c r="N724" s="40">
        <v>0</v>
      </c>
      <c r="O724" s="40">
        <v>0</v>
      </c>
      <c r="P724" s="40">
        <v>0</v>
      </c>
      <c r="Q724" s="40">
        <v>0</v>
      </c>
      <c r="R724" s="40">
        <v>0</v>
      </c>
      <c r="S724" s="40">
        <v>0</v>
      </c>
      <c r="T724" s="40">
        <v>0</v>
      </c>
      <c r="U724" s="40">
        <v>0</v>
      </c>
    </row>
    <row r="725" spans="1:21" x14ac:dyDescent="0.2">
      <c r="A725" t="s">
        <v>834</v>
      </c>
      <c r="B725">
        <v>94</v>
      </c>
      <c r="C725">
        <v>1</v>
      </c>
      <c r="D725" t="s">
        <v>92</v>
      </c>
      <c r="E725" s="40">
        <v>0</v>
      </c>
      <c r="F725" s="40">
        <v>0</v>
      </c>
      <c r="G725" s="40">
        <v>0</v>
      </c>
      <c r="H725" s="40">
        <v>0</v>
      </c>
      <c r="I725" s="40">
        <v>0</v>
      </c>
      <c r="J725" s="40">
        <v>0</v>
      </c>
      <c r="K725" s="40">
        <v>0</v>
      </c>
      <c r="L725" s="40">
        <v>0</v>
      </c>
      <c r="M725" s="40">
        <v>0</v>
      </c>
      <c r="N725" s="40">
        <v>0</v>
      </c>
      <c r="O725" s="40">
        <v>0</v>
      </c>
      <c r="P725" s="40">
        <v>0</v>
      </c>
      <c r="Q725" s="40">
        <v>0</v>
      </c>
      <c r="R725" s="40">
        <v>0</v>
      </c>
      <c r="S725" s="40">
        <v>0</v>
      </c>
      <c r="T725" s="40">
        <v>0</v>
      </c>
      <c r="U725" s="40">
        <v>0</v>
      </c>
    </row>
    <row r="726" spans="1:21" x14ac:dyDescent="0.2">
      <c r="A726" t="s">
        <v>834</v>
      </c>
      <c r="B726">
        <v>95</v>
      </c>
      <c r="C726">
        <v>1</v>
      </c>
      <c r="D726" t="s">
        <v>93</v>
      </c>
      <c r="E726" s="40">
        <v>0</v>
      </c>
      <c r="F726" s="40">
        <v>0</v>
      </c>
      <c r="G726" s="40">
        <v>0</v>
      </c>
      <c r="H726" s="40">
        <v>0</v>
      </c>
      <c r="I726" s="40">
        <v>0</v>
      </c>
      <c r="J726" s="40">
        <v>0</v>
      </c>
      <c r="K726" s="40">
        <v>0</v>
      </c>
      <c r="L726" s="40">
        <v>0</v>
      </c>
      <c r="M726" s="40">
        <v>0</v>
      </c>
      <c r="N726" s="40">
        <v>0</v>
      </c>
      <c r="O726" s="40">
        <v>0</v>
      </c>
      <c r="P726" s="40">
        <v>0</v>
      </c>
      <c r="Q726" s="40">
        <v>0</v>
      </c>
      <c r="R726" s="40">
        <v>0</v>
      </c>
      <c r="S726" s="40">
        <v>0</v>
      </c>
      <c r="T726" s="40">
        <v>0</v>
      </c>
      <c r="U726" s="40">
        <v>0</v>
      </c>
    </row>
    <row r="727" spans="1:21" x14ac:dyDescent="0.2">
      <c r="A727" t="s">
        <v>834</v>
      </c>
      <c r="B727">
        <v>97</v>
      </c>
      <c r="C727">
        <v>1</v>
      </c>
      <c r="D727" t="s">
        <v>94</v>
      </c>
      <c r="E727" s="40">
        <v>0</v>
      </c>
      <c r="F727" s="40">
        <v>0</v>
      </c>
      <c r="G727" s="40">
        <v>0</v>
      </c>
      <c r="H727" s="40">
        <v>0</v>
      </c>
      <c r="I727" s="40">
        <v>0</v>
      </c>
      <c r="J727" s="40">
        <v>0</v>
      </c>
      <c r="K727" s="40">
        <v>0</v>
      </c>
      <c r="L727" s="40">
        <v>0</v>
      </c>
      <c r="M727" s="40">
        <v>0</v>
      </c>
      <c r="N727" s="40">
        <v>0</v>
      </c>
      <c r="O727" s="40">
        <v>0</v>
      </c>
      <c r="P727" s="40">
        <v>0</v>
      </c>
      <c r="Q727" s="40">
        <v>0</v>
      </c>
      <c r="R727" s="40">
        <v>0</v>
      </c>
      <c r="S727" s="40">
        <v>0</v>
      </c>
      <c r="T727" s="40">
        <v>0</v>
      </c>
      <c r="U727" s="40">
        <v>0</v>
      </c>
    </row>
    <row r="728" spans="1:21" x14ac:dyDescent="0.2">
      <c r="A728" t="s">
        <v>834</v>
      </c>
      <c r="B728">
        <v>99</v>
      </c>
      <c r="C728">
        <v>1</v>
      </c>
      <c r="D728" t="s">
        <v>95</v>
      </c>
      <c r="E728" s="40">
        <v>0</v>
      </c>
      <c r="F728" s="40">
        <v>0</v>
      </c>
      <c r="G728" s="40">
        <v>0</v>
      </c>
      <c r="H728" s="40">
        <v>0</v>
      </c>
      <c r="I728" s="40">
        <v>0</v>
      </c>
      <c r="J728" s="40">
        <v>0</v>
      </c>
      <c r="K728" s="40">
        <v>0</v>
      </c>
      <c r="L728" s="40">
        <v>0</v>
      </c>
      <c r="M728" s="40">
        <v>0</v>
      </c>
      <c r="N728" s="40">
        <v>0</v>
      </c>
      <c r="O728" s="40">
        <v>0</v>
      </c>
      <c r="P728" s="40">
        <v>0</v>
      </c>
      <c r="Q728" s="40">
        <v>0</v>
      </c>
      <c r="R728" s="40">
        <v>0</v>
      </c>
      <c r="S728" s="40">
        <v>0</v>
      </c>
      <c r="T728" s="40">
        <v>0</v>
      </c>
      <c r="U728" s="40">
        <v>0</v>
      </c>
    </row>
    <row r="729" spans="1:21" x14ac:dyDescent="0.2">
      <c r="A729" t="s">
        <v>834</v>
      </c>
      <c r="B729">
        <v>100</v>
      </c>
      <c r="C729">
        <v>1</v>
      </c>
      <c r="D729" t="s">
        <v>96</v>
      </c>
      <c r="E729" s="40">
        <v>0</v>
      </c>
      <c r="F729" s="40">
        <v>0</v>
      </c>
      <c r="G729" s="40">
        <v>0</v>
      </c>
      <c r="H729" s="40">
        <v>0</v>
      </c>
      <c r="I729" s="40">
        <v>0</v>
      </c>
      <c r="J729" s="40">
        <v>0</v>
      </c>
      <c r="K729" s="40">
        <v>0</v>
      </c>
      <c r="L729" s="40">
        <v>0</v>
      </c>
      <c r="M729" s="40">
        <v>0</v>
      </c>
      <c r="N729" s="40">
        <v>0</v>
      </c>
      <c r="O729" s="40">
        <v>0</v>
      </c>
      <c r="P729" s="40">
        <v>0</v>
      </c>
      <c r="Q729" s="40">
        <v>0</v>
      </c>
      <c r="R729" s="40">
        <v>0</v>
      </c>
      <c r="S729" s="40">
        <v>0</v>
      </c>
      <c r="T729" s="40">
        <v>0</v>
      </c>
      <c r="U729" s="40">
        <v>0</v>
      </c>
    </row>
    <row r="730" spans="1:21" x14ac:dyDescent="0.2">
      <c r="A730" t="s">
        <v>834</v>
      </c>
      <c r="B730">
        <v>108</v>
      </c>
      <c r="C730">
        <v>1</v>
      </c>
      <c r="D730" t="s">
        <v>97</v>
      </c>
      <c r="E730" s="40">
        <v>0</v>
      </c>
      <c r="F730" s="40">
        <v>0</v>
      </c>
      <c r="G730" s="40">
        <v>0</v>
      </c>
      <c r="H730" s="40">
        <v>0</v>
      </c>
      <c r="I730" s="40">
        <v>0</v>
      </c>
      <c r="J730" s="40">
        <v>0</v>
      </c>
      <c r="K730" s="40">
        <v>0</v>
      </c>
      <c r="L730" s="40">
        <v>0</v>
      </c>
      <c r="M730" s="40">
        <v>0</v>
      </c>
      <c r="N730" s="40">
        <v>0</v>
      </c>
      <c r="O730" s="40">
        <v>0</v>
      </c>
      <c r="P730" s="40">
        <v>0</v>
      </c>
      <c r="Q730" s="40">
        <v>0</v>
      </c>
      <c r="R730" s="40">
        <v>0</v>
      </c>
      <c r="S730" s="40">
        <v>0</v>
      </c>
      <c r="T730" s="40">
        <v>0</v>
      </c>
      <c r="U730" s="40">
        <v>0</v>
      </c>
    </row>
    <row r="731" spans="1:21" x14ac:dyDescent="0.2">
      <c r="A731" t="s">
        <v>834</v>
      </c>
      <c r="B731">
        <v>110</v>
      </c>
      <c r="C731">
        <v>1</v>
      </c>
      <c r="D731" t="s">
        <v>98</v>
      </c>
      <c r="E731" s="40">
        <v>0</v>
      </c>
      <c r="F731" s="40">
        <v>0</v>
      </c>
      <c r="G731" s="40">
        <v>0</v>
      </c>
      <c r="H731" s="40">
        <v>0</v>
      </c>
      <c r="I731" s="40">
        <v>0</v>
      </c>
      <c r="J731" s="40">
        <v>0</v>
      </c>
      <c r="K731" s="40">
        <v>0</v>
      </c>
      <c r="L731" s="40">
        <v>0</v>
      </c>
      <c r="M731" s="40">
        <v>0</v>
      </c>
      <c r="N731" s="40">
        <v>0</v>
      </c>
      <c r="O731" s="40">
        <v>0</v>
      </c>
      <c r="P731" s="40">
        <v>0</v>
      </c>
      <c r="Q731" s="40">
        <v>0</v>
      </c>
      <c r="R731" s="40">
        <v>0</v>
      </c>
      <c r="S731" s="40">
        <v>0</v>
      </c>
      <c r="T731" s="40">
        <v>0</v>
      </c>
      <c r="U731" s="40">
        <v>0</v>
      </c>
    </row>
    <row r="732" spans="1:21" x14ac:dyDescent="0.2">
      <c r="A732" t="s">
        <v>834</v>
      </c>
      <c r="B732">
        <v>111</v>
      </c>
      <c r="C732">
        <v>1</v>
      </c>
      <c r="D732" t="s">
        <v>99</v>
      </c>
      <c r="E732" s="40">
        <v>0</v>
      </c>
      <c r="F732" s="40">
        <v>0</v>
      </c>
      <c r="G732" s="40">
        <v>0</v>
      </c>
      <c r="H732" s="40">
        <v>0</v>
      </c>
      <c r="I732" s="40">
        <v>0</v>
      </c>
      <c r="J732" s="40">
        <v>0</v>
      </c>
      <c r="K732" s="40">
        <v>0</v>
      </c>
      <c r="L732" s="40">
        <v>0</v>
      </c>
      <c r="M732" s="40">
        <v>0</v>
      </c>
      <c r="N732" s="40">
        <v>0</v>
      </c>
      <c r="O732" s="40">
        <v>0</v>
      </c>
      <c r="P732" s="40">
        <v>0</v>
      </c>
      <c r="Q732" s="40">
        <v>0</v>
      </c>
      <c r="R732" s="40">
        <v>0</v>
      </c>
      <c r="S732" s="40">
        <v>0</v>
      </c>
      <c r="T732" s="40">
        <v>0</v>
      </c>
      <c r="U732" s="40">
        <v>0</v>
      </c>
    </row>
    <row r="733" spans="1:21" x14ac:dyDescent="0.2">
      <c r="A733" t="s">
        <v>834</v>
      </c>
      <c r="B733">
        <v>112</v>
      </c>
      <c r="C733">
        <v>1</v>
      </c>
      <c r="D733" t="s">
        <v>100</v>
      </c>
      <c r="E733" s="40">
        <v>0</v>
      </c>
      <c r="F733" s="40">
        <v>0</v>
      </c>
      <c r="G733" s="40">
        <v>0</v>
      </c>
      <c r="H733" s="40">
        <v>0</v>
      </c>
      <c r="I733" s="40">
        <v>0</v>
      </c>
      <c r="J733" s="40">
        <v>0</v>
      </c>
      <c r="K733" s="40">
        <v>0</v>
      </c>
      <c r="L733" s="40">
        <v>0</v>
      </c>
      <c r="M733" s="40">
        <v>0</v>
      </c>
      <c r="N733" s="40">
        <v>0</v>
      </c>
      <c r="O733" s="40">
        <v>0</v>
      </c>
      <c r="P733" s="40">
        <v>0</v>
      </c>
      <c r="Q733" s="40">
        <v>0</v>
      </c>
      <c r="R733" s="40">
        <v>0</v>
      </c>
      <c r="S733" s="40">
        <v>0</v>
      </c>
      <c r="T733" s="40">
        <v>0</v>
      </c>
      <c r="U733" s="40">
        <v>0</v>
      </c>
    </row>
    <row r="734" spans="1:21" x14ac:dyDescent="0.2">
      <c r="A734" t="s">
        <v>834</v>
      </c>
      <c r="B734">
        <v>113</v>
      </c>
      <c r="C734">
        <v>1</v>
      </c>
      <c r="D734" t="s">
        <v>101</v>
      </c>
      <c r="E734" s="40">
        <v>0</v>
      </c>
      <c r="F734" s="40">
        <v>0</v>
      </c>
      <c r="G734" s="40">
        <v>0</v>
      </c>
      <c r="H734" s="40">
        <v>0</v>
      </c>
      <c r="I734" s="40">
        <v>0</v>
      </c>
      <c r="J734" s="40">
        <v>0</v>
      </c>
      <c r="K734" s="40">
        <v>0</v>
      </c>
      <c r="L734" s="40">
        <v>0</v>
      </c>
      <c r="M734" s="40">
        <v>0</v>
      </c>
      <c r="N734" s="40">
        <v>0</v>
      </c>
      <c r="O734" s="40">
        <v>0</v>
      </c>
      <c r="P734" s="40">
        <v>0</v>
      </c>
      <c r="Q734" s="40">
        <v>0</v>
      </c>
      <c r="R734" s="40">
        <v>0</v>
      </c>
      <c r="S734" s="40">
        <v>0</v>
      </c>
      <c r="T734" s="40">
        <v>0</v>
      </c>
      <c r="U734" s="40">
        <v>0</v>
      </c>
    </row>
    <row r="735" spans="1:21" x14ac:dyDescent="0.2">
      <c r="A735" t="s">
        <v>834</v>
      </c>
      <c r="B735">
        <v>115</v>
      </c>
      <c r="C735">
        <v>1</v>
      </c>
      <c r="D735" t="s">
        <v>102</v>
      </c>
      <c r="E735" s="40">
        <v>0</v>
      </c>
      <c r="F735" s="40">
        <v>0</v>
      </c>
      <c r="G735" s="40">
        <v>0</v>
      </c>
      <c r="H735" s="40">
        <v>0</v>
      </c>
      <c r="I735" s="40">
        <v>0</v>
      </c>
      <c r="J735" s="40">
        <v>0</v>
      </c>
      <c r="K735" s="40">
        <v>0</v>
      </c>
      <c r="L735" s="40">
        <v>0</v>
      </c>
      <c r="M735" s="40">
        <v>0</v>
      </c>
      <c r="N735" s="40">
        <v>0</v>
      </c>
      <c r="O735" s="40">
        <v>0</v>
      </c>
      <c r="P735" s="40">
        <v>0</v>
      </c>
      <c r="Q735" s="40">
        <v>0</v>
      </c>
      <c r="R735" s="40">
        <v>0</v>
      </c>
      <c r="S735" s="40">
        <v>0</v>
      </c>
      <c r="T735" s="40">
        <v>0</v>
      </c>
      <c r="U735" s="40">
        <v>0</v>
      </c>
    </row>
    <row r="736" spans="1:21" x14ac:dyDescent="0.2">
      <c r="A736" t="s">
        <v>834</v>
      </c>
      <c r="B736">
        <v>116</v>
      </c>
      <c r="C736">
        <v>1</v>
      </c>
      <c r="D736" t="s">
        <v>103</v>
      </c>
      <c r="E736" s="40">
        <v>0</v>
      </c>
      <c r="F736" s="40">
        <v>0</v>
      </c>
      <c r="G736" s="40">
        <v>0</v>
      </c>
      <c r="H736" s="40">
        <v>0</v>
      </c>
      <c r="I736" s="40">
        <v>0</v>
      </c>
      <c r="J736" s="40">
        <v>0</v>
      </c>
      <c r="K736" s="40">
        <v>0</v>
      </c>
      <c r="L736" s="40">
        <v>0</v>
      </c>
      <c r="M736" s="40">
        <v>0</v>
      </c>
      <c r="N736" s="40">
        <v>0</v>
      </c>
      <c r="O736" s="40">
        <v>0</v>
      </c>
      <c r="P736" s="40">
        <v>0</v>
      </c>
      <c r="Q736" s="40">
        <v>0</v>
      </c>
      <c r="R736" s="40">
        <v>0</v>
      </c>
      <c r="S736" s="40">
        <v>0</v>
      </c>
      <c r="T736" s="40">
        <v>0</v>
      </c>
      <c r="U736" s="40">
        <v>0</v>
      </c>
    </row>
    <row r="737" spans="1:21" x14ac:dyDescent="0.2">
      <c r="A737" t="s">
        <v>834</v>
      </c>
      <c r="B737">
        <v>118</v>
      </c>
      <c r="C737">
        <v>1</v>
      </c>
      <c r="D737" t="s">
        <v>104</v>
      </c>
      <c r="E737" s="40">
        <v>0</v>
      </c>
      <c r="F737" s="40">
        <v>0</v>
      </c>
      <c r="G737" s="40">
        <v>0</v>
      </c>
      <c r="H737" s="40">
        <v>375</v>
      </c>
      <c r="I737" s="40">
        <v>375</v>
      </c>
      <c r="J737" s="40">
        <v>375</v>
      </c>
      <c r="K737" s="40">
        <v>375</v>
      </c>
      <c r="L737" s="40">
        <v>375</v>
      </c>
      <c r="M737" s="40">
        <v>0</v>
      </c>
      <c r="N737" s="40">
        <v>0</v>
      </c>
      <c r="O737" s="40">
        <v>0</v>
      </c>
      <c r="P737" s="40">
        <v>0</v>
      </c>
      <c r="Q737" s="40">
        <v>0</v>
      </c>
      <c r="R737" s="40">
        <v>0</v>
      </c>
      <c r="S737" s="40">
        <v>0</v>
      </c>
      <c r="T737" s="40">
        <v>0</v>
      </c>
      <c r="U737" s="40">
        <v>0</v>
      </c>
    </row>
    <row r="738" spans="1:21" x14ac:dyDescent="0.2">
      <c r="A738" t="s">
        <v>834</v>
      </c>
      <c r="B738">
        <v>129</v>
      </c>
      <c r="C738">
        <v>1</v>
      </c>
      <c r="D738" t="s">
        <v>105</v>
      </c>
      <c r="E738" s="40">
        <v>0</v>
      </c>
      <c r="F738" s="40">
        <v>0</v>
      </c>
      <c r="G738" s="40">
        <v>0</v>
      </c>
      <c r="H738" s="40">
        <v>500</v>
      </c>
      <c r="I738" s="40">
        <v>500</v>
      </c>
      <c r="J738" s="40">
        <v>500</v>
      </c>
      <c r="K738" s="40">
        <v>500</v>
      </c>
      <c r="L738" s="40">
        <v>500</v>
      </c>
      <c r="M738" s="40">
        <v>500</v>
      </c>
      <c r="N738" s="40">
        <v>500</v>
      </c>
      <c r="O738" s="40">
        <v>500</v>
      </c>
      <c r="P738" s="40">
        <v>500</v>
      </c>
      <c r="Q738" s="40">
        <v>500</v>
      </c>
      <c r="R738" s="40">
        <v>0</v>
      </c>
      <c r="S738" s="40">
        <v>0</v>
      </c>
      <c r="T738" s="40">
        <v>0</v>
      </c>
      <c r="U738" s="40">
        <v>0</v>
      </c>
    </row>
    <row r="739" spans="1:21" x14ac:dyDescent="0.2">
      <c r="A739" t="s">
        <v>834</v>
      </c>
      <c r="B739">
        <v>138</v>
      </c>
      <c r="C739">
        <v>1</v>
      </c>
      <c r="D739" t="s">
        <v>106</v>
      </c>
      <c r="E739" s="40">
        <v>0</v>
      </c>
      <c r="F739" s="40">
        <v>0</v>
      </c>
      <c r="G739" s="40">
        <v>0</v>
      </c>
      <c r="H739" s="40">
        <v>0</v>
      </c>
      <c r="I739" s="40">
        <v>0</v>
      </c>
      <c r="J739" s="40">
        <v>0</v>
      </c>
      <c r="K739" s="40">
        <v>0</v>
      </c>
      <c r="L739" s="40">
        <v>0</v>
      </c>
      <c r="M739" s="40">
        <v>0</v>
      </c>
      <c r="N739" s="40">
        <v>0</v>
      </c>
      <c r="O739" s="40">
        <v>0</v>
      </c>
      <c r="P739" s="40">
        <v>0</v>
      </c>
      <c r="Q739" s="40">
        <v>0</v>
      </c>
      <c r="R739" s="40">
        <v>0</v>
      </c>
      <c r="S739" s="40">
        <v>0</v>
      </c>
      <c r="T739" s="40">
        <v>0</v>
      </c>
      <c r="U739" s="40">
        <v>0</v>
      </c>
    </row>
    <row r="740" spans="1:21" x14ac:dyDescent="0.2">
      <c r="A740" t="s">
        <v>834</v>
      </c>
      <c r="B740">
        <v>139</v>
      </c>
      <c r="C740">
        <v>1</v>
      </c>
      <c r="D740" t="s">
        <v>107</v>
      </c>
      <c r="E740" s="40">
        <v>0</v>
      </c>
      <c r="F740" s="40">
        <v>0</v>
      </c>
      <c r="G740" s="40">
        <v>0</v>
      </c>
      <c r="H740" s="40">
        <v>0</v>
      </c>
      <c r="I740" s="40">
        <v>0</v>
      </c>
      <c r="J740" s="40">
        <v>0</v>
      </c>
      <c r="K740" s="40">
        <v>0</v>
      </c>
      <c r="L740" s="40">
        <v>0</v>
      </c>
      <c r="M740" s="40">
        <v>0</v>
      </c>
      <c r="N740" s="40">
        <v>0</v>
      </c>
      <c r="O740" s="40">
        <v>0</v>
      </c>
      <c r="P740" s="40">
        <v>0</v>
      </c>
      <c r="Q740" s="40">
        <v>0</v>
      </c>
      <c r="R740" s="40">
        <v>0</v>
      </c>
      <c r="S740" s="40">
        <v>0</v>
      </c>
      <c r="T740" s="40">
        <v>0</v>
      </c>
      <c r="U740" s="40">
        <v>0</v>
      </c>
    </row>
    <row r="741" spans="1:21" x14ac:dyDescent="0.2">
      <c r="A741" t="s">
        <v>834</v>
      </c>
      <c r="B741">
        <v>146</v>
      </c>
      <c r="C741">
        <v>1</v>
      </c>
      <c r="D741" t="s">
        <v>108</v>
      </c>
      <c r="E741" s="40">
        <v>0</v>
      </c>
      <c r="F741" s="40">
        <v>0</v>
      </c>
      <c r="G741" s="40">
        <v>0</v>
      </c>
      <c r="H741" s="40">
        <v>0</v>
      </c>
      <c r="I741" s="40">
        <v>0</v>
      </c>
      <c r="J741" s="40">
        <v>0</v>
      </c>
      <c r="K741" s="40">
        <v>0</v>
      </c>
      <c r="L741" s="40">
        <v>0</v>
      </c>
      <c r="M741" s="40">
        <v>0</v>
      </c>
      <c r="N741" s="40">
        <v>0</v>
      </c>
      <c r="O741" s="40">
        <v>0</v>
      </c>
      <c r="P741" s="40">
        <v>0</v>
      </c>
      <c r="Q741" s="40">
        <v>0</v>
      </c>
      <c r="R741" s="40">
        <v>0</v>
      </c>
      <c r="S741" s="40">
        <v>0</v>
      </c>
      <c r="T741" s="40">
        <v>0</v>
      </c>
      <c r="U741" s="40">
        <v>0</v>
      </c>
    </row>
    <row r="742" spans="1:21" x14ac:dyDescent="0.2">
      <c r="A742" t="s">
        <v>834</v>
      </c>
      <c r="B742">
        <v>150</v>
      </c>
      <c r="C742">
        <v>1</v>
      </c>
      <c r="D742" t="s">
        <v>109</v>
      </c>
      <c r="E742" s="40">
        <v>0</v>
      </c>
      <c r="F742" s="40">
        <v>0</v>
      </c>
      <c r="G742" s="40">
        <v>0</v>
      </c>
      <c r="H742" s="40">
        <v>0</v>
      </c>
      <c r="I742" s="40">
        <v>0</v>
      </c>
      <c r="J742" s="40">
        <v>0</v>
      </c>
      <c r="K742" s="40">
        <v>0</v>
      </c>
      <c r="L742" s="40">
        <v>0</v>
      </c>
      <c r="M742" s="40">
        <v>0</v>
      </c>
      <c r="N742" s="40">
        <v>0</v>
      </c>
      <c r="O742" s="40">
        <v>0</v>
      </c>
      <c r="P742" s="40">
        <v>0</v>
      </c>
      <c r="Q742" s="40">
        <v>0</v>
      </c>
      <c r="R742" s="40">
        <v>0</v>
      </c>
      <c r="S742" s="40">
        <v>0</v>
      </c>
      <c r="T742" s="40">
        <v>0</v>
      </c>
      <c r="U742" s="40">
        <v>0</v>
      </c>
    </row>
    <row r="743" spans="1:21" x14ac:dyDescent="0.2">
      <c r="A743" t="s">
        <v>834</v>
      </c>
      <c r="B743">
        <v>152</v>
      </c>
      <c r="C743">
        <v>1</v>
      </c>
      <c r="D743" t="s">
        <v>110</v>
      </c>
      <c r="E743" s="40">
        <v>0</v>
      </c>
      <c r="F743" s="40">
        <v>0</v>
      </c>
      <c r="G743" s="40">
        <v>0</v>
      </c>
      <c r="H743" s="40">
        <v>0</v>
      </c>
      <c r="I743" s="40">
        <v>0</v>
      </c>
      <c r="J743" s="40">
        <v>0</v>
      </c>
      <c r="K743" s="40">
        <v>0</v>
      </c>
      <c r="L743" s="40">
        <v>0</v>
      </c>
      <c r="M743" s="40">
        <v>0</v>
      </c>
      <c r="N743" s="40">
        <v>0</v>
      </c>
      <c r="O743" s="40">
        <v>0</v>
      </c>
      <c r="P743" s="40">
        <v>0</v>
      </c>
      <c r="Q743" s="40">
        <v>0</v>
      </c>
      <c r="R743" s="40">
        <v>0</v>
      </c>
      <c r="S743" s="40">
        <v>0</v>
      </c>
      <c r="T743" s="40">
        <v>0</v>
      </c>
      <c r="U743" s="40">
        <v>0</v>
      </c>
    </row>
    <row r="744" spans="1:21" x14ac:dyDescent="0.2">
      <c r="A744" t="s">
        <v>834</v>
      </c>
      <c r="B744">
        <v>162</v>
      </c>
      <c r="C744">
        <v>1</v>
      </c>
      <c r="D744" t="s">
        <v>111</v>
      </c>
      <c r="E744" s="40">
        <v>0</v>
      </c>
      <c r="F744" s="40">
        <v>0</v>
      </c>
      <c r="G744" s="40">
        <v>0</v>
      </c>
      <c r="H744" s="40">
        <v>0</v>
      </c>
      <c r="I744" s="40">
        <v>0</v>
      </c>
      <c r="J744" s="40">
        <v>0</v>
      </c>
      <c r="K744" s="40">
        <v>0</v>
      </c>
      <c r="L744" s="40">
        <v>0</v>
      </c>
      <c r="M744" s="40">
        <v>0</v>
      </c>
      <c r="N744" s="40">
        <v>0</v>
      </c>
      <c r="O744" s="40">
        <v>0</v>
      </c>
      <c r="P744" s="40">
        <v>0</v>
      </c>
      <c r="Q744" s="40">
        <v>0</v>
      </c>
      <c r="R744" s="40">
        <v>0</v>
      </c>
      <c r="S744" s="40">
        <v>0</v>
      </c>
      <c r="T744" s="40">
        <v>0</v>
      </c>
      <c r="U744" s="40">
        <v>0</v>
      </c>
    </row>
    <row r="745" spans="1:21" x14ac:dyDescent="0.2">
      <c r="A745" t="s">
        <v>834</v>
      </c>
      <c r="B745">
        <v>166</v>
      </c>
      <c r="C745">
        <v>1</v>
      </c>
      <c r="D745" t="s">
        <v>112</v>
      </c>
      <c r="E745" s="40">
        <v>0</v>
      </c>
      <c r="F745" s="40">
        <v>0</v>
      </c>
      <c r="G745" s="40">
        <v>0</v>
      </c>
      <c r="H745" s="40">
        <v>350</v>
      </c>
      <c r="I745" s="40">
        <v>350</v>
      </c>
      <c r="J745" s="40">
        <v>350</v>
      </c>
      <c r="K745" s="40">
        <v>350</v>
      </c>
      <c r="L745" s="40">
        <v>0</v>
      </c>
      <c r="M745" s="40">
        <v>0</v>
      </c>
      <c r="N745" s="40">
        <v>0</v>
      </c>
      <c r="O745" s="40">
        <v>0</v>
      </c>
      <c r="P745" s="40">
        <v>0</v>
      </c>
      <c r="Q745" s="40">
        <v>0</v>
      </c>
      <c r="R745" s="40">
        <v>0</v>
      </c>
      <c r="S745" s="40">
        <v>0</v>
      </c>
      <c r="T745" s="40">
        <v>0</v>
      </c>
      <c r="U745" s="40">
        <v>0</v>
      </c>
    </row>
    <row r="746" spans="1:21" x14ac:dyDescent="0.2">
      <c r="A746" t="s">
        <v>834</v>
      </c>
      <c r="B746">
        <v>173</v>
      </c>
      <c r="C746">
        <v>1</v>
      </c>
      <c r="D746" t="s">
        <v>113</v>
      </c>
      <c r="E746" s="40">
        <v>0</v>
      </c>
      <c r="F746" s="40">
        <v>0</v>
      </c>
      <c r="G746" s="40">
        <v>0</v>
      </c>
      <c r="H746" s="40">
        <v>0</v>
      </c>
      <c r="I746" s="40">
        <v>0</v>
      </c>
      <c r="J746" s="40">
        <v>0</v>
      </c>
      <c r="K746" s="40">
        <v>0</v>
      </c>
      <c r="L746" s="40">
        <v>0</v>
      </c>
      <c r="M746" s="40">
        <v>0</v>
      </c>
      <c r="N746" s="40">
        <v>0</v>
      </c>
      <c r="O746" s="40">
        <v>0</v>
      </c>
      <c r="P746" s="40">
        <v>0</v>
      </c>
      <c r="Q746" s="40">
        <v>0</v>
      </c>
      <c r="R746" s="40">
        <v>0</v>
      </c>
      <c r="S746" s="40">
        <v>0</v>
      </c>
      <c r="T746" s="40">
        <v>0</v>
      </c>
      <c r="U746" s="40">
        <v>0</v>
      </c>
    </row>
    <row r="747" spans="1:21" x14ac:dyDescent="0.2">
      <c r="A747" t="s">
        <v>834</v>
      </c>
      <c r="B747">
        <v>177</v>
      </c>
      <c r="C747">
        <v>1</v>
      </c>
      <c r="D747" t="s">
        <v>114</v>
      </c>
      <c r="E747" s="40">
        <v>0</v>
      </c>
      <c r="F747" s="40">
        <v>0</v>
      </c>
      <c r="G747" s="40">
        <v>0</v>
      </c>
      <c r="H747" s="40">
        <v>0</v>
      </c>
      <c r="I747" s="40">
        <v>0</v>
      </c>
      <c r="J747" s="40">
        <v>0</v>
      </c>
      <c r="K747" s="40">
        <v>0</v>
      </c>
      <c r="L747" s="40">
        <v>0</v>
      </c>
      <c r="M747" s="40">
        <v>0</v>
      </c>
      <c r="N747" s="40">
        <v>0</v>
      </c>
      <c r="O747" s="40">
        <v>0</v>
      </c>
      <c r="P747" s="40">
        <v>0</v>
      </c>
      <c r="Q747" s="40">
        <v>0</v>
      </c>
      <c r="R747" s="40">
        <v>0</v>
      </c>
      <c r="S747" s="40">
        <v>0</v>
      </c>
      <c r="T747" s="40">
        <v>0</v>
      </c>
      <c r="U747" s="40">
        <v>0</v>
      </c>
    </row>
    <row r="748" spans="1:21" x14ac:dyDescent="0.2">
      <c r="A748" t="s">
        <v>834</v>
      </c>
      <c r="B748">
        <v>181</v>
      </c>
      <c r="C748">
        <v>1</v>
      </c>
      <c r="D748" t="s">
        <v>115</v>
      </c>
      <c r="E748" s="40">
        <v>0</v>
      </c>
      <c r="F748" s="40">
        <v>0</v>
      </c>
      <c r="G748" s="40">
        <v>0</v>
      </c>
      <c r="H748" s="40">
        <v>0</v>
      </c>
      <c r="I748" s="40">
        <v>0</v>
      </c>
      <c r="J748" s="40">
        <v>0</v>
      </c>
      <c r="K748" s="40">
        <v>0</v>
      </c>
      <c r="L748" s="40">
        <v>0</v>
      </c>
      <c r="M748" s="40">
        <v>0</v>
      </c>
      <c r="N748" s="40">
        <v>0</v>
      </c>
      <c r="O748" s="40">
        <v>0</v>
      </c>
      <c r="P748" s="40">
        <v>0</v>
      </c>
      <c r="Q748" s="40">
        <v>0</v>
      </c>
      <c r="R748" s="40">
        <v>0</v>
      </c>
      <c r="S748" s="40">
        <v>0</v>
      </c>
      <c r="T748" s="40">
        <v>0</v>
      </c>
      <c r="U748" s="40">
        <v>0</v>
      </c>
    </row>
    <row r="749" spans="1:21" x14ac:dyDescent="0.2">
      <c r="A749" t="s">
        <v>834</v>
      </c>
      <c r="B749">
        <v>182</v>
      </c>
      <c r="C749">
        <v>1</v>
      </c>
      <c r="D749" t="s">
        <v>116</v>
      </c>
      <c r="E749" s="40">
        <v>0</v>
      </c>
      <c r="F749" s="40">
        <v>0</v>
      </c>
      <c r="G749" s="40">
        <v>0</v>
      </c>
      <c r="H749" s="40">
        <v>0</v>
      </c>
      <c r="I749" s="40">
        <v>0</v>
      </c>
      <c r="J749" s="40">
        <v>0</v>
      </c>
      <c r="K749" s="40">
        <v>0</v>
      </c>
      <c r="L749" s="40">
        <v>0</v>
      </c>
      <c r="M749" s="40">
        <v>0</v>
      </c>
      <c r="N749" s="40">
        <v>0</v>
      </c>
      <c r="O749" s="40">
        <v>0</v>
      </c>
      <c r="P749" s="40">
        <v>0</v>
      </c>
      <c r="Q749" s="40">
        <v>0</v>
      </c>
      <c r="R749" s="40">
        <v>0</v>
      </c>
      <c r="S749" s="40">
        <v>0</v>
      </c>
      <c r="T749" s="40">
        <v>0</v>
      </c>
      <c r="U749" s="40">
        <v>0</v>
      </c>
    </row>
    <row r="750" spans="1:21" x14ac:dyDescent="0.2">
      <c r="A750" t="s">
        <v>834</v>
      </c>
      <c r="B750">
        <v>186</v>
      </c>
      <c r="C750">
        <v>1</v>
      </c>
      <c r="D750" t="s">
        <v>117</v>
      </c>
      <c r="E750" s="40">
        <v>0</v>
      </c>
      <c r="F750" s="40">
        <v>0</v>
      </c>
      <c r="G750" s="40">
        <v>0</v>
      </c>
      <c r="H750" s="40">
        <v>1</v>
      </c>
      <c r="I750" s="40">
        <v>1</v>
      </c>
      <c r="J750" s="40">
        <v>1</v>
      </c>
      <c r="K750" s="40">
        <v>1</v>
      </c>
      <c r="L750" s="40">
        <v>1</v>
      </c>
      <c r="M750" s="40">
        <v>1</v>
      </c>
      <c r="N750" s="40">
        <v>1</v>
      </c>
      <c r="O750" s="40">
        <v>1</v>
      </c>
      <c r="P750" s="40">
        <v>1</v>
      </c>
      <c r="Q750" s="40">
        <v>1</v>
      </c>
      <c r="R750" s="40">
        <v>0</v>
      </c>
      <c r="S750" s="40">
        <v>0</v>
      </c>
      <c r="T750" s="40">
        <v>0</v>
      </c>
      <c r="U750" s="40">
        <v>0</v>
      </c>
    </row>
    <row r="751" spans="1:21" x14ac:dyDescent="0.2">
      <c r="A751" t="s">
        <v>834</v>
      </c>
      <c r="B751">
        <v>191</v>
      </c>
      <c r="C751">
        <v>1</v>
      </c>
      <c r="D751" t="s">
        <v>118</v>
      </c>
      <c r="E751" s="40">
        <v>0</v>
      </c>
      <c r="F751" s="40">
        <v>0</v>
      </c>
      <c r="G751" s="40">
        <v>0</v>
      </c>
      <c r="H751" s="40">
        <v>837.38</v>
      </c>
      <c r="I751" s="40">
        <v>837.38</v>
      </c>
      <c r="J751" s="40">
        <v>837.38</v>
      </c>
      <c r="K751" s="40">
        <v>837.38</v>
      </c>
      <c r="L751" s="40">
        <v>837.38</v>
      </c>
      <c r="M751" s="40">
        <v>837.38</v>
      </c>
      <c r="N751" s="40">
        <v>837.38</v>
      </c>
      <c r="O751" s="40">
        <v>837.38</v>
      </c>
      <c r="P751" s="40">
        <v>837.38</v>
      </c>
      <c r="Q751" s="40">
        <v>837.38</v>
      </c>
      <c r="R751" s="40">
        <v>0</v>
      </c>
      <c r="S751" s="40">
        <v>0</v>
      </c>
      <c r="T751" s="40">
        <v>0</v>
      </c>
      <c r="U751" s="40">
        <v>0</v>
      </c>
    </row>
    <row r="752" spans="1:21" x14ac:dyDescent="0.2">
      <c r="A752" t="s">
        <v>834</v>
      </c>
      <c r="B752">
        <v>192</v>
      </c>
      <c r="C752">
        <v>1</v>
      </c>
      <c r="D752" t="s">
        <v>119</v>
      </c>
      <c r="E752" s="40">
        <v>0</v>
      </c>
      <c r="F752" s="40">
        <v>0</v>
      </c>
      <c r="G752" s="40">
        <v>0</v>
      </c>
      <c r="H752" s="40">
        <v>0</v>
      </c>
      <c r="I752" s="40">
        <v>0</v>
      </c>
      <c r="J752" s="40">
        <v>0</v>
      </c>
      <c r="K752" s="40">
        <v>0</v>
      </c>
      <c r="L752" s="40">
        <v>0</v>
      </c>
      <c r="M752" s="40">
        <v>0</v>
      </c>
      <c r="N752" s="40">
        <v>0</v>
      </c>
      <c r="O752" s="40">
        <v>0</v>
      </c>
      <c r="P752" s="40">
        <v>0</v>
      </c>
      <c r="Q752" s="40">
        <v>0</v>
      </c>
      <c r="R752" s="40">
        <v>0</v>
      </c>
      <c r="S752" s="40">
        <v>0</v>
      </c>
      <c r="T752" s="40">
        <v>0</v>
      </c>
      <c r="U752" s="40">
        <v>0</v>
      </c>
    </row>
    <row r="753" spans="1:21" x14ac:dyDescent="0.2">
      <c r="A753" t="s">
        <v>834</v>
      </c>
      <c r="B753">
        <v>194</v>
      </c>
      <c r="C753">
        <v>1</v>
      </c>
      <c r="D753" t="s">
        <v>120</v>
      </c>
      <c r="E753" s="40">
        <v>0</v>
      </c>
      <c r="F753" s="40">
        <v>0</v>
      </c>
      <c r="G753" s="40">
        <v>0</v>
      </c>
      <c r="H753" s="40">
        <v>0</v>
      </c>
      <c r="I753" s="40">
        <v>0</v>
      </c>
      <c r="J753" s="40">
        <v>0</v>
      </c>
      <c r="K753" s="40">
        <v>0</v>
      </c>
      <c r="L753" s="40">
        <v>0</v>
      </c>
      <c r="M753" s="40">
        <v>0</v>
      </c>
      <c r="N753" s="40">
        <v>0</v>
      </c>
      <c r="O753" s="40">
        <v>0</v>
      </c>
      <c r="P753" s="40">
        <v>0</v>
      </c>
      <c r="Q753" s="40">
        <v>0</v>
      </c>
      <c r="R753" s="40">
        <v>0</v>
      </c>
      <c r="S753" s="40">
        <v>0</v>
      </c>
      <c r="T753" s="40">
        <v>0</v>
      </c>
      <c r="U753" s="40">
        <v>0</v>
      </c>
    </row>
    <row r="754" spans="1:21" x14ac:dyDescent="0.2">
      <c r="A754" t="s">
        <v>834</v>
      </c>
      <c r="B754">
        <v>195</v>
      </c>
      <c r="C754">
        <v>1</v>
      </c>
      <c r="D754" t="s">
        <v>121</v>
      </c>
      <c r="E754" s="40">
        <v>0</v>
      </c>
      <c r="F754" s="40">
        <v>0</v>
      </c>
      <c r="G754" s="40">
        <v>0</v>
      </c>
      <c r="H754" s="40">
        <v>0</v>
      </c>
      <c r="I754" s="40">
        <v>0</v>
      </c>
      <c r="J754" s="40">
        <v>0</v>
      </c>
      <c r="K754" s="40">
        <v>0</v>
      </c>
      <c r="L754" s="40">
        <v>0</v>
      </c>
      <c r="M754" s="40">
        <v>0</v>
      </c>
      <c r="N754" s="40">
        <v>0</v>
      </c>
      <c r="O754" s="40">
        <v>0</v>
      </c>
      <c r="P754" s="40">
        <v>0</v>
      </c>
      <c r="Q754" s="40">
        <v>0</v>
      </c>
      <c r="R754" s="40">
        <v>0</v>
      </c>
      <c r="S754" s="40">
        <v>0</v>
      </c>
      <c r="T754" s="40">
        <v>0</v>
      </c>
      <c r="U754" s="40">
        <v>0</v>
      </c>
    </row>
    <row r="755" spans="1:21" x14ac:dyDescent="0.2">
      <c r="A755" t="s">
        <v>834</v>
      </c>
      <c r="B755">
        <v>196</v>
      </c>
      <c r="C755">
        <v>1</v>
      </c>
      <c r="D755" t="s">
        <v>122</v>
      </c>
      <c r="E755" s="40">
        <v>0</v>
      </c>
      <c r="F755" s="40">
        <v>0</v>
      </c>
      <c r="G755" s="40">
        <v>0</v>
      </c>
      <c r="H755" s="40">
        <v>0</v>
      </c>
      <c r="I755" s="40">
        <v>0</v>
      </c>
      <c r="J755" s="40">
        <v>0</v>
      </c>
      <c r="K755" s="40">
        <v>0</v>
      </c>
      <c r="L755" s="40">
        <v>0</v>
      </c>
      <c r="M755" s="40">
        <v>0</v>
      </c>
      <c r="N755" s="40">
        <v>0</v>
      </c>
      <c r="O755" s="40">
        <v>0</v>
      </c>
      <c r="P755" s="40">
        <v>0</v>
      </c>
      <c r="Q755" s="40">
        <v>0</v>
      </c>
      <c r="R755" s="40">
        <v>0</v>
      </c>
      <c r="S755" s="40">
        <v>0</v>
      </c>
      <c r="T755" s="40">
        <v>0</v>
      </c>
      <c r="U755" s="40">
        <v>0</v>
      </c>
    </row>
    <row r="756" spans="1:21" x14ac:dyDescent="0.2">
      <c r="A756" t="s">
        <v>834</v>
      </c>
      <c r="B756">
        <v>197</v>
      </c>
      <c r="C756">
        <v>1</v>
      </c>
      <c r="D756" t="s">
        <v>123</v>
      </c>
      <c r="E756" s="40">
        <v>0</v>
      </c>
      <c r="F756" s="40">
        <v>0</v>
      </c>
      <c r="G756" s="40">
        <v>0</v>
      </c>
      <c r="H756" s="40">
        <v>360</v>
      </c>
      <c r="I756" s="40">
        <v>360</v>
      </c>
      <c r="J756" s="40">
        <v>360</v>
      </c>
      <c r="K756" s="40">
        <v>360</v>
      </c>
      <c r="L756" s="40">
        <v>360</v>
      </c>
      <c r="M756" s="40">
        <v>360</v>
      </c>
      <c r="N756" s="40">
        <v>360</v>
      </c>
      <c r="O756" s="40">
        <v>360</v>
      </c>
      <c r="P756" s="40">
        <v>360</v>
      </c>
      <c r="Q756" s="40">
        <v>0</v>
      </c>
      <c r="R756" s="40">
        <v>0</v>
      </c>
      <c r="S756" s="40">
        <v>0</v>
      </c>
      <c r="T756" s="40">
        <v>0</v>
      </c>
      <c r="U756" s="40">
        <v>0</v>
      </c>
    </row>
    <row r="757" spans="1:21" x14ac:dyDescent="0.2">
      <c r="A757" t="s">
        <v>834</v>
      </c>
      <c r="B757">
        <v>199</v>
      </c>
      <c r="C757">
        <v>1</v>
      </c>
      <c r="D757" t="s">
        <v>124</v>
      </c>
      <c r="E757" s="40">
        <v>0</v>
      </c>
      <c r="F757" s="40">
        <v>0</v>
      </c>
      <c r="G757" s="40">
        <v>0</v>
      </c>
      <c r="H757" s="40">
        <v>476.38</v>
      </c>
      <c r="I757" s="40">
        <v>476.38</v>
      </c>
      <c r="J757" s="40">
        <v>476.38</v>
      </c>
      <c r="K757" s="40">
        <v>476.38</v>
      </c>
      <c r="L757" s="40">
        <v>476.38</v>
      </c>
      <c r="M757" s="40">
        <v>476.38</v>
      </c>
      <c r="N757" s="40">
        <v>476.38</v>
      </c>
      <c r="O757" s="40">
        <v>476.38</v>
      </c>
      <c r="P757" s="40">
        <v>476.38</v>
      </c>
      <c r="Q757" s="40">
        <v>476.38</v>
      </c>
      <c r="R757" s="40">
        <v>0</v>
      </c>
      <c r="S757" s="40">
        <v>0</v>
      </c>
      <c r="T757" s="40">
        <v>0</v>
      </c>
      <c r="U757" s="40">
        <v>0</v>
      </c>
    </row>
    <row r="758" spans="1:21" x14ac:dyDescent="0.2">
      <c r="A758" t="s">
        <v>834</v>
      </c>
      <c r="B758">
        <v>200</v>
      </c>
      <c r="C758">
        <v>1</v>
      </c>
      <c r="D758" t="s">
        <v>125</v>
      </c>
      <c r="E758" s="40">
        <v>0</v>
      </c>
      <c r="F758" s="40">
        <v>0</v>
      </c>
      <c r="G758" s="40">
        <v>0</v>
      </c>
      <c r="H758" s="40">
        <v>0</v>
      </c>
      <c r="I758" s="40">
        <v>0</v>
      </c>
      <c r="J758" s="40">
        <v>0</v>
      </c>
      <c r="K758" s="40">
        <v>0</v>
      </c>
      <c r="L758" s="40">
        <v>0</v>
      </c>
      <c r="M758" s="40">
        <v>0</v>
      </c>
      <c r="N758" s="40">
        <v>0</v>
      </c>
      <c r="O758" s="40">
        <v>0</v>
      </c>
      <c r="P758" s="40">
        <v>0</v>
      </c>
      <c r="Q758" s="40">
        <v>0</v>
      </c>
      <c r="R758" s="40">
        <v>0</v>
      </c>
      <c r="S758" s="40">
        <v>0</v>
      </c>
      <c r="T758" s="40">
        <v>0</v>
      </c>
      <c r="U758" s="40">
        <v>0</v>
      </c>
    </row>
    <row r="759" spans="1:21" x14ac:dyDescent="0.2">
      <c r="A759" t="s">
        <v>834</v>
      </c>
      <c r="B759">
        <v>203</v>
      </c>
      <c r="C759">
        <v>1</v>
      </c>
      <c r="D759" t="s">
        <v>126</v>
      </c>
      <c r="E759" s="40">
        <v>0</v>
      </c>
      <c r="F759" s="40">
        <v>0</v>
      </c>
      <c r="G759" s="40">
        <v>0</v>
      </c>
      <c r="H759" s="40">
        <v>0</v>
      </c>
      <c r="I759" s="40">
        <v>0</v>
      </c>
      <c r="J759" s="40">
        <v>0</v>
      </c>
      <c r="K759" s="40">
        <v>0</v>
      </c>
      <c r="L759" s="40">
        <v>0</v>
      </c>
      <c r="M759" s="40">
        <v>0</v>
      </c>
      <c r="N759" s="40">
        <v>0</v>
      </c>
      <c r="O759" s="40">
        <v>0</v>
      </c>
      <c r="P759" s="40">
        <v>0</v>
      </c>
      <c r="Q759" s="40">
        <v>0</v>
      </c>
      <c r="R759" s="40">
        <v>0</v>
      </c>
      <c r="S759" s="40">
        <v>0</v>
      </c>
      <c r="T759" s="40">
        <v>0</v>
      </c>
      <c r="U759" s="40">
        <v>0</v>
      </c>
    </row>
    <row r="760" spans="1:21" x14ac:dyDescent="0.2">
      <c r="A760" t="s">
        <v>834</v>
      </c>
      <c r="B760">
        <v>204</v>
      </c>
      <c r="C760">
        <v>1</v>
      </c>
      <c r="D760" t="s">
        <v>127</v>
      </c>
      <c r="E760" s="40">
        <v>0</v>
      </c>
      <c r="F760" s="40">
        <v>0</v>
      </c>
      <c r="G760" s="40">
        <v>0</v>
      </c>
      <c r="H760" s="40">
        <v>0</v>
      </c>
      <c r="I760" s="40">
        <v>0</v>
      </c>
      <c r="J760" s="40">
        <v>0</v>
      </c>
      <c r="K760" s="40">
        <v>0</v>
      </c>
      <c r="L760" s="40">
        <v>0</v>
      </c>
      <c r="M760" s="40">
        <v>0</v>
      </c>
      <c r="N760" s="40">
        <v>0</v>
      </c>
      <c r="O760" s="40">
        <v>0</v>
      </c>
      <c r="P760" s="40">
        <v>0</v>
      </c>
      <c r="Q760" s="40">
        <v>0</v>
      </c>
      <c r="R760" s="40">
        <v>0</v>
      </c>
      <c r="S760" s="40">
        <v>0</v>
      </c>
      <c r="T760" s="40">
        <v>0</v>
      </c>
      <c r="U760" s="40">
        <v>0</v>
      </c>
    </row>
    <row r="761" spans="1:21" x14ac:dyDescent="0.2">
      <c r="A761" t="s">
        <v>834</v>
      </c>
      <c r="B761">
        <v>206</v>
      </c>
      <c r="C761">
        <v>1</v>
      </c>
      <c r="D761" t="s">
        <v>128</v>
      </c>
      <c r="E761" s="40">
        <v>0</v>
      </c>
      <c r="F761" s="40">
        <v>0</v>
      </c>
      <c r="G761" s="40">
        <v>0</v>
      </c>
      <c r="H761" s="40">
        <v>0</v>
      </c>
      <c r="I761" s="40">
        <v>0</v>
      </c>
      <c r="J761" s="40">
        <v>0</v>
      </c>
      <c r="K761" s="40">
        <v>0</v>
      </c>
      <c r="L761" s="40">
        <v>0</v>
      </c>
      <c r="M761" s="40">
        <v>0</v>
      </c>
      <c r="N761" s="40">
        <v>0</v>
      </c>
      <c r="O761" s="40">
        <v>0</v>
      </c>
      <c r="P761" s="40">
        <v>0</v>
      </c>
      <c r="Q761" s="40">
        <v>0</v>
      </c>
      <c r="R761" s="40">
        <v>0</v>
      </c>
      <c r="S761" s="40">
        <v>0</v>
      </c>
      <c r="T761" s="40">
        <v>0</v>
      </c>
      <c r="U761" s="40">
        <v>0</v>
      </c>
    </row>
    <row r="762" spans="1:21" x14ac:dyDescent="0.2">
      <c r="A762" t="s">
        <v>834</v>
      </c>
      <c r="B762">
        <v>207</v>
      </c>
      <c r="C762">
        <v>1</v>
      </c>
      <c r="D762" t="s">
        <v>129</v>
      </c>
      <c r="E762" s="40">
        <v>0</v>
      </c>
      <c r="F762" s="40">
        <v>0</v>
      </c>
      <c r="G762" s="40">
        <v>0</v>
      </c>
      <c r="H762" s="40">
        <v>0</v>
      </c>
      <c r="I762" s="40">
        <v>0</v>
      </c>
      <c r="J762" s="40">
        <v>0</v>
      </c>
      <c r="K762" s="40">
        <v>0</v>
      </c>
      <c r="L762" s="40">
        <v>0</v>
      </c>
      <c r="M762" s="40">
        <v>0</v>
      </c>
      <c r="N762" s="40">
        <v>0</v>
      </c>
      <c r="O762" s="40">
        <v>0</v>
      </c>
      <c r="P762" s="40">
        <v>0</v>
      </c>
      <c r="Q762" s="40">
        <v>0</v>
      </c>
      <c r="R762" s="40">
        <v>0</v>
      </c>
      <c r="S762" s="40">
        <v>0</v>
      </c>
      <c r="T762" s="40">
        <v>0</v>
      </c>
      <c r="U762" s="40">
        <v>0</v>
      </c>
    </row>
    <row r="763" spans="1:21" x14ac:dyDescent="0.2">
      <c r="A763" t="s">
        <v>834</v>
      </c>
      <c r="B763">
        <v>208</v>
      </c>
      <c r="C763">
        <v>1</v>
      </c>
      <c r="D763" t="s">
        <v>130</v>
      </c>
      <c r="E763" s="40">
        <v>0</v>
      </c>
      <c r="F763" s="40">
        <v>0</v>
      </c>
      <c r="G763" s="40">
        <v>0</v>
      </c>
      <c r="H763" s="40">
        <v>0</v>
      </c>
      <c r="I763" s="40">
        <v>0</v>
      </c>
      <c r="J763" s="40">
        <v>0</v>
      </c>
      <c r="K763" s="40">
        <v>0</v>
      </c>
      <c r="L763" s="40">
        <v>0</v>
      </c>
      <c r="M763" s="40">
        <v>0</v>
      </c>
      <c r="N763" s="40">
        <v>0</v>
      </c>
      <c r="O763" s="40">
        <v>0</v>
      </c>
      <c r="P763" s="40">
        <v>0</v>
      </c>
      <c r="Q763" s="40">
        <v>0</v>
      </c>
      <c r="R763" s="40">
        <v>0</v>
      </c>
      <c r="S763" s="40">
        <v>0</v>
      </c>
      <c r="T763" s="40">
        <v>0</v>
      </c>
      <c r="U763" s="40">
        <v>0</v>
      </c>
    </row>
    <row r="764" spans="1:21" x14ac:dyDescent="0.2">
      <c r="A764" t="s">
        <v>834</v>
      </c>
      <c r="B764">
        <v>213</v>
      </c>
      <c r="C764">
        <v>1</v>
      </c>
      <c r="D764" t="s">
        <v>131</v>
      </c>
      <c r="E764" s="40">
        <v>0</v>
      </c>
      <c r="F764" s="40">
        <v>0</v>
      </c>
      <c r="G764" s="40">
        <v>0</v>
      </c>
      <c r="H764" s="40">
        <v>0</v>
      </c>
      <c r="I764" s="40">
        <v>0</v>
      </c>
      <c r="J764" s="40">
        <v>0</v>
      </c>
      <c r="K764" s="40">
        <v>0</v>
      </c>
      <c r="L764" s="40">
        <v>0</v>
      </c>
      <c r="M764" s="40">
        <v>0</v>
      </c>
      <c r="N764" s="40">
        <v>0</v>
      </c>
      <c r="O764" s="40">
        <v>0</v>
      </c>
      <c r="P764" s="40">
        <v>0</v>
      </c>
      <c r="Q764" s="40">
        <v>0</v>
      </c>
      <c r="R764" s="40">
        <v>0</v>
      </c>
      <c r="S764" s="40">
        <v>0</v>
      </c>
      <c r="T764" s="40">
        <v>0</v>
      </c>
      <c r="U764" s="40">
        <v>0</v>
      </c>
    </row>
    <row r="765" spans="1:21" x14ac:dyDescent="0.2">
      <c r="A765" t="s">
        <v>834</v>
      </c>
      <c r="B765">
        <v>227</v>
      </c>
      <c r="C765">
        <v>1</v>
      </c>
      <c r="D765" t="s">
        <v>132</v>
      </c>
      <c r="E765" s="40">
        <v>0</v>
      </c>
      <c r="F765" s="40">
        <v>0</v>
      </c>
      <c r="G765" s="40">
        <v>0</v>
      </c>
      <c r="H765" s="40">
        <v>0</v>
      </c>
      <c r="I765" s="40">
        <v>0</v>
      </c>
      <c r="J765" s="40">
        <v>0</v>
      </c>
      <c r="K765" s="40">
        <v>0</v>
      </c>
      <c r="L765" s="40">
        <v>0</v>
      </c>
      <c r="M765" s="40">
        <v>0</v>
      </c>
      <c r="N765" s="40">
        <v>0</v>
      </c>
      <c r="O765" s="40">
        <v>0</v>
      </c>
      <c r="P765" s="40">
        <v>0</v>
      </c>
      <c r="Q765" s="40">
        <v>0</v>
      </c>
      <c r="R765" s="40">
        <v>0</v>
      </c>
      <c r="S765" s="40">
        <v>0</v>
      </c>
      <c r="T765" s="40">
        <v>0</v>
      </c>
      <c r="U765" s="40">
        <v>0</v>
      </c>
    </row>
    <row r="766" spans="1:21" x14ac:dyDescent="0.2">
      <c r="A766" t="s">
        <v>834</v>
      </c>
      <c r="B766">
        <v>229</v>
      </c>
      <c r="C766">
        <v>1</v>
      </c>
      <c r="D766" t="s">
        <v>133</v>
      </c>
      <c r="E766" s="40">
        <v>0</v>
      </c>
      <c r="F766" s="40">
        <v>0</v>
      </c>
      <c r="G766" s="40">
        <v>0</v>
      </c>
      <c r="H766" s="40">
        <v>0</v>
      </c>
      <c r="I766" s="40">
        <v>0</v>
      </c>
      <c r="J766" s="40">
        <v>0</v>
      </c>
      <c r="K766" s="40">
        <v>0</v>
      </c>
      <c r="L766" s="40">
        <v>0</v>
      </c>
      <c r="M766" s="40">
        <v>0</v>
      </c>
      <c r="N766" s="40">
        <v>0</v>
      </c>
      <c r="O766" s="40">
        <v>0</v>
      </c>
      <c r="P766" s="40">
        <v>0</v>
      </c>
      <c r="Q766" s="40">
        <v>0</v>
      </c>
      <c r="R766" s="40">
        <v>0</v>
      </c>
      <c r="S766" s="40">
        <v>0</v>
      </c>
      <c r="T766" s="40">
        <v>0</v>
      </c>
      <c r="U766" s="40">
        <v>0</v>
      </c>
    </row>
    <row r="767" spans="1:21" x14ac:dyDescent="0.2">
      <c r="A767" t="s">
        <v>834</v>
      </c>
      <c r="B767">
        <v>238</v>
      </c>
      <c r="C767">
        <v>1</v>
      </c>
      <c r="D767" t="s">
        <v>134</v>
      </c>
      <c r="E767" s="40">
        <v>0</v>
      </c>
      <c r="F767" s="40">
        <v>0</v>
      </c>
      <c r="G767" s="40">
        <v>0</v>
      </c>
      <c r="H767" s="40">
        <v>0</v>
      </c>
      <c r="I767" s="40">
        <v>0</v>
      </c>
      <c r="J767" s="40">
        <v>0</v>
      </c>
      <c r="K767" s="40">
        <v>0</v>
      </c>
      <c r="L767" s="40">
        <v>0</v>
      </c>
      <c r="M767" s="40">
        <v>0</v>
      </c>
      <c r="N767" s="40">
        <v>0</v>
      </c>
      <c r="O767" s="40">
        <v>0</v>
      </c>
      <c r="P767" s="40">
        <v>0</v>
      </c>
      <c r="Q767" s="40">
        <v>0</v>
      </c>
      <c r="R767" s="40">
        <v>0</v>
      </c>
      <c r="S767" s="40">
        <v>0</v>
      </c>
      <c r="T767" s="40">
        <v>0</v>
      </c>
      <c r="U767" s="40">
        <v>0</v>
      </c>
    </row>
    <row r="768" spans="1:21" x14ac:dyDescent="0.2">
      <c r="A768" t="s">
        <v>834</v>
      </c>
      <c r="B768">
        <v>239</v>
      </c>
      <c r="C768">
        <v>1</v>
      </c>
      <c r="D768" t="s">
        <v>135</v>
      </c>
      <c r="E768" s="40">
        <v>0</v>
      </c>
      <c r="F768" s="40">
        <v>0</v>
      </c>
      <c r="G768" s="40">
        <v>0</v>
      </c>
      <c r="H768" s="40">
        <v>0</v>
      </c>
      <c r="I768" s="40">
        <v>0</v>
      </c>
      <c r="J768" s="40">
        <v>0</v>
      </c>
      <c r="K768" s="40">
        <v>0</v>
      </c>
      <c r="L768" s="40">
        <v>0</v>
      </c>
      <c r="M768" s="40">
        <v>0</v>
      </c>
      <c r="N768" s="40">
        <v>0</v>
      </c>
      <c r="O768" s="40">
        <v>0</v>
      </c>
      <c r="P768" s="40">
        <v>0</v>
      </c>
      <c r="Q768" s="40">
        <v>0</v>
      </c>
      <c r="R768" s="40">
        <v>0</v>
      </c>
      <c r="S768" s="40">
        <v>0</v>
      </c>
      <c r="T768" s="40">
        <v>0</v>
      </c>
      <c r="U768" s="40">
        <v>0</v>
      </c>
    </row>
    <row r="769" spans="1:21" x14ac:dyDescent="0.2">
      <c r="A769" t="s">
        <v>834</v>
      </c>
      <c r="B769">
        <v>241</v>
      </c>
      <c r="C769">
        <v>1</v>
      </c>
      <c r="D769" t="s">
        <v>136</v>
      </c>
      <c r="E769" s="40">
        <v>0</v>
      </c>
      <c r="F769" s="40">
        <v>0</v>
      </c>
      <c r="G769" s="40">
        <v>0</v>
      </c>
      <c r="H769" s="40">
        <v>490</v>
      </c>
      <c r="I769" s="40">
        <v>490</v>
      </c>
      <c r="J769" s="40">
        <v>490</v>
      </c>
      <c r="K769" s="40">
        <v>490</v>
      </c>
      <c r="L769" s="40">
        <v>490</v>
      </c>
      <c r="M769" s="40">
        <v>0</v>
      </c>
      <c r="N769" s="40">
        <v>0</v>
      </c>
      <c r="O769" s="40">
        <v>0</v>
      </c>
      <c r="P769" s="40">
        <v>0</v>
      </c>
      <c r="Q769" s="40">
        <v>0</v>
      </c>
      <c r="R769" s="40">
        <v>0</v>
      </c>
      <c r="S769" s="40">
        <v>0</v>
      </c>
      <c r="T769" s="40">
        <v>0</v>
      </c>
      <c r="U769" s="40">
        <v>0</v>
      </c>
    </row>
    <row r="770" spans="1:21" x14ac:dyDescent="0.2">
      <c r="A770" t="s">
        <v>834</v>
      </c>
      <c r="B770">
        <v>242</v>
      </c>
      <c r="C770">
        <v>1</v>
      </c>
      <c r="D770" t="s">
        <v>137</v>
      </c>
      <c r="E770" s="40">
        <v>0</v>
      </c>
      <c r="F770" s="40">
        <v>0</v>
      </c>
      <c r="G770" s="40">
        <v>0</v>
      </c>
      <c r="H770" s="40">
        <v>0</v>
      </c>
      <c r="I770" s="40">
        <v>0</v>
      </c>
      <c r="J770" s="40">
        <v>0</v>
      </c>
      <c r="K770" s="40">
        <v>0</v>
      </c>
      <c r="L770" s="40">
        <v>0</v>
      </c>
      <c r="M770" s="40">
        <v>0</v>
      </c>
      <c r="N770" s="40">
        <v>0</v>
      </c>
      <c r="O770" s="40">
        <v>0</v>
      </c>
      <c r="P770" s="40">
        <v>0</v>
      </c>
      <c r="Q770" s="40">
        <v>0</v>
      </c>
      <c r="R770" s="40">
        <v>0</v>
      </c>
      <c r="S770" s="40">
        <v>0</v>
      </c>
      <c r="T770" s="40">
        <v>0</v>
      </c>
      <c r="U770" s="40">
        <v>0</v>
      </c>
    </row>
    <row r="771" spans="1:21" x14ac:dyDescent="0.2">
      <c r="A771" t="s">
        <v>834</v>
      </c>
      <c r="B771">
        <v>252</v>
      </c>
      <c r="C771">
        <v>1</v>
      </c>
      <c r="D771" t="s">
        <v>138</v>
      </c>
      <c r="E771" s="40">
        <v>0</v>
      </c>
      <c r="F771" s="40">
        <v>0</v>
      </c>
      <c r="G771" s="40">
        <v>0</v>
      </c>
      <c r="H771" s="40">
        <v>0</v>
      </c>
      <c r="I771" s="40">
        <v>0</v>
      </c>
      <c r="J771" s="40">
        <v>0</v>
      </c>
      <c r="K771" s="40">
        <v>0</v>
      </c>
      <c r="L771" s="40">
        <v>0</v>
      </c>
      <c r="M771" s="40">
        <v>0</v>
      </c>
      <c r="N771" s="40">
        <v>0</v>
      </c>
      <c r="O771" s="40">
        <v>0</v>
      </c>
      <c r="P771" s="40">
        <v>0</v>
      </c>
      <c r="Q771" s="40">
        <v>0</v>
      </c>
      <c r="R771" s="40">
        <v>0</v>
      </c>
      <c r="S771" s="40">
        <v>0</v>
      </c>
      <c r="T771" s="40">
        <v>0</v>
      </c>
      <c r="U771" s="40">
        <v>0</v>
      </c>
    </row>
    <row r="772" spans="1:21" x14ac:dyDescent="0.2">
      <c r="A772" t="s">
        <v>834</v>
      </c>
      <c r="B772">
        <v>253</v>
      </c>
      <c r="C772">
        <v>1</v>
      </c>
      <c r="D772" t="s">
        <v>139</v>
      </c>
      <c r="E772" s="40">
        <v>0</v>
      </c>
      <c r="F772" s="40">
        <v>0</v>
      </c>
      <c r="G772" s="40">
        <v>0</v>
      </c>
      <c r="H772" s="40">
        <v>0</v>
      </c>
      <c r="I772" s="40">
        <v>0</v>
      </c>
      <c r="J772" s="40">
        <v>0</v>
      </c>
      <c r="K772" s="40">
        <v>0</v>
      </c>
      <c r="L772" s="40">
        <v>0</v>
      </c>
      <c r="M772" s="40">
        <v>0</v>
      </c>
      <c r="N772" s="40">
        <v>0</v>
      </c>
      <c r="O772" s="40">
        <v>0</v>
      </c>
      <c r="P772" s="40">
        <v>0</v>
      </c>
      <c r="Q772" s="40">
        <v>0</v>
      </c>
      <c r="R772" s="40">
        <v>0</v>
      </c>
      <c r="S772" s="40">
        <v>0</v>
      </c>
      <c r="T772" s="40">
        <v>0</v>
      </c>
      <c r="U772" s="40">
        <v>0</v>
      </c>
    </row>
    <row r="773" spans="1:21" x14ac:dyDescent="0.2">
      <c r="A773" t="s">
        <v>834</v>
      </c>
      <c r="B773">
        <v>255</v>
      </c>
      <c r="C773">
        <v>1</v>
      </c>
      <c r="D773" t="s">
        <v>140</v>
      </c>
      <c r="E773" s="40">
        <v>0</v>
      </c>
      <c r="F773" s="40">
        <v>0</v>
      </c>
      <c r="G773" s="40">
        <v>0</v>
      </c>
      <c r="H773" s="40">
        <v>0</v>
      </c>
      <c r="I773" s="40">
        <v>0</v>
      </c>
      <c r="J773" s="40">
        <v>0</v>
      </c>
      <c r="K773" s="40">
        <v>0</v>
      </c>
      <c r="L773" s="40">
        <v>0</v>
      </c>
      <c r="M773" s="40">
        <v>0</v>
      </c>
      <c r="N773" s="40">
        <v>0</v>
      </c>
      <c r="O773" s="40">
        <v>0</v>
      </c>
      <c r="P773" s="40">
        <v>0</v>
      </c>
      <c r="Q773" s="40">
        <v>0</v>
      </c>
      <c r="R773" s="40">
        <v>0</v>
      </c>
      <c r="S773" s="40">
        <v>0</v>
      </c>
      <c r="T773" s="40">
        <v>0</v>
      </c>
      <c r="U773" s="40">
        <v>0</v>
      </c>
    </row>
    <row r="774" spans="1:21" x14ac:dyDescent="0.2">
      <c r="A774" t="s">
        <v>834</v>
      </c>
      <c r="B774">
        <v>256</v>
      </c>
      <c r="C774">
        <v>1</v>
      </c>
      <c r="D774" t="s">
        <v>141</v>
      </c>
      <c r="E774" s="40">
        <v>0</v>
      </c>
      <c r="F774" s="40">
        <v>0</v>
      </c>
      <c r="G774" s="40">
        <v>0</v>
      </c>
      <c r="H774" s="40">
        <v>0</v>
      </c>
      <c r="I774" s="40">
        <v>0</v>
      </c>
      <c r="J774" s="40">
        <v>0</v>
      </c>
      <c r="K774" s="40">
        <v>0</v>
      </c>
      <c r="L774" s="40">
        <v>0</v>
      </c>
      <c r="M774" s="40">
        <v>0</v>
      </c>
      <c r="N774" s="40">
        <v>0</v>
      </c>
      <c r="O774" s="40">
        <v>0</v>
      </c>
      <c r="P774" s="40">
        <v>0</v>
      </c>
      <c r="Q774" s="40">
        <v>0</v>
      </c>
      <c r="R774" s="40">
        <v>0</v>
      </c>
      <c r="S774" s="40">
        <v>0</v>
      </c>
      <c r="T774" s="40">
        <v>0</v>
      </c>
      <c r="U774" s="40">
        <v>0</v>
      </c>
    </row>
    <row r="775" spans="1:21" x14ac:dyDescent="0.2">
      <c r="A775" t="s">
        <v>834</v>
      </c>
      <c r="B775">
        <v>261</v>
      </c>
      <c r="C775">
        <v>1</v>
      </c>
      <c r="D775" t="s">
        <v>142</v>
      </c>
      <c r="E775" s="40">
        <v>0</v>
      </c>
      <c r="F775" s="40">
        <v>0</v>
      </c>
      <c r="G775" s="40">
        <v>0</v>
      </c>
      <c r="H775" s="40">
        <v>0</v>
      </c>
      <c r="I775" s="40">
        <v>0</v>
      </c>
      <c r="J775" s="40">
        <v>0</v>
      </c>
      <c r="K775" s="40">
        <v>0</v>
      </c>
      <c r="L775" s="40">
        <v>0</v>
      </c>
      <c r="M775" s="40">
        <v>0</v>
      </c>
      <c r="N775" s="40">
        <v>0</v>
      </c>
      <c r="O775" s="40">
        <v>0</v>
      </c>
      <c r="P775" s="40">
        <v>0</v>
      </c>
      <c r="Q775" s="40">
        <v>0</v>
      </c>
      <c r="R775" s="40">
        <v>0</v>
      </c>
      <c r="S775" s="40">
        <v>0</v>
      </c>
      <c r="T775" s="40">
        <v>0</v>
      </c>
      <c r="U775" s="40">
        <v>0</v>
      </c>
    </row>
    <row r="776" spans="1:21" x14ac:dyDescent="0.2">
      <c r="A776" t="s">
        <v>834</v>
      </c>
      <c r="B776">
        <v>264</v>
      </c>
      <c r="C776">
        <v>1</v>
      </c>
      <c r="D776" t="s">
        <v>143</v>
      </c>
      <c r="E776" s="40">
        <v>0</v>
      </c>
      <c r="F776" s="40">
        <v>0</v>
      </c>
      <c r="G776" s="40">
        <v>0</v>
      </c>
      <c r="H776" s="40">
        <v>0</v>
      </c>
      <c r="I776" s="40">
        <v>0</v>
      </c>
      <c r="J776" s="40">
        <v>0</v>
      </c>
      <c r="K776" s="40">
        <v>0</v>
      </c>
      <c r="L776" s="40">
        <v>0</v>
      </c>
      <c r="M776" s="40">
        <v>0</v>
      </c>
      <c r="N776" s="40">
        <v>0</v>
      </c>
      <c r="O776" s="40">
        <v>0</v>
      </c>
      <c r="P776" s="40">
        <v>0</v>
      </c>
      <c r="Q776" s="40">
        <v>0</v>
      </c>
      <c r="R776" s="40">
        <v>0</v>
      </c>
      <c r="S776" s="40">
        <v>0</v>
      </c>
      <c r="T776" s="40">
        <v>0</v>
      </c>
      <c r="U776" s="40">
        <v>0</v>
      </c>
    </row>
    <row r="777" spans="1:21" x14ac:dyDescent="0.2">
      <c r="A777" t="s">
        <v>834</v>
      </c>
      <c r="B777">
        <v>270</v>
      </c>
      <c r="C777">
        <v>1</v>
      </c>
      <c r="D777" t="s">
        <v>144</v>
      </c>
      <c r="E777" s="40">
        <v>0</v>
      </c>
      <c r="F777" s="40">
        <v>0</v>
      </c>
      <c r="G777" s="40">
        <v>0</v>
      </c>
      <c r="H777" s="40">
        <v>0</v>
      </c>
      <c r="I777" s="40">
        <v>0</v>
      </c>
      <c r="J777" s="40">
        <v>0</v>
      </c>
      <c r="K777" s="40">
        <v>0</v>
      </c>
      <c r="L777" s="40">
        <v>0</v>
      </c>
      <c r="M777" s="40">
        <v>0</v>
      </c>
      <c r="N777" s="40">
        <v>0</v>
      </c>
      <c r="O777" s="40">
        <v>0</v>
      </c>
      <c r="P777" s="40">
        <v>0</v>
      </c>
      <c r="Q777" s="40">
        <v>0</v>
      </c>
      <c r="R777" s="40">
        <v>0</v>
      </c>
      <c r="S777" s="40">
        <v>0</v>
      </c>
      <c r="T777" s="40">
        <v>0</v>
      </c>
      <c r="U777" s="40">
        <v>0</v>
      </c>
    </row>
    <row r="778" spans="1:21" x14ac:dyDescent="0.2">
      <c r="A778" t="s">
        <v>834</v>
      </c>
      <c r="B778">
        <v>271</v>
      </c>
      <c r="C778">
        <v>1</v>
      </c>
      <c r="D778" t="s">
        <v>145</v>
      </c>
      <c r="E778" s="40">
        <v>0</v>
      </c>
      <c r="F778" s="40">
        <v>0</v>
      </c>
      <c r="G778" s="40">
        <v>0</v>
      </c>
      <c r="H778" s="40">
        <v>0</v>
      </c>
      <c r="I778" s="40">
        <v>0</v>
      </c>
      <c r="J778" s="40">
        <v>0</v>
      </c>
      <c r="K778" s="40">
        <v>0</v>
      </c>
      <c r="L778" s="40">
        <v>0</v>
      </c>
      <c r="M778" s="40">
        <v>0</v>
      </c>
      <c r="N778" s="40">
        <v>0</v>
      </c>
      <c r="O778" s="40">
        <v>0</v>
      </c>
      <c r="P778" s="40">
        <v>0</v>
      </c>
      <c r="Q778" s="40">
        <v>0</v>
      </c>
      <c r="R778" s="40">
        <v>0</v>
      </c>
      <c r="S778" s="40">
        <v>0</v>
      </c>
      <c r="T778" s="40">
        <v>0</v>
      </c>
      <c r="U778" s="40">
        <v>0</v>
      </c>
    </row>
    <row r="779" spans="1:21" x14ac:dyDescent="0.2">
      <c r="A779" t="s">
        <v>834</v>
      </c>
      <c r="B779">
        <v>272</v>
      </c>
      <c r="C779">
        <v>1</v>
      </c>
      <c r="D779" t="s">
        <v>146</v>
      </c>
      <c r="E779" s="40">
        <v>0</v>
      </c>
      <c r="F779" s="40">
        <v>0</v>
      </c>
      <c r="G779" s="40">
        <v>0</v>
      </c>
      <c r="H779" s="40">
        <v>263.51</v>
      </c>
      <c r="I779" s="40">
        <v>263.51</v>
      </c>
      <c r="J779" s="40">
        <v>263.51</v>
      </c>
      <c r="K779" s="40">
        <v>263.51</v>
      </c>
      <c r="L779" s="40">
        <v>263.51</v>
      </c>
      <c r="M779" s="40">
        <v>263.51</v>
      </c>
      <c r="N779" s="40">
        <v>263.51</v>
      </c>
      <c r="O779" s="40">
        <v>0</v>
      </c>
      <c r="P779" s="40">
        <v>0</v>
      </c>
      <c r="Q779" s="40">
        <v>0</v>
      </c>
      <c r="R779" s="40">
        <v>0</v>
      </c>
      <c r="S779" s="40">
        <v>0</v>
      </c>
      <c r="T779" s="40">
        <v>0</v>
      </c>
      <c r="U779" s="40">
        <v>0</v>
      </c>
    </row>
    <row r="780" spans="1:21" x14ac:dyDescent="0.2">
      <c r="A780" t="s">
        <v>834</v>
      </c>
      <c r="B780">
        <v>273</v>
      </c>
      <c r="C780">
        <v>1</v>
      </c>
      <c r="D780" t="s">
        <v>147</v>
      </c>
      <c r="E780" s="40">
        <v>0</v>
      </c>
      <c r="F780" s="40">
        <v>0</v>
      </c>
      <c r="G780" s="40">
        <v>0</v>
      </c>
      <c r="H780" s="40">
        <v>0</v>
      </c>
      <c r="I780" s="40">
        <v>0</v>
      </c>
      <c r="J780" s="40">
        <v>0</v>
      </c>
      <c r="K780" s="40">
        <v>0</v>
      </c>
      <c r="L780" s="40">
        <v>0</v>
      </c>
      <c r="M780" s="40">
        <v>0</v>
      </c>
      <c r="N780" s="40">
        <v>0</v>
      </c>
      <c r="O780" s="40">
        <v>0</v>
      </c>
      <c r="P780" s="40">
        <v>0</v>
      </c>
      <c r="Q780" s="40">
        <v>0</v>
      </c>
      <c r="R780" s="40">
        <v>0</v>
      </c>
      <c r="S780" s="40">
        <v>0</v>
      </c>
      <c r="T780" s="40">
        <v>0</v>
      </c>
      <c r="U780" s="40">
        <v>0</v>
      </c>
    </row>
    <row r="781" spans="1:21" x14ac:dyDescent="0.2">
      <c r="A781" t="s">
        <v>834</v>
      </c>
      <c r="B781">
        <v>276</v>
      </c>
      <c r="C781">
        <v>1</v>
      </c>
      <c r="D781" t="s">
        <v>148</v>
      </c>
      <c r="E781" s="40">
        <v>0</v>
      </c>
      <c r="F781" s="40">
        <v>0</v>
      </c>
      <c r="G781" s="40">
        <v>0</v>
      </c>
      <c r="H781" s="40">
        <v>1376.09</v>
      </c>
      <c r="I781" s="40">
        <v>1376.09</v>
      </c>
      <c r="J781" s="40">
        <v>1376.09</v>
      </c>
      <c r="K781" s="40">
        <v>1376.09</v>
      </c>
      <c r="L781" s="40">
        <v>1376.09</v>
      </c>
      <c r="M781" s="40">
        <v>1376.09</v>
      </c>
      <c r="N781" s="40">
        <v>1376.09</v>
      </c>
      <c r="O781" s="40">
        <v>1376.09</v>
      </c>
      <c r="P781" s="40">
        <v>1376.09</v>
      </c>
      <c r="Q781" s="40">
        <v>1376.09</v>
      </c>
      <c r="R781" s="40">
        <v>0</v>
      </c>
      <c r="S781" s="40">
        <v>0</v>
      </c>
      <c r="T781" s="40">
        <v>0</v>
      </c>
      <c r="U781" s="40">
        <v>0</v>
      </c>
    </row>
    <row r="782" spans="1:21" x14ac:dyDescent="0.2">
      <c r="A782" t="s">
        <v>834</v>
      </c>
      <c r="B782">
        <v>277</v>
      </c>
      <c r="C782">
        <v>1</v>
      </c>
      <c r="D782" t="s">
        <v>149</v>
      </c>
      <c r="E782" s="40">
        <v>0</v>
      </c>
      <c r="F782" s="40">
        <v>0</v>
      </c>
      <c r="G782" s="40">
        <v>0</v>
      </c>
      <c r="H782" s="40">
        <v>570</v>
      </c>
      <c r="I782" s="40">
        <v>570</v>
      </c>
      <c r="J782" s="40">
        <v>570</v>
      </c>
      <c r="K782" s="40">
        <v>570</v>
      </c>
      <c r="L782" s="40">
        <v>570</v>
      </c>
      <c r="M782" s="40">
        <v>570</v>
      </c>
      <c r="N782" s="40">
        <v>570</v>
      </c>
      <c r="O782" s="40">
        <v>570</v>
      </c>
      <c r="P782" s="40">
        <v>570</v>
      </c>
      <c r="Q782" s="40">
        <v>570</v>
      </c>
      <c r="R782" s="40">
        <v>0</v>
      </c>
      <c r="S782" s="40">
        <v>0</v>
      </c>
      <c r="T782" s="40">
        <v>0</v>
      </c>
      <c r="U782" s="40">
        <v>0</v>
      </c>
    </row>
    <row r="783" spans="1:21" x14ac:dyDescent="0.2">
      <c r="A783" t="s">
        <v>834</v>
      </c>
      <c r="B783">
        <v>278</v>
      </c>
      <c r="C783">
        <v>1</v>
      </c>
      <c r="D783" t="s">
        <v>150</v>
      </c>
      <c r="E783" s="40">
        <v>0</v>
      </c>
      <c r="F783" s="40">
        <v>0</v>
      </c>
      <c r="G783" s="40">
        <v>0</v>
      </c>
      <c r="H783" s="40">
        <v>173.27</v>
      </c>
      <c r="I783" s="40">
        <v>173.27</v>
      </c>
      <c r="J783" s="40">
        <v>173.27</v>
      </c>
      <c r="K783" s="40">
        <v>173.27</v>
      </c>
      <c r="L783" s="40">
        <v>173.27</v>
      </c>
      <c r="M783" s="40">
        <v>173.27</v>
      </c>
      <c r="N783" s="40">
        <v>173.27</v>
      </c>
      <c r="O783" s="40">
        <v>173.27</v>
      </c>
      <c r="P783" s="40">
        <v>173.27</v>
      </c>
      <c r="Q783" s="40">
        <v>173.27</v>
      </c>
      <c r="R783" s="40">
        <v>0</v>
      </c>
      <c r="S783" s="40">
        <v>0</v>
      </c>
      <c r="T783" s="40">
        <v>0</v>
      </c>
      <c r="U783" s="40">
        <v>0</v>
      </c>
    </row>
    <row r="784" spans="1:21" x14ac:dyDescent="0.2">
      <c r="A784" t="s">
        <v>834</v>
      </c>
      <c r="B784">
        <v>279</v>
      </c>
      <c r="C784">
        <v>1</v>
      </c>
      <c r="D784" t="s">
        <v>151</v>
      </c>
      <c r="E784" s="40">
        <v>0</v>
      </c>
      <c r="F784" s="40">
        <v>0</v>
      </c>
      <c r="G784" s="40">
        <v>0</v>
      </c>
      <c r="H784" s="40">
        <v>560.1</v>
      </c>
      <c r="I784" s="40">
        <v>560.1</v>
      </c>
      <c r="J784" s="40">
        <v>560.1</v>
      </c>
      <c r="K784" s="40">
        <v>560.1</v>
      </c>
      <c r="L784" s="40">
        <v>560.1</v>
      </c>
      <c r="M784" s="40">
        <v>560.1</v>
      </c>
      <c r="N784" s="40">
        <v>560.1</v>
      </c>
      <c r="O784" s="40">
        <v>0</v>
      </c>
      <c r="P784" s="40">
        <v>0</v>
      </c>
      <c r="Q784" s="40">
        <v>0</v>
      </c>
      <c r="R784" s="40">
        <v>0</v>
      </c>
      <c r="S784" s="40">
        <v>0</v>
      </c>
      <c r="T784" s="40">
        <v>0</v>
      </c>
      <c r="U784" s="40">
        <v>0</v>
      </c>
    </row>
    <row r="785" spans="1:21" x14ac:dyDescent="0.2">
      <c r="A785" t="s">
        <v>834</v>
      </c>
      <c r="B785">
        <v>280</v>
      </c>
      <c r="C785">
        <v>1</v>
      </c>
      <c r="D785" t="s">
        <v>152</v>
      </c>
      <c r="E785" s="40">
        <v>0</v>
      </c>
      <c r="F785" s="40">
        <v>0</v>
      </c>
      <c r="G785" s="40">
        <v>0</v>
      </c>
      <c r="H785" s="40">
        <v>298.17</v>
      </c>
      <c r="I785" s="40">
        <v>298.17</v>
      </c>
      <c r="J785" s="40">
        <v>298.17</v>
      </c>
      <c r="K785" s="40">
        <v>298.17</v>
      </c>
      <c r="L785" s="40">
        <v>298.17</v>
      </c>
      <c r="M785" s="40">
        <v>298.17</v>
      </c>
      <c r="N785" s="40">
        <v>298.17</v>
      </c>
      <c r="O785" s="40">
        <v>298.17</v>
      </c>
      <c r="P785" s="40">
        <v>298.17</v>
      </c>
      <c r="Q785" s="40">
        <v>298.17</v>
      </c>
      <c r="R785" s="40">
        <v>0</v>
      </c>
      <c r="S785" s="40">
        <v>0</v>
      </c>
      <c r="T785" s="40">
        <v>0</v>
      </c>
      <c r="U785" s="40">
        <v>0</v>
      </c>
    </row>
    <row r="786" spans="1:21" x14ac:dyDescent="0.2">
      <c r="A786" t="s">
        <v>834</v>
      </c>
      <c r="B786">
        <v>281</v>
      </c>
      <c r="C786">
        <v>1</v>
      </c>
      <c r="D786" t="s">
        <v>153</v>
      </c>
      <c r="E786" s="40">
        <v>0</v>
      </c>
      <c r="F786" s="40">
        <v>0</v>
      </c>
      <c r="G786" s="40">
        <v>0</v>
      </c>
      <c r="H786" s="40">
        <v>0</v>
      </c>
      <c r="I786" s="40">
        <v>0</v>
      </c>
      <c r="J786" s="40">
        <v>0</v>
      </c>
      <c r="K786" s="40">
        <v>0</v>
      </c>
      <c r="L786" s="40">
        <v>0</v>
      </c>
      <c r="M786" s="40">
        <v>0</v>
      </c>
      <c r="N786" s="40">
        <v>0</v>
      </c>
      <c r="O786" s="40">
        <v>0</v>
      </c>
      <c r="P786" s="40">
        <v>0</v>
      </c>
      <c r="Q786" s="40">
        <v>0</v>
      </c>
      <c r="R786" s="40">
        <v>0</v>
      </c>
      <c r="S786" s="40">
        <v>0</v>
      </c>
      <c r="T786" s="40">
        <v>0</v>
      </c>
      <c r="U786" s="40">
        <v>0</v>
      </c>
    </row>
    <row r="787" spans="1:21" x14ac:dyDescent="0.2">
      <c r="A787" t="s">
        <v>834</v>
      </c>
      <c r="B787">
        <v>282</v>
      </c>
      <c r="C787">
        <v>1</v>
      </c>
      <c r="D787" t="s">
        <v>154</v>
      </c>
      <c r="E787" s="40">
        <v>0</v>
      </c>
      <c r="F787" s="40">
        <v>0</v>
      </c>
      <c r="G787" s="40">
        <v>0</v>
      </c>
      <c r="H787" s="40">
        <v>0</v>
      </c>
      <c r="I787" s="40">
        <v>0</v>
      </c>
      <c r="J787" s="40">
        <v>0</v>
      </c>
      <c r="K787" s="40">
        <v>0</v>
      </c>
      <c r="L787" s="40">
        <v>0</v>
      </c>
      <c r="M787" s="40">
        <v>0</v>
      </c>
      <c r="N787" s="40">
        <v>0</v>
      </c>
      <c r="O787" s="40">
        <v>0</v>
      </c>
      <c r="P787" s="40">
        <v>0</v>
      </c>
      <c r="Q787" s="40">
        <v>0</v>
      </c>
      <c r="R787" s="40">
        <v>0</v>
      </c>
      <c r="S787" s="40">
        <v>0</v>
      </c>
      <c r="T787" s="40">
        <v>0</v>
      </c>
      <c r="U787" s="40">
        <v>0</v>
      </c>
    </row>
    <row r="788" spans="1:21" x14ac:dyDescent="0.2">
      <c r="A788" t="s">
        <v>834</v>
      </c>
      <c r="B788">
        <v>283</v>
      </c>
      <c r="C788">
        <v>1</v>
      </c>
      <c r="D788" t="s">
        <v>155</v>
      </c>
      <c r="E788" s="40">
        <v>0</v>
      </c>
      <c r="F788" s="40">
        <v>0</v>
      </c>
      <c r="G788" s="40">
        <v>0</v>
      </c>
      <c r="H788" s="40">
        <v>0</v>
      </c>
      <c r="I788" s="40">
        <v>0</v>
      </c>
      <c r="J788" s="40">
        <v>0</v>
      </c>
      <c r="K788" s="40">
        <v>0</v>
      </c>
      <c r="L788" s="40">
        <v>0</v>
      </c>
      <c r="M788" s="40">
        <v>0</v>
      </c>
      <c r="N788" s="40">
        <v>0</v>
      </c>
      <c r="O788" s="40">
        <v>0</v>
      </c>
      <c r="P788" s="40">
        <v>0</v>
      </c>
      <c r="Q788" s="40">
        <v>0</v>
      </c>
      <c r="R788" s="40">
        <v>0</v>
      </c>
      <c r="S788" s="40">
        <v>0</v>
      </c>
      <c r="T788" s="40">
        <v>0</v>
      </c>
      <c r="U788" s="40">
        <v>0</v>
      </c>
    </row>
    <row r="789" spans="1:21" x14ac:dyDescent="0.2">
      <c r="A789" t="s">
        <v>834</v>
      </c>
      <c r="B789">
        <v>284</v>
      </c>
      <c r="C789">
        <v>1</v>
      </c>
      <c r="D789" t="s">
        <v>156</v>
      </c>
      <c r="E789" s="40">
        <v>0</v>
      </c>
      <c r="F789" s="40">
        <v>0</v>
      </c>
      <c r="G789" s="40">
        <v>0</v>
      </c>
      <c r="H789" s="40">
        <v>0</v>
      </c>
      <c r="I789" s="40">
        <v>0</v>
      </c>
      <c r="J789" s="40">
        <v>0</v>
      </c>
      <c r="K789" s="40">
        <v>0</v>
      </c>
      <c r="L789" s="40">
        <v>0</v>
      </c>
      <c r="M789" s="40">
        <v>0</v>
      </c>
      <c r="N789" s="40">
        <v>0</v>
      </c>
      <c r="O789" s="40">
        <v>0</v>
      </c>
      <c r="P789" s="40">
        <v>0</v>
      </c>
      <c r="Q789" s="40">
        <v>0</v>
      </c>
      <c r="R789" s="40">
        <v>0</v>
      </c>
      <c r="S789" s="40">
        <v>0</v>
      </c>
      <c r="T789" s="40">
        <v>0</v>
      </c>
      <c r="U789" s="40">
        <v>0</v>
      </c>
    </row>
    <row r="790" spans="1:21" x14ac:dyDescent="0.2">
      <c r="A790" t="s">
        <v>834</v>
      </c>
      <c r="B790">
        <v>286</v>
      </c>
      <c r="C790">
        <v>1</v>
      </c>
      <c r="D790" t="s">
        <v>157</v>
      </c>
      <c r="E790" s="40">
        <v>0</v>
      </c>
      <c r="F790" s="40">
        <v>0</v>
      </c>
      <c r="G790" s="40">
        <v>0</v>
      </c>
      <c r="H790" s="40">
        <v>0</v>
      </c>
      <c r="I790" s="40">
        <v>0</v>
      </c>
      <c r="J790" s="40">
        <v>0</v>
      </c>
      <c r="K790" s="40">
        <v>0</v>
      </c>
      <c r="L790" s="40">
        <v>0</v>
      </c>
      <c r="M790" s="40">
        <v>0</v>
      </c>
      <c r="N790" s="40">
        <v>0</v>
      </c>
      <c r="O790" s="40">
        <v>0</v>
      </c>
      <c r="P790" s="40">
        <v>0</v>
      </c>
      <c r="Q790" s="40">
        <v>0</v>
      </c>
      <c r="R790" s="40">
        <v>0</v>
      </c>
      <c r="S790" s="40">
        <v>0</v>
      </c>
      <c r="T790" s="40">
        <v>0</v>
      </c>
      <c r="U790" s="40">
        <v>0</v>
      </c>
    </row>
    <row r="791" spans="1:21" x14ac:dyDescent="0.2">
      <c r="A791" t="s">
        <v>834</v>
      </c>
      <c r="B791">
        <v>294</v>
      </c>
      <c r="C791">
        <v>1</v>
      </c>
      <c r="D791" t="s">
        <v>158</v>
      </c>
      <c r="E791" s="40">
        <v>0</v>
      </c>
      <c r="F791" s="40">
        <v>0</v>
      </c>
      <c r="G791" s="40">
        <v>0</v>
      </c>
      <c r="H791" s="40">
        <v>0</v>
      </c>
      <c r="I791" s="40">
        <v>0</v>
      </c>
      <c r="J791" s="40">
        <v>0</v>
      </c>
      <c r="K791" s="40">
        <v>0</v>
      </c>
      <c r="L791" s="40">
        <v>0</v>
      </c>
      <c r="M791" s="40">
        <v>0</v>
      </c>
      <c r="N791" s="40">
        <v>0</v>
      </c>
      <c r="O791" s="40">
        <v>0</v>
      </c>
      <c r="P791" s="40">
        <v>0</v>
      </c>
      <c r="Q791" s="40">
        <v>0</v>
      </c>
      <c r="R791" s="40">
        <v>0</v>
      </c>
      <c r="S791" s="40">
        <v>0</v>
      </c>
      <c r="T791" s="40">
        <v>0</v>
      </c>
      <c r="U791" s="40">
        <v>0</v>
      </c>
    </row>
    <row r="792" spans="1:21" x14ac:dyDescent="0.2">
      <c r="A792" t="s">
        <v>834</v>
      </c>
      <c r="B792">
        <v>297</v>
      </c>
      <c r="C792">
        <v>1</v>
      </c>
      <c r="D792" t="s">
        <v>159</v>
      </c>
      <c r="E792" s="40">
        <v>0</v>
      </c>
      <c r="F792" s="40">
        <v>0</v>
      </c>
      <c r="G792" s="40">
        <v>0</v>
      </c>
      <c r="H792" s="40">
        <v>0</v>
      </c>
      <c r="I792" s="40">
        <v>0</v>
      </c>
      <c r="J792" s="40">
        <v>0</v>
      </c>
      <c r="K792" s="40">
        <v>0</v>
      </c>
      <c r="L792" s="40">
        <v>0</v>
      </c>
      <c r="M792" s="40">
        <v>0</v>
      </c>
      <c r="N792" s="40">
        <v>0</v>
      </c>
      <c r="O792" s="40">
        <v>0</v>
      </c>
      <c r="P792" s="40">
        <v>0</v>
      </c>
      <c r="Q792" s="40">
        <v>0</v>
      </c>
      <c r="R792" s="40">
        <v>0</v>
      </c>
      <c r="S792" s="40">
        <v>0</v>
      </c>
      <c r="T792" s="40">
        <v>0</v>
      </c>
      <c r="U792" s="40">
        <v>0</v>
      </c>
    </row>
    <row r="793" spans="1:21" x14ac:dyDescent="0.2">
      <c r="A793" t="s">
        <v>834</v>
      </c>
      <c r="B793">
        <v>299</v>
      </c>
      <c r="C793">
        <v>1</v>
      </c>
      <c r="D793" t="s">
        <v>160</v>
      </c>
      <c r="E793" s="40">
        <v>0</v>
      </c>
      <c r="F793" s="40">
        <v>0</v>
      </c>
      <c r="G793" s="40">
        <v>0</v>
      </c>
      <c r="H793" s="40">
        <v>718.3</v>
      </c>
      <c r="I793" s="40">
        <v>718.3</v>
      </c>
      <c r="J793" s="40">
        <v>718.3</v>
      </c>
      <c r="K793" s="40">
        <v>718.3</v>
      </c>
      <c r="L793" s="40">
        <v>718.3</v>
      </c>
      <c r="M793" s="40">
        <v>0</v>
      </c>
      <c r="N793" s="40">
        <v>0</v>
      </c>
      <c r="O793" s="40">
        <v>0</v>
      </c>
      <c r="P793" s="40">
        <v>0</v>
      </c>
      <c r="Q793" s="40">
        <v>0</v>
      </c>
      <c r="R793" s="40">
        <v>0</v>
      </c>
      <c r="S793" s="40">
        <v>0</v>
      </c>
      <c r="T793" s="40">
        <v>0</v>
      </c>
      <c r="U793" s="40">
        <v>0</v>
      </c>
    </row>
    <row r="794" spans="1:21" x14ac:dyDescent="0.2">
      <c r="A794" t="s">
        <v>834</v>
      </c>
      <c r="B794">
        <v>300</v>
      </c>
      <c r="C794">
        <v>1</v>
      </c>
      <c r="D794" t="s">
        <v>161</v>
      </c>
      <c r="E794" s="40">
        <v>0</v>
      </c>
      <c r="F794" s="40">
        <v>0</v>
      </c>
      <c r="G794" s="40">
        <v>0</v>
      </c>
      <c r="H794" s="40">
        <v>0</v>
      </c>
      <c r="I794" s="40">
        <v>0</v>
      </c>
      <c r="J794" s="40">
        <v>0</v>
      </c>
      <c r="K794" s="40">
        <v>0</v>
      </c>
      <c r="L794" s="40">
        <v>0</v>
      </c>
      <c r="M794" s="40">
        <v>0</v>
      </c>
      <c r="N794" s="40">
        <v>0</v>
      </c>
      <c r="O794" s="40">
        <v>0</v>
      </c>
      <c r="P794" s="40">
        <v>0</v>
      </c>
      <c r="Q794" s="40">
        <v>0</v>
      </c>
      <c r="R794" s="40">
        <v>0</v>
      </c>
      <c r="S794" s="40">
        <v>0</v>
      </c>
      <c r="T794" s="40">
        <v>0</v>
      </c>
      <c r="U794" s="40">
        <v>0</v>
      </c>
    </row>
    <row r="795" spans="1:21" x14ac:dyDescent="0.2">
      <c r="A795" t="s">
        <v>834</v>
      </c>
      <c r="B795">
        <v>306</v>
      </c>
      <c r="C795">
        <v>1</v>
      </c>
      <c r="D795" t="s">
        <v>162</v>
      </c>
      <c r="E795" s="40">
        <v>0</v>
      </c>
      <c r="F795" s="40">
        <v>0</v>
      </c>
      <c r="G795" s="40">
        <v>0</v>
      </c>
      <c r="H795" s="40">
        <v>0</v>
      </c>
      <c r="I795" s="40">
        <v>0</v>
      </c>
      <c r="J795" s="40">
        <v>0</v>
      </c>
      <c r="K795" s="40">
        <v>0</v>
      </c>
      <c r="L795" s="40">
        <v>0</v>
      </c>
      <c r="M795" s="40">
        <v>0</v>
      </c>
      <c r="N795" s="40">
        <v>0</v>
      </c>
      <c r="O795" s="40">
        <v>0</v>
      </c>
      <c r="P795" s="40">
        <v>0</v>
      </c>
      <c r="Q795" s="40">
        <v>0</v>
      </c>
      <c r="R795" s="40">
        <v>0</v>
      </c>
      <c r="S795" s="40">
        <v>0</v>
      </c>
      <c r="T795" s="40">
        <v>0</v>
      </c>
      <c r="U795" s="40">
        <v>0</v>
      </c>
    </row>
    <row r="796" spans="1:21" x14ac:dyDescent="0.2">
      <c r="A796" t="s">
        <v>834</v>
      </c>
      <c r="B796">
        <v>308</v>
      </c>
      <c r="C796">
        <v>1</v>
      </c>
      <c r="D796" t="s">
        <v>163</v>
      </c>
      <c r="E796" s="40">
        <v>0</v>
      </c>
      <c r="F796" s="40">
        <v>0</v>
      </c>
      <c r="G796" s="40">
        <v>0</v>
      </c>
      <c r="H796" s="40">
        <v>0</v>
      </c>
      <c r="I796" s="40">
        <v>0</v>
      </c>
      <c r="J796" s="40">
        <v>0</v>
      </c>
      <c r="K796" s="40">
        <v>0</v>
      </c>
      <c r="L796" s="40">
        <v>0</v>
      </c>
      <c r="M796" s="40">
        <v>0</v>
      </c>
      <c r="N796" s="40">
        <v>0</v>
      </c>
      <c r="O796" s="40">
        <v>0</v>
      </c>
      <c r="P796" s="40">
        <v>0</v>
      </c>
      <c r="Q796" s="40">
        <v>0</v>
      </c>
      <c r="R796" s="40">
        <v>0</v>
      </c>
      <c r="S796" s="40">
        <v>0</v>
      </c>
      <c r="T796" s="40">
        <v>0</v>
      </c>
      <c r="U796" s="40">
        <v>0</v>
      </c>
    </row>
    <row r="797" spans="1:21" x14ac:dyDescent="0.2">
      <c r="A797" t="s">
        <v>834</v>
      </c>
      <c r="B797">
        <v>309</v>
      </c>
      <c r="C797">
        <v>1</v>
      </c>
      <c r="D797" t="s">
        <v>164</v>
      </c>
      <c r="E797" s="40">
        <v>0</v>
      </c>
      <c r="F797" s="40">
        <v>0</v>
      </c>
      <c r="G797" s="40">
        <v>0</v>
      </c>
      <c r="H797" s="40">
        <v>0</v>
      </c>
      <c r="I797" s="40">
        <v>0</v>
      </c>
      <c r="J797" s="40">
        <v>0</v>
      </c>
      <c r="K797" s="40">
        <v>0</v>
      </c>
      <c r="L797" s="40">
        <v>0</v>
      </c>
      <c r="M797" s="40">
        <v>0</v>
      </c>
      <c r="N797" s="40">
        <v>0</v>
      </c>
      <c r="O797" s="40">
        <v>0</v>
      </c>
      <c r="P797" s="40">
        <v>0</v>
      </c>
      <c r="Q797" s="40">
        <v>0</v>
      </c>
      <c r="R797" s="40">
        <v>0</v>
      </c>
      <c r="S797" s="40">
        <v>0</v>
      </c>
      <c r="T797" s="40">
        <v>0</v>
      </c>
      <c r="U797" s="40">
        <v>0</v>
      </c>
    </row>
    <row r="798" spans="1:21" x14ac:dyDescent="0.2">
      <c r="A798" t="s">
        <v>834</v>
      </c>
      <c r="B798">
        <v>314</v>
      </c>
      <c r="C798">
        <v>1</v>
      </c>
      <c r="D798" t="s">
        <v>165</v>
      </c>
      <c r="E798" s="40">
        <v>0</v>
      </c>
      <c r="F798" s="40">
        <v>0</v>
      </c>
      <c r="G798" s="40">
        <v>0</v>
      </c>
      <c r="H798" s="40">
        <v>0</v>
      </c>
      <c r="I798" s="40">
        <v>0</v>
      </c>
      <c r="J798" s="40">
        <v>0</v>
      </c>
      <c r="K798" s="40">
        <v>0</v>
      </c>
      <c r="L798" s="40">
        <v>0</v>
      </c>
      <c r="M798" s="40">
        <v>0</v>
      </c>
      <c r="N798" s="40">
        <v>0</v>
      </c>
      <c r="O798" s="40">
        <v>0</v>
      </c>
      <c r="P798" s="40">
        <v>0</v>
      </c>
      <c r="Q798" s="40">
        <v>0</v>
      </c>
      <c r="R798" s="40">
        <v>0</v>
      </c>
      <c r="S798" s="40">
        <v>0</v>
      </c>
      <c r="T798" s="40">
        <v>0</v>
      </c>
      <c r="U798" s="40">
        <v>0</v>
      </c>
    </row>
    <row r="799" spans="1:21" x14ac:dyDescent="0.2">
      <c r="A799" t="s">
        <v>834</v>
      </c>
      <c r="B799">
        <v>316</v>
      </c>
      <c r="C799">
        <v>1</v>
      </c>
      <c r="D799" t="s">
        <v>166</v>
      </c>
      <c r="E799" s="40">
        <v>0</v>
      </c>
      <c r="F799" s="40">
        <v>0</v>
      </c>
      <c r="G799" s="40">
        <v>0</v>
      </c>
      <c r="H799" s="40">
        <v>0</v>
      </c>
      <c r="I799" s="40">
        <v>0</v>
      </c>
      <c r="J799" s="40">
        <v>0</v>
      </c>
      <c r="K799" s="40">
        <v>0</v>
      </c>
      <c r="L799" s="40">
        <v>0</v>
      </c>
      <c r="M799" s="40">
        <v>0</v>
      </c>
      <c r="N799" s="40">
        <v>0</v>
      </c>
      <c r="O799" s="40">
        <v>0</v>
      </c>
      <c r="P799" s="40">
        <v>0</v>
      </c>
      <c r="Q799" s="40">
        <v>0</v>
      </c>
      <c r="R799" s="40">
        <v>0</v>
      </c>
      <c r="S799" s="40">
        <v>0</v>
      </c>
      <c r="T799" s="40">
        <v>0</v>
      </c>
      <c r="U799" s="40">
        <v>0</v>
      </c>
    </row>
    <row r="800" spans="1:21" x14ac:dyDescent="0.2">
      <c r="A800" t="s">
        <v>834</v>
      </c>
      <c r="B800">
        <v>317</v>
      </c>
      <c r="C800">
        <v>1</v>
      </c>
      <c r="D800" t="s">
        <v>167</v>
      </c>
      <c r="E800" s="40">
        <v>0</v>
      </c>
      <c r="F800" s="40">
        <v>0</v>
      </c>
      <c r="G800" s="40">
        <v>0</v>
      </c>
      <c r="H800" s="40">
        <v>0</v>
      </c>
      <c r="I800" s="40">
        <v>0</v>
      </c>
      <c r="J800" s="40">
        <v>0</v>
      </c>
      <c r="K800" s="40">
        <v>0</v>
      </c>
      <c r="L800" s="40">
        <v>0</v>
      </c>
      <c r="M800" s="40">
        <v>0</v>
      </c>
      <c r="N800" s="40">
        <v>0</v>
      </c>
      <c r="O800" s="40">
        <v>0</v>
      </c>
      <c r="P800" s="40">
        <v>0</v>
      </c>
      <c r="Q800" s="40">
        <v>0</v>
      </c>
      <c r="R800" s="40">
        <v>0</v>
      </c>
      <c r="S800" s="40">
        <v>0</v>
      </c>
      <c r="T800" s="40">
        <v>0</v>
      </c>
      <c r="U800" s="40">
        <v>0</v>
      </c>
    </row>
    <row r="801" spans="1:21" x14ac:dyDescent="0.2">
      <c r="A801" t="s">
        <v>834</v>
      </c>
      <c r="B801">
        <v>318</v>
      </c>
      <c r="C801">
        <v>1</v>
      </c>
      <c r="D801" t="s">
        <v>168</v>
      </c>
      <c r="E801" s="40">
        <v>0</v>
      </c>
      <c r="F801" s="40">
        <v>0</v>
      </c>
      <c r="G801" s="40">
        <v>0</v>
      </c>
      <c r="H801" s="40">
        <v>0</v>
      </c>
      <c r="I801" s="40">
        <v>0</v>
      </c>
      <c r="J801" s="40">
        <v>0</v>
      </c>
      <c r="K801" s="40">
        <v>0</v>
      </c>
      <c r="L801" s="40">
        <v>0</v>
      </c>
      <c r="M801" s="40">
        <v>0</v>
      </c>
      <c r="N801" s="40">
        <v>0</v>
      </c>
      <c r="O801" s="40">
        <v>0</v>
      </c>
      <c r="P801" s="40">
        <v>0</v>
      </c>
      <c r="Q801" s="40">
        <v>0</v>
      </c>
      <c r="R801" s="40">
        <v>0</v>
      </c>
      <c r="S801" s="40">
        <v>0</v>
      </c>
      <c r="T801" s="40">
        <v>0</v>
      </c>
      <c r="U801" s="40">
        <v>0</v>
      </c>
    </row>
    <row r="802" spans="1:21" x14ac:dyDescent="0.2">
      <c r="A802" t="s">
        <v>834</v>
      </c>
      <c r="B802">
        <v>319</v>
      </c>
      <c r="C802">
        <v>1</v>
      </c>
      <c r="D802" t="s">
        <v>169</v>
      </c>
      <c r="E802" s="40">
        <v>0</v>
      </c>
      <c r="F802" s="40">
        <v>0</v>
      </c>
      <c r="G802" s="40">
        <v>0</v>
      </c>
      <c r="H802" s="40">
        <v>0</v>
      </c>
      <c r="I802" s="40">
        <v>0</v>
      </c>
      <c r="J802" s="40">
        <v>0</v>
      </c>
      <c r="K802" s="40">
        <v>0</v>
      </c>
      <c r="L802" s="40">
        <v>0</v>
      </c>
      <c r="M802" s="40">
        <v>0</v>
      </c>
      <c r="N802" s="40">
        <v>0</v>
      </c>
      <c r="O802" s="40">
        <v>0</v>
      </c>
      <c r="P802" s="40">
        <v>0</v>
      </c>
      <c r="Q802" s="40">
        <v>0</v>
      </c>
      <c r="R802" s="40">
        <v>0</v>
      </c>
      <c r="S802" s="40">
        <v>0</v>
      </c>
      <c r="T802" s="40">
        <v>0</v>
      </c>
      <c r="U802" s="40">
        <v>0</v>
      </c>
    </row>
    <row r="803" spans="1:21" x14ac:dyDescent="0.2">
      <c r="A803" t="s">
        <v>834</v>
      </c>
      <c r="B803">
        <v>323</v>
      </c>
      <c r="C803">
        <v>2</v>
      </c>
      <c r="D803" t="s">
        <v>170</v>
      </c>
      <c r="E803" s="40">
        <v>0</v>
      </c>
      <c r="F803" s="40">
        <v>0</v>
      </c>
      <c r="G803" s="40">
        <v>0</v>
      </c>
      <c r="H803" s="40">
        <v>0</v>
      </c>
      <c r="I803" s="40">
        <v>0</v>
      </c>
      <c r="J803" s="40">
        <v>0</v>
      </c>
      <c r="K803" s="40">
        <v>0</v>
      </c>
      <c r="L803" s="40">
        <v>0</v>
      </c>
      <c r="M803" s="40">
        <v>0</v>
      </c>
      <c r="N803" s="40">
        <v>0</v>
      </c>
      <c r="O803" s="40">
        <v>0</v>
      </c>
      <c r="P803" s="40">
        <v>0</v>
      </c>
      <c r="Q803" s="40">
        <v>0</v>
      </c>
      <c r="R803" s="40">
        <v>0</v>
      </c>
      <c r="S803" s="40">
        <v>0</v>
      </c>
      <c r="T803" s="40">
        <v>0</v>
      </c>
      <c r="U803" s="40">
        <v>0</v>
      </c>
    </row>
    <row r="804" spans="1:21" x14ac:dyDescent="0.2">
      <c r="A804" t="s">
        <v>834</v>
      </c>
      <c r="B804">
        <v>330</v>
      </c>
      <c r="C804">
        <v>1</v>
      </c>
      <c r="D804" t="s">
        <v>171</v>
      </c>
      <c r="E804" s="40">
        <v>0</v>
      </c>
      <c r="F804" s="40">
        <v>0</v>
      </c>
      <c r="G804" s="40">
        <v>0</v>
      </c>
      <c r="H804" s="40">
        <v>0</v>
      </c>
      <c r="I804" s="40">
        <v>0</v>
      </c>
      <c r="J804" s="40">
        <v>0</v>
      </c>
      <c r="K804" s="40">
        <v>0</v>
      </c>
      <c r="L804" s="40">
        <v>0</v>
      </c>
      <c r="M804" s="40">
        <v>0</v>
      </c>
      <c r="N804" s="40">
        <v>0</v>
      </c>
      <c r="O804" s="40">
        <v>0</v>
      </c>
      <c r="P804" s="40">
        <v>0</v>
      </c>
      <c r="Q804" s="40">
        <v>0</v>
      </c>
      <c r="R804" s="40">
        <v>0</v>
      </c>
      <c r="S804" s="40">
        <v>0</v>
      </c>
      <c r="T804" s="40">
        <v>0</v>
      </c>
      <c r="U804" s="40">
        <v>0</v>
      </c>
    </row>
    <row r="805" spans="1:21" x14ac:dyDescent="0.2">
      <c r="A805" t="s">
        <v>834</v>
      </c>
      <c r="B805">
        <v>332</v>
      </c>
      <c r="C805">
        <v>1</v>
      </c>
      <c r="D805" t="s">
        <v>172</v>
      </c>
      <c r="E805" s="40">
        <v>0</v>
      </c>
      <c r="F805" s="40">
        <v>0</v>
      </c>
      <c r="G805" s="40">
        <v>0</v>
      </c>
      <c r="H805" s="40">
        <v>0</v>
      </c>
      <c r="I805" s="40">
        <v>0</v>
      </c>
      <c r="J805" s="40">
        <v>0</v>
      </c>
      <c r="K805" s="40">
        <v>0</v>
      </c>
      <c r="L805" s="40">
        <v>0</v>
      </c>
      <c r="M805" s="40">
        <v>0</v>
      </c>
      <c r="N805" s="40">
        <v>0</v>
      </c>
      <c r="O805" s="40">
        <v>0</v>
      </c>
      <c r="P805" s="40">
        <v>0</v>
      </c>
      <c r="Q805" s="40">
        <v>0</v>
      </c>
      <c r="R805" s="40">
        <v>0</v>
      </c>
      <c r="S805" s="40">
        <v>0</v>
      </c>
      <c r="T805" s="40">
        <v>0</v>
      </c>
      <c r="U805" s="40">
        <v>0</v>
      </c>
    </row>
    <row r="806" spans="1:21" x14ac:dyDescent="0.2">
      <c r="A806" t="s">
        <v>834</v>
      </c>
      <c r="B806">
        <v>333</v>
      </c>
      <c r="C806">
        <v>1</v>
      </c>
      <c r="D806" t="s">
        <v>173</v>
      </c>
      <c r="E806" s="40">
        <v>0</v>
      </c>
      <c r="F806" s="40">
        <v>0</v>
      </c>
      <c r="G806" s="40">
        <v>0</v>
      </c>
      <c r="H806" s="40">
        <v>0</v>
      </c>
      <c r="I806" s="40">
        <v>0</v>
      </c>
      <c r="J806" s="40">
        <v>0</v>
      </c>
      <c r="K806" s="40">
        <v>0</v>
      </c>
      <c r="L806" s="40">
        <v>0</v>
      </c>
      <c r="M806" s="40">
        <v>0</v>
      </c>
      <c r="N806" s="40">
        <v>0</v>
      </c>
      <c r="O806" s="40">
        <v>0</v>
      </c>
      <c r="P806" s="40">
        <v>0</v>
      </c>
      <c r="Q806" s="40">
        <v>0</v>
      </c>
      <c r="R806" s="40">
        <v>0</v>
      </c>
      <c r="S806" s="40">
        <v>0</v>
      </c>
      <c r="T806" s="40">
        <v>0</v>
      </c>
      <c r="U806" s="40">
        <v>0</v>
      </c>
    </row>
    <row r="807" spans="1:21" x14ac:dyDescent="0.2">
      <c r="A807" t="s">
        <v>834</v>
      </c>
      <c r="B807">
        <v>345</v>
      </c>
      <c r="C807">
        <v>1</v>
      </c>
      <c r="D807" t="s">
        <v>174</v>
      </c>
      <c r="E807" s="40">
        <v>0</v>
      </c>
      <c r="F807" s="40">
        <v>0</v>
      </c>
      <c r="G807" s="40">
        <v>0</v>
      </c>
      <c r="H807" s="40">
        <v>395</v>
      </c>
      <c r="I807" s="40">
        <v>395</v>
      </c>
      <c r="J807" s="40">
        <v>395</v>
      </c>
      <c r="K807" s="40">
        <v>395</v>
      </c>
      <c r="L807" s="40">
        <v>395</v>
      </c>
      <c r="M807" s="40">
        <v>395</v>
      </c>
      <c r="N807" s="40">
        <v>395</v>
      </c>
      <c r="O807" s="40">
        <v>0</v>
      </c>
      <c r="P807" s="40">
        <v>0</v>
      </c>
      <c r="Q807" s="40">
        <v>0</v>
      </c>
      <c r="R807" s="40">
        <v>0</v>
      </c>
      <c r="S807" s="40">
        <v>0</v>
      </c>
      <c r="T807" s="40">
        <v>0</v>
      </c>
      <c r="U807" s="40">
        <v>0</v>
      </c>
    </row>
    <row r="808" spans="1:21" x14ac:dyDescent="0.2">
      <c r="A808" t="s">
        <v>834</v>
      </c>
      <c r="B808">
        <v>347</v>
      </c>
      <c r="C808">
        <v>1</v>
      </c>
      <c r="D808" t="s">
        <v>175</v>
      </c>
      <c r="E808" s="40">
        <v>0</v>
      </c>
      <c r="F808" s="40">
        <v>0</v>
      </c>
      <c r="G808" s="40">
        <v>0</v>
      </c>
      <c r="H808" s="40">
        <v>0</v>
      </c>
      <c r="I808" s="40">
        <v>0</v>
      </c>
      <c r="J808" s="40">
        <v>0</v>
      </c>
      <c r="K808" s="40">
        <v>0</v>
      </c>
      <c r="L808" s="40">
        <v>0</v>
      </c>
      <c r="M808" s="40">
        <v>0</v>
      </c>
      <c r="N808" s="40">
        <v>0</v>
      </c>
      <c r="O808" s="40">
        <v>0</v>
      </c>
      <c r="P808" s="40">
        <v>0</v>
      </c>
      <c r="Q808" s="40">
        <v>0</v>
      </c>
      <c r="R808" s="40">
        <v>0</v>
      </c>
      <c r="S808" s="40">
        <v>0</v>
      </c>
      <c r="T808" s="40">
        <v>0</v>
      </c>
      <c r="U808" s="40">
        <v>0</v>
      </c>
    </row>
    <row r="809" spans="1:21" x14ac:dyDescent="0.2">
      <c r="A809" t="s">
        <v>834</v>
      </c>
      <c r="B809">
        <v>356</v>
      </c>
      <c r="C809">
        <v>1</v>
      </c>
      <c r="D809" t="s">
        <v>176</v>
      </c>
      <c r="E809" s="40">
        <v>0</v>
      </c>
      <c r="F809" s="40">
        <v>0</v>
      </c>
      <c r="G809" s="40">
        <v>0</v>
      </c>
      <c r="H809" s="40">
        <v>675</v>
      </c>
      <c r="I809" s="40">
        <v>675</v>
      </c>
      <c r="J809" s="40">
        <v>675</v>
      </c>
      <c r="K809" s="40">
        <v>675</v>
      </c>
      <c r="L809" s="40">
        <v>675</v>
      </c>
      <c r="M809" s="40">
        <v>675</v>
      </c>
      <c r="N809" s="40">
        <v>675</v>
      </c>
      <c r="O809" s="40">
        <v>675</v>
      </c>
      <c r="P809" s="40">
        <v>675</v>
      </c>
      <c r="Q809" s="40">
        <v>675</v>
      </c>
      <c r="R809" s="40">
        <v>0</v>
      </c>
      <c r="S809" s="40">
        <v>0</v>
      </c>
      <c r="T809" s="40">
        <v>0</v>
      </c>
      <c r="U809" s="40">
        <v>0</v>
      </c>
    </row>
    <row r="810" spans="1:21" x14ac:dyDescent="0.2">
      <c r="A810" t="s">
        <v>834</v>
      </c>
      <c r="B810">
        <v>361</v>
      </c>
      <c r="C810">
        <v>1</v>
      </c>
      <c r="D810" t="s">
        <v>177</v>
      </c>
      <c r="E810" s="40">
        <v>0</v>
      </c>
      <c r="F810" s="40">
        <v>0</v>
      </c>
      <c r="G810" s="40">
        <v>0</v>
      </c>
      <c r="H810" s="40">
        <v>0</v>
      </c>
      <c r="I810" s="40">
        <v>0</v>
      </c>
      <c r="J810" s="40">
        <v>0</v>
      </c>
      <c r="K810" s="40">
        <v>0</v>
      </c>
      <c r="L810" s="40">
        <v>0</v>
      </c>
      <c r="M810" s="40">
        <v>0</v>
      </c>
      <c r="N810" s="40">
        <v>0</v>
      </c>
      <c r="O810" s="40">
        <v>0</v>
      </c>
      <c r="P810" s="40">
        <v>0</v>
      </c>
      <c r="Q810" s="40">
        <v>0</v>
      </c>
      <c r="R810" s="40">
        <v>0</v>
      </c>
      <c r="S810" s="40">
        <v>0</v>
      </c>
      <c r="T810" s="40">
        <v>0</v>
      </c>
      <c r="U810" s="40">
        <v>0</v>
      </c>
    </row>
    <row r="811" spans="1:21" x14ac:dyDescent="0.2">
      <c r="A811" t="s">
        <v>834</v>
      </c>
      <c r="B811">
        <v>362</v>
      </c>
      <c r="C811">
        <v>1</v>
      </c>
      <c r="D811" t="s">
        <v>178</v>
      </c>
      <c r="E811" s="40">
        <v>0</v>
      </c>
      <c r="F811" s="40">
        <v>0</v>
      </c>
      <c r="G811" s="40">
        <v>0</v>
      </c>
      <c r="H811" s="40">
        <v>0</v>
      </c>
      <c r="I811" s="40">
        <v>0</v>
      </c>
      <c r="J811" s="40">
        <v>0</v>
      </c>
      <c r="K811" s="40">
        <v>0</v>
      </c>
      <c r="L811" s="40">
        <v>0</v>
      </c>
      <c r="M811" s="40">
        <v>0</v>
      </c>
      <c r="N811" s="40">
        <v>0</v>
      </c>
      <c r="O811" s="40">
        <v>0</v>
      </c>
      <c r="P811" s="40">
        <v>0</v>
      </c>
      <c r="Q811" s="40">
        <v>0</v>
      </c>
      <c r="R811" s="40">
        <v>0</v>
      </c>
      <c r="S811" s="40">
        <v>0</v>
      </c>
      <c r="T811" s="40">
        <v>0</v>
      </c>
      <c r="U811" s="40">
        <v>0</v>
      </c>
    </row>
    <row r="812" spans="1:21" x14ac:dyDescent="0.2">
      <c r="A812" t="s">
        <v>834</v>
      </c>
      <c r="B812">
        <v>363</v>
      </c>
      <c r="C812">
        <v>1</v>
      </c>
      <c r="D812" t="s">
        <v>179</v>
      </c>
      <c r="E812" s="40">
        <v>0</v>
      </c>
      <c r="F812" s="40">
        <v>0</v>
      </c>
      <c r="G812" s="40">
        <v>0</v>
      </c>
      <c r="H812" s="40">
        <v>0</v>
      </c>
      <c r="I812" s="40">
        <v>0</v>
      </c>
      <c r="J812" s="40">
        <v>0</v>
      </c>
      <c r="K812" s="40">
        <v>0</v>
      </c>
      <c r="L812" s="40">
        <v>0</v>
      </c>
      <c r="M812" s="40">
        <v>0</v>
      </c>
      <c r="N812" s="40">
        <v>0</v>
      </c>
      <c r="O812" s="40">
        <v>0</v>
      </c>
      <c r="P812" s="40">
        <v>0</v>
      </c>
      <c r="Q812" s="40">
        <v>0</v>
      </c>
      <c r="R812" s="40">
        <v>0</v>
      </c>
      <c r="S812" s="40">
        <v>0</v>
      </c>
      <c r="T812" s="40">
        <v>0</v>
      </c>
      <c r="U812" s="40">
        <v>0</v>
      </c>
    </row>
    <row r="813" spans="1:21" x14ac:dyDescent="0.2">
      <c r="A813" t="s">
        <v>834</v>
      </c>
      <c r="B813">
        <v>371</v>
      </c>
      <c r="C813">
        <v>1</v>
      </c>
      <c r="D813" t="s">
        <v>180</v>
      </c>
      <c r="E813" s="40">
        <v>0</v>
      </c>
      <c r="F813" s="40">
        <v>0</v>
      </c>
      <c r="G813" s="40">
        <v>0</v>
      </c>
      <c r="H813" s="40">
        <v>0</v>
      </c>
      <c r="I813" s="40">
        <v>0</v>
      </c>
      <c r="J813" s="40">
        <v>0</v>
      </c>
      <c r="K813" s="40">
        <v>0</v>
      </c>
      <c r="L813" s="40">
        <v>0</v>
      </c>
      <c r="M813" s="40">
        <v>0</v>
      </c>
      <c r="N813" s="40">
        <v>0</v>
      </c>
      <c r="O813" s="40">
        <v>0</v>
      </c>
      <c r="P813" s="40">
        <v>0</v>
      </c>
      <c r="Q813" s="40">
        <v>0</v>
      </c>
      <c r="R813" s="40">
        <v>0</v>
      </c>
      <c r="S813" s="40">
        <v>0</v>
      </c>
      <c r="T813" s="40">
        <v>0</v>
      </c>
      <c r="U813" s="40">
        <v>0</v>
      </c>
    </row>
    <row r="814" spans="1:21" x14ac:dyDescent="0.2">
      <c r="A814" t="s">
        <v>834</v>
      </c>
      <c r="B814">
        <v>378</v>
      </c>
      <c r="C814">
        <v>1</v>
      </c>
      <c r="D814" t="s">
        <v>181</v>
      </c>
      <c r="E814" s="40">
        <v>0</v>
      </c>
      <c r="F814" s="40">
        <v>0</v>
      </c>
      <c r="G814" s="40">
        <v>0</v>
      </c>
      <c r="H814" s="40">
        <v>0</v>
      </c>
      <c r="I814" s="40">
        <v>0</v>
      </c>
      <c r="J814" s="40">
        <v>0</v>
      </c>
      <c r="K814" s="40">
        <v>0</v>
      </c>
      <c r="L814" s="40">
        <v>0</v>
      </c>
      <c r="M814" s="40">
        <v>0</v>
      </c>
      <c r="N814" s="40">
        <v>0</v>
      </c>
      <c r="O814" s="40">
        <v>0</v>
      </c>
      <c r="P814" s="40">
        <v>0</v>
      </c>
      <c r="Q814" s="40">
        <v>0</v>
      </c>
      <c r="R814" s="40">
        <v>0</v>
      </c>
      <c r="S814" s="40">
        <v>0</v>
      </c>
      <c r="T814" s="40">
        <v>0</v>
      </c>
      <c r="U814" s="40">
        <v>0</v>
      </c>
    </row>
    <row r="815" spans="1:21" x14ac:dyDescent="0.2">
      <c r="A815" t="s">
        <v>834</v>
      </c>
      <c r="B815">
        <v>381</v>
      </c>
      <c r="C815">
        <v>1</v>
      </c>
      <c r="D815" t="s">
        <v>182</v>
      </c>
      <c r="E815" s="40">
        <v>0</v>
      </c>
      <c r="F815" s="40">
        <v>0</v>
      </c>
      <c r="G815" s="40">
        <v>0</v>
      </c>
      <c r="H815" s="40">
        <v>0</v>
      </c>
      <c r="I815" s="40">
        <v>0</v>
      </c>
      <c r="J815" s="40">
        <v>0</v>
      </c>
      <c r="K815" s="40">
        <v>0</v>
      </c>
      <c r="L815" s="40">
        <v>0</v>
      </c>
      <c r="M815" s="40">
        <v>0</v>
      </c>
      <c r="N815" s="40">
        <v>0</v>
      </c>
      <c r="O815" s="40">
        <v>0</v>
      </c>
      <c r="P815" s="40">
        <v>0</v>
      </c>
      <c r="Q815" s="40">
        <v>0</v>
      </c>
      <c r="R815" s="40">
        <v>0</v>
      </c>
      <c r="S815" s="40">
        <v>0</v>
      </c>
      <c r="T815" s="40">
        <v>0</v>
      </c>
      <c r="U815" s="40">
        <v>0</v>
      </c>
    </row>
    <row r="816" spans="1:21" x14ac:dyDescent="0.2">
      <c r="A816" t="s">
        <v>834</v>
      </c>
      <c r="B816">
        <v>390</v>
      </c>
      <c r="C816">
        <v>1</v>
      </c>
      <c r="D816" t="s">
        <v>183</v>
      </c>
      <c r="E816" s="40">
        <v>0</v>
      </c>
      <c r="F816" s="40">
        <v>0</v>
      </c>
      <c r="G816" s="40">
        <v>0</v>
      </c>
      <c r="H816" s="40">
        <v>0</v>
      </c>
      <c r="I816" s="40">
        <v>0</v>
      </c>
      <c r="J816" s="40">
        <v>0</v>
      </c>
      <c r="K816" s="40">
        <v>0</v>
      </c>
      <c r="L816" s="40">
        <v>0</v>
      </c>
      <c r="M816" s="40">
        <v>0</v>
      </c>
      <c r="N816" s="40">
        <v>0</v>
      </c>
      <c r="O816" s="40">
        <v>0</v>
      </c>
      <c r="P816" s="40">
        <v>0</v>
      </c>
      <c r="Q816" s="40">
        <v>0</v>
      </c>
      <c r="R816" s="40">
        <v>0</v>
      </c>
      <c r="S816" s="40">
        <v>0</v>
      </c>
      <c r="T816" s="40">
        <v>0</v>
      </c>
      <c r="U816" s="40">
        <v>0</v>
      </c>
    </row>
    <row r="817" spans="1:21" x14ac:dyDescent="0.2">
      <c r="A817" t="s">
        <v>834</v>
      </c>
      <c r="B817">
        <v>391</v>
      </c>
      <c r="C817">
        <v>1</v>
      </c>
      <c r="D817" t="s">
        <v>184</v>
      </c>
      <c r="E817" s="40">
        <v>0</v>
      </c>
      <c r="F817" s="40">
        <v>0</v>
      </c>
      <c r="G817" s="40">
        <v>0</v>
      </c>
      <c r="H817" s="40">
        <v>0</v>
      </c>
      <c r="I817" s="40">
        <v>0</v>
      </c>
      <c r="J817" s="40">
        <v>0</v>
      </c>
      <c r="K817" s="40">
        <v>0</v>
      </c>
      <c r="L817" s="40">
        <v>0</v>
      </c>
      <c r="M817" s="40">
        <v>0</v>
      </c>
      <c r="N817" s="40">
        <v>0</v>
      </c>
      <c r="O817" s="40">
        <v>0</v>
      </c>
      <c r="P817" s="40">
        <v>0</v>
      </c>
      <c r="Q817" s="40">
        <v>0</v>
      </c>
      <c r="R817" s="40">
        <v>0</v>
      </c>
      <c r="S817" s="40">
        <v>0</v>
      </c>
      <c r="T817" s="40">
        <v>0</v>
      </c>
      <c r="U817" s="40">
        <v>0</v>
      </c>
    </row>
    <row r="818" spans="1:21" x14ac:dyDescent="0.2">
      <c r="A818" t="s">
        <v>834</v>
      </c>
      <c r="B818">
        <v>392</v>
      </c>
      <c r="C818">
        <v>1</v>
      </c>
      <c r="D818" t="s">
        <v>185</v>
      </c>
      <c r="E818" s="40">
        <v>0</v>
      </c>
      <c r="F818" s="40">
        <v>0</v>
      </c>
      <c r="G818" s="40">
        <v>0</v>
      </c>
      <c r="H818" s="40">
        <v>0</v>
      </c>
      <c r="I818" s="40">
        <v>0</v>
      </c>
      <c r="J818" s="40">
        <v>0</v>
      </c>
      <c r="K818" s="40">
        <v>0</v>
      </c>
      <c r="L818" s="40">
        <v>0</v>
      </c>
      <c r="M818" s="40">
        <v>0</v>
      </c>
      <c r="N818" s="40">
        <v>0</v>
      </c>
      <c r="O818" s="40">
        <v>0</v>
      </c>
      <c r="P818" s="40">
        <v>0</v>
      </c>
      <c r="Q818" s="40">
        <v>0</v>
      </c>
      <c r="R818" s="40">
        <v>0</v>
      </c>
      <c r="S818" s="40">
        <v>0</v>
      </c>
      <c r="T818" s="40">
        <v>0</v>
      </c>
      <c r="U818" s="40">
        <v>0</v>
      </c>
    </row>
    <row r="819" spans="1:21" x14ac:dyDescent="0.2">
      <c r="A819" t="s">
        <v>834</v>
      </c>
      <c r="B819">
        <v>394</v>
      </c>
      <c r="C819">
        <v>1</v>
      </c>
      <c r="D819" t="s">
        <v>186</v>
      </c>
      <c r="E819" s="40">
        <v>0</v>
      </c>
      <c r="F819" s="40">
        <v>0</v>
      </c>
      <c r="G819" s="40">
        <v>0</v>
      </c>
      <c r="H819" s="40">
        <v>0</v>
      </c>
      <c r="I819" s="40">
        <v>0</v>
      </c>
      <c r="J819" s="40">
        <v>0</v>
      </c>
      <c r="K819" s="40">
        <v>0</v>
      </c>
      <c r="L819" s="40">
        <v>0</v>
      </c>
      <c r="M819" s="40">
        <v>0</v>
      </c>
      <c r="N819" s="40">
        <v>0</v>
      </c>
      <c r="O819" s="40">
        <v>0</v>
      </c>
      <c r="P819" s="40">
        <v>0</v>
      </c>
      <c r="Q819" s="40">
        <v>0</v>
      </c>
      <c r="R819" s="40">
        <v>0</v>
      </c>
      <c r="S819" s="40">
        <v>0</v>
      </c>
      <c r="T819" s="40">
        <v>0</v>
      </c>
      <c r="U819" s="40">
        <v>0</v>
      </c>
    </row>
    <row r="820" spans="1:21" x14ac:dyDescent="0.2">
      <c r="A820" t="s">
        <v>834</v>
      </c>
      <c r="B820">
        <v>402</v>
      </c>
      <c r="C820">
        <v>1</v>
      </c>
      <c r="D820" t="s">
        <v>187</v>
      </c>
      <c r="E820" s="40">
        <v>0</v>
      </c>
      <c r="F820" s="40">
        <v>0</v>
      </c>
      <c r="G820" s="40">
        <v>0</v>
      </c>
      <c r="H820" s="40">
        <v>0</v>
      </c>
      <c r="I820" s="40">
        <v>0</v>
      </c>
      <c r="J820" s="40">
        <v>0</v>
      </c>
      <c r="K820" s="40">
        <v>0</v>
      </c>
      <c r="L820" s="40">
        <v>0</v>
      </c>
      <c r="M820" s="40">
        <v>0</v>
      </c>
      <c r="N820" s="40">
        <v>0</v>
      </c>
      <c r="O820" s="40">
        <v>0</v>
      </c>
      <c r="P820" s="40">
        <v>0</v>
      </c>
      <c r="Q820" s="40">
        <v>0</v>
      </c>
      <c r="R820" s="40">
        <v>0</v>
      </c>
      <c r="S820" s="40">
        <v>0</v>
      </c>
      <c r="T820" s="40">
        <v>0</v>
      </c>
      <c r="U820" s="40">
        <v>0</v>
      </c>
    </row>
    <row r="821" spans="1:21" x14ac:dyDescent="0.2">
      <c r="A821" t="s">
        <v>834</v>
      </c>
      <c r="B821">
        <v>403</v>
      </c>
      <c r="C821">
        <v>1</v>
      </c>
      <c r="D821" t="s">
        <v>188</v>
      </c>
      <c r="E821" s="40">
        <v>0</v>
      </c>
      <c r="F821" s="40">
        <v>0</v>
      </c>
      <c r="G821" s="40">
        <v>0</v>
      </c>
      <c r="H821" s="40">
        <v>0</v>
      </c>
      <c r="I821" s="40">
        <v>0</v>
      </c>
      <c r="J821" s="40">
        <v>0</v>
      </c>
      <c r="K821" s="40">
        <v>0</v>
      </c>
      <c r="L821" s="40">
        <v>0</v>
      </c>
      <c r="M821" s="40">
        <v>0</v>
      </c>
      <c r="N821" s="40">
        <v>0</v>
      </c>
      <c r="O821" s="40">
        <v>0</v>
      </c>
      <c r="P821" s="40">
        <v>0</v>
      </c>
      <c r="Q821" s="40">
        <v>0</v>
      </c>
      <c r="R821" s="40">
        <v>0</v>
      </c>
      <c r="S821" s="40">
        <v>0</v>
      </c>
      <c r="T821" s="40">
        <v>0</v>
      </c>
      <c r="U821" s="40">
        <v>0</v>
      </c>
    </row>
    <row r="822" spans="1:21" x14ac:dyDescent="0.2">
      <c r="A822" t="s">
        <v>834</v>
      </c>
      <c r="B822">
        <v>404</v>
      </c>
      <c r="C822">
        <v>1</v>
      </c>
      <c r="D822" t="s">
        <v>189</v>
      </c>
      <c r="E822" s="40">
        <v>0</v>
      </c>
      <c r="F822" s="40">
        <v>0</v>
      </c>
      <c r="G822" s="40">
        <v>0</v>
      </c>
      <c r="H822" s="40">
        <v>0</v>
      </c>
      <c r="I822" s="40">
        <v>0</v>
      </c>
      <c r="J822" s="40">
        <v>0</v>
      </c>
      <c r="K822" s="40">
        <v>0</v>
      </c>
      <c r="L822" s="40">
        <v>0</v>
      </c>
      <c r="M822" s="40">
        <v>0</v>
      </c>
      <c r="N822" s="40">
        <v>0</v>
      </c>
      <c r="O822" s="40">
        <v>0</v>
      </c>
      <c r="P822" s="40">
        <v>0</v>
      </c>
      <c r="Q822" s="40">
        <v>0</v>
      </c>
      <c r="R822" s="40">
        <v>0</v>
      </c>
      <c r="S822" s="40">
        <v>0</v>
      </c>
      <c r="T822" s="40">
        <v>0</v>
      </c>
      <c r="U822" s="40">
        <v>0</v>
      </c>
    </row>
    <row r="823" spans="1:21" x14ac:dyDescent="0.2">
      <c r="A823" t="s">
        <v>834</v>
      </c>
      <c r="B823">
        <v>409</v>
      </c>
      <c r="C823">
        <v>1</v>
      </c>
      <c r="D823" t="s">
        <v>190</v>
      </c>
      <c r="E823" s="40">
        <v>0</v>
      </c>
      <c r="F823" s="40">
        <v>0</v>
      </c>
      <c r="G823" s="40">
        <v>0</v>
      </c>
      <c r="H823" s="40">
        <v>0</v>
      </c>
      <c r="I823" s="40">
        <v>0</v>
      </c>
      <c r="J823" s="40">
        <v>0</v>
      </c>
      <c r="K823" s="40">
        <v>0</v>
      </c>
      <c r="L823" s="40">
        <v>0</v>
      </c>
      <c r="M823" s="40">
        <v>0</v>
      </c>
      <c r="N823" s="40">
        <v>0</v>
      </c>
      <c r="O823" s="40">
        <v>0</v>
      </c>
      <c r="P823" s="40">
        <v>0</v>
      </c>
      <c r="Q823" s="40">
        <v>0</v>
      </c>
      <c r="R823" s="40">
        <v>0</v>
      </c>
      <c r="S823" s="40">
        <v>0</v>
      </c>
      <c r="T823" s="40">
        <v>0</v>
      </c>
      <c r="U823" s="40">
        <v>0</v>
      </c>
    </row>
    <row r="824" spans="1:21" x14ac:dyDescent="0.2">
      <c r="A824" t="s">
        <v>834</v>
      </c>
      <c r="B824">
        <v>411</v>
      </c>
      <c r="C824">
        <v>1</v>
      </c>
      <c r="D824" t="s">
        <v>191</v>
      </c>
      <c r="E824" s="40">
        <v>0</v>
      </c>
      <c r="F824" s="40">
        <v>0</v>
      </c>
      <c r="G824" s="40">
        <v>0</v>
      </c>
      <c r="H824" s="40">
        <v>0</v>
      </c>
      <c r="I824" s="40">
        <v>0</v>
      </c>
      <c r="J824" s="40">
        <v>0</v>
      </c>
      <c r="K824" s="40">
        <v>0</v>
      </c>
      <c r="L824" s="40">
        <v>0</v>
      </c>
      <c r="M824" s="40">
        <v>0</v>
      </c>
      <c r="N824" s="40">
        <v>0</v>
      </c>
      <c r="O824" s="40">
        <v>0</v>
      </c>
      <c r="P824" s="40">
        <v>0</v>
      </c>
      <c r="Q824" s="40">
        <v>0</v>
      </c>
      <c r="R824" s="40">
        <v>0</v>
      </c>
      <c r="S824" s="40">
        <v>0</v>
      </c>
      <c r="T824" s="40">
        <v>0</v>
      </c>
      <c r="U824" s="40">
        <v>0</v>
      </c>
    </row>
    <row r="825" spans="1:21" x14ac:dyDescent="0.2">
      <c r="A825" t="s">
        <v>834</v>
      </c>
      <c r="B825">
        <v>413</v>
      </c>
      <c r="C825">
        <v>1</v>
      </c>
      <c r="D825" t="s">
        <v>192</v>
      </c>
      <c r="E825" s="40">
        <v>0</v>
      </c>
      <c r="F825" s="40">
        <v>0</v>
      </c>
      <c r="G825" s="40">
        <v>0</v>
      </c>
      <c r="H825" s="40">
        <v>0</v>
      </c>
      <c r="I825" s="40">
        <v>0</v>
      </c>
      <c r="J825" s="40">
        <v>0</v>
      </c>
      <c r="K825" s="40">
        <v>0</v>
      </c>
      <c r="L825" s="40">
        <v>0</v>
      </c>
      <c r="M825" s="40">
        <v>0</v>
      </c>
      <c r="N825" s="40">
        <v>0</v>
      </c>
      <c r="O825" s="40">
        <v>0</v>
      </c>
      <c r="P825" s="40">
        <v>0</v>
      </c>
      <c r="Q825" s="40">
        <v>0</v>
      </c>
      <c r="R825" s="40">
        <v>0</v>
      </c>
      <c r="S825" s="40">
        <v>0</v>
      </c>
      <c r="T825" s="40">
        <v>0</v>
      </c>
      <c r="U825" s="40">
        <v>0</v>
      </c>
    </row>
    <row r="826" spans="1:21" x14ac:dyDescent="0.2">
      <c r="A826" t="s">
        <v>834</v>
      </c>
      <c r="B826">
        <v>414</v>
      </c>
      <c r="C826">
        <v>1</v>
      </c>
      <c r="D826" t="s">
        <v>193</v>
      </c>
      <c r="E826" s="40">
        <v>0</v>
      </c>
      <c r="F826" s="40">
        <v>0</v>
      </c>
      <c r="G826" s="40">
        <v>0</v>
      </c>
      <c r="H826" s="40">
        <v>0</v>
      </c>
      <c r="I826" s="40">
        <v>0</v>
      </c>
      <c r="J826" s="40">
        <v>0</v>
      </c>
      <c r="K826" s="40">
        <v>0</v>
      </c>
      <c r="L826" s="40">
        <v>0</v>
      </c>
      <c r="M826" s="40">
        <v>0</v>
      </c>
      <c r="N826" s="40">
        <v>0</v>
      </c>
      <c r="O826" s="40">
        <v>0</v>
      </c>
      <c r="P826" s="40">
        <v>0</v>
      </c>
      <c r="Q826" s="40">
        <v>0</v>
      </c>
      <c r="R826" s="40">
        <v>0</v>
      </c>
      <c r="S826" s="40">
        <v>0</v>
      </c>
      <c r="T826" s="40">
        <v>0</v>
      </c>
      <c r="U826" s="40">
        <v>0</v>
      </c>
    </row>
    <row r="827" spans="1:21" x14ac:dyDescent="0.2">
      <c r="A827" t="s">
        <v>834</v>
      </c>
      <c r="B827">
        <v>415</v>
      </c>
      <c r="C827">
        <v>1</v>
      </c>
      <c r="D827" t="s">
        <v>194</v>
      </c>
      <c r="E827" s="40">
        <v>0</v>
      </c>
      <c r="F827" s="40">
        <v>0</v>
      </c>
      <c r="G827" s="40">
        <v>0</v>
      </c>
      <c r="H827" s="40">
        <v>0</v>
      </c>
      <c r="I827" s="40">
        <v>0</v>
      </c>
      <c r="J827" s="40">
        <v>0</v>
      </c>
      <c r="K827" s="40">
        <v>0</v>
      </c>
      <c r="L827" s="40">
        <v>0</v>
      </c>
      <c r="M827" s="40">
        <v>0</v>
      </c>
      <c r="N827" s="40">
        <v>0</v>
      </c>
      <c r="O827" s="40">
        <v>0</v>
      </c>
      <c r="P827" s="40">
        <v>0</v>
      </c>
      <c r="Q827" s="40">
        <v>0</v>
      </c>
      <c r="R827" s="40">
        <v>0</v>
      </c>
      <c r="S827" s="40">
        <v>0</v>
      </c>
      <c r="T827" s="40">
        <v>0</v>
      </c>
      <c r="U827" s="40">
        <v>0</v>
      </c>
    </row>
    <row r="828" spans="1:21" x14ac:dyDescent="0.2">
      <c r="A828" t="s">
        <v>834</v>
      </c>
      <c r="B828">
        <v>417</v>
      </c>
      <c r="C828">
        <v>1</v>
      </c>
      <c r="D828" t="s">
        <v>195</v>
      </c>
      <c r="E828" s="40">
        <v>0</v>
      </c>
      <c r="F828" s="40">
        <v>0</v>
      </c>
      <c r="G828" s="40">
        <v>0</v>
      </c>
      <c r="H828" s="40">
        <v>0</v>
      </c>
      <c r="I828" s="40">
        <v>0</v>
      </c>
      <c r="J828" s="40">
        <v>0</v>
      </c>
      <c r="K828" s="40">
        <v>0</v>
      </c>
      <c r="L828" s="40">
        <v>0</v>
      </c>
      <c r="M828" s="40">
        <v>0</v>
      </c>
      <c r="N828" s="40">
        <v>0</v>
      </c>
      <c r="O828" s="40">
        <v>0</v>
      </c>
      <c r="P828" s="40">
        <v>0</v>
      </c>
      <c r="Q828" s="40">
        <v>0</v>
      </c>
      <c r="R828" s="40">
        <v>0</v>
      </c>
      <c r="S828" s="40">
        <v>0</v>
      </c>
      <c r="T828" s="40">
        <v>0</v>
      </c>
      <c r="U828" s="40">
        <v>0</v>
      </c>
    </row>
    <row r="829" spans="1:21" x14ac:dyDescent="0.2">
      <c r="A829" t="s">
        <v>834</v>
      </c>
      <c r="B829">
        <v>418</v>
      </c>
      <c r="C829">
        <v>1</v>
      </c>
      <c r="D829" t="s">
        <v>196</v>
      </c>
      <c r="E829" s="40">
        <v>0</v>
      </c>
      <c r="F829" s="40">
        <v>0</v>
      </c>
      <c r="G829" s="40">
        <v>0</v>
      </c>
      <c r="H829" s="40">
        <v>0</v>
      </c>
      <c r="I829" s="40">
        <v>0</v>
      </c>
      <c r="J829" s="40">
        <v>0</v>
      </c>
      <c r="K829" s="40">
        <v>0</v>
      </c>
      <c r="L829" s="40">
        <v>0</v>
      </c>
      <c r="M829" s="40">
        <v>0</v>
      </c>
      <c r="N829" s="40">
        <v>0</v>
      </c>
      <c r="O829" s="40">
        <v>0</v>
      </c>
      <c r="P829" s="40">
        <v>0</v>
      </c>
      <c r="Q829" s="40">
        <v>0</v>
      </c>
      <c r="R829" s="40">
        <v>0</v>
      </c>
      <c r="S829" s="40">
        <v>0</v>
      </c>
      <c r="T829" s="40">
        <v>0</v>
      </c>
      <c r="U829" s="40">
        <v>0</v>
      </c>
    </row>
    <row r="830" spans="1:21" x14ac:dyDescent="0.2">
      <c r="A830" t="s">
        <v>834</v>
      </c>
      <c r="B830">
        <v>423</v>
      </c>
      <c r="C830">
        <v>1</v>
      </c>
      <c r="D830" t="s">
        <v>197</v>
      </c>
      <c r="E830" s="40">
        <v>0</v>
      </c>
      <c r="F830" s="40">
        <v>0</v>
      </c>
      <c r="G830" s="40">
        <v>0</v>
      </c>
      <c r="H830" s="40">
        <v>0</v>
      </c>
      <c r="I830" s="40">
        <v>0</v>
      </c>
      <c r="J830" s="40">
        <v>0</v>
      </c>
      <c r="K830" s="40">
        <v>0</v>
      </c>
      <c r="L830" s="40">
        <v>0</v>
      </c>
      <c r="M830" s="40">
        <v>0</v>
      </c>
      <c r="N830" s="40">
        <v>0</v>
      </c>
      <c r="O830" s="40">
        <v>0</v>
      </c>
      <c r="P830" s="40">
        <v>0</v>
      </c>
      <c r="Q830" s="40">
        <v>0</v>
      </c>
      <c r="R830" s="40">
        <v>0</v>
      </c>
      <c r="S830" s="40">
        <v>0</v>
      </c>
      <c r="T830" s="40">
        <v>0</v>
      </c>
      <c r="U830" s="40">
        <v>0</v>
      </c>
    </row>
    <row r="831" spans="1:21" x14ac:dyDescent="0.2">
      <c r="A831" t="s">
        <v>834</v>
      </c>
      <c r="B831">
        <v>424</v>
      </c>
      <c r="C831">
        <v>1</v>
      </c>
      <c r="D831" t="s">
        <v>198</v>
      </c>
      <c r="E831" s="40">
        <v>0</v>
      </c>
      <c r="F831" s="40">
        <v>0</v>
      </c>
      <c r="G831" s="40">
        <v>0</v>
      </c>
      <c r="H831" s="40">
        <v>0</v>
      </c>
      <c r="I831" s="40">
        <v>0</v>
      </c>
      <c r="J831" s="40">
        <v>0</v>
      </c>
      <c r="K831" s="40">
        <v>0</v>
      </c>
      <c r="L831" s="40">
        <v>0</v>
      </c>
      <c r="M831" s="40">
        <v>0</v>
      </c>
      <c r="N831" s="40">
        <v>0</v>
      </c>
      <c r="O831" s="40">
        <v>0</v>
      </c>
      <c r="P831" s="40">
        <v>0</v>
      </c>
      <c r="Q831" s="40">
        <v>0</v>
      </c>
      <c r="R831" s="40">
        <v>0</v>
      </c>
      <c r="S831" s="40">
        <v>0</v>
      </c>
      <c r="T831" s="40">
        <v>0</v>
      </c>
      <c r="U831" s="40">
        <v>0</v>
      </c>
    </row>
    <row r="832" spans="1:21" x14ac:dyDescent="0.2">
      <c r="A832" t="s">
        <v>834</v>
      </c>
      <c r="B832">
        <v>432</v>
      </c>
      <c r="C832">
        <v>1</v>
      </c>
      <c r="D832" t="s">
        <v>199</v>
      </c>
      <c r="E832" s="40">
        <v>0</v>
      </c>
      <c r="F832" s="40">
        <v>0</v>
      </c>
      <c r="G832" s="40">
        <v>0</v>
      </c>
      <c r="H832" s="40">
        <v>0</v>
      </c>
      <c r="I832" s="40">
        <v>0</v>
      </c>
      <c r="J832" s="40">
        <v>0</v>
      </c>
      <c r="K832" s="40">
        <v>0</v>
      </c>
      <c r="L832" s="40">
        <v>0</v>
      </c>
      <c r="M832" s="40">
        <v>0</v>
      </c>
      <c r="N832" s="40">
        <v>0</v>
      </c>
      <c r="O832" s="40">
        <v>0</v>
      </c>
      <c r="P832" s="40">
        <v>0</v>
      </c>
      <c r="Q832" s="40">
        <v>0</v>
      </c>
      <c r="R832" s="40">
        <v>0</v>
      </c>
      <c r="S832" s="40">
        <v>0</v>
      </c>
      <c r="T832" s="40">
        <v>0</v>
      </c>
      <c r="U832" s="40">
        <v>0</v>
      </c>
    </row>
    <row r="833" spans="1:21" x14ac:dyDescent="0.2">
      <c r="A833" t="s">
        <v>834</v>
      </c>
      <c r="B833">
        <v>435</v>
      </c>
      <c r="C833">
        <v>1</v>
      </c>
      <c r="D833" t="s">
        <v>200</v>
      </c>
      <c r="E833" s="40">
        <v>0</v>
      </c>
      <c r="F833" s="40">
        <v>0</v>
      </c>
      <c r="G833" s="40">
        <v>0</v>
      </c>
      <c r="H833" s="40">
        <v>0</v>
      </c>
      <c r="I833" s="40">
        <v>0</v>
      </c>
      <c r="J833" s="40">
        <v>0</v>
      </c>
      <c r="K833" s="40">
        <v>0</v>
      </c>
      <c r="L833" s="40">
        <v>0</v>
      </c>
      <c r="M833" s="40">
        <v>0</v>
      </c>
      <c r="N833" s="40">
        <v>0</v>
      </c>
      <c r="O833" s="40">
        <v>0</v>
      </c>
      <c r="P833" s="40">
        <v>0</v>
      </c>
      <c r="Q833" s="40">
        <v>0</v>
      </c>
      <c r="R833" s="40">
        <v>0</v>
      </c>
      <c r="S833" s="40">
        <v>0</v>
      </c>
      <c r="T833" s="40">
        <v>0</v>
      </c>
      <c r="U833" s="40">
        <v>0</v>
      </c>
    </row>
    <row r="834" spans="1:21" x14ac:dyDescent="0.2">
      <c r="A834" t="s">
        <v>834</v>
      </c>
      <c r="B834">
        <v>441</v>
      </c>
      <c r="C834">
        <v>1</v>
      </c>
      <c r="D834" t="s">
        <v>201</v>
      </c>
      <c r="E834" s="40">
        <v>0</v>
      </c>
      <c r="F834" s="40">
        <v>0</v>
      </c>
      <c r="G834" s="40">
        <v>0</v>
      </c>
      <c r="H834" s="40">
        <v>0</v>
      </c>
      <c r="I834" s="40">
        <v>0</v>
      </c>
      <c r="J834" s="40">
        <v>0</v>
      </c>
      <c r="K834" s="40">
        <v>0</v>
      </c>
      <c r="L834" s="40">
        <v>0</v>
      </c>
      <c r="M834" s="40">
        <v>0</v>
      </c>
      <c r="N834" s="40">
        <v>0</v>
      </c>
      <c r="O834" s="40">
        <v>0</v>
      </c>
      <c r="P834" s="40">
        <v>0</v>
      </c>
      <c r="Q834" s="40">
        <v>0</v>
      </c>
      <c r="R834" s="40">
        <v>0</v>
      </c>
      <c r="S834" s="40">
        <v>0</v>
      </c>
      <c r="T834" s="40">
        <v>0</v>
      </c>
      <c r="U834" s="40">
        <v>0</v>
      </c>
    </row>
    <row r="835" spans="1:21" x14ac:dyDescent="0.2">
      <c r="A835" t="s">
        <v>834</v>
      </c>
      <c r="B835">
        <v>447</v>
      </c>
      <c r="C835">
        <v>1</v>
      </c>
      <c r="D835" t="s">
        <v>202</v>
      </c>
      <c r="E835" s="40">
        <v>0</v>
      </c>
      <c r="F835" s="40">
        <v>0</v>
      </c>
      <c r="G835" s="40">
        <v>0</v>
      </c>
      <c r="H835" s="40">
        <v>0</v>
      </c>
      <c r="I835" s="40">
        <v>0</v>
      </c>
      <c r="J835" s="40">
        <v>0</v>
      </c>
      <c r="K835" s="40">
        <v>0</v>
      </c>
      <c r="L835" s="40">
        <v>0</v>
      </c>
      <c r="M835" s="40">
        <v>0</v>
      </c>
      <c r="N835" s="40">
        <v>0</v>
      </c>
      <c r="O835" s="40">
        <v>0</v>
      </c>
      <c r="P835" s="40">
        <v>0</v>
      </c>
      <c r="Q835" s="40">
        <v>0</v>
      </c>
      <c r="R835" s="40">
        <v>0</v>
      </c>
      <c r="S835" s="40">
        <v>0</v>
      </c>
      <c r="T835" s="40">
        <v>0</v>
      </c>
      <c r="U835" s="40">
        <v>0</v>
      </c>
    </row>
    <row r="836" spans="1:21" x14ac:dyDescent="0.2">
      <c r="A836" t="s">
        <v>834</v>
      </c>
      <c r="B836">
        <v>458</v>
      </c>
      <c r="C836">
        <v>1</v>
      </c>
      <c r="D836" t="s">
        <v>203</v>
      </c>
      <c r="E836" s="40">
        <v>0</v>
      </c>
      <c r="F836" s="40">
        <v>0</v>
      </c>
      <c r="G836" s="40">
        <v>0</v>
      </c>
      <c r="H836" s="40">
        <v>256.64999999999998</v>
      </c>
      <c r="I836" s="40">
        <v>256.64999999999998</v>
      </c>
      <c r="J836" s="40">
        <v>256.64999999999998</v>
      </c>
      <c r="K836" s="40">
        <v>256.64999999999998</v>
      </c>
      <c r="L836" s="40">
        <v>256.64999999999998</v>
      </c>
      <c r="M836" s="40">
        <v>256.64999999999998</v>
      </c>
      <c r="N836" s="40">
        <v>256.64999999999998</v>
      </c>
      <c r="O836" s="40">
        <v>256.64999999999998</v>
      </c>
      <c r="P836" s="40">
        <v>256.64999999999998</v>
      </c>
      <c r="Q836" s="40">
        <v>256.64999999999998</v>
      </c>
      <c r="R836" s="40">
        <v>0</v>
      </c>
      <c r="S836" s="40">
        <v>0</v>
      </c>
      <c r="T836" s="40">
        <v>0</v>
      </c>
      <c r="U836" s="40">
        <v>0</v>
      </c>
    </row>
    <row r="837" spans="1:21" x14ac:dyDescent="0.2">
      <c r="A837" t="s">
        <v>834</v>
      </c>
      <c r="B837">
        <v>463</v>
      </c>
      <c r="C837">
        <v>1</v>
      </c>
      <c r="D837" t="s">
        <v>204</v>
      </c>
      <c r="E837" s="40">
        <v>0</v>
      </c>
      <c r="F837" s="40">
        <v>0</v>
      </c>
      <c r="G837" s="40">
        <v>0</v>
      </c>
      <c r="H837" s="40">
        <v>0</v>
      </c>
      <c r="I837" s="40">
        <v>0</v>
      </c>
      <c r="J837" s="40">
        <v>0</v>
      </c>
      <c r="K837" s="40">
        <v>0</v>
      </c>
      <c r="L837" s="40">
        <v>0</v>
      </c>
      <c r="M837" s="40">
        <v>0</v>
      </c>
      <c r="N837" s="40">
        <v>0</v>
      </c>
      <c r="O837" s="40">
        <v>0</v>
      </c>
      <c r="P837" s="40">
        <v>0</v>
      </c>
      <c r="Q837" s="40">
        <v>0</v>
      </c>
      <c r="R837" s="40">
        <v>0</v>
      </c>
      <c r="S837" s="40">
        <v>0</v>
      </c>
      <c r="T837" s="40">
        <v>0</v>
      </c>
      <c r="U837" s="40">
        <v>0</v>
      </c>
    </row>
    <row r="838" spans="1:21" x14ac:dyDescent="0.2">
      <c r="A838" t="s">
        <v>834</v>
      </c>
      <c r="B838">
        <v>465</v>
      </c>
      <c r="C838">
        <v>1</v>
      </c>
      <c r="D838" t="s">
        <v>205</v>
      </c>
      <c r="E838" s="40">
        <v>0</v>
      </c>
      <c r="F838" s="40">
        <v>0</v>
      </c>
      <c r="G838" s="40">
        <v>0</v>
      </c>
      <c r="H838" s="40">
        <v>300</v>
      </c>
      <c r="I838" s="40">
        <v>300</v>
      </c>
      <c r="J838" s="40">
        <v>300</v>
      </c>
      <c r="K838" s="40">
        <v>300</v>
      </c>
      <c r="L838" s="40">
        <v>300</v>
      </c>
      <c r="M838" s="40">
        <v>300</v>
      </c>
      <c r="N838" s="40">
        <v>300</v>
      </c>
      <c r="O838" s="40">
        <v>300</v>
      </c>
      <c r="P838" s="40">
        <v>300</v>
      </c>
      <c r="Q838" s="40">
        <v>300</v>
      </c>
      <c r="R838" s="40">
        <v>0</v>
      </c>
      <c r="S838" s="40">
        <v>0</v>
      </c>
      <c r="T838" s="40">
        <v>0</v>
      </c>
      <c r="U838" s="40">
        <v>0</v>
      </c>
    </row>
    <row r="839" spans="1:21" x14ac:dyDescent="0.2">
      <c r="A839" t="s">
        <v>834</v>
      </c>
      <c r="B839">
        <v>466</v>
      </c>
      <c r="C839">
        <v>1</v>
      </c>
      <c r="D839" t="s">
        <v>206</v>
      </c>
      <c r="E839" s="40">
        <v>0</v>
      </c>
      <c r="F839" s="40">
        <v>0</v>
      </c>
      <c r="G839" s="40">
        <v>0</v>
      </c>
      <c r="H839" s="40">
        <v>0</v>
      </c>
      <c r="I839" s="40">
        <v>0</v>
      </c>
      <c r="J839" s="40">
        <v>0</v>
      </c>
      <c r="K839" s="40">
        <v>0</v>
      </c>
      <c r="L839" s="40">
        <v>0</v>
      </c>
      <c r="M839" s="40">
        <v>0</v>
      </c>
      <c r="N839" s="40">
        <v>0</v>
      </c>
      <c r="O839" s="40">
        <v>0</v>
      </c>
      <c r="P839" s="40">
        <v>0</v>
      </c>
      <c r="Q839" s="40">
        <v>0</v>
      </c>
      <c r="R839" s="40">
        <v>0</v>
      </c>
      <c r="S839" s="40">
        <v>0</v>
      </c>
      <c r="T839" s="40">
        <v>0</v>
      </c>
      <c r="U839" s="40">
        <v>0</v>
      </c>
    </row>
    <row r="840" spans="1:21" x14ac:dyDescent="0.2">
      <c r="A840" t="s">
        <v>834</v>
      </c>
      <c r="B840">
        <v>473</v>
      </c>
      <c r="C840">
        <v>1</v>
      </c>
      <c r="D840" t="s">
        <v>207</v>
      </c>
      <c r="E840" s="40">
        <v>0</v>
      </c>
      <c r="F840" s="40">
        <v>0</v>
      </c>
      <c r="G840" s="40">
        <v>0</v>
      </c>
      <c r="H840" s="40">
        <v>0</v>
      </c>
      <c r="I840" s="40">
        <v>0</v>
      </c>
      <c r="J840" s="40">
        <v>0</v>
      </c>
      <c r="K840" s="40">
        <v>0</v>
      </c>
      <c r="L840" s="40">
        <v>0</v>
      </c>
      <c r="M840" s="40">
        <v>0</v>
      </c>
      <c r="N840" s="40">
        <v>0</v>
      </c>
      <c r="O840" s="40">
        <v>0</v>
      </c>
      <c r="P840" s="40">
        <v>0</v>
      </c>
      <c r="Q840" s="40">
        <v>0</v>
      </c>
      <c r="R840" s="40">
        <v>0</v>
      </c>
      <c r="S840" s="40">
        <v>0</v>
      </c>
      <c r="T840" s="40">
        <v>0</v>
      </c>
      <c r="U840" s="40">
        <v>0</v>
      </c>
    </row>
    <row r="841" spans="1:21" x14ac:dyDescent="0.2">
      <c r="A841" t="s">
        <v>834</v>
      </c>
      <c r="B841">
        <v>477</v>
      </c>
      <c r="C841">
        <v>1</v>
      </c>
      <c r="D841" t="s">
        <v>208</v>
      </c>
      <c r="E841" s="40">
        <v>0</v>
      </c>
      <c r="F841" s="40">
        <v>0</v>
      </c>
      <c r="G841" s="40">
        <v>0</v>
      </c>
      <c r="H841" s="40">
        <v>0</v>
      </c>
      <c r="I841" s="40">
        <v>0</v>
      </c>
      <c r="J841" s="40">
        <v>0</v>
      </c>
      <c r="K841" s="40">
        <v>0</v>
      </c>
      <c r="L841" s="40">
        <v>0</v>
      </c>
      <c r="M841" s="40">
        <v>0</v>
      </c>
      <c r="N841" s="40">
        <v>0</v>
      </c>
      <c r="O841" s="40">
        <v>0</v>
      </c>
      <c r="P841" s="40">
        <v>0</v>
      </c>
      <c r="Q841" s="40">
        <v>0</v>
      </c>
      <c r="R841" s="40">
        <v>0</v>
      </c>
      <c r="S841" s="40">
        <v>0</v>
      </c>
      <c r="T841" s="40">
        <v>0</v>
      </c>
      <c r="U841" s="40">
        <v>0</v>
      </c>
    </row>
    <row r="842" spans="1:21" x14ac:dyDescent="0.2">
      <c r="A842" t="s">
        <v>834</v>
      </c>
      <c r="B842">
        <v>480</v>
      </c>
      <c r="C842">
        <v>1</v>
      </c>
      <c r="D842" t="s">
        <v>209</v>
      </c>
      <c r="E842" s="40">
        <v>0</v>
      </c>
      <c r="F842" s="40">
        <v>0</v>
      </c>
      <c r="G842" s="40">
        <v>0</v>
      </c>
      <c r="H842" s="40">
        <v>0</v>
      </c>
      <c r="I842" s="40">
        <v>0</v>
      </c>
      <c r="J842" s="40">
        <v>0</v>
      </c>
      <c r="K842" s="40">
        <v>0</v>
      </c>
      <c r="L842" s="40">
        <v>0</v>
      </c>
      <c r="M842" s="40">
        <v>0</v>
      </c>
      <c r="N842" s="40">
        <v>0</v>
      </c>
      <c r="O842" s="40">
        <v>0</v>
      </c>
      <c r="P842" s="40">
        <v>0</v>
      </c>
      <c r="Q842" s="40">
        <v>0</v>
      </c>
      <c r="R842" s="40">
        <v>0</v>
      </c>
      <c r="S842" s="40">
        <v>0</v>
      </c>
      <c r="T842" s="40">
        <v>0</v>
      </c>
      <c r="U842" s="40">
        <v>0</v>
      </c>
    </row>
    <row r="843" spans="1:21" x14ac:dyDescent="0.2">
      <c r="A843" t="s">
        <v>834</v>
      </c>
      <c r="B843">
        <v>482</v>
      </c>
      <c r="C843">
        <v>1</v>
      </c>
      <c r="D843" t="s">
        <v>210</v>
      </c>
      <c r="E843" s="40">
        <v>0</v>
      </c>
      <c r="F843" s="40">
        <v>0</v>
      </c>
      <c r="G843" s="40">
        <v>0</v>
      </c>
      <c r="H843" s="40">
        <v>0</v>
      </c>
      <c r="I843" s="40">
        <v>0</v>
      </c>
      <c r="J843" s="40">
        <v>0</v>
      </c>
      <c r="K843" s="40">
        <v>0</v>
      </c>
      <c r="L843" s="40">
        <v>0</v>
      </c>
      <c r="M843" s="40">
        <v>0</v>
      </c>
      <c r="N843" s="40">
        <v>0</v>
      </c>
      <c r="O843" s="40">
        <v>0</v>
      </c>
      <c r="P843" s="40">
        <v>0</v>
      </c>
      <c r="Q843" s="40">
        <v>0</v>
      </c>
      <c r="R843" s="40">
        <v>0</v>
      </c>
      <c r="S843" s="40">
        <v>0</v>
      </c>
      <c r="T843" s="40">
        <v>0</v>
      </c>
      <c r="U843" s="40">
        <v>0</v>
      </c>
    </row>
    <row r="844" spans="1:21" x14ac:dyDescent="0.2">
      <c r="A844" t="s">
        <v>834</v>
      </c>
      <c r="B844">
        <v>484</v>
      </c>
      <c r="C844">
        <v>1</v>
      </c>
      <c r="D844" t="s">
        <v>211</v>
      </c>
      <c r="E844" s="40">
        <v>0</v>
      </c>
      <c r="F844" s="40">
        <v>0</v>
      </c>
      <c r="G844" s="40">
        <v>0</v>
      </c>
      <c r="H844" s="40">
        <v>200</v>
      </c>
      <c r="I844" s="40">
        <v>200</v>
      </c>
      <c r="J844" s="40">
        <v>200</v>
      </c>
      <c r="K844" s="40">
        <v>200</v>
      </c>
      <c r="L844" s="40">
        <v>200</v>
      </c>
      <c r="M844" s="40">
        <v>200</v>
      </c>
      <c r="N844" s="40">
        <v>200</v>
      </c>
      <c r="O844" s="40">
        <v>200</v>
      </c>
      <c r="P844" s="40">
        <v>200</v>
      </c>
      <c r="Q844" s="40">
        <v>200</v>
      </c>
      <c r="R844" s="40">
        <v>0</v>
      </c>
      <c r="S844" s="40">
        <v>0</v>
      </c>
      <c r="T844" s="40">
        <v>0</v>
      </c>
      <c r="U844" s="40">
        <v>0</v>
      </c>
    </row>
    <row r="845" spans="1:21" x14ac:dyDescent="0.2">
      <c r="A845" t="s">
        <v>834</v>
      </c>
      <c r="B845">
        <v>485</v>
      </c>
      <c r="C845">
        <v>1</v>
      </c>
      <c r="D845" t="s">
        <v>212</v>
      </c>
      <c r="E845" s="40">
        <v>0</v>
      </c>
      <c r="F845" s="40">
        <v>0</v>
      </c>
      <c r="G845" s="40">
        <v>0</v>
      </c>
      <c r="H845" s="40">
        <v>0</v>
      </c>
      <c r="I845" s="40">
        <v>0</v>
      </c>
      <c r="J845" s="40">
        <v>0</v>
      </c>
      <c r="K845" s="40">
        <v>0</v>
      </c>
      <c r="L845" s="40">
        <v>0</v>
      </c>
      <c r="M845" s="40">
        <v>0</v>
      </c>
      <c r="N845" s="40">
        <v>0</v>
      </c>
      <c r="O845" s="40">
        <v>0</v>
      </c>
      <c r="P845" s="40">
        <v>0</v>
      </c>
      <c r="Q845" s="40">
        <v>0</v>
      </c>
      <c r="R845" s="40">
        <v>0</v>
      </c>
      <c r="S845" s="40">
        <v>0</v>
      </c>
      <c r="T845" s="40">
        <v>0</v>
      </c>
      <c r="U845" s="40">
        <v>0</v>
      </c>
    </row>
    <row r="846" spans="1:21" x14ac:dyDescent="0.2">
      <c r="A846" t="s">
        <v>834</v>
      </c>
      <c r="B846">
        <v>486</v>
      </c>
      <c r="C846">
        <v>1</v>
      </c>
      <c r="D846" t="s">
        <v>213</v>
      </c>
      <c r="E846" s="40">
        <v>0</v>
      </c>
      <c r="F846" s="40">
        <v>0</v>
      </c>
      <c r="G846" s="40">
        <v>0</v>
      </c>
      <c r="H846" s="40">
        <v>0</v>
      </c>
      <c r="I846" s="40">
        <v>0</v>
      </c>
      <c r="J846" s="40">
        <v>0</v>
      </c>
      <c r="K846" s="40">
        <v>0</v>
      </c>
      <c r="L846" s="40">
        <v>0</v>
      </c>
      <c r="M846" s="40">
        <v>0</v>
      </c>
      <c r="N846" s="40">
        <v>0</v>
      </c>
      <c r="O846" s="40">
        <v>0</v>
      </c>
      <c r="P846" s="40">
        <v>0</v>
      </c>
      <c r="Q846" s="40">
        <v>0</v>
      </c>
      <c r="R846" s="40">
        <v>0</v>
      </c>
      <c r="S846" s="40">
        <v>0</v>
      </c>
      <c r="T846" s="40">
        <v>0</v>
      </c>
      <c r="U846" s="40">
        <v>0</v>
      </c>
    </row>
    <row r="847" spans="1:21" x14ac:dyDescent="0.2">
      <c r="A847" t="s">
        <v>834</v>
      </c>
      <c r="B847">
        <v>487</v>
      </c>
      <c r="C847">
        <v>1</v>
      </c>
      <c r="D847" t="s">
        <v>214</v>
      </c>
      <c r="E847" s="40">
        <v>0</v>
      </c>
      <c r="F847" s="40">
        <v>0</v>
      </c>
      <c r="G847" s="40">
        <v>0</v>
      </c>
      <c r="H847" s="40">
        <v>0</v>
      </c>
      <c r="I847" s="40">
        <v>0</v>
      </c>
      <c r="J847" s="40">
        <v>0</v>
      </c>
      <c r="K847" s="40">
        <v>0</v>
      </c>
      <c r="L847" s="40">
        <v>0</v>
      </c>
      <c r="M847" s="40">
        <v>0</v>
      </c>
      <c r="N847" s="40">
        <v>0</v>
      </c>
      <c r="O847" s="40">
        <v>0</v>
      </c>
      <c r="P847" s="40">
        <v>0</v>
      </c>
      <c r="Q847" s="40">
        <v>0</v>
      </c>
      <c r="R847" s="40">
        <v>0</v>
      </c>
      <c r="S847" s="40">
        <v>0</v>
      </c>
      <c r="T847" s="40">
        <v>0</v>
      </c>
      <c r="U847" s="40">
        <v>0</v>
      </c>
    </row>
    <row r="848" spans="1:21" x14ac:dyDescent="0.2">
      <c r="A848" t="s">
        <v>834</v>
      </c>
      <c r="B848">
        <v>492</v>
      </c>
      <c r="C848">
        <v>1</v>
      </c>
      <c r="D848" t="s">
        <v>215</v>
      </c>
      <c r="E848" s="40">
        <v>0</v>
      </c>
      <c r="F848" s="40">
        <v>0</v>
      </c>
      <c r="G848" s="40">
        <v>0</v>
      </c>
      <c r="H848" s="40">
        <v>0</v>
      </c>
      <c r="I848" s="40">
        <v>0</v>
      </c>
      <c r="J848" s="40">
        <v>0</v>
      </c>
      <c r="K848" s="40">
        <v>0</v>
      </c>
      <c r="L848" s="40">
        <v>0</v>
      </c>
      <c r="M848" s="40">
        <v>0</v>
      </c>
      <c r="N848" s="40">
        <v>0</v>
      </c>
      <c r="O848" s="40">
        <v>0</v>
      </c>
      <c r="P848" s="40">
        <v>0</v>
      </c>
      <c r="Q848" s="40">
        <v>0</v>
      </c>
      <c r="R848" s="40">
        <v>0</v>
      </c>
      <c r="S848" s="40">
        <v>0</v>
      </c>
      <c r="T848" s="40">
        <v>0</v>
      </c>
      <c r="U848" s="40">
        <v>0</v>
      </c>
    </row>
    <row r="849" spans="1:21" x14ac:dyDescent="0.2">
      <c r="A849" t="s">
        <v>834</v>
      </c>
      <c r="B849">
        <v>495</v>
      </c>
      <c r="C849">
        <v>1</v>
      </c>
      <c r="D849" t="s">
        <v>216</v>
      </c>
      <c r="E849" s="40">
        <v>0</v>
      </c>
      <c r="F849" s="40">
        <v>0</v>
      </c>
      <c r="G849" s="40">
        <v>0</v>
      </c>
      <c r="H849" s="40">
        <v>0</v>
      </c>
      <c r="I849" s="40">
        <v>0</v>
      </c>
      <c r="J849" s="40">
        <v>0</v>
      </c>
      <c r="K849" s="40">
        <v>0</v>
      </c>
      <c r="L849" s="40">
        <v>0</v>
      </c>
      <c r="M849" s="40">
        <v>0</v>
      </c>
      <c r="N849" s="40">
        <v>0</v>
      </c>
      <c r="O849" s="40">
        <v>0</v>
      </c>
      <c r="P849" s="40">
        <v>0</v>
      </c>
      <c r="Q849" s="40">
        <v>0</v>
      </c>
      <c r="R849" s="40">
        <v>0</v>
      </c>
      <c r="S849" s="40">
        <v>0</v>
      </c>
      <c r="T849" s="40">
        <v>0</v>
      </c>
      <c r="U849" s="40">
        <v>0</v>
      </c>
    </row>
    <row r="850" spans="1:21" x14ac:dyDescent="0.2">
      <c r="A850" t="s">
        <v>834</v>
      </c>
      <c r="B850">
        <v>497</v>
      </c>
      <c r="C850">
        <v>1</v>
      </c>
      <c r="D850" t="s">
        <v>217</v>
      </c>
      <c r="E850" s="40">
        <v>0</v>
      </c>
      <c r="F850" s="40">
        <v>0</v>
      </c>
      <c r="G850" s="40">
        <v>0</v>
      </c>
      <c r="H850" s="40">
        <v>0</v>
      </c>
      <c r="I850" s="40">
        <v>0</v>
      </c>
      <c r="J850" s="40">
        <v>0</v>
      </c>
      <c r="K850" s="40">
        <v>0</v>
      </c>
      <c r="L850" s="40">
        <v>0</v>
      </c>
      <c r="M850" s="40">
        <v>0</v>
      </c>
      <c r="N850" s="40">
        <v>0</v>
      </c>
      <c r="O850" s="40">
        <v>0</v>
      </c>
      <c r="P850" s="40">
        <v>0</v>
      </c>
      <c r="Q850" s="40">
        <v>0</v>
      </c>
      <c r="R850" s="40">
        <v>0</v>
      </c>
      <c r="S850" s="40">
        <v>0</v>
      </c>
      <c r="T850" s="40">
        <v>0</v>
      </c>
      <c r="U850" s="40">
        <v>0</v>
      </c>
    </row>
    <row r="851" spans="1:21" x14ac:dyDescent="0.2">
      <c r="A851" t="s">
        <v>834</v>
      </c>
      <c r="B851">
        <v>499</v>
      </c>
      <c r="C851">
        <v>1</v>
      </c>
      <c r="D851" t="s">
        <v>218</v>
      </c>
      <c r="E851" s="40">
        <v>0</v>
      </c>
      <c r="F851" s="40">
        <v>0</v>
      </c>
      <c r="G851" s="40">
        <v>0</v>
      </c>
      <c r="H851" s="40">
        <v>300</v>
      </c>
      <c r="I851" s="40">
        <v>300</v>
      </c>
      <c r="J851" s="40">
        <v>300</v>
      </c>
      <c r="K851" s="40">
        <v>300</v>
      </c>
      <c r="L851" s="40">
        <v>300</v>
      </c>
      <c r="M851" s="40">
        <v>300</v>
      </c>
      <c r="N851" s="40">
        <v>300</v>
      </c>
      <c r="O851" s="40">
        <v>300</v>
      </c>
      <c r="P851" s="40">
        <v>300</v>
      </c>
      <c r="Q851" s="40">
        <v>300</v>
      </c>
      <c r="R851" s="40">
        <v>0</v>
      </c>
      <c r="S851" s="40">
        <v>0</v>
      </c>
      <c r="T851" s="40">
        <v>0</v>
      </c>
      <c r="U851" s="40">
        <v>0</v>
      </c>
    </row>
    <row r="852" spans="1:21" x14ac:dyDescent="0.2">
      <c r="A852" t="s">
        <v>834</v>
      </c>
      <c r="B852">
        <v>500</v>
      </c>
      <c r="C852">
        <v>1</v>
      </c>
      <c r="D852" t="s">
        <v>219</v>
      </c>
      <c r="E852" s="40">
        <v>0</v>
      </c>
      <c r="F852" s="40">
        <v>0</v>
      </c>
      <c r="G852" s="40">
        <v>0</v>
      </c>
      <c r="H852" s="40">
        <v>0</v>
      </c>
      <c r="I852" s="40">
        <v>0</v>
      </c>
      <c r="J852" s="40">
        <v>0</v>
      </c>
      <c r="K852" s="40">
        <v>0</v>
      </c>
      <c r="L852" s="40">
        <v>0</v>
      </c>
      <c r="M852" s="40">
        <v>0</v>
      </c>
      <c r="N852" s="40">
        <v>0</v>
      </c>
      <c r="O852" s="40">
        <v>0</v>
      </c>
      <c r="P852" s="40">
        <v>0</v>
      </c>
      <c r="Q852" s="40">
        <v>0</v>
      </c>
      <c r="R852" s="40">
        <v>0</v>
      </c>
      <c r="S852" s="40">
        <v>0</v>
      </c>
      <c r="T852" s="40">
        <v>0</v>
      </c>
      <c r="U852" s="40">
        <v>0</v>
      </c>
    </row>
    <row r="853" spans="1:21" x14ac:dyDescent="0.2">
      <c r="A853" t="s">
        <v>834</v>
      </c>
      <c r="B853">
        <v>505</v>
      </c>
      <c r="C853">
        <v>1</v>
      </c>
      <c r="D853" t="s">
        <v>220</v>
      </c>
      <c r="E853" s="40">
        <v>0</v>
      </c>
      <c r="F853" s="40">
        <v>0</v>
      </c>
      <c r="G853" s="40">
        <v>0</v>
      </c>
      <c r="H853" s="40">
        <v>0</v>
      </c>
      <c r="I853" s="40">
        <v>0</v>
      </c>
      <c r="J853" s="40">
        <v>0</v>
      </c>
      <c r="K853" s="40">
        <v>0</v>
      </c>
      <c r="L853" s="40">
        <v>0</v>
      </c>
      <c r="M853" s="40">
        <v>0</v>
      </c>
      <c r="N853" s="40">
        <v>0</v>
      </c>
      <c r="O853" s="40">
        <v>0</v>
      </c>
      <c r="P853" s="40">
        <v>0</v>
      </c>
      <c r="Q853" s="40">
        <v>0</v>
      </c>
      <c r="R853" s="40">
        <v>0</v>
      </c>
      <c r="S853" s="40">
        <v>0</v>
      </c>
      <c r="T853" s="40">
        <v>0</v>
      </c>
      <c r="U853" s="40">
        <v>0</v>
      </c>
    </row>
    <row r="854" spans="1:21" x14ac:dyDescent="0.2">
      <c r="A854" t="s">
        <v>834</v>
      </c>
      <c r="B854">
        <v>507</v>
      </c>
      <c r="C854">
        <v>1</v>
      </c>
      <c r="D854" t="s">
        <v>221</v>
      </c>
      <c r="E854" s="40">
        <v>0</v>
      </c>
      <c r="F854" s="40">
        <v>0</v>
      </c>
      <c r="G854" s="40">
        <v>0</v>
      </c>
      <c r="H854" s="40">
        <v>581.21</v>
      </c>
      <c r="I854" s="40">
        <v>581.21</v>
      </c>
      <c r="J854" s="40">
        <v>581.21</v>
      </c>
      <c r="K854" s="40">
        <v>581.21</v>
      </c>
      <c r="L854" s="40">
        <v>581.21</v>
      </c>
      <c r="M854" s="40">
        <v>0</v>
      </c>
      <c r="N854" s="40">
        <v>0</v>
      </c>
      <c r="O854" s="40">
        <v>0</v>
      </c>
      <c r="P854" s="40">
        <v>0</v>
      </c>
      <c r="Q854" s="40">
        <v>0</v>
      </c>
      <c r="R854" s="40">
        <v>0</v>
      </c>
      <c r="S854" s="40">
        <v>0</v>
      </c>
      <c r="T854" s="40">
        <v>0</v>
      </c>
      <c r="U854" s="40">
        <v>0</v>
      </c>
    </row>
    <row r="855" spans="1:21" x14ac:dyDescent="0.2">
      <c r="A855" t="s">
        <v>834</v>
      </c>
      <c r="B855">
        <v>508</v>
      </c>
      <c r="C855">
        <v>1</v>
      </c>
      <c r="D855" t="s">
        <v>222</v>
      </c>
      <c r="E855" s="40">
        <v>0</v>
      </c>
      <c r="F855" s="40">
        <v>0</v>
      </c>
      <c r="G855" s="40">
        <v>0</v>
      </c>
      <c r="H855" s="40">
        <v>300</v>
      </c>
      <c r="I855" s="40">
        <v>300</v>
      </c>
      <c r="J855" s="40">
        <v>300</v>
      </c>
      <c r="K855" s="40">
        <v>300</v>
      </c>
      <c r="L855" s="40">
        <v>300</v>
      </c>
      <c r="M855" s="40">
        <v>300</v>
      </c>
      <c r="N855" s="40">
        <v>300</v>
      </c>
      <c r="O855" s="40">
        <v>300</v>
      </c>
      <c r="P855" s="40">
        <v>300</v>
      </c>
      <c r="Q855" s="40">
        <v>300</v>
      </c>
      <c r="R855" s="40">
        <v>0</v>
      </c>
      <c r="S855" s="40">
        <v>0</v>
      </c>
      <c r="T855" s="40">
        <v>0</v>
      </c>
      <c r="U855" s="40">
        <v>0</v>
      </c>
    </row>
    <row r="856" spans="1:21" x14ac:dyDescent="0.2">
      <c r="A856" t="s">
        <v>834</v>
      </c>
      <c r="B856">
        <v>511</v>
      </c>
      <c r="C856">
        <v>1</v>
      </c>
      <c r="D856" t="s">
        <v>223</v>
      </c>
      <c r="E856" s="40">
        <v>0</v>
      </c>
      <c r="F856" s="40">
        <v>0</v>
      </c>
      <c r="G856" s="40">
        <v>0</v>
      </c>
      <c r="H856" s="40">
        <v>0</v>
      </c>
      <c r="I856" s="40">
        <v>0</v>
      </c>
      <c r="J856" s="40">
        <v>0</v>
      </c>
      <c r="K856" s="40">
        <v>0</v>
      </c>
      <c r="L856" s="40">
        <v>0</v>
      </c>
      <c r="M856" s="40">
        <v>0</v>
      </c>
      <c r="N856" s="40">
        <v>0</v>
      </c>
      <c r="O856" s="40">
        <v>0</v>
      </c>
      <c r="P856" s="40">
        <v>0</v>
      </c>
      <c r="Q856" s="40">
        <v>0</v>
      </c>
      <c r="R856" s="40">
        <v>0</v>
      </c>
      <c r="S856" s="40">
        <v>0</v>
      </c>
      <c r="T856" s="40">
        <v>0</v>
      </c>
      <c r="U856" s="40">
        <v>0</v>
      </c>
    </row>
    <row r="857" spans="1:21" x14ac:dyDescent="0.2">
      <c r="A857" t="s">
        <v>834</v>
      </c>
      <c r="B857">
        <v>513</v>
      </c>
      <c r="C857">
        <v>1</v>
      </c>
      <c r="D857" t="s">
        <v>224</v>
      </c>
      <c r="E857" s="40">
        <v>0</v>
      </c>
      <c r="F857" s="40">
        <v>0</v>
      </c>
      <c r="G857" s="40">
        <v>0</v>
      </c>
      <c r="H857" s="40">
        <v>0</v>
      </c>
      <c r="I857" s="40">
        <v>0</v>
      </c>
      <c r="J857" s="40">
        <v>0</v>
      </c>
      <c r="K857" s="40">
        <v>0</v>
      </c>
      <c r="L857" s="40">
        <v>0</v>
      </c>
      <c r="M857" s="40">
        <v>0</v>
      </c>
      <c r="N857" s="40">
        <v>0</v>
      </c>
      <c r="O857" s="40">
        <v>0</v>
      </c>
      <c r="P857" s="40">
        <v>0</v>
      </c>
      <c r="Q857" s="40">
        <v>0</v>
      </c>
      <c r="R857" s="40">
        <v>0</v>
      </c>
      <c r="S857" s="40">
        <v>0</v>
      </c>
      <c r="T857" s="40">
        <v>0</v>
      </c>
      <c r="U857" s="40">
        <v>0</v>
      </c>
    </row>
    <row r="858" spans="1:21" x14ac:dyDescent="0.2">
      <c r="A858" t="s">
        <v>834</v>
      </c>
      <c r="B858">
        <v>514</v>
      </c>
      <c r="C858">
        <v>1</v>
      </c>
      <c r="D858" t="s">
        <v>225</v>
      </c>
      <c r="E858" s="40">
        <v>0</v>
      </c>
      <c r="F858" s="40">
        <v>0</v>
      </c>
      <c r="G858" s="40">
        <v>0</v>
      </c>
      <c r="H858" s="40">
        <v>0</v>
      </c>
      <c r="I858" s="40">
        <v>0</v>
      </c>
      <c r="J858" s="40">
        <v>0</v>
      </c>
      <c r="K858" s="40">
        <v>0</v>
      </c>
      <c r="L858" s="40">
        <v>0</v>
      </c>
      <c r="M858" s="40">
        <v>0</v>
      </c>
      <c r="N858" s="40">
        <v>0</v>
      </c>
      <c r="O858" s="40">
        <v>0</v>
      </c>
      <c r="P858" s="40">
        <v>0</v>
      </c>
      <c r="Q858" s="40">
        <v>0</v>
      </c>
      <c r="R858" s="40">
        <v>0</v>
      </c>
      <c r="S858" s="40">
        <v>0</v>
      </c>
      <c r="T858" s="40">
        <v>0</v>
      </c>
      <c r="U858" s="40">
        <v>0</v>
      </c>
    </row>
    <row r="859" spans="1:21" x14ac:dyDescent="0.2">
      <c r="A859" t="s">
        <v>834</v>
      </c>
      <c r="B859">
        <v>516</v>
      </c>
      <c r="C859">
        <v>1</v>
      </c>
      <c r="D859" t="s">
        <v>226</v>
      </c>
      <c r="E859" s="40">
        <v>0</v>
      </c>
      <c r="F859" s="40">
        <v>0</v>
      </c>
      <c r="G859" s="40">
        <v>0</v>
      </c>
      <c r="H859" s="40">
        <v>0</v>
      </c>
      <c r="I859" s="40">
        <v>0</v>
      </c>
      <c r="J859" s="40">
        <v>0</v>
      </c>
      <c r="K859" s="40">
        <v>0</v>
      </c>
      <c r="L859" s="40">
        <v>0</v>
      </c>
      <c r="M859" s="40">
        <v>0</v>
      </c>
      <c r="N859" s="40">
        <v>0</v>
      </c>
      <c r="O859" s="40">
        <v>0</v>
      </c>
      <c r="P859" s="40">
        <v>0</v>
      </c>
      <c r="Q859" s="40">
        <v>0</v>
      </c>
      <c r="R859" s="40">
        <v>0</v>
      </c>
      <c r="S859" s="40">
        <v>0</v>
      </c>
      <c r="T859" s="40">
        <v>0</v>
      </c>
      <c r="U859" s="40">
        <v>0</v>
      </c>
    </row>
    <row r="860" spans="1:21" x14ac:dyDescent="0.2">
      <c r="A860" t="s">
        <v>834</v>
      </c>
      <c r="B860">
        <v>518</v>
      </c>
      <c r="C860">
        <v>1</v>
      </c>
      <c r="D860" t="s">
        <v>227</v>
      </c>
      <c r="E860" s="40">
        <v>0</v>
      </c>
      <c r="F860" s="40">
        <v>0</v>
      </c>
      <c r="G860" s="40">
        <v>0</v>
      </c>
      <c r="H860" s="40">
        <v>394.93</v>
      </c>
      <c r="I860" s="40">
        <v>394.93</v>
      </c>
      <c r="J860" s="40">
        <v>394.93</v>
      </c>
      <c r="K860" s="40">
        <v>394.93</v>
      </c>
      <c r="L860" s="40">
        <v>0</v>
      </c>
      <c r="M860" s="40">
        <v>0</v>
      </c>
      <c r="N860" s="40">
        <v>0</v>
      </c>
      <c r="O860" s="40">
        <v>0</v>
      </c>
      <c r="P860" s="40">
        <v>0</v>
      </c>
      <c r="Q860" s="40">
        <v>0</v>
      </c>
      <c r="R860" s="40">
        <v>0</v>
      </c>
      <c r="S860" s="40">
        <v>0</v>
      </c>
      <c r="T860" s="40">
        <v>0</v>
      </c>
      <c r="U860" s="40">
        <v>0</v>
      </c>
    </row>
    <row r="861" spans="1:21" x14ac:dyDescent="0.2">
      <c r="A861" t="s">
        <v>834</v>
      </c>
      <c r="B861">
        <v>531</v>
      </c>
      <c r="C861">
        <v>1</v>
      </c>
      <c r="D861" t="s">
        <v>228</v>
      </c>
      <c r="E861" s="40">
        <v>0</v>
      </c>
      <c r="F861" s="40">
        <v>0</v>
      </c>
      <c r="G861" s="40">
        <v>0</v>
      </c>
      <c r="H861" s="40">
        <v>0</v>
      </c>
      <c r="I861" s="40">
        <v>0</v>
      </c>
      <c r="J861" s="40">
        <v>0</v>
      </c>
      <c r="K861" s="40">
        <v>0</v>
      </c>
      <c r="L861" s="40">
        <v>0</v>
      </c>
      <c r="M861" s="40">
        <v>0</v>
      </c>
      <c r="N861" s="40">
        <v>0</v>
      </c>
      <c r="O861" s="40">
        <v>0</v>
      </c>
      <c r="P861" s="40">
        <v>0</v>
      </c>
      <c r="Q861" s="40">
        <v>0</v>
      </c>
      <c r="R861" s="40">
        <v>0</v>
      </c>
      <c r="S861" s="40">
        <v>0</v>
      </c>
      <c r="T861" s="40">
        <v>0</v>
      </c>
      <c r="U861" s="40">
        <v>0</v>
      </c>
    </row>
    <row r="862" spans="1:21" x14ac:dyDescent="0.2">
      <c r="A862" t="s">
        <v>834</v>
      </c>
      <c r="B862">
        <v>533</v>
      </c>
      <c r="C862">
        <v>1</v>
      </c>
      <c r="D862" t="s">
        <v>229</v>
      </c>
      <c r="E862" s="40">
        <v>0</v>
      </c>
      <c r="F862" s="40">
        <v>0</v>
      </c>
      <c r="G862" s="40">
        <v>0</v>
      </c>
      <c r="H862" s="40">
        <v>0</v>
      </c>
      <c r="I862" s="40">
        <v>0</v>
      </c>
      <c r="J862" s="40">
        <v>0</v>
      </c>
      <c r="K862" s="40">
        <v>0</v>
      </c>
      <c r="L862" s="40">
        <v>0</v>
      </c>
      <c r="M862" s="40">
        <v>0</v>
      </c>
      <c r="N862" s="40">
        <v>0</v>
      </c>
      <c r="O862" s="40">
        <v>0</v>
      </c>
      <c r="P862" s="40">
        <v>0</v>
      </c>
      <c r="Q862" s="40">
        <v>0</v>
      </c>
      <c r="R862" s="40">
        <v>0</v>
      </c>
      <c r="S862" s="40">
        <v>0</v>
      </c>
      <c r="T862" s="40">
        <v>0</v>
      </c>
      <c r="U862" s="40">
        <v>0</v>
      </c>
    </row>
    <row r="863" spans="1:21" x14ac:dyDescent="0.2">
      <c r="A863" t="s">
        <v>834</v>
      </c>
      <c r="B863">
        <v>534</v>
      </c>
      <c r="C863">
        <v>1</v>
      </c>
      <c r="D863" t="s">
        <v>230</v>
      </c>
      <c r="E863" s="40">
        <v>0</v>
      </c>
      <c r="F863" s="40">
        <v>0</v>
      </c>
      <c r="G863" s="40">
        <v>0</v>
      </c>
      <c r="H863" s="40">
        <v>0</v>
      </c>
      <c r="I863" s="40">
        <v>0</v>
      </c>
      <c r="J863" s="40">
        <v>0</v>
      </c>
      <c r="K863" s="40">
        <v>0</v>
      </c>
      <c r="L863" s="40">
        <v>0</v>
      </c>
      <c r="M863" s="40">
        <v>0</v>
      </c>
      <c r="N863" s="40">
        <v>0</v>
      </c>
      <c r="O863" s="40">
        <v>0</v>
      </c>
      <c r="P863" s="40">
        <v>0</v>
      </c>
      <c r="Q863" s="40">
        <v>0</v>
      </c>
      <c r="R863" s="40">
        <v>0</v>
      </c>
      <c r="S863" s="40">
        <v>0</v>
      </c>
      <c r="T863" s="40">
        <v>0</v>
      </c>
      <c r="U863" s="40">
        <v>0</v>
      </c>
    </row>
    <row r="864" spans="1:21" x14ac:dyDescent="0.2">
      <c r="A864" t="s">
        <v>834</v>
      </c>
      <c r="B864">
        <v>535</v>
      </c>
      <c r="C864">
        <v>1</v>
      </c>
      <c r="D864" t="s">
        <v>231</v>
      </c>
      <c r="E864" s="40">
        <v>0</v>
      </c>
      <c r="F864" s="40">
        <v>0</v>
      </c>
      <c r="G864" s="40">
        <v>0</v>
      </c>
      <c r="H864" s="40">
        <v>0</v>
      </c>
      <c r="I864" s="40">
        <v>0</v>
      </c>
      <c r="J864" s="40">
        <v>0</v>
      </c>
      <c r="K864" s="40">
        <v>0</v>
      </c>
      <c r="L864" s="40">
        <v>0</v>
      </c>
      <c r="M864" s="40">
        <v>0</v>
      </c>
      <c r="N864" s="40">
        <v>0</v>
      </c>
      <c r="O864" s="40">
        <v>0</v>
      </c>
      <c r="P864" s="40">
        <v>0</v>
      </c>
      <c r="Q864" s="40">
        <v>0</v>
      </c>
      <c r="R864" s="40">
        <v>0</v>
      </c>
      <c r="S864" s="40">
        <v>0</v>
      </c>
      <c r="T864" s="40">
        <v>0</v>
      </c>
      <c r="U864" s="40">
        <v>0</v>
      </c>
    </row>
    <row r="865" spans="1:21" x14ac:dyDescent="0.2">
      <c r="A865" t="s">
        <v>834</v>
      </c>
      <c r="B865">
        <v>542</v>
      </c>
      <c r="C865">
        <v>1</v>
      </c>
      <c r="D865" t="s">
        <v>232</v>
      </c>
      <c r="E865" s="40">
        <v>0</v>
      </c>
      <c r="F865" s="40">
        <v>0</v>
      </c>
      <c r="G865" s="40">
        <v>0</v>
      </c>
      <c r="H865" s="40">
        <v>0</v>
      </c>
      <c r="I865" s="40">
        <v>0</v>
      </c>
      <c r="J865" s="40">
        <v>0</v>
      </c>
      <c r="K865" s="40">
        <v>0</v>
      </c>
      <c r="L865" s="40">
        <v>0</v>
      </c>
      <c r="M865" s="40">
        <v>0</v>
      </c>
      <c r="N865" s="40">
        <v>0</v>
      </c>
      <c r="O865" s="40">
        <v>0</v>
      </c>
      <c r="P865" s="40">
        <v>0</v>
      </c>
      <c r="Q865" s="40">
        <v>0</v>
      </c>
      <c r="R865" s="40">
        <v>0</v>
      </c>
      <c r="S865" s="40">
        <v>0</v>
      </c>
      <c r="T865" s="40">
        <v>0</v>
      </c>
      <c r="U865" s="40">
        <v>0</v>
      </c>
    </row>
    <row r="866" spans="1:21" x14ac:dyDescent="0.2">
      <c r="A866" t="s">
        <v>834</v>
      </c>
      <c r="B866">
        <v>544</v>
      </c>
      <c r="C866">
        <v>1</v>
      </c>
      <c r="D866" t="s">
        <v>233</v>
      </c>
      <c r="E866" s="40">
        <v>0</v>
      </c>
      <c r="F866" s="40">
        <v>0</v>
      </c>
      <c r="G866" s="40">
        <v>0</v>
      </c>
      <c r="H866" s="40">
        <v>0</v>
      </c>
      <c r="I866" s="40">
        <v>0</v>
      </c>
      <c r="J866" s="40">
        <v>0</v>
      </c>
      <c r="K866" s="40">
        <v>0</v>
      </c>
      <c r="L866" s="40">
        <v>0</v>
      </c>
      <c r="M866" s="40">
        <v>0</v>
      </c>
      <c r="N866" s="40">
        <v>0</v>
      </c>
      <c r="O866" s="40">
        <v>0</v>
      </c>
      <c r="P866" s="40">
        <v>0</v>
      </c>
      <c r="Q866" s="40">
        <v>0</v>
      </c>
      <c r="R866" s="40">
        <v>0</v>
      </c>
      <c r="S866" s="40">
        <v>0</v>
      </c>
      <c r="T866" s="40">
        <v>0</v>
      </c>
      <c r="U866" s="40">
        <v>0</v>
      </c>
    </row>
    <row r="867" spans="1:21" x14ac:dyDescent="0.2">
      <c r="A867" t="s">
        <v>834</v>
      </c>
      <c r="B867">
        <v>545</v>
      </c>
      <c r="C867">
        <v>1</v>
      </c>
      <c r="D867" t="s">
        <v>234</v>
      </c>
      <c r="E867" s="40">
        <v>0</v>
      </c>
      <c r="F867" s="40">
        <v>0</v>
      </c>
      <c r="G867" s="40">
        <v>0</v>
      </c>
      <c r="H867" s="40">
        <v>600</v>
      </c>
      <c r="I867" s="40">
        <v>600</v>
      </c>
      <c r="J867" s="40">
        <v>600</v>
      </c>
      <c r="K867" s="40">
        <v>600</v>
      </c>
      <c r="L867" s="40">
        <v>600</v>
      </c>
      <c r="M867" s="40">
        <v>600</v>
      </c>
      <c r="N867" s="40">
        <v>600</v>
      </c>
      <c r="O867" s="40">
        <v>600</v>
      </c>
      <c r="P867" s="40">
        <v>600</v>
      </c>
      <c r="Q867" s="40">
        <v>600</v>
      </c>
      <c r="R867" s="40">
        <v>0</v>
      </c>
      <c r="S867" s="40">
        <v>0</v>
      </c>
      <c r="T867" s="40">
        <v>0</v>
      </c>
      <c r="U867" s="40">
        <v>0</v>
      </c>
    </row>
    <row r="868" spans="1:21" x14ac:dyDescent="0.2">
      <c r="A868" t="s">
        <v>834</v>
      </c>
      <c r="B868">
        <v>547</v>
      </c>
      <c r="C868">
        <v>1</v>
      </c>
      <c r="D868" t="s">
        <v>235</v>
      </c>
      <c r="E868" s="40">
        <v>0</v>
      </c>
      <c r="F868" s="40">
        <v>0</v>
      </c>
      <c r="G868" s="40">
        <v>0</v>
      </c>
      <c r="H868" s="40">
        <v>0</v>
      </c>
      <c r="I868" s="40">
        <v>0</v>
      </c>
      <c r="J868" s="40">
        <v>0</v>
      </c>
      <c r="K868" s="40">
        <v>0</v>
      </c>
      <c r="L868" s="40">
        <v>0</v>
      </c>
      <c r="M868" s="40">
        <v>0</v>
      </c>
      <c r="N868" s="40">
        <v>0</v>
      </c>
      <c r="O868" s="40">
        <v>0</v>
      </c>
      <c r="P868" s="40">
        <v>0</v>
      </c>
      <c r="Q868" s="40">
        <v>0</v>
      </c>
      <c r="R868" s="40">
        <v>0</v>
      </c>
      <c r="S868" s="40">
        <v>0</v>
      </c>
      <c r="T868" s="40">
        <v>0</v>
      </c>
      <c r="U868" s="40">
        <v>0</v>
      </c>
    </row>
    <row r="869" spans="1:21" x14ac:dyDescent="0.2">
      <c r="A869" t="s">
        <v>834</v>
      </c>
      <c r="B869">
        <v>548</v>
      </c>
      <c r="C869">
        <v>1</v>
      </c>
      <c r="D869" t="s">
        <v>236</v>
      </c>
      <c r="E869" s="40">
        <v>0</v>
      </c>
      <c r="F869" s="40">
        <v>0</v>
      </c>
      <c r="G869" s="40">
        <v>0</v>
      </c>
      <c r="H869" s="40">
        <v>0</v>
      </c>
      <c r="I869" s="40">
        <v>0</v>
      </c>
      <c r="J869" s="40">
        <v>0</v>
      </c>
      <c r="K869" s="40">
        <v>0</v>
      </c>
      <c r="L869" s="40">
        <v>0</v>
      </c>
      <c r="M869" s="40">
        <v>0</v>
      </c>
      <c r="N869" s="40">
        <v>0</v>
      </c>
      <c r="O869" s="40">
        <v>0</v>
      </c>
      <c r="P869" s="40">
        <v>0</v>
      </c>
      <c r="Q869" s="40">
        <v>0</v>
      </c>
      <c r="R869" s="40">
        <v>0</v>
      </c>
      <c r="S869" s="40">
        <v>0</v>
      </c>
      <c r="T869" s="40">
        <v>0</v>
      </c>
      <c r="U869" s="40">
        <v>0</v>
      </c>
    </row>
    <row r="870" spans="1:21" x14ac:dyDescent="0.2">
      <c r="A870" t="s">
        <v>834</v>
      </c>
      <c r="B870">
        <v>549</v>
      </c>
      <c r="C870">
        <v>1</v>
      </c>
      <c r="D870" t="s">
        <v>237</v>
      </c>
      <c r="E870" s="40">
        <v>0</v>
      </c>
      <c r="F870" s="40">
        <v>0</v>
      </c>
      <c r="G870" s="40">
        <v>0</v>
      </c>
      <c r="H870" s="40">
        <v>0</v>
      </c>
      <c r="I870" s="40">
        <v>0</v>
      </c>
      <c r="J870" s="40">
        <v>0</v>
      </c>
      <c r="K870" s="40">
        <v>0</v>
      </c>
      <c r="L870" s="40">
        <v>0</v>
      </c>
      <c r="M870" s="40">
        <v>0</v>
      </c>
      <c r="N870" s="40">
        <v>0</v>
      </c>
      <c r="O870" s="40">
        <v>0</v>
      </c>
      <c r="P870" s="40">
        <v>0</v>
      </c>
      <c r="Q870" s="40">
        <v>0</v>
      </c>
      <c r="R870" s="40">
        <v>0</v>
      </c>
      <c r="S870" s="40">
        <v>0</v>
      </c>
      <c r="T870" s="40">
        <v>0</v>
      </c>
      <c r="U870" s="40">
        <v>0</v>
      </c>
    </row>
    <row r="871" spans="1:21" x14ac:dyDescent="0.2">
      <c r="A871" t="s">
        <v>834</v>
      </c>
      <c r="B871">
        <v>550</v>
      </c>
      <c r="C871">
        <v>1</v>
      </c>
      <c r="D871" t="s">
        <v>238</v>
      </c>
      <c r="E871" s="40">
        <v>0</v>
      </c>
      <c r="F871" s="40">
        <v>0</v>
      </c>
      <c r="G871" s="40">
        <v>0</v>
      </c>
      <c r="H871" s="40">
        <v>0</v>
      </c>
      <c r="I871" s="40">
        <v>0</v>
      </c>
      <c r="J871" s="40">
        <v>0</v>
      </c>
      <c r="K871" s="40">
        <v>0</v>
      </c>
      <c r="L871" s="40">
        <v>0</v>
      </c>
      <c r="M871" s="40">
        <v>0</v>
      </c>
      <c r="N871" s="40">
        <v>0</v>
      </c>
      <c r="O871" s="40">
        <v>0</v>
      </c>
      <c r="P871" s="40">
        <v>0</v>
      </c>
      <c r="Q871" s="40">
        <v>0</v>
      </c>
      <c r="R871" s="40">
        <v>0</v>
      </c>
      <c r="S871" s="40">
        <v>0</v>
      </c>
      <c r="T871" s="40">
        <v>0</v>
      </c>
      <c r="U871" s="40">
        <v>0</v>
      </c>
    </row>
    <row r="872" spans="1:21" x14ac:dyDescent="0.2">
      <c r="A872" t="s">
        <v>834</v>
      </c>
      <c r="B872">
        <v>553</v>
      </c>
      <c r="C872">
        <v>1</v>
      </c>
      <c r="D872" t="s">
        <v>239</v>
      </c>
      <c r="E872" s="40">
        <v>0</v>
      </c>
      <c r="F872" s="40">
        <v>0</v>
      </c>
      <c r="G872" s="40">
        <v>0</v>
      </c>
      <c r="H872" s="40">
        <v>0</v>
      </c>
      <c r="I872" s="40">
        <v>0</v>
      </c>
      <c r="J872" s="40">
        <v>0</v>
      </c>
      <c r="K872" s="40">
        <v>0</v>
      </c>
      <c r="L872" s="40">
        <v>0</v>
      </c>
      <c r="M872" s="40">
        <v>0</v>
      </c>
      <c r="N872" s="40">
        <v>0</v>
      </c>
      <c r="O872" s="40">
        <v>0</v>
      </c>
      <c r="P872" s="40">
        <v>0</v>
      </c>
      <c r="Q872" s="40">
        <v>0</v>
      </c>
      <c r="R872" s="40">
        <v>0</v>
      </c>
      <c r="S872" s="40">
        <v>0</v>
      </c>
      <c r="T872" s="40">
        <v>0</v>
      </c>
      <c r="U872" s="40">
        <v>0</v>
      </c>
    </row>
    <row r="873" spans="1:21" x14ac:dyDescent="0.2">
      <c r="A873" t="s">
        <v>834</v>
      </c>
      <c r="B873">
        <v>561</v>
      </c>
      <c r="C873">
        <v>1</v>
      </c>
      <c r="D873" t="s">
        <v>240</v>
      </c>
      <c r="E873" s="40">
        <v>0</v>
      </c>
      <c r="F873" s="40">
        <v>0</v>
      </c>
      <c r="G873" s="40">
        <v>0</v>
      </c>
      <c r="H873" s="40">
        <v>0</v>
      </c>
      <c r="I873" s="40">
        <v>0</v>
      </c>
      <c r="J873" s="40">
        <v>0</v>
      </c>
      <c r="K873" s="40">
        <v>0</v>
      </c>
      <c r="L873" s="40">
        <v>0</v>
      </c>
      <c r="M873" s="40">
        <v>0</v>
      </c>
      <c r="N873" s="40">
        <v>0</v>
      </c>
      <c r="O873" s="40">
        <v>0</v>
      </c>
      <c r="P873" s="40">
        <v>0</v>
      </c>
      <c r="Q873" s="40">
        <v>0</v>
      </c>
      <c r="R873" s="40">
        <v>0</v>
      </c>
      <c r="S873" s="40">
        <v>0</v>
      </c>
      <c r="T873" s="40">
        <v>0</v>
      </c>
      <c r="U873" s="40">
        <v>0</v>
      </c>
    </row>
    <row r="874" spans="1:21" x14ac:dyDescent="0.2">
      <c r="A874" t="s">
        <v>834</v>
      </c>
      <c r="B874">
        <v>564</v>
      </c>
      <c r="C874">
        <v>1</v>
      </c>
      <c r="D874" t="s">
        <v>241</v>
      </c>
      <c r="E874" s="40">
        <v>0</v>
      </c>
      <c r="F874" s="40">
        <v>0</v>
      </c>
      <c r="G874" s="40">
        <v>0</v>
      </c>
      <c r="H874" s="40">
        <v>0</v>
      </c>
      <c r="I874" s="40">
        <v>0</v>
      </c>
      <c r="J874" s="40">
        <v>0</v>
      </c>
      <c r="K874" s="40">
        <v>0</v>
      </c>
      <c r="L874" s="40">
        <v>0</v>
      </c>
      <c r="M874" s="40">
        <v>0</v>
      </c>
      <c r="N874" s="40">
        <v>0</v>
      </c>
      <c r="O874" s="40">
        <v>0</v>
      </c>
      <c r="P874" s="40">
        <v>0</v>
      </c>
      <c r="Q874" s="40">
        <v>0</v>
      </c>
      <c r="R874" s="40">
        <v>0</v>
      </c>
      <c r="S874" s="40">
        <v>0</v>
      </c>
      <c r="T874" s="40">
        <v>0</v>
      </c>
      <c r="U874" s="40">
        <v>0</v>
      </c>
    </row>
    <row r="875" spans="1:21" x14ac:dyDescent="0.2">
      <c r="A875" t="s">
        <v>834</v>
      </c>
      <c r="B875">
        <v>577</v>
      </c>
      <c r="C875">
        <v>1</v>
      </c>
      <c r="D875" t="s">
        <v>242</v>
      </c>
      <c r="E875" s="40">
        <v>0</v>
      </c>
      <c r="F875" s="40">
        <v>0</v>
      </c>
      <c r="G875" s="40">
        <v>0</v>
      </c>
      <c r="H875" s="40">
        <v>0</v>
      </c>
      <c r="I875" s="40">
        <v>0</v>
      </c>
      <c r="J875" s="40">
        <v>0</v>
      </c>
      <c r="K875" s="40">
        <v>0</v>
      </c>
      <c r="L875" s="40">
        <v>0</v>
      </c>
      <c r="M875" s="40">
        <v>0</v>
      </c>
      <c r="N875" s="40">
        <v>0</v>
      </c>
      <c r="O875" s="40">
        <v>0</v>
      </c>
      <c r="P875" s="40">
        <v>0</v>
      </c>
      <c r="Q875" s="40">
        <v>0</v>
      </c>
      <c r="R875" s="40">
        <v>0</v>
      </c>
      <c r="S875" s="40">
        <v>0</v>
      </c>
      <c r="T875" s="40">
        <v>0</v>
      </c>
      <c r="U875" s="40">
        <v>0</v>
      </c>
    </row>
    <row r="876" spans="1:21" x14ac:dyDescent="0.2">
      <c r="A876" t="s">
        <v>834</v>
      </c>
      <c r="B876">
        <v>578</v>
      </c>
      <c r="C876">
        <v>1</v>
      </c>
      <c r="D876" t="s">
        <v>243</v>
      </c>
      <c r="E876" s="40">
        <v>0</v>
      </c>
      <c r="F876" s="40">
        <v>0</v>
      </c>
      <c r="G876" s="40">
        <v>0</v>
      </c>
      <c r="H876" s="40">
        <v>0</v>
      </c>
      <c r="I876" s="40">
        <v>0</v>
      </c>
      <c r="J876" s="40">
        <v>0</v>
      </c>
      <c r="K876" s="40">
        <v>0</v>
      </c>
      <c r="L876" s="40">
        <v>0</v>
      </c>
      <c r="M876" s="40">
        <v>0</v>
      </c>
      <c r="N876" s="40">
        <v>0</v>
      </c>
      <c r="O876" s="40">
        <v>0</v>
      </c>
      <c r="P876" s="40">
        <v>0</v>
      </c>
      <c r="Q876" s="40">
        <v>0</v>
      </c>
      <c r="R876" s="40">
        <v>0</v>
      </c>
      <c r="S876" s="40">
        <v>0</v>
      </c>
      <c r="T876" s="40">
        <v>0</v>
      </c>
      <c r="U876" s="40">
        <v>0</v>
      </c>
    </row>
    <row r="877" spans="1:21" x14ac:dyDescent="0.2">
      <c r="A877" t="s">
        <v>834</v>
      </c>
      <c r="B877">
        <v>581</v>
      </c>
      <c r="C877">
        <v>1</v>
      </c>
      <c r="D877" t="s">
        <v>244</v>
      </c>
      <c r="E877" s="40">
        <v>0</v>
      </c>
      <c r="F877" s="40">
        <v>0</v>
      </c>
      <c r="G877" s="40">
        <v>0</v>
      </c>
      <c r="H877" s="40">
        <v>0</v>
      </c>
      <c r="I877" s="40">
        <v>0</v>
      </c>
      <c r="J877" s="40">
        <v>0</v>
      </c>
      <c r="K877" s="40">
        <v>0</v>
      </c>
      <c r="L877" s="40">
        <v>0</v>
      </c>
      <c r="M877" s="40">
        <v>0</v>
      </c>
      <c r="N877" s="40">
        <v>0</v>
      </c>
      <c r="O877" s="40">
        <v>0</v>
      </c>
      <c r="P877" s="40">
        <v>0</v>
      </c>
      <c r="Q877" s="40">
        <v>0</v>
      </c>
      <c r="R877" s="40">
        <v>0</v>
      </c>
      <c r="S877" s="40">
        <v>0</v>
      </c>
      <c r="T877" s="40">
        <v>0</v>
      </c>
      <c r="U877" s="40">
        <v>0</v>
      </c>
    </row>
    <row r="878" spans="1:21" x14ac:dyDescent="0.2">
      <c r="A878" t="s">
        <v>834</v>
      </c>
      <c r="B878">
        <v>584</v>
      </c>
      <c r="C878">
        <v>1</v>
      </c>
      <c r="D878" t="s">
        <v>245</v>
      </c>
      <c r="E878" s="40">
        <v>0</v>
      </c>
      <c r="F878" s="40">
        <v>0</v>
      </c>
      <c r="G878" s="40">
        <v>0</v>
      </c>
      <c r="H878" s="40">
        <v>0</v>
      </c>
      <c r="I878" s="40">
        <v>0</v>
      </c>
      <c r="J878" s="40">
        <v>0</v>
      </c>
      <c r="K878" s="40">
        <v>0</v>
      </c>
      <c r="L878" s="40">
        <v>0</v>
      </c>
      <c r="M878" s="40">
        <v>0</v>
      </c>
      <c r="N878" s="40">
        <v>0</v>
      </c>
      <c r="O878" s="40">
        <v>0</v>
      </c>
      <c r="P878" s="40">
        <v>0</v>
      </c>
      <c r="Q878" s="40">
        <v>0</v>
      </c>
      <c r="R878" s="40">
        <v>0</v>
      </c>
      <c r="S878" s="40">
        <v>0</v>
      </c>
      <c r="T878" s="40">
        <v>0</v>
      </c>
      <c r="U878" s="40">
        <v>0</v>
      </c>
    </row>
    <row r="879" spans="1:21" x14ac:dyDescent="0.2">
      <c r="A879" t="s">
        <v>834</v>
      </c>
      <c r="B879">
        <v>592</v>
      </c>
      <c r="C879">
        <v>1</v>
      </c>
      <c r="D879" t="s">
        <v>246</v>
      </c>
      <c r="E879" s="40">
        <v>0</v>
      </c>
      <c r="F879" s="40">
        <v>0</v>
      </c>
      <c r="G879" s="40">
        <v>0</v>
      </c>
      <c r="H879" s="40">
        <v>1931</v>
      </c>
      <c r="I879" s="40">
        <v>1931</v>
      </c>
      <c r="J879" s="40">
        <v>1931</v>
      </c>
      <c r="K879" s="40">
        <v>1931</v>
      </c>
      <c r="L879" s="40">
        <v>1931</v>
      </c>
      <c r="M879" s="40">
        <v>1931</v>
      </c>
      <c r="N879" s="40">
        <v>1931</v>
      </c>
      <c r="O879" s="40">
        <v>1931</v>
      </c>
      <c r="P879" s="40">
        <v>1931</v>
      </c>
      <c r="Q879" s="40">
        <v>1931</v>
      </c>
      <c r="R879" s="40">
        <v>0</v>
      </c>
      <c r="S879" s="40">
        <v>0</v>
      </c>
      <c r="T879" s="40">
        <v>0</v>
      </c>
      <c r="U879" s="40">
        <v>0</v>
      </c>
    </row>
    <row r="880" spans="1:21" x14ac:dyDescent="0.2">
      <c r="A880" t="s">
        <v>834</v>
      </c>
      <c r="B880">
        <v>593</v>
      </c>
      <c r="C880">
        <v>1</v>
      </c>
      <c r="D880" t="s">
        <v>247</v>
      </c>
      <c r="E880" s="40">
        <v>0</v>
      </c>
      <c r="F880" s="40">
        <v>0</v>
      </c>
      <c r="G880" s="40">
        <v>0</v>
      </c>
      <c r="H880" s="40">
        <v>0</v>
      </c>
      <c r="I880" s="40">
        <v>0</v>
      </c>
      <c r="J880" s="40">
        <v>0</v>
      </c>
      <c r="K880" s="40">
        <v>0</v>
      </c>
      <c r="L880" s="40">
        <v>0</v>
      </c>
      <c r="M880" s="40">
        <v>0</v>
      </c>
      <c r="N880" s="40">
        <v>0</v>
      </c>
      <c r="O880" s="40">
        <v>0</v>
      </c>
      <c r="P880" s="40">
        <v>0</v>
      </c>
      <c r="Q880" s="40">
        <v>0</v>
      </c>
      <c r="R880" s="40">
        <v>0</v>
      </c>
      <c r="S880" s="40">
        <v>0</v>
      </c>
      <c r="T880" s="40">
        <v>0</v>
      </c>
      <c r="U880" s="40">
        <v>0</v>
      </c>
    </row>
    <row r="881" spans="1:21" x14ac:dyDescent="0.2">
      <c r="A881" t="s">
        <v>834</v>
      </c>
      <c r="B881">
        <v>595</v>
      </c>
      <c r="C881">
        <v>1</v>
      </c>
      <c r="D881" t="s">
        <v>248</v>
      </c>
      <c r="E881" s="40">
        <v>0</v>
      </c>
      <c r="F881" s="40">
        <v>0</v>
      </c>
      <c r="G881" s="40">
        <v>0</v>
      </c>
      <c r="H881" s="40">
        <v>0</v>
      </c>
      <c r="I881" s="40">
        <v>0</v>
      </c>
      <c r="J881" s="40">
        <v>0</v>
      </c>
      <c r="K881" s="40">
        <v>0</v>
      </c>
      <c r="L881" s="40">
        <v>0</v>
      </c>
      <c r="M881" s="40">
        <v>0</v>
      </c>
      <c r="N881" s="40">
        <v>0</v>
      </c>
      <c r="O881" s="40">
        <v>0</v>
      </c>
      <c r="P881" s="40">
        <v>0</v>
      </c>
      <c r="Q881" s="40">
        <v>0</v>
      </c>
      <c r="R881" s="40">
        <v>0</v>
      </c>
      <c r="S881" s="40">
        <v>0</v>
      </c>
      <c r="T881" s="40">
        <v>0</v>
      </c>
      <c r="U881" s="40">
        <v>0</v>
      </c>
    </row>
    <row r="882" spans="1:21" x14ac:dyDescent="0.2">
      <c r="A882" t="s">
        <v>834</v>
      </c>
      <c r="B882">
        <v>599</v>
      </c>
      <c r="C882">
        <v>1</v>
      </c>
      <c r="D882" t="s">
        <v>249</v>
      </c>
      <c r="E882" s="40">
        <v>0</v>
      </c>
      <c r="F882" s="40">
        <v>0</v>
      </c>
      <c r="G882" s="40">
        <v>0</v>
      </c>
      <c r="H882" s="40">
        <v>0</v>
      </c>
      <c r="I882" s="40">
        <v>0</v>
      </c>
      <c r="J882" s="40">
        <v>0</v>
      </c>
      <c r="K882" s="40">
        <v>0</v>
      </c>
      <c r="L882" s="40">
        <v>0</v>
      </c>
      <c r="M882" s="40">
        <v>0</v>
      </c>
      <c r="N882" s="40">
        <v>0</v>
      </c>
      <c r="O882" s="40">
        <v>0</v>
      </c>
      <c r="P882" s="40">
        <v>0</v>
      </c>
      <c r="Q882" s="40">
        <v>0</v>
      </c>
      <c r="R882" s="40">
        <v>0</v>
      </c>
      <c r="S882" s="40">
        <v>0</v>
      </c>
      <c r="T882" s="40">
        <v>0</v>
      </c>
      <c r="U882" s="40">
        <v>0</v>
      </c>
    </row>
    <row r="883" spans="1:21" x14ac:dyDescent="0.2">
      <c r="A883" t="s">
        <v>834</v>
      </c>
      <c r="B883">
        <v>600</v>
      </c>
      <c r="C883">
        <v>1</v>
      </c>
      <c r="D883" t="s">
        <v>250</v>
      </c>
      <c r="E883" s="40">
        <v>0</v>
      </c>
      <c r="F883" s="40">
        <v>0</v>
      </c>
      <c r="G883" s="40">
        <v>0</v>
      </c>
      <c r="H883" s="40">
        <v>0</v>
      </c>
      <c r="I883" s="40">
        <v>0</v>
      </c>
      <c r="J883" s="40">
        <v>0</v>
      </c>
      <c r="K883" s="40">
        <v>0</v>
      </c>
      <c r="L883" s="40">
        <v>0</v>
      </c>
      <c r="M883" s="40">
        <v>0</v>
      </c>
      <c r="N883" s="40">
        <v>0</v>
      </c>
      <c r="O883" s="40">
        <v>0</v>
      </c>
      <c r="P883" s="40">
        <v>0</v>
      </c>
      <c r="Q883" s="40">
        <v>0</v>
      </c>
      <c r="R883" s="40">
        <v>0</v>
      </c>
      <c r="S883" s="40">
        <v>0</v>
      </c>
      <c r="T883" s="40">
        <v>0</v>
      </c>
      <c r="U883" s="40">
        <v>0</v>
      </c>
    </row>
    <row r="884" spans="1:21" x14ac:dyDescent="0.2">
      <c r="A884" t="s">
        <v>834</v>
      </c>
      <c r="B884">
        <v>601</v>
      </c>
      <c r="C884">
        <v>1</v>
      </c>
      <c r="D884" t="s">
        <v>251</v>
      </c>
      <c r="E884" s="40">
        <v>0</v>
      </c>
      <c r="F884" s="40">
        <v>0</v>
      </c>
      <c r="G884" s="40">
        <v>0</v>
      </c>
      <c r="H884" s="40">
        <v>0</v>
      </c>
      <c r="I884" s="40">
        <v>0</v>
      </c>
      <c r="J884" s="40">
        <v>0</v>
      </c>
      <c r="K884" s="40">
        <v>0</v>
      </c>
      <c r="L884" s="40">
        <v>0</v>
      </c>
      <c r="M884" s="40">
        <v>0</v>
      </c>
      <c r="N884" s="40">
        <v>0</v>
      </c>
      <c r="O884" s="40">
        <v>0</v>
      </c>
      <c r="P884" s="40">
        <v>0</v>
      </c>
      <c r="Q884" s="40">
        <v>0</v>
      </c>
      <c r="R884" s="40">
        <v>0</v>
      </c>
      <c r="S884" s="40">
        <v>0</v>
      </c>
      <c r="T884" s="40">
        <v>0</v>
      </c>
      <c r="U884" s="40">
        <v>0</v>
      </c>
    </row>
    <row r="885" spans="1:21" x14ac:dyDescent="0.2">
      <c r="A885" t="s">
        <v>834</v>
      </c>
      <c r="B885">
        <v>611</v>
      </c>
      <c r="C885">
        <v>1</v>
      </c>
      <c r="D885" t="s">
        <v>252</v>
      </c>
      <c r="E885" s="40">
        <v>0</v>
      </c>
      <c r="F885" s="40">
        <v>0</v>
      </c>
      <c r="G885" s="40">
        <v>0</v>
      </c>
      <c r="H885" s="40">
        <v>415</v>
      </c>
      <c r="I885" s="40">
        <v>415</v>
      </c>
      <c r="J885" s="40">
        <v>415</v>
      </c>
      <c r="K885" s="40">
        <v>415</v>
      </c>
      <c r="L885" s="40">
        <v>415</v>
      </c>
      <c r="M885" s="40">
        <v>415</v>
      </c>
      <c r="N885" s="40">
        <v>415</v>
      </c>
      <c r="O885" s="40">
        <v>0</v>
      </c>
      <c r="P885" s="40">
        <v>0</v>
      </c>
      <c r="Q885" s="40">
        <v>0</v>
      </c>
      <c r="R885" s="40">
        <v>0</v>
      </c>
      <c r="S885" s="40">
        <v>0</v>
      </c>
      <c r="T885" s="40">
        <v>0</v>
      </c>
      <c r="U885" s="40">
        <v>0</v>
      </c>
    </row>
    <row r="886" spans="1:21" x14ac:dyDescent="0.2">
      <c r="A886" t="s">
        <v>834</v>
      </c>
      <c r="B886">
        <v>621</v>
      </c>
      <c r="C886">
        <v>1</v>
      </c>
      <c r="D886" t="s">
        <v>253</v>
      </c>
      <c r="E886" s="40">
        <v>0</v>
      </c>
      <c r="F886" s="40">
        <v>0</v>
      </c>
      <c r="G886" s="40">
        <v>0</v>
      </c>
      <c r="H886" s="40">
        <v>0</v>
      </c>
      <c r="I886" s="40">
        <v>0</v>
      </c>
      <c r="J886" s="40">
        <v>0</v>
      </c>
      <c r="K886" s="40">
        <v>0</v>
      </c>
      <c r="L886" s="40">
        <v>0</v>
      </c>
      <c r="M886" s="40">
        <v>0</v>
      </c>
      <c r="N886" s="40">
        <v>0</v>
      </c>
      <c r="O886" s="40">
        <v>0</v>
      </c>
      <c r="P886" s="40">
        <v>0</v>
      </c>
      <c r="Q886" s="40">
        <v>0</v>
      </c>
      <c r="R886" s="40">
        <v>0</v>
      </c>
      <c r="S886" s="40">
        <v>0</v>
      </c>
      <c r="T886" s="40">
        <v>0</v>
      </c>
      <c r="U886" s="40">
        <v>0</v>
      </c>
    </row>
    <row r="887" spans="1:21" x14ac:dyDescent="0.2">
      <c r="A887" t="s">
        <v>834</v>
      </c>
      <c r="B887">
        <v>622</v>
      </c>
      <c r="C887">
        <v>1</v>
      </c>
      <c r="D887" t="s">
        <v>254</v>
      </c>
      <c r="E887" s="40">
        <v>0</v>
      </c>
      <c r="F887" s="40">
        <v>0</v>
      </c>
      <c r="G887" s="40">
        <v>0</v>
      </c>
      <c r="H887" s="40">
        <v>827.27</v>
      </c>
      <c r="I887" s="40">
        <v>827.27</v>
      </c>
      <c r="J887" s="40">
        <v>827.27</v>
      </c>
      <c r="K887" s="40">
        <v>827.27</v>
      </c>
      <c r="L887" s="40">
        <v>827.27</v>
      </c>
      <c r="M887" s="40">
        <v>827.27</v>
      </c>
      <c r="N887" s="40">
        <v>827.27</v>
      </c>
      <c r="O887" s="40">
        <v>827.27</v>
      </c>
      <c r="P887" s="40">
        <v>827.27</v>
      </c>
      <c r="Q887" s="40">
        <v>827.27</v>
      </c>
      <c r="R887" s="40">
        <v>0</v>
      </c>
      <c r="S887" s="40">
        <v>0</v>
      </c>
      <c r="T887" s="40">
        <v>0</v>
      </c>
      <c r="U887" s="40">
        <v>0</v>
      </c>
    </row>
    <row r="888" spans="1:21" x14ac:dyDescent="0.2">
      <c r="A888" t="s">
        <v>834</v>
      </c>
      <c r="B888">
        <v>623</v>
      </c>
      <c r="C888">
        <v>1</v>
      </c>
      <c r="D888" t="s">
        <v>255</v>
      </c>
      <c r="E888" s="40">
        <v>0</v>
      </c>
      <c r="F888" s="40">
        <v>0</v>
      </c>
      <c r="G888" s="40">
        <v>0</v>
      </c>
      <c r="H888" s="40">
        <v>227.82</v>
      </c>
      <c r="I888" s="40">
        <v>227.82</v>
      </c>
      <c r="J888" s="40">
        <v>227.82</v>
      </c>
      <c r="K888" s="40">
        <v>227.82</v>
      </c>
      <c r="L888" s="40">
        <v>227.82</v>
      </c>
      <c r="M888" s="40">
        <v>0</v>
      </c>
      <c r="N888" s="40">
        <v>0</v>
      </c>
      <c r="O888" s="40">
        <v>0</v>
      </c>
      <c r="P888" s="40">
        <v>0</v>
      </c>
      <c r="Q888" s="40">
        <v>0</v>
      </c>
      <c r="R888" s="40">
        <v>0</v>
      </c>
      <c r="S888" s="40">
        <v>0</v>
      </c>
      <c r="T888" s="40">
        <v>0</v>
      </c>
      <c r="U888" s="40">
        <v>0</v>
      </c>
    </row>
    <row r="889" spans="1:21" x14ac:dyDescent="0.2">
      <c r="A889" t="s">
        <v>834</v>
      </c>
      <c r="B889">
        <v>624</v>
      </c>
      <c r="C889">
        <v>1</v>
      </c>
      <c r="D889" t="s">
        <v>256</v>
      </c>
      <c r="E889" s="40">
        <v>0</v>
      </c>
      <c r="F889" s="40">
        <v>0</v>
      </c>
      <c r="G889" s="40">
        <v>0</v>
      </c>
      <c r="H889" s="40">
        <v>338.58</v>
      </c>
      <c r="I889" s="40">
        <v>338.58</v>
      </c>
      <c r="J889" s="40">
        <v>338.58</v>
      </c>
      <c r="K889" s="40">
        <v>338.58</v>
      </c>
      <c r="L889" s="40">
        <v>338.58</v>
      </c>
      <c r="M889" s="40">
        <v>0</v>
      </c>
      <c r="N889" s="40">
        <v>0</v>
      </c>
      <c r="O889" s="40">
        <v>0</v>
      </c>
      <c r="P889" s="40">
        <v>0</v>
      </c>
      <c r="Q889" s="40">
        <v>0</v>
      </c>
      <c r="R889" s="40">
        <v>0</v>
      </c>
      <c r="S889" s="40">
        <v>0</v>
      </c>
      <c r="T889" s="40">
        <v>0</v>
      </c>
      <c r="U889" s="40">
        <v>0</v>
      </c>
    </row>
    <row r="890" spans="1:21" x14ac:dyDescent="0.2">
      <c r="A890" t="s">
        <v>834</v>
      </c>
      <c r="B890">
        <v>625</v>
      </c>
      <c r="C890">
        <v>1</v>
      </c>
      <c r="D890" t="s">
        <v>257</v>
      </c>
      <c r="E890" s="40">
        <v>0</v>
      </c>
      <c r="F890" s="40">
        <v>0</v>
      </c>
      <c r="G890" s="40">
        <v>0</v>
      </c>
      <c r="H890" s="40">
        <v>319</v>
      </c>
      <c r="I890" s="40">
        <v>319</v>
      </c>
      <c r="J890" s="40">
        <v>319</v>
      </c>
      <c r="K890" s="40">
        <v>319</v>
      </c>
      <c r="L890" s="40">
        <v>0</v>
      </c>
      <c r="M890" s="40">
        <v>0</v>
      </c>
      <c r="N890" s="40">
        <v>0</v>
      </c>
      <c r="O890" s="40">
        <v>0</v>
      </c>
      <c r="P890" s="40">
        <v>0</v>
      </c>
      <c r="Q890" s="40">
        <v>0</v>
      </c>
      <c r="R890" s="40">
        <v>0</v>
      </c>
      <c r="S890" s="40">
        <v>0</v>
      </c>
      <c r="T890" s="40">
        <v>0</v>
      </c>
      <c r="U890" s="40">
        <v>0</v>
      </c>
    </row>
    <row r="891" spans="1:21" x14ac:dyDescent="0.2">
      <c r="A891" t="s">
        <v>834</v>
      </c>
      <c r="B891">
        <v>627</v>
      </c>
      <c r="C891">
        <v>1</v>
      </c>
      <c r="D891" t="s">
        <v>258</v>
      </c>
      <c r="E891" s="40">
        <v>0</v>
      </c>
      <c r="F891" s="40">
        <v>0</v>
      </c>
      <c r="G891" s="40">
        <v>0</v>
      </c>
      <c r="H891" s="40">
        <v>0</v>
      </c>
      <c r="I891" s="40">
        <v>0</v>
      </c>
      <c r="J891" s="40">
        <v>0</v>
      </c>
      <c r="K891" s="40">
        <v>0</v>
      </c>
      <c r="L891" s="40">
        <v>0</v>
      </c>
      <c r="M891" s="40">
        <v>0</v>
      </c>
      <c r="N891" s="40">
        <v>0</v>
      </c>
      <c r="O891" s="40">
        <v>0</v>
      </c>
      <c r="P891" s="40">
        <v>0</v>
      </c>
      <c r="Q891" s="40">
        <v>0</v>
      </c>
      <c r="R891" s="40">
        <v>0</v>
      </c>
      <c r="S891" s="40">
        <v>0</v>
      </c>
      <c r="T891" s="40">
        <v>0</v>
      </c>
      <c r="U891" s="40">
        <v>0</v>
      </c>
    </row>
    <row r="892" spans="1:21" x14ac:dyDescent="0.2">
      <c r="A892" t="s">
        <v>834</v>
      </c>
      <c r="B892">
        <v>628</v>
      </c>
      <c r="C892">
        <v>1</v>
      </c>
      <c r="D892" t="s">
        <v>259</v>
      </c>
      <c r="E892" s="40">
        <v>0</v>
      </c>
      <c r="F892" s="40">
        <v>0</v>
      </c>
      <c r="G892" s="40">
        <v>0</v>
      </c>
      <c r="H892" s="40">
        <v>0</v>
      </c>
      <c r="I892" s="40">
        <v>0</v>
      </c>
      <c r="J892" s="40">
        <v>0</v>
      </c>
      <c r="K892" s="40">
        <v>0</v>
      </c>
      <c r="L892" s="40">
        <v>0</v>
      </c>
      <c r="M892" s="40">
        <v>0</v>
      </c>
      <c r="N892" s="40">
        <v>0</v>
      </c>
      <c r="O892" s="40">
        <v>0</v>
      </c>
      <c r="P892" s="40">
        <v>0</v>
      </c>
      <c r="Q892" s="40">
        <v>0</v>
      </c>
      <c r="R892" s="40">
        <v>0</v>
      </c>
      <c r="S892" s="40">
        <v>0</v>
      </c>
      <c r="T892" s="40">
        <v>0</v>
      </c>
      <c r="U892" s="40">
        <v>0</v>
      </c>
    </row>
    <row r="893" spans="1:21" x14ac:dyDescent="0.2">
      <c r="A893" t="s">
        <v>834</v>
      </c>
      <c r="B893">
        <v>630</v>
      </c>
      <c r="C893">
        <v>1</v>
      </c>
      <c r="D893" t="s">
        <v>260</v>
      </c>
      <c r="E893" s="40">
        <v>0</v>
      </c>
      <c r="F893" s="40">
        <v>0</v>
      </c>
      <c r="G893" s="40">
        <v>0</v>
      </c>
      <c r="H893" s="40">
        <v>0</v>
      </c>
      <c r="I893" s="40">
        <v>0</v>
      </c>
      <c r="J893" s="40">
        <v>0</v>
      </c>
      <c r="K893" s="40">
        <v>0</v>
      </c>
      <c r="L893" s="40">
        <v>0</v>
      </c>
      <c r="M893" s="40">
        <v>0</v>
      </c>
      <c r="N893" s="40">
        <v>0</v>
      </c>
      <c r="O893" s="40">
        <v>0</v>
      </c>
      <c r="P893" s="40">
        <v>0</v>
      </c>
      <c r="Q893" s="40">
        <v>0</v>
      </c>
      <c r="R893" s="40">
        <v>0</v>
      </c>
      <c r="S893" s="40">
        <v>0</v>
      </c>
      <c r="T893" s="40">
        <v>0</v>
      </c>
      <c r="U893" s="40">
        <v>0</v>
      </c>
    </row>
    <row r="894" spans="1:21" x14ac:dyDescent="0.2">
      <c r="A894" t="s">
        <v>834</v>
      </c>
      <c r="B894">
        <v>635</v>
      </c>
      <c r="C894">
        <v>1</v>
      </c>
      <c r="D894" t="s">
        <v>261</v>
      </c>
      <c r="E894" s="40">
        <v>0</v>
      </c>
      <c r="F894" s="40">
        <v>0</v>
      </c>
      <c r="G894" s="40">
        <v>0</v>
      </c>
      <c r="H894" s="40">
        <v>837.38</v>
      </c>
      <c r="I894" s="40">
        <v>837.38</v>
      </c>
      <c r="J894" s="40">
        <v>837.38</v>
      </c>
      <c r="K894" s="40">
        <v>837.38</v>
      </c>
      <c r="L894" s="40">
        <v>837.38</v>
      </c>
      <c r="M894" s="40">
        <v>0</v>
      </c>
      <c r="N894" s="40">
        <v>0</v>
      </c>
      <c r="O894" s="40">
        <v>0</v>
      </c>
      <c r="P894" s="40">
        <v>0</v>
      </c>
      <c r="Q894" s="40">
        <v>0</v>
      </c>
      <c r="R894" s="40">
        <v>0</v>
      </c>
      <c r="S894" s="40">
        <v>0</v>
      </c>
      <c r="T894" s="40">
        <v>0</v>
      </c>
      <c r="U894" s="40">
        <v>0</v>
      </c>
    </row>
    <row r="895" spans="1:21" x14ac:dyDescent="0.2">
      <c r="A895" t="s">
        <v>834</v>
      </c>
      <c r="B895">
        <v>640</v>
      </c>
      <c r="C895">
        <v>1</v>
      </c>
      <c r="D895" t="s">
        <v>262</v>
      </c>
      <c r="E895" s="40">
        <v>0</v>
      </c>
      <c r="F895" s="40">
        <v>0</v>
      </c>
      <c r="G895" s="40">
        <v>0</v>
      </c>
      <c r="H895" s="40">
        <v>0</v>
      </c>
      <c r="I895" s="40">
        <v>0</v>
      </c>
      <c r="J895" s="40">
        <v>0</v>
      </c>
      <c r="K895" s="40">
        <v>0</v>
      </c>
      <c r="L895" s="40">
        <v>0</v>
      </c>
      <c r="M895" s="40">
        <v>0</v>
      </c>
      <c r="N895" s="40">
        <v>0</v>
      </c>
      <c r="O895" s="40">
        <v>0</v>
      </c>
      <c r="P895" s="40">
        <v>0</v>
      </c>
      <c r="Q895" s="40">
        <v>0</v>
      </c>
      <c r="R895" s="40">
        <v>0</v>
      </c>
      <c r="S895" s="40">
        <v>0</v>
      </c>
      <c r="T895" s="40">
        <v>0</v>
      </c>
      <c r="U895" s="40">
        <v>0</v>
      </c>
    </row>
    <row r="896" spans="1:21" x14ac:dyDescent="0.2">
      <c r="A896" t="s">
        <v>834</v>
      </c>
      <c r="B896">
        <v>656</v>
      </c>
      <c r="C896">
        <v>1</v>
      </c>
      <c r="D896" t="s">
        <v>263</v>
      </c>
      <c r="E896" s="40">
        <v>0</v>
      </c>
      <c r="F896" s="40">
        <v>0</v>
      </c>
      <c r="G896" s="40">
        <v>0</v>
      </c>
      <c r="H896" s="40">
        <v>0</v>
      </c>
      <c r="I896" s="40">
        <v>0</v>
      </c>
      <c r="J896" s="40">
        <v>0</v>
      </c>
      <c r="K896" s="40">
        <v>0</v>
      </c>
      <c r="L896" s="40">
        <v>0</v>
      </c>
      <c r="M896" s="40">
        <v>0</v>
      </c>
      <c r="N896" s="40">
        <v>0</v>
      </c>
      <c r="O896" s="40">
        <v>0</v>
      </c>
      <c r="P896" s="40">
        <v>0</v>
      </c>
      <c r="Q896" s="40">
        <v>0</v>
      </c>
      <c r="R896" s="40">
        <v>0</v>
      </c>
      <c r="S896" s="40">
        <v>0</v>
      </c>
      <c r="T896" s="40">
        <v>0</v>
      </c>
      <c r="U896" s="40">
        <v>0</v>
      </c>
    </row>
    <row r="897" spans="1:21" x14ac:dyDescent="0.2">
      <c r="A897" t="s">
        <v>834</v>
      </c>
      <c r="B897">
        <v>659</v>
      </c>
      <c r="C897">
        <v>1</v>
      </c>
      <c r="D897" t="s">
        <v>264</v>
      </c>
      <c r="E897" s="40">
        <v>0</v>
      </c>
      <c r="F897" s="40">
        <v>0</v>
      </c>
      <c r="G897" s="40">
        <v>0</v>
      </c>
      <c r="H897" s="40">
        <v>0</v>
      </c>
      <c r="I897" s="40">
        <v>0</v>
      </c>
      <c r="J897" s="40">
        <v>0</v>
      </c>
      <c r="K897" s="40">
        <v>0</v>
      </c>
      <c r="L897" s="40">
        <v>0</v>
      </c>
      <c r="M897" s="40">
        <v>0</v>
      </c>
      <c r="N897" s="40">
        <v>0</v>
      </c>
      <c r="O897" s="40">
        <v>0</v>
      </c>
      <c r="P897" s="40">
        <v>0</v>
      </c>
      <c r="Q897" s="40">
        <v>0</v>
      </c>
      <c r="R897" s="40">
        <v>0</v>
      </c>
      <c r="S897" s="40">
        <v>0</v>
      </c>
      <c r="T897" s="40">
        <v>0</v>
      </c>
      <c r="U897" s="40">
        <v>0</v>
      </c>
    </row>
    <row r="898" spans="1:21" x14ac:dyDescent="0.2">
      <c r="A898" t="s">
        <v>834</v>
      </c>
      <c r="B898">
        <v>671</v>
      </c>
      <c r="C898">
        <v>1</v>
      </c>
      <c r="D898" t="s">
        <v>265</v>
      </c>
      <c r="E898" s="40">
        <v>0</v>
      </c>
      <c r="F898" s="40">
        <v>0</v>
      </c>
      <c r="G898" s="40">
        <v>0</v>
      </c>
      <c r="H898" s="40">
        <v>0</v>
      </c>
      <c r="I898" s="40">
        <v>0</v>
      </c>
      <c r="J898" s="40">
        <v>0</v>
      </c>
      <c r="K898" s="40">
        <v>0</v>
      </c>
      <c r="L898" s="40">
        <v>0</v>
      </c>
      <c r="M898" s="40">
        <v>0</v>
      </c>
      <c r="N898" s="40">
        <v>0</v>
      </c>
      <c r="O898" s="40">
        <v>0</v>
      </c>
      <c r="P898" s="40">
        <v>0</v>
      </c>
      <c r="Q898" s="40">
        <v>0</v>
      </c>
      <c r="R898" s="40">
        <v>0</v>
      </c>
      <c r="S898" s="40">
        <v>0</v>
      </c>
      <c r="T898" s="40">
        <v>0</v>
      </c>
      <c r="U898" s="40">
        <v>0</v>
      </c>
    </row>
    <row r="899" spans="1:21" x14ac:dyDescent="0.2">
      <c r="A899" t="s">
        <v>834</v>
      </c>
      <c r="B899">
        <v>676</v>
      </c>
      <c r="C899">
        <v>1</v>
      </c>
      <c r="D899" t="s">
        <v>266</v>
      </c>
      <c r="E899" s="40">
        <v>0</v>
      </c>
      <c r="F899" s="40">
        <v>0</v>
      </c>
      <c r="G899" s="40">
        <v>0</v>
      </c>
      <c r="H899" s="40">
        <v>0</v>
      </c>
      <c r="I899" s="40">
        <v>0</v>
      </c>
      <c r="J899" s="40">
        <v>0</v>
      </c>
      <c r="K899" s="40">
        <v>0</v>
      </c>
      <c r="L899" s="40">
        <v>0</v>
      </c>
      <c r="M899" s="40">
        <v>0</v>
      </c>
      <c r="N899" s="40">
        <v>0</v>
      </c>
      <c r="O899" s="40">
        <v>0</v>
      </c>
      <c r="P899" s="40">
        <v>0</v>
      </c>
      <c r="Q899" s="40">
        <v>0</v>
      </c>
      <c r="R899" s="40">
        <v>0</v>
      </c>
      <c r="S899" s="40">
        <v>0</v>
      </c>
      <c r="T899" s="40">
        <v>0</v>
      </c>
      <c r="U899" s="40">
        <v>0</v>
      </c>
    </row>
    <row r="900" spans="1:21" x14ac:dyDescent="0.2">
      <c r="A900" t="s">
        <v>834</v>
      </c>
      <c r="B900">
        <v>682</v>
      </c>
      <c r="C900">
        <v>1</v>
      </c>
      <c r="D900" t="s">
        <v>267</v>
      </c>
      <c r="E900" s="40">
        <v>0</v>
      </c>
      <c r="F900" s="40">
        <v>0</v>
      </c>
      <c r="G900" s="40">
        <v>0</v>
      </c>
      <c r="H900" s="40">
        <v>0</v>
      </c>
      <c r="I900" s="40">
        <v>0</v>
      </c>
      <c r="J900" s="40">
        <v>0</v>
      </c>
      <c r="K900" s="40">
        <v>0</v>
      </c>
      <c r="L900" s="40">
        <v>0</v>
      </c>
      <c r="M900" s="40">
        <v>0</v>
      </c>
      <c r="N900" s="40">
        <v>0</v>
      </c>
      <c r="O900" s="40">
        <v>0</v>
      </c>
      <c r="P900" s="40">
        <v>0</v>
      </c>
      <c r="Q900" s="40">
        <v>0</v>
      </c>
      <c r="R900" s="40">
        <v>0</v>
      </c>
      <c r="S900" s="40">
        <v>0</v>
      </c>
      <c r="T900" s="40">
        <v>0</v>
      </c>
      <c r="U900" s="40">
        <v>0</v>
      </c>
    </row>
    <row r="901" spans="1:21" x14ac:dyDescent="0.2">
      <c r="A901" t="s">
        <v>834</v>
      </c>
      <c r="B901">
        <v>690</v>
      </c>
      <c r="C901">
        <v>1</v>
      </c>
      <c r="D901" t="s">
        <v>268</v>
      </c>
      <c r="E901" s="40">
        <v>0</v>
      </c>
      <c r="F901" s="40">
        <v>0</v>
      </c>
      <c r="G901" s="40">
        <v>0</v>
      </c>
      <c r="H901" s="40">
        <v>0</v>
      </c>
      <c r="I901" s="40">
        <v>0</v>
      </c>
      <c r="J901" s="40">
        <v>0</v>
      </c>
      <c r="K901" s="40">
        <v>0</v>
      </c>
      <c r="L901" s="40">
        <v>0</v>
      </c>
      <c r="M901" s="40">
        <v>0</v>
      </c>
      <c r="N901" s="40">
        <v>0</v>
      </c>
      <c r="O901" s="40">
        <v>0</v>
      </c>
      <c r="P901" s="40">
        <v>0</v>
      </c>
      <c r="Q901" s="40">
        <v>0</v>
      </c>
      <c r="R901" s="40">
        <v>0</v>
      </c>
      <c r="S901" s="40">
        <v>0</v>
      </c>
      <c r="T901" s="40">
        <v>0</v>
      </c>
      <c r="U901" s="40">
        <v>0</v>
      </c>
    </row>
    <row r="902" spans="1:21" x14ac:dyDescent="0.2">
      <c r="A902" t="s">
        <v>834</v>
      </c>
      <c r="B902">
        <v>695</v>
      </c>
      <c r="C902">
        <v>1</v>
      </c>
      <c r="D902" t="s">
        <v>269</v>
      </c>
      <c r="E902" s="40">
        <v>0</v>
      </c>
      <c r="F902" s="40">
        <v>0</v>
      </c>
      <c r="G902" s="40">
        <v>0</v>
      </c>
      <c r="H902" s="40">
        <v>0</v>
      </c>
      <c r="I902" s="40">
        <v>0</v>
      </c>
      <c r="J902" s="40">
        <v>0</v>
      </c>
      <c r="K902" s="40">
        <v>0</v>
      </c>
      <c r="L902" s="40">
        <v>0</v>
      </c>
      <c r="M902" s="40">
        <v>0</v>
      </c>
      <c r="N902" s="40">
        <v>0</v>
      </c>
      <c r="O902" s="40">
        <v>0</v>
      </c>
      <c r="P902" s="40">
        <v>0</v>
      </c>
      <c r="Q902" s="40">
        <v>0</v>
      </c>
      <c r="R902" s="40">
        <v>0</v>
      </c>
      <c r="S902" s="40">
        <v>0</v>
      </c>
      <c r="T902" s="40">
        <v>0</v>
      </c>
      <c r="U902" s="40">
        <v>0</v>
      </c>
    </row>
    <row r="903" spans="1:21" x14ac:dyDescent="0.2">
      <c r="A903" t="s">
        <v>834</v>
      </c>
      <c r="B903">
        <v>696</v>
      </c>
      <c r="C903">
        <v>1</v>
      </c>
      <c r="D903" t="s">
        <v>270</v>
      </c>
      <c r="E903" s="40">
        <v>0</v>
      </c>
      <c r="F903" s="40">
        <v>0</v>
      </c>
      <c r="G903" s="40">
        <v>0</v>
      </c>
      <c r="H903" s="40">
        <v>0</v>
      </c>
      <c r="I903" s="40">
        <v>0</v>
      </c>
      <c r="J903" s="40">
        <v>0</v>
      </c>
      <c r="K903" s="40">
        <v>0</v>
      </c>
      <c r="L903" s="40">
        <v>0</v>
      </c>
      <c r="M903" s="40">
        <v>0</v>
      </c>
      <c r="N903" s="40">
        <v>0</v>
      </c>
      <c r="O903" s="40">
        <v>0</v>
      </c>
      <c r="P903" s="40">
        <v>0</v>
      </c>
      <c r="Q903" s="40">
        <v>0</v>
      </c>
      <c r="R903" s="40">
        <v>0</v>
      </c>
      <c r="S903" s="40">
        <v>0</v>
      </c>
      <c r="T903" s="40">
        <v>0</v>
      </c>
      <c r="U903" s="40">
        <v>0</v>
      </c>
    </row>
    <row r="904" spans="1:21" x14ac:dyDescent="0.2">
      <c r="A904" t="s">
        <v>834</v>
      </c>
      <c r="B904">
        <v>698</v>
      </c>
      <c r="C904">
        <v>1</v>
      </c>
      <c r="D904" t="s">
        <v>271</v>
      </c>
      <c r="E904" s="40">
        <v>0</v>
      </c>
      <c r="F904" s="40">
        <v>0</v>
      </c>
      <c r="G904" s="40">
        <v>0</v>
      </c>
      <c r="H904" s="40">
        <v>0</v>
      </c>
      <c r="I904" s="40">
        <v>0</v>
      </c>
      <c r="J904" s="40">
        <v>0</v>
      </c>
      <c r="K904" s="40">
        <v>0</v>
      </c>
      <c r="L904" s="40">
        <v>0</v>
      </c>
      <c r="M904" s="40">
        <v>0</v>
      </c>
      <c r="N904" s="40">
        <v>0</v>
      </c>
      <c r="O904" s="40">
        <v>0</v>
      </c>
      <c r="P904" s="40">
        <v>0</v>
      </c>
      <c r="Q904" s="40">
        <v>0</v>
      </c>
      <c r="R904" s="40">
        <v>0</v>
      </c>
      <c r="S904" s="40">
        <v>0</v>
      </c>
      <c r="T904" s="40">
        <v>0</v>
      </c>
      <c r="U904" s="40">
        <v>0</v>
      </c>
    </row>
    <row r="905" spans="1:21" x14ac:dyDescent="0.2">
      <c r="A905" t="s">
        <v>834</v>
      </c>
      <c r="B905">
        <v>700</v>
      </c>
      <c r="C905">
        <v>1</v>
      </c>
      <c r="D905" t="s">
        <v>272</v>
      </c>
      <c r="E905" s="40">
        <v>0</v>
      </c>
      <c r="F905" s="40">
        <v>0</v>
      </c>
      <c r="G905" s="40">
        <v>0</v>
      </c>
      <c r="H905" s="40">
        <v>1</v>
      </c>
      <c r="I905" s="40">
        <v>1</v>
      </c>
      <c r="J905" s="40">
        <v>1</v>
      </c>
      <c r="K905" s="40">
        <v>1</v>
      </c>
      <c r="L905" s="40">
        <v>1</v>
      </c>
      <c r="M905" s="40">
        <v>1</v>
      </c>
      <c r="N905" s="40">
        <v>1</v>
      </c>
      <c r="O905" s="40">
        <v>1</v>
      </c>
      <c r="P905" s="40">
        <v>1</v>
      </c>
      <c r="Q905" s="40">
        <v>1</v>
      </c>
      <c r="R905" s="40">
        <v>0</v>
      </c>
      <c r="S905" s="40">
        <v>0</v>
      </c>
      <c r="T905" s="40">
        <v>0</v>
      </c>
      <c r="U905" s="40">
        <v>0</v>
      </c>
    </row>
    <row r="906" spans="1:21" x14ac:dyDescent="0.2">
      <c r="A906" t="s">
        <v>834</v>
      </c>
      <c r="B906">
        <v>701</v>
      </c>
      <c r="C906">
        <v>1</v>
      </c>
      <c r="D906" t="s">
        <v>273</v>
      </c>
      <c r="E906" s="40">
        <v>0</v>
      </c>
      <c r="F906" s="40">
        <v>0</v>
      </c>
      <c r="G906" s="40">
        <v>0</v>
      </c>
      <c r="H906" s="40">
        <v>0</v>
      </c>
      <c r="I906" s="40">
        <v>0</v>
      </c>
      <c r="J906" s="40">
        <v>0</v>
      </c>
      <c r="K906" s="40">
        <v>0</v>
      </c>
      <c r="L906" s="40">
        <v>0</v>
      </c>
      <c r="M906" s="40">
        <v>0</v>
      </c>
      <c r="N906" s="40">
        <v>0</v>
      </c>
      <c r="O906" s="40">
        <v>0</v>
      </c>
      <c r="P906" s="40">
        <v>0</v>
      </c>
      <c r="Q906" s="40">
        <v>0</v>
      </c>
      <c r="R906" s="40">
        <v>0</v>
      </c>
      <c r="S906" s="40">
        <v>0</v>
      </c>
      <c r="T906" s="40">
        <v>0</v>
      </c>
      <c r="U906" s="40">
        <v>0</v>
      </c>
    </row>
    <row r="907" spans="1:21" x14ac:dyDescent="0.2">
      <c r="A907" t="s">
        <v>834</v>
      </c>
      <c r="B907">
        <v>704</v>
      </c>
      <c r="C907">
        <v>1</v>
      </c>
      <c r="D907" t="s">
        <v>274</v>
      </c>
      <c r="E907" s="40">
        <v>0</v>
      </c>
      <c r="F907" s="40">
        <v>0</v>
      </c>
      <c r="G907" s="40">
        <v>0</v>
      </c>
      <c r="H907" s="40">
        <v>0</v>
      </c>
      <c r="I907" s="40">
        <v>0</v>
      </c>
      <c r="J907" s="40">
        <v>0</v>
      </c>
      <c r="K907" s="40">
        <v>0</v>
      </c>
      <c r="L907" s="40">
        <v>0</v>
      </c>
      <c r="M907" s="40">
        <v>0</v>
      </c>
      <c r="N907" s="40">
        <v>0</v>
      </c>
      <c r="O907" s="40">
        <v>0</v>
      </c>
      <c r="P907" s="40">
        <v>0</v>
      </c>
      <c r="Q907" s="40">
        <v>0</v>
      </c>
      <c r="R907" s="40">
        <v>0</v>
      </c>
      <c r="S907" s="40">
        <v>0</v>
      </c>
      <c r="T907" s="40">
        <v>0</v>
      </c>
      <c r="U907" s="40">
        <v>0</v>
      </c>
    </row>
    <row r="908" spans="1:21" x14ac:dyDescent="0.2">
      <c r="A908" t="s">
        <v>834</v>
      </c>
      <c r="B908">
        <v>706</v>
      </c>
      <c r="C908">
        <v>1</v>
      </c>
      <c r="D908" t="s">
        <v>275</v>
      </c>
      <c r="E908" s="40">
        <v>0</v>
      </c>
      <c r="F908" s="40">
        <v>0</v>
      </c>
      <c r="G908" s="40">
        <v>0</v>
      </c>
      <c r="H908" s="40">
        <v>0</v>
      </c>
      <c r="I908" s="40">
        <v>0</v>
      </c>
      <c r="J908" s="40">
        <v>0</v>
      </c>
      <c r="K908" s="40">
        <v>0</v>
      </c>
      <c r="L908" s="40">
        <v>0</v>
      </c>
      <c r="M908" s="40">
        <v>0</v>
      </c>
      <c r="N908" s="40">
        <v>0</v>
      </c>
      <c r="O908" s="40">
        <v>0</v>
      </c>
      <c r="P908" s="40">
        <v>0</v>
      </c>
      <c r="Q908" s="40">
        <v>0</v>
      </c>
      <c r="R908" s="40">
        <v>0</v>
      </c>
      <c r="S908" s="40">
        <v>0</v>
      </c>
      <c r="T908" s="40">
        <v>0</v>
      </c>
      <c r="U908" s="40">
        <v>0</v>
      </c>
    </row>
    <row r="909" spans="1:21" x14ac:dyDescent="0.2">
      <c r="A909" t="s">
        <v>834</v>
      </c>
      <c r="B909">
        <v>707</v>
      </c>
      <c r="C909">
        <v>1</v>
      </c>
      <c r="D909" t="s">
        <v>276</v>
      </c>
      <c r="E909" s="40">
        <v>0</v>
      </c>
      <c r="F909" s="40">
        <v>0</v>
      </c>
      <c r="G909" s="40">
        <v>0</v>
      </c>
      <c r="H909" s="40">
        <v>0</v>
      </c>
      <c r="I909" s="40">
        <v>0</v>
      </c>
      <c r="J909" s="40">
        <v>0</v>
      </c>
      <c r="K909" s="40">
        <v>0</v>
      </c>
      <c r="L909" s="40">
        <v>0</v>
      </c>
      <c r="M909" s="40">
        <v>0</v>
      </c>
      <c r="N909" s="40">
        <v>0</v>
      </c>
      <c r="O909" s="40">
        <v>0</v>
      </c>
      <c r="P909" s="40">
        <v>0</v>
      </c>
      <c r="Q909" s="40">
        <v>0</v>
      </c>
      <c r="R909" s="40">
        <v>0</v>
      </c>
      <c r="S909" s="40">
        <v>0</v>
      </c>
      <c r="T909" s="40">
        <v>0</v>
      </c>
      <c r="U909" s="40">
        <v>0</v>
      </c>
    </row>
    <row r="910" spans="1:21" x14ac:dyDescent="0.2">
      <c r="A910" t="s">
        <v>834</v>
      </c>
      <c r="B910">
        <v>709</v>
      </c>
      <c r="C910">
        <v>1</v>
      </c>
      <c r="D910" t="s">
        <v>277</v>
      </c>
      <c r="E910" s="40">
        <v>0</v>
      </c>
      <c r="F910" s="40">
        <v>0</v>
      </c>
      <c r="G910" s="40">
        <v>0</v>
      </c>
      <c r="H910" s="40">
        <v>0</v>
      </c>
      <c r="I910" s="40">
        <v>0</v>
      </c>
      <c r="J910" s="40">
        <v>0</v>
      </c>
      <c r="K910" s="40">
        <v>0</v>
      </c>
      <c r="L910" s="40">
        <v>0</v>
      </c>
      <c r="M910" s="40">
        <v>0</v>
      </c>
      <c r="N910" s="40">
        <v>0</v>
      </c>
      <c r="O910" s="40">
        <v>0</v>
      </c>
      <c r="P910" s="40">
        <v>0</v>
      </c>
      <c r="Q910" s="40">
        <v>0</v>
      </c>
      <c r="R910" s="40">
        <v>0</v>
      </c>
      <c r="S910" s="40">
        <v>0</v>
      </c>
      <c r="T910" s="40">
        <v>0</v>
      </c>
      <c r="U910" s="40">
        <v>0</v>
      </c>
    </row>
    <row r="911" spans="1:21" x14ac:dyDescent="0.2">
      <c r="A911" t="s">
        <v>834</v>
      </c>
      <c r="B911">
        <v>712</v>
      </c>
      <c r="C911">
        <v>1</v>
      </c>
      <c r="D911" t="s">
        <v>278</v>
      </c>
      <c r="E911" s="40">
        <v>0</v>
      </c>
      <c r="F911" s="40">
        <v>0</v>
      </c>
      <c r="G911" s="40">
        <v>0</v>
      </c>
      <c r="H911" s="40">
        <v>0</v>
      </c>
      <c r="I911" s="40">
        <v>0</v>
      </c>
      <c r="J911" s="40">
        <v>0</v>
      </c>
      <c r="K911" s="40">
        <v>0</v>
      </c>
      <c r="L911" s="40">
        <v>0</v>
      </c>
      <c r="M911" s="40">
        <v>0</v>
      </c>
      <c r="N911" s="40">
        <v>0</v>
      </c>
      <c r="O911" s="40">
        <v>0</v>
      </c>
      <c r="P911" s="40">
        <v>0</v>
      </c>
      <c r="Q911" s="40">
        <v>0</v>
      </c>
      <c r="R911" s="40">
        <v>0</v>
      </c>
      <c r="S911" s="40">
        <v>0</v>
      </c>
      <c r="T911" s="40">
        <v>0</v>
      </c>
      <c r="U911" s="40">
        <v>0</v>
      </c>
    </row>
    <row r="912" spans="1:21" x14ac:dyDescent="0.2">
      <c r="A912" t="s">
        <v>834</v>
      </c>
      <c r="B912">
        <v>716</v>
      </c>
      <c r="C912">
        <v>1</v>
      </c>
      <c r="D912" t="s">
        <v>279</v>
      </c>
      <c r="E912" s="40">
        <v>0</v>
      </c>
      <c r="F912" s="40">
        <v>0</v>
      </c>
      <c r="G912" s="40">
        <v>0</v>
      </c>
      <c r="H912" s="40">
        <v>0</v>
      </c>
      <c r="I912" s="40">
        <v>0</v>
      </c>
      <c r="J912" s="40">
        <v>0</v>
      </c>
      <c r="K912" s="40">
        <v>0</v>
      </c>
      <c r="L912" s="40">
        <v>0</v>
      </c>
      <c r="M912" s="40">
        <v>0</v>
      </c>
      <c r="N912" s="40">
        <v>0</v>
      </c>
      <c r="O912" s="40">
        <v>0</v>
      </c>
      <c r="P912" s="40">
        <v>0</v>
      </c>
      <c r="Q912" s="40">
        <v>0</v>
      </c>
      <c r="R912" s="40">
        <v>0</v>
      </c>
      <c r="S912" s="40">
        <v>0</v>
      </c>
      <c r="T912" s="40">
        <v>0</v>
      </c>
      <c r="U912" s="40">
        <v>0</v>
      </c>
    </row>
    <row r="913" spans="1:21" x14ac:dyDescent="0.2">
      <c r="A913" t="s">
        <v>834</v>
      </c>
      <c r="B913">
        <v>717</v>
      </c>
      <c r="C913">
        <v>1</v>
      </c>
      <c r="D913" t="s">
        <v>280</v>
      </c>
      <c r="E913" s="40">
        <v>0</v>
      </c>
      <c r="F913" s="40">
        <v>0</v>
      </c>
      <c r="G913" s="40">
        <v>0</v>
      </c>
      <c r="H913" s="40">
        <v>1</v>
      </c>
      <c r="I913" s="40">
        <v>1</v>
      </c>
      <c r="J913" s="40">
        <v>1</v>
      </c>
      <c r="K913" s="40">
        <v>1</v>
      </c>
      <c r="L913" s="40">
        <v>1</v>
      </c>
      <c r="M913" s="40">
        <v>1</v>
      </c>
      <c r="N913" s="40">
        <v>1</v>
      </c>
      <c r="O913" s="40">
        <v>1</v>
      </c>
      <c r="P913" s="40">
        <v>1</v>
      </c>
      <c r="Q913" s="40">
        <v>1</v>
      </c>
      <c r="R913" s="40">
        <v>0</v>
      </c>
      <c r="S913" s="40">
        <v>0</v>
      </c>
      <c r="T913" s="40">
        <v>0</v>
      </c>
      <c r="U913" s="40">
        <v>0</v>
      </c>
    </row>
    <row r="914" spans="1:21" x14ac:dyDescent="0.2">
      <c r="A914" t="s">
        <v>834</v>
      </c>
      <c r="B914">
        <v>719</v>
      </c>
      <c r="C914">
        <v>1</v>
      </c>
      <c r="D914" t="s">
        <v>281</v>
      </c>
      <c r="E914" s="40">
        <v>0</v>
      </c>
      <c r="F914" s="40">
        <v>0</v>
      </c>
      <c r="G914" s="40">
        <v>0</v>
      </c>
      <c r="H914" s="40">
        <v>554.38</v>
      </c>
      <c r="I914" s="40">
        <v>554.38</v>
      </c>
      <c r="J914" s="40">
        <v>554.38</v>
      </c>
      <c r="K914" s="40">
        <v>554.38</v>
      </c>
      <c r="L914" s="40">
        <v>554.38</v>
      </c>
      <c r="M914" s="40">
        <v>554.38</v>
      </c>
      <c r="N914" s="40">
        <v>0</v>
      </c>
      <c r="O914" s="40">
        <v>0</v>
      </c>
      <c r="P914" s="40">
        <v>0</v>
      </c>
      <c r="Q914" s="40">
        <v>0</v>
      </c>
      <c r="R914" s="40">
        <v>0</v>
      </c>
      <c r="S914" s="40">
        <v>0</v>
      </c>
      <c r="T914" s="40">
        <v>0</v>
      </c>
      <c r="U914" s="40">
        <v>0</v>
      </c>
    </row>
    <row r="915" spans="1:21" x14ac:dyDescent="0.2">
      <c r="A915" t="s">
        <v>834</v>
      </c>
      <c r="B915">
        <v>720</v>
      </c>
      <c r="C915">
        <v>1</v>
      </c>
      <c r="D915" t="s">
        <v>282</v>
      </c>
      <c r="E915" s="40">
        <v>0</v>
      </c>
      <c r="F915" s="40">
        <v>0</v>
      </c>
      <c r="G915" s="40">
        <v>0</v>
      </c>
      <c r="H915" s="40">
        <v>540</v>
      </c>
      <c r="I915" s="40">
        <v>540</v>
      </c>
      <c r="J915" s="40">
        <v>540</v>
      </c>
      <c r="K915" s="40">
        <v>540</v>
      </c>
      <c r="L915" s="40">
        <v>540</v>
      </c>
      <c r="M915" s="40">
        <v>540</v>
      </c>
      <c r="N915" s="40">
        <v>540</v>
      </c>
      <c r="O915" s="40">
        <v>0</v>
      </c>
      <c r="P915" s="40">
        <v>0</v>
      </c>
      <c r="Q915" s="40">
        <v>0</v>
      </c>
      <c r="R915" s="40">
        <v>0</v>
      </c>
      <c r="S915" s="40">
        <v>0</v>
      </c>
      <c r="T915" s="40">
        <v>0</v>
      </c>
      <c r="U915" s="40">
        <v>0</v>
      </c>
    </row>
    <row r="916" spans="1:21" x14ac:dyDescent="0.2">
      <c r="A916" t="s">
        <v>834</v>
      </c>
      <c r="B916">
        <v>721</v>
      </c>
      <c r="C916">
        <v>1</v>
      </c>
      <c r="D916" t="s">
        <v>283</v>
      </c>
      <c r="E916" s="40">
        <v>0</v>
      </c>
      <c r="F916" s="40">
        <v>0</v>
      </c>
      <c r="G916" s="40">
        <v>0</v>
      </c>
      <c r="H916" s="40">
        <v>0</v>
      </c>
      <c r="I916" s="40">
        <v>0</v>
      </c>
      <c r="J916" s="40">
        <v>0</v>
      </c>
      <c r="K916" s="40">
        <v>0</v>
      </c>
      <c r="L916" s="40">
        <v>0</v>
      </c>
      <c r="M916" s="40">
        <v>0</v>
      </c>
      <c r="N916" s="40">
        <v>0</v>
      </c>
      <c r="O916" s="40">
        <v>0</v>
      </c>
      <c r="P916" s="40">
        <v>0</v>
      </c>
      <c r="Q916" s="40">
        <v>0</v>
      </c>
      <c r="R916" s="40">
        <v>0</v>
      </c>
      <c r="S916" s="40">
        <v>0</v>
      </c>
      <c r="T916" s="40">
        <v>0</v>
      </c>
      <c r="U916" s="40">
        <v>0</v>
      </c>
    </row>
    <row r="917" spans="1:21" x14ac:dyDescent="0.2">
      <c r="A917" t="s">
        <v>834</v>
      </c>
      <c r="B917">
        <v>726</v>
      </c>
      <c r="C917">
        <v>1</v>
      </c>
      <c r="D917" t="s">
        <v>284</v>
      </c>
      <c r="E917" s="40">
        <v>0</v>
      </c>
      <c r="F917" s="40">
        <v>0</v>
      </c>
      <c r="G917" s="40">
        <v>0</v>
      </c>
      <c r="H917" s="40">
        <v>0</v>
      </c>
      <c r="I917" s="40">
        <v>0</v>
      </c>
      <c r="J917" s="40">
        <v>0</v>
      </c>
      <c r="K917" s="40">
        <v>0</v>
      </c>
      <c r="L917" s="40">
        <v>0</v>
      </c>
      <c r="M917" s="40">
        <v>0</v>
      </c>
      <c r="N917" s="40">
        <v>0</v>
      </c>
      <c r="O917" s="40">
        <v>0</v>
      </c>
      <c r="P917" s="40">
        <v>0</v>
      </c>
      <c r="Q917" s="40">
        <v>0</v>
      </c>
      <c r="R917" s="40">
        <v>0</v>
      </c>
      <c r="S917" s="40">
        <v>0</v>
      </c>
      <c r="T917" s="40">
        <v>0</v>
      </c>
      <c r="U917" s="40">
        <v>0</v>
      </c>
    </row>
    <row r="918" spans="1:21" x14ac:dyDescent="0.2">
      <c r="A918" t="s">
        <v>834</v>
      </c>
      <c r="B918">
        <v>727</v>
      </c>
      <c r="C918">
        <v>1</v>
      </c>
      <c r="D918" t="s">
        <v>285</v>
      </c>
      <c r="E918" s="40">
        <v>0</v>
      </c>
      <c r="F918" s="40">
        <v>0</v>
      </c>
      <c r="G918" s="40">
        <v>0</v>
      </c>
      <c r="H918" s="40">
        <v>0</v>
      </c>
      <c r="I918" s="40">
        <v>0</v>
      </c>
      <c r="J918" s="40">
        <v>0</v>
      </c>
      <c r="K918" s="40">
        <v>0</v>
      </c>
      <c r="L918" s="40">
        <v>0</v>
      </c>
      <c r="M918" s="40">
        <v>0</v>
      </c>
      <c r="N918" s="40">
        <v>0</v>
      </c>
      <c r="O918" s="40">
        <v>0</v>
      </c>
      <c r="P918" s="40">
        <v>0</v>
      </c>
      <c r="Q918" s="40">
        <v>0</v>
      </c>
      <c r="R918" s="40">
        <v>0</v>
      </c>
      <c r="S918" s="40">
        <v>0</v>
      </c>
      <c r="T918" s="40">
        <v>0</v>
      </c>
      <c r="U918" s="40">
        <v>0</v>
      </c>
    </row>
    <row r="919" spans="1:21" x14ac:dyDescent="0.2">
      <c r="A919" t="s">
        <v>834</v>
      </c>
      <c r="B919">
        <v>728</v>
      </c>
      <c r="C919">
        <v>1</v>
      </c>
      <c r="D919" t="s">
        <v>286</v>
      </c>
      <c r="E919" s="40">
        <v>0</v>
      </c>
      <c r="F919" s="40">
        <v>0</v>
      </c>
      <c r="G919" s="40">
        <v>0</v>
      </c>
      <c r="H919" s="40">
        <v>0</v>
      </c>
      <c r="I919" s="40">
        <v>0</v>
      </c>
      <c r="J919" s="40">
        <v>0</v>
      </c>
      <c r="K919" s="40">
        <v>0</v>
      </c>
      <c r="L919" s="40">
        <v>0</v>
      </c>
      <c r="M919" s="40">
        <v>0</v>
      </c>
      <c r="N919" s="40">
        <v>0</v>
      </c>
      <c r="O919" s="40">
        <v>0</v>
      </c>
      <c r="P919" s="40">
        <v>0</v>
      </c>
      <c r="Q919" s="40">
        <v>0</v>
      </c>
      <c r="R919" s="40">
        <v>0</v>
      </c>
      <c r="S919" s="40">
        <v>0</v>
      </c>
      <c r="T919" s="40">
        <v>0</v>
      </c>
      <c r="U919" s="40">
        <v>0</v>
      </c>
    </row>
    <row r="920" spans="1:21" x14ac:dyDescent="0.2">
      <c r="A920" t="s">
        <v>834</v>
      </c>
      <c r="B920">
        <v>738</v>
      </c>
      <c r="C920">
        <v>1</v>
      </c>
      <c r="D920" t="s">
        <v>287</v>
      </c>
      <c r="E920" s="40">
        <v>0</v>
      </c>
      <c r="F920" s="40">
        <v>0</v>
      </c>
      <c r="G920" s="40">
        <v>0</v>
      </c>
      <c r="H920" s="40">
        <v>0</v>
      </c>
      <c r="I920" s="40">
        <v>0</v>
      </c>
      <c r="J920" s="40">
        <v>0</v>
      </c>
      <c r="K920" s="40">
        <v>0</v>
      </c>
      <c r="L920" s="40">
        <v>0</v>
      </c>
      <c r="M920" s="40">
        <v>0</v>
      </c>
      <c r="N920" s="40">
        <v>0</v>
      </c>
      <c r="O920" s="40">
        <v>0</v>
      </c>
      <c r="P920" s="40">
        <v>0</v>
      </c>
      <c r="Q920" s="40">
        <v>0</v>
      </c>
      <c r="R920" s="40">
        <v>0</v>
      </c>
      <c r="S920" s="40">
        <v>0</v>
      </c>
      <c r="T920" s="40">
        <v>0</v>
      </c>
      <c r="U920" s="40">
        <v>0</v>
      </c>
    </row>
    <row r="921" spans="1:21" x14ac:dyDescent="0.2">
      <c r="A921" t="s">
        <v>834</v>
      </c>
      <c r="B921">
        <v>739</v>
      </c>
      <c r="C921">
        <v>1</v>
      </c>
      <c r="D921" t="s">
        <v>288</v>
      </c>
      <c r="E921" s="40">
        <v>0</v>
      </c>
      <c r="F921" s="40">
        <v>0</v>
      </c>
      <c r="G921" s="40">
        <v>0</v>
      </c>
      <c r="H921" s="40">
        <v>0</v>
      </c>
      <c r="I921" s="40">
        <v>0</v>
      </c>
      <c r="J921" s="40">
        <v>0</v>
      </c>
      <c r="K921" s="40">
        <v>0</v>
      </c>
      <c r="L921" s="40">
        <v>0</v>
      </c>
      <c r="M921" s="40">
        <v>0</v>
      </c>
      <c r="N921" s="40">
        <v>0</v>
      </c>
      <c r="O921" s="40">
        <v>0</v>
      </c>
      <c r="P921" s="40">
        <v>0</v>
      </c>
      <c r="Q921" s="40">
        <v>0</v>
      </c>
      <c r="R921" s="40">
        <v>0</v>
      </c>
      <c r="S921" s="40">
        <v>0</v>
      </c>
      <c r="T921" s="40">
        <v>0</v>
      </c>
      <c r="U921" s="40">
        <v>0</v>
      </c>
    </row>
    <row r="922" spans="1:21" x14ac:dyDescent="0.2">
      <c r="A922" t="s">
        <v>834</v>
      </c>
      <c r="B922">
        <v>740</v>
      </c>
      <c r="C922">
        <v>1</v>
      </c>
      <c r="D922" t="s">
        <v>289</v>
      </c>
      <c r="E922" s="40">
        <v>0</v>
      </c>
      <c r="F922" s="40">
        <v>0</v>
      </c>
      <c r="G922" s="40">
        <v>0</v>
      </c>
      <c r="H922" s="40">
        <v>0</v>
      </c>
      <c r="I922" s="40">
        <v>0</v>
      </c>
      <c r="J922" s="40">
        <v>0</v>
      </c>
      <c r="K922" s="40">
        <v>0</v>
      </c>
      <c r="L922" s="40">
        <v>0</v>
      </c>
      <c r="M922" s="40">
        <v>0</v>
      </c>
      <c r="N922" s="40">
        <v>0</v>
      </c>
      <c r="O922" s="40">
        <v>0</v>
      </c>
      <c r="P922" s="40">
        <v>0</v>
      </c>
      <c r="Q922" s="40">
        <v>0</v>
      </c>
      <c r="R922" s="40">
        <v>0</v>
      </c>
      <c r="S922" s="40">
        <v>0</v>
      </c>
      <c r="T922" s="40">
        <v>0</v>
      </c>
      <c r="U922" s="40">
        <v>0</v>
      </c>
    </row>
    <row r="923" spans="1:21" x14ac:dyDescent="0.2">
      <c r="A923" t="s">
        <v>834</v>
      </c>
      <c r="B923">
        <v>741</v>
      </c>
      <c r="C923">
        <v>1</v>
      </c>
      <c r="D923" t="s">
        <v>290</v>
      </c>
      <c r="E923" s="40">
        <v>0</v>
      </c>
      <c r="F923" s="40">
        <v>0</v>
      </c>
      <c r="G923" s="40">
        <v>0</v>
      </c>
      <c r="H923" s="40">
        <v>415</v>
      </c>
      <c r="I923" s="40">
        <v>415</v>
      </c>
      <c r="J923" s="40">
        <v>415</v>
      </c>
      <c r="K923" s="40">
        <v>415</v>
      </c>
      <c r="L923" s="40">
        <v>415</v>
      </c>
      <c r="M923" s="40">
        <v>415</v>
      </c>
      <c r="N923" s="40">
        <v>415</v>
      </c>
      <c r="O923" s="40">
        <v>415</v>
      </c>
      <c r="P923" s="40">
        <v>415</v>
      </c>
      <c r="Q923" s="40">
        <v>415</v>
      </c>
      <c r="R923" s="40">
        <v>0</v>
      </c>
      <c r="S923" s="40">
        <v>0</v>
      </c>
      <c r="T923" s="40">
        <v>0</v>
      </c>
      <c r="U923" s="40">
        <v>0</v>
      </c>
    </row>
    <row r="924" spans="1:21" x14ac:dyDescent="0.2">
      <c r="A924" t="s">
        <v>834</v>
      </c>
      <c r="B924">
        <v>742</v>
      </c>
      <c r="C924">
        <v>1</v>
      </c>
      <c r="D924" t="s">
        <v>291</v>
      </c>
      <c r="E924" s="40">
        <v>0</v>
      </c>
      <c r="F924" s="40">
        <v>0</v>
      </c>
      <c r="G924" s="40">
        <v>0</v>
      </c>
      <c r="H924" s="40">
        <v>0</v>
      </c>
      <c r="I924" s="40">
        <v>0</v>
      </c>
      <c r="J924" s="40">
        <v>0</v>
      </c>
      <c r="K924" s="40">
        <v>0</v>
      </c>
      <c r="L924" s="40">
        <v>0</v>
      </c>
      <c r="M924" s="40">
        <v>0</v>
      </c>
      <c r="N924" s="40">
        <v>0</v>
      </c>
      <c r="O924" s="40">
        <v>0</v>
      </c>
      <c r="P924" s="40">
        <v>0</v>
      </c>
      <c r="Q924" s="40">
        <v>0</v>
      </c>
      <c r="R924" s="40">
        <v>0</v>
      </c>
      <c r="S924" s="40">
        <v>0</v>
      </c>
      <c r="T924" s="40">
        <v>0</v>
      </c>
      <c r="U924" s="40">
        <v>0</v>
      </c>
    </row>
    <row r="925" spans="1:21" x14ac:dyDescent="0.2">
      <c r="A925" t="s">
        <v>834</v>
      </c>
      <c r="B925">
        <v>743</v>
      </c>
      <c r="C925">
        <v>1</v>
      </c>
      <c r="D925" t="s">
        <v>292</v>
      </c>
      <c r="E925" s="40">
        <v>0</v>
      </c>
      <c r="F925" s="40">
        <v>0</v>
      </c>
      <c r="G925" s="40">
        <v>0</v>
      </c>
      <c r="H925" s="40">
        <v>0</v>
      </c>
      <c r="I925" s="40">
        <v>0</v>
      </c>
      <c r="J925" s="40">
        <v>0</v>
      </c>
      <c r="K925" s="40">
        <v>0</v>
      </c>
      <c r="L925" s="40">
        <v>0</v>
      </c>
      <c r="M925" s="40">
        <v>0</v>
      </c>
      <c r="N925" s="40">
        <v>0</v>
      </c>
      <c r="O925" s="40">
        <v>0</v>
      </c>
      <c r="P925" s="40">
        <v>0</v>
      </c>
      <c r="Q925" s="40">
        <v>0</v>
      </c>
      <c r="R925" s="40">
        <v>0</v>
      </c>
      <c r="S925" s="40">
        <v>0</v>
      </c>
      <c r="T925" s="40">
        <v>0</v>
      </c>
      <c r="U925" s="40">
        <v>0</v>
      </c>
    </row>
    <row r="926" spans="1:21" x14ac:dyDescent="0.2">
      <c r="A926" t="s">
        <v>834</v>
      </c>
      <c r="B926">
        <v>745</v>
      </c>
      <c r="C926">
        <v>1</v>
      </c>
      <c r="D926" t="s">
        <v>293</v>
      </c>
      <c r="E926" s="40">
        <v>0</v>
      </c>
      <c r="F926" s="40">
        <v>0</v>
      </c>
      <c r="G926" s="40">
        <v>0</v>
      </c>
      <c r="H926" s="40">
        <v>0</v>
      </c>
      <c r="I926" s="40">
        <v>0</v>
      </c>
      <c r="J926" s="40">
        <v>0</v>
      </c>
      <c r="K926" s="40">
        <v>0</v>
      </c>
      <c r="L926" s="40">
        <v>0</v>
      </c>
      <c r="M926" s="40">
        <v>0</v>
      </c>
      <c r="N926" s="40">
        <v>0</v>
      </c>
      <c r="O926" s="40">
        <v>0</v>
      </c>
      <c r="P926" s="40">
        <v>0</v>
      </c>
      <c r="Q926" s="40">
        <v>0</v>
      </c>
      <c r="R926" s="40">
        <v>0</v>
      </c>
      <c r="S926" s="40">
        <v>0</v>
      </c>
      <c r="T926" s="40">
        <v>0</v>
      </c>
      <c r="U926" s="40">
        <v>0</v>
      </c>
    </row>
    <row r="927" spans="1:21" x14ac:dyDescent="0.2">
      <c r="A927" t="s">
        <v>834</v>
      </c>
      <c r="B927">
        <v>748</v>
      </c>
      <c r="C927">
        <v>1</v>
      </c>
      <c r="D927" t="s">
        <v>294</v>
      </c>
      <c r="E927" s="40">
        <v>0</v>
      </c>
      <c r="F927" s="40">
        <v>0</v>
      </c>
      <c r="G927" s="40">
        <v>0</v>
      </c>
      <c r="H927" s="40">
        <v>0</v>
      </c>
      <c r="I927" s="40">
        <v>0</v>
      </c>
      <c r="J927" s="40">
        <v>0</v>
      </c>
      <c r="K927" s="40">
        <v>0</v>
      </c>
      <c r="L927" s="40">
        <v>0</v>
      </c>
      <c r="M927" s="40">
        <v>0</v>
      </c>
      <c r="N927" s="40">
        <v>0</v>
      </c>
      <c r="O927" s="40">
        <v>0</v>
      </c>
      <c r="P927" s="40">
        <v>0</v>
      </c>
      <c r="Q927" s="40">
        <v>0</v>
      </c>
      <c r="R927" s="40">
        <v>0</v>
      </c>
      <c r="S927" s="40">
        <v>0</v>
      </c>
      <c r="T927" s="40">
        <v>0</v>
      </c>
      <c r="U927" s="40">
        <v>0</v>
      </c>
    </row>
    <row r="928" spans="1:21" x14ac:dyDescent="0.2">
      <c r="A928" t="s">
        <v>834</v>
      </c>
      <c r="B928">
        <v>750</v>
      </c>
      <c r="C928">
        <v>1</v>
      </c>
      <c r="D928" t="s">
        <v>295</v>
      </c>
      <c r="E928" s="40">
        <v>0</v>
      </c>
      <c r="F928" s="40">
        <v>0</v>
      </c>
      <c r="G928" s="40">
        <v>0</v>
      </c>
      <c r="H928" s="40">
        <v>0</v>
      </c>
      <c r="I928" s="40">
        <v>0</v>
      </c>
      <c r="J928" s="40">
        <v>0</v>
      </c>
      <c r="K928" s="40">
        <v>0</v>
      </c>
      <c r="L928" s="40">
        <v>0</v>
      </c>
      <c r="M928" s="40">
        <v>0</v>
      </c>
      <c r="N928" s="40">
        <v>0</v>
      </c>
      <c r="O928" s="40">
        <v>0</v>
      </c>
      <c r="P928" s="40">
        <v>0</v>
      </c>
      <c r="Q928" s="40">
        <v>0</v>
      </c>
      <c r="R928" s="40">
        <v>0</v>
      </c>
      <c r="S928" s="40">
        <v>0</v>
      </c>
      <c r="T928" s="40">
        <v>0</v>
      </c>
      <c r="U928" s="40">
        <v>0</v>
      </c>
    </row>
    <row r="929" spans="1:21" x14ac:dyDescent="0.2">
      <c r="A929" t="s">
        <v>834</v>
      </c>
      <c r="B929">
        <v>756</v>
      </c>
      <c r="C929">
        <v>1</v>
      </c>
      <c r="D929" t="s">
        <v>296</v>
      </c>
      <c r="E929" s="40">
        <v>0</v>
      </c>
      <c r="F929" s="40">
        <v>0</v>
      </c>
      <c r="G929" s="40">
        <v>0</v>
      </c>
      <c r="H929" s="40">
        <v>0</v>
      </c>
      <c r="I929" s="40">
        <v>0</v>
      </c>
      <c r="J929" s="40">
        <v>0</v>
      </c>
      <c r="K929" s="40">
        <v>0</v>
      </c>
      <c r="L929" s="40">
        <v>0</v>
      </c>
      <c r="M929" s="40">
        <v>0</v>
      </c>
      <c r="N929" s="40">
        <v>0</v>
      </c>
      <c r="O929" s="40">
        <v>0</v>
      </c>
      <c r="P929" s="40">
        <v>0</v>
      </c>
      <c r="Q929" s="40">
        <v>0</v>
      </c>
      <c r="R929" s="40">
        <v>0</v>
      </c>
      <c r="S929" s="40">
        <v>0</v>
      </c>
      <c r="T929" s="40">
        <v>0</v>
      </c>
      <c r="U929" s="40">
        <v>0</v>
      </c>
    </row>
    <row r="930" spans="1:21" x14ac:dyDescent="0.2">
      <c r="A930" t="s">
        <v>834</v>
      </c>
      <c r="B930">
        <v>761</v>
      </c>
      <c r="C930">
        <v>1</v>
      </c>
      <c r="D930" t="s">
        <v>297</v>
      </c>
      <c r="E930" s="40">
        <v>0</v>
      </c>
      <c r="F930" s="40">
        <v>0</v>
      </c>
      <c r="G930" s="40">
        <v>0</v>
      </c>
      <c r="H930" s="40">
        <v>680</v>
      </c>
      <c r="I930" s="40">
        <v>680</v>
      </c>
      <c r="J930" s="40">
        <v>680</v>
      </c>
      <c r="K930" s="40">
        <v>680</v>
      </c>
      <c r="L930" s="40">
        <v>680</v>
      </c>
      <c r="M930" s="40">
        <v>680</v>
      </c>
      <c r="N930" s="40">
        <v>680</v>
      </c>
      <c r="O930" s="40">
        <v>680</v>
      </c>
      <c r="P930" s="40">
        <v>680</v>
      </c>
      <c r="Q930" s="40">
        <v>680</v>
      </c>
      <c r="R930" s="40">
        <v>0</v>
      </c>
      <c r="S930" s="40">
        <v>0</v>
      </c>
      <c r="T930" s="40">
        <v>0</v>
      </c>
      <c r="U930" s="40">
        <v>0</v>
      </c>
    </row>
    <row r="931" spans="1:21" x14ac:dyDescent="0.2">
      <c r="A931" t="s">
        <v>834</v>
      </c>
      <c r="B931">
        <v>763</v>
      </c>
      <c r="C931">
        <v>1</v>
      </c>
      <c r="D931" t="s">
        <v>298</v>
      </c>
      <c r="E931" s="40">
        <v>0</v>
      </c>
      <c r="F931" s="40">
        <v>0</v>
      </c>
      <c r="G931" s="40">
        <v>0</v>
      </c>
      <c r="H931" s="40">
        <v>0</v>
      </c>
      <c r="I931" s="40">
        <v>0</v>
      </c>
      <c r="J931" s="40">
        <v>0</v>
      </c>
      <c r="K931" s="40">
        <v>0</v>
      </c>
      <c r="L931" s="40">
        <v>0</v>
      </c>
      <c r="M931" s="40">
        <v>0</v>
      </c>
      <c r="N931" s="40">
        <v>0</v>
      </c>
      <c r="O931" s="40">
        <v>0</v>
      </c>
      <c r="P931" s="40">
        <v>0</v>
      </c>
      <c r="Q931" s="40">
        <v>0</v>
      </c>
      <c r="R931" s="40">
        <v>0</v>
      </c>
      <c r="S931" s="40">
        <v>0</v>
      </c>
      <c r="T931" s="40">
        <v>0</v>
      </c>
      <c r="U931" s="40">
        <v>0</v>
      </c>
    </row>
    <row r="932" spans="1:21" x14ac:dyDescent="0.2">
      <c r="A932" t="s">
        <v>834</v>
      </c>
      <c r="B932">
        <v>768</v>
      </c>
      <c r="C932">
        <v>1</v>
      </c>
      <c r="D932" t="s">
        <v>299</v>
      </c>
      <c r="E932" s="40">
        <v>0</v>
      </c>
      <c r="F932" s="40">
        <v>0</v>
      </c>
      <c r="G932" s="40">
        <v>0</v>
      </c>
      <c r="H932" s="40">
        <v>800</v>
      </c>
      <c r="I932" s="40">
        <v>800</v>
      </c>
      <c r="J932" s="40">
        <v>800</v>
      </c>
      <c r="K932" s="40">
        <v>800</v>
      </c>
      <c r="L932" s="40">
        <v>800</v>
      </c>
      <c r="M932" s="40">
        <v>800</v>
      </c>
      <c r="N932" s="40">
        <v>800</v>
      </c>
      <c r="O932" s="40">
        <v>800</v>
      </c>
      <c r="P932" s="40">
        <v>800</v>
      </c>
      <c r="Q932" s="40">
        <v>800</v>
      </c>
      <c r="R932" s="40">
        <v>0</v>
      </c>
      <c r="S932" s="40">
        <v>0</v>
      </c>
      <c r="T932" s="40">
        <v>0</v>
      </c>
      <c r="U932" s="40">
        <v>0</v>
      </c>
    </row>
    <row r="933" spans="1:21" x14ac:dyDescent="0.2">
      <c r="A933" t="s">
        <v>834</v>
      </c>
      <c r="B933">
        <v>769</v>
      </c>
      <c r="C933">
        <v>1</v>
      </c>
      <c r="D933" t="s">
        <v>300</v>
      </c>
      <c r="E933" s="40">
        <v>0</v>
      </c>
      <c r="F933" s="40">
        <v>0</v>
      </c>
      <c r="G933" s="40">
        <v>0</v>
      </c>
      <c r="H933" s="40">
        <v>0</v>
      </c>
      <c r="I933" s="40">
        <v>0</v>
      </c>
      <c r="J933" s="40">
        <v>0</v>
      </c>
      <c r="K933" s="40">
        <v>0</v>
      </c>
      <c r="L933" s="40">
        <v>0</v>
      </c>
      <c r="M933" s="40">
        <v>0</v>
      </c>
      <c r="N933" s="40">
        <v>0</v>
      </c>
      <c r="O933" s="40">
        <v>0</v>
      </c>
      <c r="P933" s="40">
        <v>0</v>
      </c>
      <c r="Q933" s="40">
        <v>0</v>
      </c>
      <c r="R933" s="40">
        <v>0</v>
      </c>
      <c r="S933" s="40">
        <v>0</v>
      </c>
      <c r="T933" s="40">
        <v>0</v>
      </c>
      <c r="U933" s="40">
        <v>0</v>
      </c>
    </row>
    <row r="934" spans="1:21" x14ac:dyDescent="0.2">
      <c r="A934" t="s">
        <v>834</v>
      </c>
      <c r="B934">
        <v>771</v>
      </c>
      <c r="C934">
        <v>1</v>
      </c>
      <c r="D934" t="s">
        <v>301</v>
      </c>
      <c r="E934" s="40">
        <v>0</v>
      </c>
      <c r="F934" s="40">
        <v>0</v>
      </c>
      <c r="G934" s="40">
        <v>0</v>
      </c>
      <c r="H934" s="40">
        <v>0</v>
      </c>
      <c r="I934" s="40">
        <v>0</v>
      </c>
      <c r="J934" s="40">
        <v>0</v>
      </c>
      <c r="K934" s="40">
        <v>0</v>
      </c>
      <c r="L934" s="40">
        <v>0</v>
      </c>
      <c r="M934" s="40">
        <v>0</v>
      </c>
      <c r="N934" s="40">
        <v>0</v>
      </c>
      <c r="O934" s="40">
        <v>0</v>
      </c>
      <c r="P934" s="40">
        <v>0</v>
      </c>
      <c r="Q934" s="40">
        <v>0</v>
      </c>
      <c r="R934" s="40">
        <v>0</v>
      </c>
      <c r="S934" s="40">
        <v>0</v>
      </c>
      <c r="T934" s="40">
        <v>0</v>
      </c>
      <c r="U934" s="40">
        <v>0</v>
      </c>
    </row>
    <row r="935" spans="1:21" x14ac:dyDescent="0.2">
      <c r="A935" t="s">
        <v>834</v>
      </c>
      <c r="B935">
        <v>775</v>
      </c>
      <c r="C935">
        <v>1</v>
      </c>
      <c r="D935" t="s">
        <v>302</v>
      </c>
      <c r="E935" s="40">
        <v>0</v>
      </c>
      <c r="F935" s="40">
        <v>0</v>
      </c>
      <c r="G935" s="40">
        <v>0</v>
      </c>
      <c r="H935" s="40">
        <v>0</v>
      </c>
      <c r="I935" s="40">
        <v>0</v>
      </c>
      <c r="J935" s="40">
        <v>0</v>
      </c>
      <c r="K935" s="40">
        <v>0</v>
      </c>
      <c r="L935" s="40">
        <v>0</v>
      </c>
      <c r="M935" s="40">
        <v>0</v>
      </c>
      <c r="N935" s="40">
        <v>0</v>
      </c>
      <c r="O935" s="40">
        <v>0</v>
      </c>
      <c r="P935" s="40">
        <v>0</v>
      </c>
      <c r="Q935" s="40">
        <v>0</v>
      </c>
      <c r="R935" s="40">
        <v>0</v>
      </c>
      <c r="S935" s="40">
        <v>0</v>
      </c>
      <c r="T935" s="40">
        <v>0</v>
      </c>
      <c r="U935" s="40">
        <v>0</v>
      </c>
    </row>
    <row r="936" spans="1:21" x14ac:dyDescent="0.2">
      <c r="A936" t="s">
        <v>834</v>
      </c>
      <c r="B936">
        <v>777</v>
      </c>
      <c r="C936">
        <v>1</v>
      </c>
      <c r="D936" t="s">
        <v>303</v>
      </c>
      <c r="E936" s="40">
        <v>0</v>
      </c>
      <c r="F936" s="40">
        <v>0</v>
      </c>
      <c r="G936" s="40">
        <v>0</v>
      </c>
      <c r="H936" s="40">
        <v>0</v>
      </c>
      <c r="I936" s="40">
        <v>0</v>
      </c>
      <c r="J936" s="40">
        <v>0</v>
      </c>
      <c r="K936" s="40">
        <v>0</v>
      </c>
      <c r="L936" s="40">
        <v>0</v>
      </c>
      <c r="M936" s="40">
        <v>0</v>
      </c>
      <c r="N936" s="40">
        <v>0</v>
      </c>
      <c r="O936" s="40">
        <v>0</v>
      </c>
      <c r="P936" s="40">
        <v>0</v>
      </c>
      <c r="Q936" s="40">
        <v>0</v>
      </c>
      <c r="R936" s="40">
        <v>0</v>
      </c>
      <c r="S936" s="40">
        <v>0</v>
      </c>
      <c r="T936" s="40">
        <v>0</v>
      </c>
      <c r="U936" s="40">
        <v>0</v>
      </c>
    </row>
    <row r="937" spans="1:21" x14ac:dyDescent="0.2">
      <c r="A937" t="s">
        <v>834</v>
      </c>
      <c r="B937">
        <v>786</v>
      </c>
      <c r="C937">
        <v>1</v>
      </c>
      <c r="D937" t="s">
        <v>304</v>
      </c>
      <c r="E937" s="40">
        <v>0</v>
      </c>
      <c r="F937" s="40">
        <v>0</v>
      </c>
      <c r="G937" s="40">
        <v>0</v>
      </c>
      <c r="H937" s="40">
        <v>0</v>
      </c>
      <c r="I937" s="40">
        <v>0</v>
      </c>
      <c r="J937" s="40">
        <v>0</v>
      </c>
      <c r="K937" s="40">
        <v>0</v>
      </c>
      <c r="L937" s="40">
        <v>0</v>
      </c>
      <c r="M937" s="40">
        <v>0</v>
      </c>
      <c r="N937" s="40">
        <v>0</v>
      </c>
      <c r="O937" s="40">
        <v>0</v>
      </c>
      <c r="P937" s="40">
        <v>0</v>
      </c>
      <c r="Q937" s="40">
        <v>0</v>
      </c>
      <c r="R937" s="40">
        <v>0</v>
      </c>
      <c r="S937" s="40">
        <v>0</v>
      </c>
      <c r="T937" s="40">
        <v>0</v>
      </c>
      <c r="U937" s="40">
        <v>0</v>
      </c>
    </row>
    <row r="938" spans="1:21" x14ac:dyDescent="0.2">
      <c r="A938" t="s">
        <v>834</v>
      </c>
      <c r="B938">
        <v>787</v>
      </c>
      <c r="C938">
        <v>1</v>
      </c>
      <c r="D938" t="s">
        <v>305</v>
      </c>
      <c r="E938" s="40">
        <v>0</v>
      </c>
      <c r="F938" s="40">
        <v>0</v>
      </c>
      <c r="G938" s="40">
        <v>0</v>
      </c>
      <c r="H938" s="40">
        <v>0</v>
      </c>
      <c r="I938" s="40">
        <v>0</v>
      </c>
      <c r="J938" s="40">
        <v>0</v>
      </c>
      <c r="K938" s="40">
        <v>0</v>
      </c>
      <c r="L938" s="40">
        <v>0</v>
      </c>
      <c r="M938" s="40">
        <v>0</v>
      </c>
      <c r="N938" s="40">
        <v>0</v>
      </c>
      <c r="O938" s="40">
        <v>0</v>
      </c>
      <c r="P938" s="40">
        <v>0</v>
      </c>
      <c r="Q938" s="40">
        <v>0</v>
      </c>
      <c r="R938" s="40">
        <v>0</v>
      </c>
      <c r="S938" s="40">
        <v>0</v>
      </c>
      <c r="T938" s="40">
        <v>0</v>
      </c>
      <c r="U938" s="40">
        <v>0</v>
      </c>
    </row>
    <row r="939" spans="1:21" x14ac:dyDescent="0.2">
      <c r="A939" t="s">
        <v>834</v>
      </c>
      <c r="B939">
        <v>801</v>
      </c>
      <c r="C939">
        <v>1</v>
      </c>
      <c r="D939" t="s">
        <v>306</v>
      </c>
      <c r="E939" s="40">
        <v>0</v>
      </c>
      <c r="F939" s="40">
        <v>0</v>
      </c>
      <c r="G939" s="40">
        <v>0</v>
      </c>
      <c r="H939" s="40">
        <v>0</v>
      </c>
      <c r="I939" s="40">
        <v>0</v>
      </c>
      <c r="J939" s="40">
        <v>0</v>
      </c>
      <c r="K939" s="40">
        <v>0</v>
      </c>
      <c r="L939" s="40">
        <v>0</v>
      </c>
      <c r="M939" s="40">
        <v>0</v>
      </c>
      <c r="N939" s="40">
        <v>0</v>
      </c>
      <c r="O939" s="40">
        <v>0</v>
      </c>
      <c r="P939" s="40">
        <v>0</v>
      </c>
      <c r="Q939" s="40">
        <v>0</v>
      </c>
      <c r="R939" s="40">
        <v>0</v>
      </c>
      <c r="S939" s="40">
        <v>0</v>
      </c>
      <c r="T939" s="40">
        <v>0</v>
      </c>
      <c r="U939" s="40">
        <v>0</v>
      </c>
    </row>
    <row r="940" spans="1:21" x14ac:dyDescent="0.2">
      <c r="A940" t="s">
        <v>834</v>
      </c>
      <c r="B940">
        <v>803</v>
      </c>
      <c r="C940">
        <v>1</v>
      </c>
      <c r="D940" t="s">
        <v>307</v>
      </c>
      <c r="E940" s="40">
        <v>0</v>
      </c>
      <c r="F940" s="40">
        <v>0</v>
      </c>
      <c r="G940" s="40">
        <v>0</v>
      </c>
      <c r="H940" s="40">
        <v>0</v>
      </c>
      <c r="I940" s="40">
        <v>0</v>
      </c>
      <c r="J940" s="40">
        <v>0</v>
      </c>
      <c r="K940" s="40">
        <v>0</v>
      </c>
      <c r="L940" s="40">
        <v>0</v>
      </c>
      <c r="M940" s="40">
        <v>0</v>
      </c>
      <c r="N940" s="40">
        <v>0</v>
      </c>
      <c r="O940" s="40">
        <v>0</v>
      </c>
      <c r="P940" s="40">
        <v>0</v>
      </c>
      <c r="Q940" s="40">
        <v>0</v>
      </c>
      <c r="R940" s="40">
        <v>0</v>
      </c>
      <c r="S940" s="40">
        <v>0</v>
      </c>
      <c r="T940" s="40">
        <v>0</v>
      </c>
      <c r="U940" s="40">
        <v>0</v>
      </c>
    </row>
    <row r="941" spans="1:21" x14ac:dyDescent="0.2">
      <c r="A941" t="s">
        <v>834</v>
      </c>
      <c r="B941">
        <v>806</v>
      </c>
      <c r="C941">
        <v>1</v>
      </c>
      <c r="D941" t="s">
        <v>308</v>
      </c>
      <c r="E941" s="40">
        <v>0</v>
      </c>
      <c r="F941" s="40">
        <v>0</v>
      </c>
      <c r="G941" s="40">
        <v>0</v>
      </c>
      <c r="H941" s="40">
        <v>250</v>
      </c>
      <c r="I941" s="40">
        <v>250</v>
      </c>
      <c r="J941" s="40">
        <v>250</v>
      </c>
      <c r="K941" s="40">
        <v>250</v>
      </c>
      <c r="L941" s="40">
        <v>250</v>
      </c>
      <c r="M941" s="40">
        <v>250</v>
      </c>
      <c r="N941" s="40">
        <v>250</v>
      </c>
      <c r="O941" s="40">
        <v>250</v>
      </c>
      <c r="P941" s="40">
        <v>250</v>
      </c>
      <c r="Q941" s="40">
        <v>250</v>
      </c>
      <c r="R941" s="40">
        <v>0</v>
      </c>
      <c r="S941" s="40">
        <v>0</v>
      </c>
      <c r="T941" s="40">
        <v>0</v>
      </c>
      <c r="U941" s="40">
        <v>0</v>
      </c>
    </row>
    <row r="942" spans="1:21" x14ac:dyDescent="0.2">
      <c r="A942" t="s">
        <v>834</v>
      </c>
      <c r="B942">
        <v>810</v>
      </c>
      <c r="C942">
        <v>1</v>
      </c>
      <c r="D942" t="s">
        <v>309</v>
      </c>
      <c r="E942" s="40">
        <v>0</v>
      </c>
      <c r="F942" s="40">
        <v>0</v>
      </c>
      <c r="G942" s="40">
        <v>0</v>
      </c>
      <c r="H942" s="40">
        <v>0</v>
      </c>
      <c r="I942" s="40">
        <v>0</v>
      </c>
      <c r="J942" s="40">
        <v>0</v>
      </c>
      <c r="K942" s="40">
        <v>0</v>
      </c>
      <c r="L942" s="40">
        <v>0</v>
      </c>
      <c r="M942" s="40">
        <v>0</v>
      </c>
      <c r="N942" s="40">
        <v>0</v>
      </c>
      <c r="O942" s="40">
        <v>0</v>
      </c>
      <c r="P942" s="40">
        <v>0</v>
      </c>
      <c r="Q942" s="40">
        <v>0</v>
      </c>
      <c r="R942" s="40">
        <v>0</v>
      </c>
      <c r="S942" s="40">
        <v>0</v>
      </c>
      <c r="T942" s="40">
        <v>0</v>
      </c>
      <c r="U942" s="40">
        <v>0</v>
      </c>
    </row>
    <row r="943" spans="1:21" x14ac:dyDescent="0.2">
      <c r="A943" t="s">
        <v>834</v>
      </c>
      <c r="B943">
        <v>811</v>
      </c>
      <c r="C943">
        <v>1</v>
      </c>
      <c r="D943" t="s">
        <v>310</v>
      </c>
      <c r="E943" s="40">
        <v>0</v>
      </c>
      <c r="F943" s="40">
        <v>0</v>
      </c>
      <c r="G943" s="40">
        <v>0</v>
      </c>
      <c r="H943" s="40">
        <v>0</v>
      </c>
      <c r="I943" s="40">
        <v>0</v>
      </c>
      <c r="J943" s="40">
        <v>0</v>
      </c>
      <c r="K943" s="40">
        <v>0</v>
      </c>
      <c r="L943" s="40">
        <v>0</v>
      </c>
      <c r="M943" s="40">
        <v>0</v>
      </c>
      <c r="N943" s="40">
        <v>0</v>
      </c>
      <c r="O943" s="40">
        <v>0</v>
      </c>
      <c r="P943" s="40">
        <v>0</v>
      </c>
      <c r="Q943" s="40">
        <v>0</v>
      </c>
      <c r="R943" s="40">
        <v>0</v>
      </c>
      <c r="S943" s="40">
        <v>0</v>
      </c>
      <c r="T943" s="40">
        <v>0</v>
      </c>
      <c r="U943" s="40">
        <v>0</v>
      </c>
    </row>
    <row r="944" spans="1:21" x14ac:dyDescent="0.2">
      <c r="A944" t="s">
        <v>834</v>
      </c>
      <c r="B944">
        <v>813</v>
      </c>
      <c r="C944">
        <v>1</v>
      </c>
      <c r="D944" t="s">
        <v>311</v>
      </c>
      <c r="E944" s="40">
        <v>0</v>
      </c>
      <c r="F944" s="40">
        <v>0</v>
      </c>
      <c r="G944" s="40">
        <v>0</v>
      </c>
      <c r="H944" s="40">
        <v>0</v>
      </c>
      <c r="I944" s="40">
        <v>0</v>
      </c>
      <c r="J944" s="40">
        <v>0</v>
      </c>
      <c r="K944" s="40">
        <v>0</v>
      </c>
      <c r="L944" s="40">
        <v>0</v>
      </c>
      <c r="M944" s="40">
        <v>0</v>
      </c>
      <c r="N944" s="40">
        <v>0</v>
      </c>
      <c r="O944" s="40">
        <v>0</v>
      </c>
      <c r="P944" s="40">
        <v>0</v>
      </c>
      <c r="Q944" s="40">
        <v>0</v>
      </c>
      <c r="R944" s="40">
        <v>0</v>
      </c>
      <c r="S944" s="40">
        <v>0</v>
      </c>
      <c r="T944" s="40">
        <v>0</v>
      </c>
      <c r="U944" s="40">
        <v>0</v>
      </c>
    </row>
    <row r="945" spans="1:21" x14ac:dyDescent="0.2">
      <c r="A945" t="s">
        <v>834</v>
      </c>
      <c r="B945">
        <v>815</v>
      </c>
      <c r="C945">
        <v>2</v>
      </c>
      <c r="D945" t="s">
        <v>312</v>
      </c>
      <c r="E945" s="40">
        <v>0</v>
      </c>
      <c r="F945" s="40">
        <v>0</v>
      </c>
      <c r="G945" s="40">
        <v>0</v>
      </c>
      <c r="H945" s="40">
        <v>0</v>
      </c>
      <c r="I945" s="40">
        <v>0</v>
      </c>
      <c r="J945" s="40">
        <v>0</v>
      </c>
      <c r="K945" s="40">
        <v>0</v>
      </c>
      <c r="L945" s="40">
        <v>0</v>
      </c>
      <c r="M945" s="40">
        <v>0</v>
      </c>
      <c r="N945" s="40">
        <v>0</v>
      </c>
      <c r="O945" s="40">
        <v>0</v>
      </c>
      <c r="P945" s="40">
        <v>0</v>
      </c>
      <c r="Q945" s="40">
        <v>0</v>
      </c>
      <c r="R945" s="40">
        <v>0</v>
      </c>
      <c r="S945" s="40">
        <v>0</v>
      </c>
      <c r="T945" s="40">
        <v>0</v>
      </c>
      <c r="U945" s="40">
        <v>0</v>
      </c>
    </row>
    <row r="946" spans="1:21" x14ac:dyDescent="0.2">
      <c r="A946" t="s">
        <v>834</v>
      </c>
      <c r="B946">
        <v>818</v>
      </c>
      <c r="C946">
        <v>1</v>
      </c>
      <c r="D946" t="s">
        <v>313</v>
      </c>
      <c r="E946" s="40">
        <v>0</v>
      </c>
      <c r="F946" s="40">
        <v>0</v>
      </c>
      <c r="G946" s="40">
        <v>0</v>
      </c>
      <c r="H946" s="40">
        <v>0</v>
      </c>
      <c r="I946" s="40">
        <v>0</v>
      </c>
      <c r="J946" s="40">
        <v>0</v>
      </c>
      <c r="K946" s="40">
        <v>0</v>
      </c>
      <c r="L946" s="40">
        <v>0</v>
      </c>
      <c r="M946" s="40">
        <v>0</v>
      </c>
      <c r="N946" s="40">
        <v>0</v>
      </c>
      <c r="O946" s="40">
        <v>0</v>
      </c>
      <c r="P946" s="40">
        <v>0</v>
      </c>
      <c r="Q946" s="40">
        <v>0</v>
      </c>
      <c r="R946" s="40">
        <v>0</v>
      </c>
      <c r="S946" s="40">
        <v>0</v>
      </c>
      <c r="T946" s="40">
        <v>0</v>
      </c>
      <c r="U946" s="40">
        <v>0</v>
      </c>
    </row>
    <row r="947" spans="1:21" x14ac:dyDescent="0.2">
      <c r="A947" t="s">
        <v>834</v>
      </c>
      <c r="B947">
        <v>820</v>
      </c>
      <c r="C947">
        <v>1</v>
      </c>
      <c r="D947" t="s">
        <v>314</v>
      </c>
      <c r="E947" s="40">
        <v>0</v>
      </c>
      <c r="F947" s="40">
        <v>0</v>
      </c>
      <c r="G947" s="40">
        <v>0</v>
      </c>
      <c r="H947" s="40">
        <v>0</v>
      </c>
      <c r="I947" s="40">
        <v>0</v>
      </c>
      <c r="J947" s="40">
        <v>0</v>
      </c>
      <c r="K947" s="40">
        <v>0</v>
      </c>
      <c r="L947" s="40">
        <v>0</v>
      </c>
      <c r="M947" s="40">
        <v>0</v>
      </c>
      <c r="N947" s="40">
        <v>0</v>
      </c>
      <c r="O947" s="40">
        <v>0</v>
      </c>
      <c r="P947" s="40">
        <v>0</v>
      </c>
      <c r="Q947" s="40">
        <v>0</v>
      </c>
      <c r="R947" s="40">
        <v>0</v>
      </c>
      <c r="S947" s="40">
        <v>0</v>
      </c>
      <c r="T947" s="40">
        <v>0</v>
      </c>
      <c r="U947" s="40">
        <v>0</v>
      </c>
    </row>
    <row r="948" spans="1:21" x14ac:dyDescent="0.2">
      <c r="A948" t="s">
        <v>834</v>
      </c>
      <c r="B948">
        <v>821</v>
      </c>
      <c r="C948">
        <v>1</v>
      </c>
      <c r="D948" t="s">
        <v>315</v>
      </c>
      <c r="E948" s="40">
        <v>0</v>
      </c>
      <c r="F948" s="40">
        <v>0</v>
      </c>
      <c r="G948" s="40">
        <v>0</v>
      </c>
      <c r="H948" s="40">
        <v>0</v>
      </c>
      <c r="I948" s="40">
        <v>0</v>
      </c>
      <c r="J948" s="40">
        <v>0</v>
      </c>
      <c r="K948" s="40">
        <v>0</v>
      </c>
      <c r="L948" s="40">
        <v>0</v>
      </c>
      <c r="M948" s="40">
        <v>0</v>
      </c>
      <c r="N948" s="40">
        <v>0</v>
      </c>
      <c r="O948" s="40">
        <v>0</v>
      </c>
      <c r="P948" s="40">
        <v>0</v>
      </c>
      <c r="Q948" s="40">
        <v>0</v>
      </c>
      <c r="R948" s="40">
        <v>0</v>
      </c>
      <c r="S948" s="40">
        <v>0</v>
      </c>
      <c r="T948" s="40">
        <v>0</v>
      </c>
      <c r="U948" s="40">
        <v>0</v>
      </c>
    </row>
    <row r="949" spans="1:21" x14ac:dyDescent="0.2">
      <c r="A949" t="s">
        <v>834</v>
      </c>
      <c r="B949">
        <v>829</v>
      </c>
      <c r="C949">
        <v>1</v>
      </c>
      <c r="D949" t="s">
        <v>316</v>
      </c>
      <c r="E949" s="40">
        <v>0</v>
      </c>
      <c r="F949" s="40">
        <v>0</v>
      </c>
      <c r="G949" s="40">
        <v>0</v>
      </c>
      <c r="H949" s="40">
        <v>0</v>
      </c>
      <c r="I949" s="40">
        <v>0</v>
      </c>
      <c r="J949" s="40">
        <v>0</v>
      </c>
      <c r="K949" s="40">
        <v>0</v>
      </c>
      <c r="L949" s="40">
        <v>0</v>
      </c>
      <c r="M949" s="40">
        <v>0</v>
      </c>
      <c r="N949" s="40">
        <v>0</v>
      </c>
      <c r="O949" s="40">
        <v>0</v>
      </c>
      <c r="P949" s="40">
        <v>0</v>
      </c>
      <c r="Q949" s="40">
        <v>0</v>
      </c>
      <c r="R949" s="40">
        <v>0</v>
      </c>
      <c r="S949" s="40">
        <v>0</v>
      </c>
      <c r="T949" s="40">
        <v>0</v>
      </c>
      <c r="U949" s="40">
        <v>0</v>
      </c>
    </row>
    <row r="950" spans="1:21" x14ac:dyDescent="0.2">
      <c r="A950" t="s">
        <v>834</v>
      </c>
      <c r="B950">
        <v>831</v>
      </c>
      <c r="C950">
        <v>1</v>
      </c>
      <c r="D950" t="s">
        <v>317</v>
      </c>
      <c r="E950" s="40">
        <v>0</v>
      </c>
      <c r="F950" s="40">
        <v>0</v>
      </c>
      <c r="G950" s="40">
        <v>0</v>
      </c>
      <c r="H950" s="40">
        <v>0</v>
      </c>
      <c r="I950" s="40">
        <v>0</v>
      </c>
      <c r="J950" s="40">
        <v>0</v>
      </c>
      <c r="K950" s="40">
        <v>0</v>
      </c>
      <c r="L950" s="40">
        <v>0</v>
      </c>
      <c r="M950" s="40">
        <v>0</v>
      </c>
      <c r="N950" s="40">
        <v>0</v>
      </c>
      <c r="O950" s="40">
        <v>0</v>
      </c>
      <c r="P950" s="40">
        <v>0</v>
      </c>
      <c r="Q950" s="40">
        <v>0</v>
      </c>
      <c r="R950" s="40">
        <v>0</v>
      </c>
      <c r="S950" s="40">
        <v>0</v>
      </c>
      <c r="T950" s="40">
        <v>0</v>
      </c>
      <c r="U950" s="40">
        <v>0</v>
      </c>
    </row>
    <row r="951" spans="1:21" x14ac:dyDescent="0.2">
      <c r="A951" t="s">
        <v>834</v>
      </c>
      <c r="B951">
        <v>832</v>
      </c>
      <c r="C951">
        <v>1</v>
      </c>
      <c r="D951" t="s">
        <v>318</v>
      </c>
      <c r="E951" s="40">
        <v>0</v>
      </c>
      <c r="F951" s="40">
        <v>0</v>
      </c>
      <c r="G951" s="40">
        <v>0</v>
      </c>
      <c r="H951" s="40">
        <v>0</v>
      </c>
      <c r="I951" s="40">
        <v>0</v>
      </c>
      <c r="J951" s="40">
        <v>0</v>
      </c>
      <c r="K951" s="40">
        <v>0</v>
      </c>
      <c r="L951" s="40">
        <v>0</v>
      </c>
      <c r="M951" s="40">
        <v>0</v>
      </c>
      <c r="N951" s="40">
        <v>0</v>
      </c>
      <c r="O951" s="40">
        <v>0</v>
      </c>
      <c r="P951" s="40">
        <v>0</v>
      </c>
      <c r="Q951" s="40">
        <v>0</v>
      </c>
      <c r="R951" s="40">
        <v>0</v>
      </c>
      <c r="S951" s="40">
        <v>0</v>
      </c>
      <c r="T951" s="40">
        <v>0</v>
      </c>
      <c r="U951" s="40">
        <v>0</v>
      </c>
    </row>
    <row r="952" spans="1:21" x14ac:dyDescent="0.2">
      <c r="A952" t="s">
        <v>834</v>
      </c>
      <c r="B952">
        <v>833</v>
      </c>
      <c r="C952">
        <v>1</v>
      </c>
      <c r="D952" t="s">
        <v>319</v>
      </c>
      <c r="E952" s="40">
        <v>0</v>
      </c>
      <c r="F952" s="40">
        <v>0</v>
      </c>
      <c r="G952" s="40">
        <v>0</v>
      </c>
      <c r="H952" s="40">
        <v>0</v>
      </c>
      <c r="I952" s="40">
        <v>0</v>
      </c>
      <c r="J952" s="40">
        <v>0</v>
      </c>
      <c r="K952" s="40">
        <v>0</v>
      </c>
      <c r="L952" s="40">
        <v>0</v>
      </c>
      <c r="M952" s="40">
        <v>0</v>
      </c>
      <c r="N952" s="40">
        <v>0</v>
      </c>
      <c r="O952" s="40">
        <v>0</v>
      </c>
      <c r="P952" s="40">
        <v>0</v>
      </c>
      <c r="Q952" s="40">
        <v>0</v>
      </c>
      <c r="R952" s="40">
        <v>0</v>
      </c>
      <c r="S952" s="40">
        <v>0</v>
      </c>
      <c r="T952" s="40">
        <v>0</v>
      </c>
      <c r="U952" s="40">
        <v>0</v>
      </c>
    </row>
    <row r="953" spans="1:21" x14ac:dyDescent="0.2">
      <c r="A953" t="s">
        <v>834</v>
      </c>
      <c r="B953">
        <v>834</v>
      </c>
      <c r="C953">
        <v>1</v>
      </c>
      <c r="D953" t="s">
        <v>320</v>
      </c>
      <c r="E953" s="40">
        <v>0</v>
      </c>
      <c r="F953" s="40">
        <v>0</v>
      </c>
      <c r="G953" s="40">
        <v>0</v>
      </c>
      <c r="H953" s="40">
        <v>600</v>
      </c>
      <c r="I953" s="40">
        <v>600</v>
      </c>
      <c r="J953" s="40">
        <v>600</v>
      </c>
      <c r="K953" s="40">
        <v>600</v>
      </c>
      <c r="L953" s="40">
        <v>600</v>
      </c>
      <c r="M953" s="40">
        <v>0</v>
      </c>
      <c r="N953" s="40">
        <v>0</v>
      </c>
      <c r="O953" s="40">
        <v>0</v>
      </c>
      <c r="P953" s="40">
        <v>0</v>
      </c>
      <c r="Q953" s="40">
        <v>0</v>
      </c>
      <c r="R953" s="40">
        <v>0</v>
      </c>
      <c r="S953" s="40">
        <v>0</v>
      </c>
      <c r="T953" s="40">
        <v>0</v>
      </c>
      <c r="U953" s="40">
        <v>0</v>
      </c>
    </row>
    <row r="954" spans="1:21" x14ac:dyDescent="0.2">
      <c r="A954" t="s">
        <v>834</v>
      </c>
      <c r="B954">
        <v>836</v>
      </c>
      <c r="C954">
        <v>1</v>
      </c>
      <c r="D954" t="s">
        <v>321</v>
      </c>
      <c r="E954" s="40">
        <v>0</v>
      </c>
      <c r="F954" s="40">
        <v>0</v>
      </c>
      <c r="G954" s="40">
        <v>0</v>
      </c>
      <c r="H954" s="40">
        <v>0</v>
      </c>
      <c r="I954" s="40">
        <v>0</v>
      </c>
      <c r="J954" s="40">
        <v>0</v>
      </c>
      <c r="K954" s="40">
        <v>0</v>
      </c>
      <c r="L954" s="40">
        <v>0</v>
      </c>
      <c r="M954" s="40">
        <v>0</v>
      </c>
      <c r="N954" s="40">
        <v>0</v>
      </c>
      <c r="O954" s="40">
        <v>0</v>
      </c>
      <c r="P954" s="40">
        <v>0</v>
      </c>
      <c r="Q954" s="40">
        <v>0</v>
      </c>
      <c r="R954" s="40">
        <v>0</v>
      </c>
      <c r="S954" s="40">
        <v>0</v>
      </c>
      <c r="T954" s="40">
        <v>0</v>
      </c>
      <c r="U954" s="40">
        <v>0</v>
      </c>
    </row>
    <row r="955" spans="1:21" x14ac:dyDescent="0.2">
      <c r="A955" t="s">
        <v>834</v>
      </c>
      <c r="B955">
        <v>837</v>
      </c>
      <c r="C955">
        <v>1</v>
      </c>
      <c r="D955" t="s">
        <v>322</v>
      </c>
      <c r="E955" s="40">
        <v>0</v>
      </c>
      <c r="F955" s="40">
        <v>0</v>
      </c>
      <c r="G955" s="40">
        <v>0</v>
      </c>
      <c r="H955" s="40">
        <v>0</v>
      </c>
      <c r="I955" s="40">
        <v>0</v>
      </c>
      <c r="J955" s="40">
        <v>0</v>
      </c>
      <c r="K955" s="40">
        <v>0</v>
      </c>
      <c r="L955" s="40">
        <v>0</v>
      </c>
      <c r="M955" s="40">
        <v>0</v>
      </c>
      <c r="N955" s="40">
        <v>0</v>
      </c>
      <c r="O955" s="40">
        <v>0</v>
      </c>
      <c r="P955" s="40">
        <v>0</v>
      </c>
      <c r="Q955" s="40">
        <v>0</v>
      </c>
      <c r="R955" s="40">
        <v>0</v>
      </c>
      <c r="S955" s="40">
        <v>0</v>
      </c>
      <c r="T955" s="40">
        <v>0</v>
      </c>
      <c r="U955" s="40">
        <v>0</v>
      </c>
    </row>
    <row r="956" spans="1:21" x14ac:dyDescent="0.2">
      <c r="A956" t="s">
        <v>834</v>
      </c>
      <c r="B956">
        <v>840</v>
      </c>
      <c r="C956">
        <v>1</v>
      </c>
      <c r="D956" t="s">
        <v>323</v>
      </c>
      <c r="E956" s="40">
        <v>0</v>
      </c>
      <c r="F956" s="40">
        <v>0</v>
      </c>
      <c r="G956" s="40">
        <v>0</v>
      </c>
      <c r="H956" s="40">
        <v>0</v>
      </c>
      <c r="I956" s="40">
        <v>0</v>
      </c>
      <c r="J956" s="40">
        <v>0</v>
      </c>
      <c r="K956" s="40">
        <v>0</v>
      </c>
      <c r="L956" s="40">
        <v>0</v>
      </c>
      <c r="M956" s="40">
        <v>0</v>
      </c>
      <c r="N956" s="40">
        <v>0</v>
      </c>
      <c r="O956" s="40">
        <v>0</v>
      </c>
      <c r="P956" s="40">
        <v>0</v>
      </c>
      <c r="Q956" s="40">
        <v>0</v>
      </c>
      <c r="R956" s="40">
        <v>0</v>
      </c>
      <c r="S956" s="40">
        <v>0</v>
      </c>
      <c r="T956" s="40">
        <v>0</v>
      </c>
      <c r="U956" s="40">
        <v>0</v>
      </c>
    </row>
    <row r="957" spans="1:21" x14ac:dyDescent="0.2">
      <c r="A957" t="s">
        <v>834</v>
      </c>
      <c r="B957">
        <v>846</v>
      </c>
      <c r="C957">
        <v>1</v>
      </c>
      <c r="D957" t="s">
        <v>324</v>
      </c>
      <c r="E957" s="40">
        <v>0</v>
      </c>
      <c r="F957" s="40">
        <v>0</v>
      </c>
      <c r="G957" s="40">
        <v>0</v>
      </c>
      <c r="H957" s="40">
        <v>0</v>
      </c>
      <c r="I957" s="40">
        <v>0</v>
      </c>
      <c r="J957" s="40">
        <v>0</v>
      </c>
      <c r="K957" s="40">
        <v>0</v>
      </c>
      <c r="L957" s="40">
        <v>0</v>
      </c>
      <c r="M957" s="40">
        <v>0</v>
      </c>
      <c r="N957" s="40">
        <v>0</v>
      </c>
      <c r="O957" s="40">
        <v>0</v>
      </c>
      <c r="P957" s="40">
        <v>0</v>
      </c>
      <c r="Q957" s="40">
        <v>0</v>
      </c>
      <c r="R957" s="40">
        <v>0</v>
      </c>
      <c r="S957" s="40">
        <v>0</v>
      </c>
      <c r="T957" s="40">
        <v>0</v>
      </c>
      <c r="U957" s="40">
        <v>0</v>
      </c>
    </row>
    <row r="958" spans="1:21" x14ac:dyDescent="0.2">
      <c r="A958" t="s">
        <v>834</v>
      </c>
      <c r="B958">
        <v>850</v>
      </c>
      <c r="C958">
        <v>1</v>
      </c>
      <c r="D958" t="s">
        <v>325</v>
      </c>
      <c r="E958" s="40">
        <v>0</v>
      </c>
      <c r="F958" s="40">
        <v>0</v>
      </c>
      <c r="G958" s="40">
        <v>0</v>
      </c>
      <c r="H958" s="40">
        <v>0</v>
      </c>
      <c r="I958" s="40">
        <v>0</v>
      </c>
      <c r="J958" s="40">
        <v>0</v>
      </c>
      <c r="K958" s="40">
        <v>0</v>
      </c>
      <c r="L958" s="40">
        <v>0</v>
      </c>
      <c r="M958" s="40">
        <v>0</v>
      </c>
      <c r="N958" s="40">
        <v>0</v>
      </c>
      <c r="O958" s="40">
        <v>0</v>
      </c>
      <c r="P958" s="40">
        <v>0</v>
      </c>
      <c r="Q958" s="40">
        <v>0</v>
      </c>
      <c r="R958" s="40">
        <v>0</v>
      </c>
      <c r="S958" s="40">
        <v>0</v>
      </c>
      <c r="T958" s="40">
        <v>0</v>
      </c>
      <c r="U958" s="40">
        <v>0</v>
      </c>
    </row>
    <row r="959" spans="1:21" x14ac:dyDescent="0.2">
      <c r="A959" t="s">
        <v>834</v>
      </c>
      <c r="B959">
        <v>852</v>
      </c>
      <c r="C959">
        <v>1</v>
      </c>
      <c r="D959" t="s">
        <v>326</v>
      </c>
      <c r="E959" s="40">
        <v>0</v>
      </c>
      <c r="F959" s="40">
        <v>0</v>
      </c>
      <c r="G959" s="40">
        <v>0</v>
      </c>
      <c r="H959" s="40">
        <v>0</v>
      </c>
      <c r="I959" s="40">
        <v>0</v>
      </c>
      <c r="J959" s="40">
        <v>0</v>
      </c>
      <c r="K959" s="40">
        <v>0</v>
      </c>
      <c r="L959" s="40">
        <v>0</v>
      </c>
      <c r="M959" s="40">
        <v>0</v>
      </c>
      <c r="N959" s="40">
        <v>0</v>
      </c>
      <c r="O959" s="40">
        <v>0</v>
      </c>
      <c r="P959" s="40">
        <v>0</v>
      </c>
      <c r="Q959" s="40">
        <v>0</v>
      </c>
      <c r="R959" s="40">
        <v>0</v>
      </c>
      <c r="S959" s="40">
        <v>0</v>
      </c>
      <c r="T959" s="40">
        <v>0</v>
      </c>
      <c r="U959" s="40">
        <v>0</v>
      </c>
    </row>
    <row r="960" spans="1:21" x14ac:dyDescent="0.2">
      <c r="A960" t="s">
        <v>834</v>
      </c>
      <c r="B960">
        <v>857</v>
      </c>
      <c r="C960">
        <v>1</v>
      </c>
      <c r="D960" t="s">
        <v>327</v>
      </c>
      <c r="E960" s="40">
        <v>0</v>
      </c>
      <c r="F960" s="40">
        <v>0</v>
      </c>
      <c r="G960" s="40">
        <v>0</v>
      </c>
      <c r="H960" s="40">
        <v>0</v>
      </c>
      <c r="I960" s="40">
        <v>0</v>
      </c>
      <c r="J960" s="40">
        <v>0</v>
      </c>
      <c r="K960" s="40">
        <v>0</v>
      </c>
      <c r="L960" s="40">
        <v>0</v>
      </c>
      <c r="M960" s="40">
        <v>0</v>
      </c>
      <c r="N960" s="40">
        <v>0</v>
      </c>
      <c r="O960" s="40">
        <v>0</v>
      </c>
      <c r="P960" s="40">
        <v>0</v>
      </c>
      <c r="Q960" s="40">
        <v>0</v>
      </c>
      <c r="R960" s="40">
        <v>0</v>
      </c>
      <c r="S960" s="40">
        <v>0</v>
      </c>
      <c r="T960" s="40">
        <v>0</v>
      </c>
      <c r="U960" s="40">
        <v>0</v>
      </c>
    </row>
    <row r="961" spans="1:21" x14ac:dyDescent="0.2">
      <c r="A961" t="s">
        <v>834</v>
      </c>
      <c r="B961">
        <v>858</v>
      </c>
      <c r="C961">
        <v>1</v>
      </c>
      <c r="D961" t="s">
        <v>328</v>
      </c>
      <c r="E961" s="40">
        <v>0</v>
      </c>
      <c r="F961" s="40">
        <v>0</v>
      </c>
      <c r="G961" s="40">
        <v>0</v>
      </c>
      <c r="H961" s="40">
        <v>0</v>
      </c>
      <c r="I961" s="40">
        <v>0</v>
      </c>
      <c r="J961" s="40">
        <v>0</v>
      </c>
      <c r="K961" s="40">
        <v>0</v>
      </c>
      <c r="L961" s="40">
        <v>0</v>
      </c>
      <c r="M961" s="40">
        <v>0</v>
      </c>
      <c r="N961" s="40">
        <v>0</v>
      </c>
      <c r="O961" s="40">
        <v>0</v>
      </c>
      <c r="P961" s="40">
        <v>0</v>
      </c>
      <c r="Q961" s="40">
        <v>0</v>
      </c>
      <c r="R961" s="40">
        <v>0</v>
      </c>
      <c r="S961" s="40">
        <v>0</v>
      </c>
      <c r="T961" s="40">
        <v>0</v>
      </c>
      <c r="U961" s="40">
        <v>0</v>
      </c>
    </row>
    <row r="962" spans="1:21" x14ac:dyDescent="0.2">
      <c r="A962" t="s">
        <v>834</v>
      </c>
      <c r="B962">
        <v>861</v>
      </c>
      <c r="C962">
        <v>1</v>
      </c>
      <c r="D962" t="s">
        <v>329</v>
      </c>
      <c r="E962" s="40">
        <v>0</v>
      </c>
      <c r="F962" s="40">
        <v>0</v>
      </c>
      <c r="G962" s="40">
        <v>0</v>
      </c>
      <c r="H962" s="40">
        <v>0</v>
      </c>
      <c r="I962" s="40">
        <v>0</v>
      </c>
      <c r="J962" s="40">
        <v>0</v>
      </c>
      <c r="K962" s="40">
        <v>0</v>
      </c>
      <c r="L962" s="40">
        <v>0</v>
      </c>
      <c r="M962" s="40">
        <v>0</v>
      </c>
      <c r="N962" s="40">
        <v>0</v>
      </c>
      <c r="O962" s="40">
        <v>0</v>
      </c>
      <c r="P962" s="40">
        <v>0</v>
      </c>
      <c r="Q962" s="40">
        <v>0</v>
      </c>
      <c r="R962" s="40">
        <v>0</v>
      </c>
      <c r="S962" s="40">
        <v>0</v>
      </c>
      <c r="T962" s="40">
        <v>0</v>
      </c>
      <c r="U962" s="40">
        <v>0</v>
      </c>
    </row>
    <row r="963" spans="1:21" x14ac:dyDescent="0.2">
      <c r="A963" t="s">
        <v>834</v>
      </c>
      <c r="B963">
        <v>876</v>
      </c>
      <c r="C963">
        <v>1</v>
      </c>
      <c r="D963" t="s">
        <v>330</v>
      </c>
      <c r="E963" s="40">
        <v>0</v>
      </c>
      <c r="F963" s="40">
        <v>0</v>
      </c>
      <c r="G963" s="40">
        <v>0</v>
      </c>
      <c r="H963" s="40">
        <v>350</v>
      </c>
      <c r="I963" s="40">
        <v>350</v>
      </c>
      <c r="J963" s="40">
        <v>350</v>
      </c>
      <c r="K963" s="40">
        <v>350</v>
      </c>
      <c r="L963" s="40">
        <v>350</v>
      </c>
      <c r="M963" s="40">
        <v>0</v>
      </c>
      <c r="N963" s="40">
        <v>0</v>
      </c>
      <c r="O963" s="40">
        <v>0</v>
      </c>
      <c r="P963" s="40">
        <v>0</v>
      </c>
      <c r="Q963" s="40">
        <v>0</v>
      </c>
      <c r="R963" s="40">
        <v>0</v>
      </c>
      <c r="S963" s="40">
        <v>0</v>
      </c>
      <c r="T963" s="40">
        <v>0</v>
      </c>
      <c r="U963" s="40">
        <v>0</v>
      </c>
    </row>
    <row r="964" spans="1:21" x14ac:dyDescent="0.2">
      <c r="A964" t="s">
        <v>834</v>
      </c>
      <c r="B964">
        <v>877</v>
      </c>
      <c r="C964">
        <v>1</v>
      </c>
      <c r="D964" t="s">
        <v>331</v>
      </c>
      <c r="E964" s="40">
        <v>0</v>
      </c>
      <c r="F964" s="40">
        <v>0</v>
      </c>
      <c r="G964" s="40">
        <v>0</v>
      </c>
      <c r="H964" s="40">
        <v>378</v>
      </c>
      <c r="I964" s="40">
        <v>378</v>
      </c>
      <c r="J964" s="40">
        <v>378</v>
      </c>
      <c r="K964" s="40">
        <v>378</v>
      </c>
      <c r="L964" s="40">
        <v>378</v>
      </c>
      <c r="M964" s="40">
        <v>378</v>
      </c>
      <c r="N964" s="40">
        <v>378</v>
      </c>
      <c r="O964" s="40">
        <v>378</v>
      </c>
      <c r="P964" s="40">
        <v>378</v>
      </c>
      <c r="Q964" s="40">
        <v>378</v>
      </c>
      <c r="R964" s="40">
        <v>0</v>
      </c>
      <c r="S964" s="40">
        <v>0</v>
      </c>
      <c r="T964" s="40">
        <v>0</v>
      </c>
      <c r="U964" s="40">
        <v>0</v>
      </c>
    </row>
    <row r="965" spans="1:21" x14ac:dyDescent="0.2">
      <c r="A965" t="s">
        <v>834</v>
      </c>
      <c r="B965">
        <v>879</v>
      </c>
      <c r="C965">
        <v>1</v>
      </c>
      <c r="D965" t="s">
        <v>332</v>
      </c>
      <c r="E965" s="40">
        <v>0</v>
      </c>
      <c r="F965" s="40">
        <v>0</v>
      </c>
      <c r="G965" s="40">
        <v>0</v>
      </c>
      <c r="H965" s="40">
        <v>425</v>
      </c>
      <c r="I965" s="40">
        <v>425</v>
      </c>
      <c r="J965" s="40">
        <v>425</v>
      </c>
      <c r="K965" s="40">
        <v>425</v>
      </c>
      <c r="L965" s="40">
        <v>425</v>
      </c>
      <c r="M965" s="40">
        <v>425</v>
      </c>
      <c r="N965" s="40">
        <v>425</v>
      </c>
      <c r="O965" s="40">
        <v>425</v>
      </c>
      <c r="P965" s="40">
        <v>425</v>
      </c>
      <c r="Q965" s="40">
        <v>425</v>
      </c>
      <c r="R965" s="40">
        <v>0</v>
      </c>
      <c r="S965" s="40">
        <v>0</v>
      </c>
      <c r="T965" s="40">
        <v>0</v>
      </c>
      <c r="U965" s="40">
        <v>0</v>
      </c>
    </row>
    <row r="966" spans="1:21" x14ac:dyDescent="0.2">
      <c r="A966" t="s">
        <v>834</v>
      </c>
      <c r="B966">
        <v>881</v>
      </c>
      <c r="C966">
        <v>1</v>
      </c>
      <c r="D966" t="s">
        <v>333</v>
      </c>
      <c r="E966" s="40">
        <v>0</v>
      </c>
      <c r="F966" s="40">
        <v>0</v>
      </c>
      <c r="G966" s="40">
        <v>0</v>
      </c>
      <c r="H966" s="40">
        <v>0</v>
      </c>
      <c r="I966" s="40">
        <v>0</v>
      </c>
      <c r="J966" s="40">
        <v>0</v>
      </c>
      <c r="K966" s="40">
        <v>0</v>
      </c>
      <c r="L966" s="40">
        <v>0</v>
      </c>
      <c r="M966" s="40">
        <v>0</v>
      </c>
      <c r="N966" s="40">
        <v>0</v>
      </c>
      <c r="O966" s="40">
        <v>0</v>
      </c>
      <c r="P966" s="40">
        <v>0</v>
      </c>
      <c r="Q966" s="40">
        <v>0</v>
      </c>
      <c r="R966" s="40">
        <v>0</v>
      </c>
      <c r="S966" s="40">
        <v>0</v>
      </c>
      <c r="T966" s="40">
        <v>0</v>
      </c>
      <c r="U966" s="40">
        <v>0</v>
      </c>
    </row>
    <row r="967" spans="1:21" x14ac:dyDescent="0.2">
      <c r="A967" t="s">
        <v>834</v>
      </c>
      <c r="B967">
        <v>882</v>
      </c>
      <c r="C967">
        <v>1</v>
      </c>
      <c r="D967" t="s">
        <v>334</v>
      </c>
      <c r="E967" s="40">
        <v>0</v>
      </c>
      <c r="F967" s="40">
        <v>0</v>
      </c>
      <c r="G967" s="40">
        <v>0</v>
      </c>
      <c r="H967" s="40">
        <v>0</v>
      </c>
      <c r="I967" s="40">
        <v>0</v>
      </c>
      <c r="J967" s="40">
        <v>0</v>
      </c>
      <c r="K967" s="40">
        <v>0</v>
      </c>
      <c r="L967" s="40">
        <v>0</v>
      </c>
      <c r="M967" s="40">
        <v>0</v>
      </c>
      <c r="N967" s="40">
        <v>0</v>
      </c>
      <c r="O967" s="40">
        <v>0</v>
      </c>
      <c r="P967" s="40">
        <v>0</v>
      </c>
      <c r="Q967" s="40">
        <v>0</v>
      </c>
      <c r="R967" s="40">
        <v>0</v>
      </c>
      <c r="S967" s="40">
        <v>0</v>
      </c>
      <c r="T967" s="40">
        <v>0</v>
      </c>
      <c r="U967" s="40">
        <v>0</v>
      </c>
    </row>
    <row r="968" spans="1:21" x14ac:dyDescent="0.2">
      <c r="A968" t="s">
        <v>834</v>
      </c>
      <c r="B968">
        <v>883</v>
      </c>
      <c r="C968">
        <v>1</v>
      </c>
      <c r="D968" t="s">
        <v>335</v>
      </c>
      <c r="E968" s="40">
        <v>0</v>
      </c>
      <c r="F968" s="40">
        <v>0</v>
      </c>
      <c r="G968" s="40">
        <v>0</v>
      </c>
      <c r="H968" s="40">
        <v>0</v>
      </c>
      <c r="I968" s="40">
        <v>0</v>
      </c>
      <c r="J968" s="40">
        <v>0</v>
      </c>
      <c r="K968" s="40">
        <v>0</v>
      </c>
      <c r="L968" s="40">
        <v>0</v>
      </c>
      <c r="M968" s="40">
        <v>0</v>
      </c>
      <c r="N968" s="40">
        <v>0</v>
      </c>
      <c r="O968" s="40">
        <v>0</v>
      </c>
      <c r="P968" s="40">
        <v>0</v>
      </c>
      <c r="Q968" s="40">
        <v>0</v>
      </c>
      <c r="R968" s="40">
        <v>0</v>
      </c>
      <c r="S968" s="40">
        <v>0</v>
      </c>
      <c r="T968" s="40">
        <v>0</v>
      </c>
      <c r="U968" s="40">
        <v>0</v>
      </c>
    </row>
    <row r="969" spans="1:21" x14ac:dyDescent="0.2">
      <c r="A969" t="s">
        <v>834</v>
      </c>
      <c r="B969">
        <v>885</v>
      </c>
      <c r="C969">
        <v>1</v>
      </c>
      <c r="D969" t="s">
        <v>336</v>
      </c>
      <c r="E969" s="40">
        <v>0</v>
      </c>
      <c r="F969" s="40">
        <v>0</v>
      </c>
      <c r="G969" s="40">
        <v>0</v>
      </c>
      <c r="H969" s="40">
        <v>0</v>
      </c>
      <c r="I969" s="40">
        <v>0</v>
      </c>
      <c r="J969" s="40">
        <v>0</v>
      </c>
      <c r="K969" s="40">
        <v>0</v>
      </c>
      <c r="L969" s="40">
        <v>0</v>
      </c>
      <c r="M969" s="40">
        <v>0</v>
      </c>
      <c r="N969" s="40">
        <v>0</v>
      </c>
      <c r="O969" s="40">
        <v>0</v>
      </c>
      <c r="P969" s="40">
        <v>0</v>
      </c>
      <c r="Q969" s="40">
        <v>0</v>
      </c>
      <c r="R969" s="40">
        <v>0</v>
      </c>
      <c r="S969" s="40">
        <v>0</v>
      </c>
      <c r="T969" s="40">
        <v>0</v>
      </c>
      <c r="U969" s="40">
        <v>0</v>
      </c>
    </row>
    <row r="970" spans="1:21" x14ac:dyDescent="0.2">
      <c r="A970" t="s">
        <v>834</v>
      </c>
      <c r="B970">
        <v>891</v>
      </c>
      <c r="C970">
        <v>1</v>
      </c>
      <c r="D970" t="s">
        <v>337</v>
      </c>
      <c r="E970" s="40">
        <v>0</v>
      </c>
      <c r="F970" s="40">
        <v>0</v>
      </c>
      <c r="G970" s="40">
        <v>0</v>
      </c>
      <c r="H970" s="40">
        <v>0</v>
      </c>
      <c r="I970" s="40">
        <v>0</v>
      </c>
      <c r="J970" s="40">
        <v>0</v>
      </c>
      <c r="K970" s="40">
        <v>0</v>
      </c>
      <c r="L970" s="40">
        <v>0</v>
      </c>
      <c r="M970" s="40">
        <v>0</v>
      </c>
      <c r="N970" s="40">
        <v>0</v>
      </c>
      <c r="O970" s="40">
        <v>0</v>
      </c>
      <c r="P970" s="40">
        <v>0</v>
      </c>
      <c r="Q970" s="40">
        <v>0</v>
      </c>
      <c r="R970" s="40">
        <v>0</v>
      </c>
      <c r="S970" s="40">
        <v>0</v>
      </c>
      <c r="T970" s="40">
        <v>0</v>
      </c>
      <c r="U970" s="40">
        <v>0</v>
      </c>
    </row>
    <row r="971" spans="1:21" x14ac:dyDescent="0.2">
      <c r="A971" t="s">
        <v>834</v>
      </c>
      <c r="B971">
        <v>911</v>
      </c>
      <c r="C971">
        <v>1</v>
      </c>
      <c r="D971" t="s">
        <v>338</v>
      </c>
      <c r="E971" s="40">
        <v>0</v>
      </c>
      <c r="F971" s="40">
        <v>0</v>
      </c>
      <c r="G971" s="40">
        <v>0</v>
      </c>
      <c r="H971" s="40">
        <v>0</v>
      </c>
      <c r="I971" s="40">
        <v>0</v>
      </c>
      <c r="J971" s="40">
        <v>0</v>
      </c>
      <c r="K971" s="40">
        <v>0</v>
      </c>
      <c r="L971" s="40">
        <v>0</v>
      </c>
      <c r="M971" s="40">
        <v>0</v>
      </c>
      <c r="N971" s="40">
        <v>0</v>
      </c>
      <c r="O971" s="40">
        <v>0</v>
      </c>
      <c r="P971" s="40">
        <v>0</v>
      </c>
      <c r="Q971" s="40">
        <v>0</v>
      </c>
      <c r="R971" s="40">
        <v>0</v>
      </c>
      <c r="S971" s="40">
        <v>0</v>
      </c>
      <c r="T971" s="40">
        <v>0</v>
      </c>
      <c r="U971" s="40">
        <v>0</v>
      </c>
    </row>
    <row r="972" spans="1:21" x14ac:dyDescent="0.2">
      <c r="A972" t="s">
        <v>834</v>
      </c>
      <c r="B972">
        <v>912</v>
      </c>
      <c r="C972">
        <v>1</v>
      </c>
      <c r="D972" t="s">
        <v>339</v>
      </c>
      <c r="E972" s="40">
        <v>0</v>
      </c>
      <c r="F972" s="40">
        <v>0</v>
      </c>
      <c r="G972" s="40">
        <v>0</v>
      </c>
      <c r="H972" s="40">
        <v>1</v>
      </c>
      <c r="I972" s="40">
        <v>1</v>
      </c>
      <c r="J972" s="40">
        <v>1</v>
      </c>
      <c r="K972" s="40">
        <v>1</v>
      </c>
      <c r="L972" s="40">
        <v>1</v>
      </c>
      <c r="M972" s="40">
        <v>1</v>
      </c>
      <c r="N972" s="40">
        <v>1</v>
      </c>
      <c r="O972" s="40">
        <v>1</v>
      </c>
      <c r="P972" s="40">
        <v>1</v>
      </c>
      <c r="Q972" s="40">
        <v>1</v>
      </c>
      <c r="R972" s="40">
        <v>0</v>
      </c>
      <c r="S972" s="40">
        <v>0</v>
      </c>
      <c r="T972" s="40">
        <v>0</v>
      </c>
      <c r="U972" s="40">
        <v>0</v>
      </c>
    </row>
    <row r="973" spans="1:21" x14ac:dyDescent="0.2">
      <c r="A973" t="s">
        <v>834</v>
      </c>
      <c r="B973">
        <v>914</v>
      </c>
      <c r="C973">
        <v>1</v>
      </c>
      <c r="D973" t="s">
        <v>340</v>
      </c>
      <c r="E973" s="40">
        <v>0</v>
      </c>
      <c r="F973" s="40">
        <v>0</v>
      </c>
      <c r="G973" s="40">
        <v>0</v>
      </c>
      <c r="H973" s="40">
        <v>0</v>
      </c>
      <c r="I973" s="40">
        <v>0</v>
      </c>
      <c r="J973" s="40">
        <v>0</v>
      </c>
      <c r="K973" s="40">
        <v>0</v>
      </c>
      <c r="L973" s="40">
        <v>0</v>
      </c>
      <c r="M973" s="40">
        <v>0</v>
      </c>
      <c r="N973" s="40">
        <v>0</v>
      </c>
      <c r="O973" s="40">
        <v>0</v>
      </c>
      <c r="P973" s="40">
        <v>0</v>
      </c>
      <c r="Q973" s="40">
        <v>0</v>
      </c>
      <c r="R973" s="40">
        <v>0</v>
      </c>
      <c r="S973" s="40">
        <v>0</v>
      </c>
      <c r="T973" s="40">
        <v>0</v>
      </c>
      <c r="U973" s="40">
        <v>0</v>
      </c>
    </row>
    <row r="974" spans="1:21" x14ac:dyDescent="0.2">
      <c r="A974" t="s">
        <v>834</v>
      </c>
      <c r="B974">
        <v>2071</v>
      </c>
      <c r="C974">
        <v>1</v>
      </c>
      <c r="D974" t="s">
        <v>341</v>
      </c>
      <c r="E974" s="40">
        <v>0</v>
      </c>
      <c r="F974" s="40">
        <v>0</v>
      </c>
      <c r="G974" s="40">
        <v>0</v>
      </c>
      <c r="H974" s="40">
        <v>315</v>
      </c>
      <c r="I974" s="40">
        <v>315</v>
      </c>
      <c r="J974" s="40">
        <v>315</v>
      </c>
      <c r="K974" s="40">
        <v>315</v>
      </c>
      <c r="L974" s="40">
        <v>315</v>
      </c>
      <c r="M974" s="40">
        <v>315</v>
      </c>
      <c r="N974" s="40">
        <v>315</v>
      </c>
      <c r="O974" s="40">
        <v>315</v>
      </c>
      <c r="P974" s="40">
        <v>315</v>
      </c>
      <c r="Q974" s="40">
        <v>315</v>
      </c>
      <c r="R974" s="40">
        <v>0</v>
      </c>
      <c r="S974" s="40">
        <v>0</v>
      </c>
      <c r="T974" s="40">
        <v>0</v>
      </c>
      <c r="U974" s="40">
        <v>0</v>
      </c>
    </row>
    <row r="975" spans="1:21" x14ac:dyDescent="0.2">
      <c r="A975" t="s">
        <v>834</v>
      </c>
      <c r="B975">
        <v>2125</v>
      </c>
      <c r="C975">
        <v>1</v>
      </c>
      <c r="D975" t="s">
        <v>342</v>
      </c>
      <c r="E975" s="40">
        <v>0</v>
      </c>
      <c r="F975" s="40">
        <v>0</v>
      </c>
      <c r="G975" s="40">
        <v>0</v>
      </c>
      <c r="H975" s="40">
        <v>0</v>
      </c>
      <c r="I975" s="40">
        <v>0</v>
      </c>
      <c r="J975" s="40">
        <v>0</v>
      </c>
      <c r="K975" s="40">
        <v>0</v>
      </c>
      <c r="L975" s="40">
        <v>0</v>
      </c>
      <c r="M975" s="40">
        <v>0</v>
      </c>
      <c r="N975" s="40">
        <v>0</v>
      </c>
      <c r="O975" s="40">
        <v>0</v>
      </c>
      <c r="P975" s="40">
        <v>0</v>
      </c>
      <c r="Q975" s="40">
        <v>0</v>
      </c>
      <c r="R975" s="40">
        <v>0</v>
      </c>
      <c r="S975" s="40">
        <v>0</v>
      </c>
      <c r="T975" s="40">
        <v>0</v>
      </c>
      <c r="U975" s="40">
        <v>0</v>
      </c>
    </row>
    <row r="976" spans="1:21" x14ac:dyDescent="0.2">
      <c r="A976" t="s">
        <v>834</v>
      </c>
      <c r="B976">
        <v>2134</v>
      </c>
      <c r="C976">
        <v>1</v>
      </c>
      <c r="D976" t="s">
        <v>343</v>
      </c>
      <c r="E976" s="40">
        <v>0</v>
      </c>
      <c r="F976" s="40">
        <v>0</v>
      </c>
      <c r="G976" s="40">
        <v>0</v>
      </c>
      <c r="H976" s="40">
        <v>0</v>
      </c>
      <c r="I976" s="40">
        <v>0</v>
      </c>
      <c r="J976" s="40">
        <v>0</v>
      </c>
      <c r="K976" s="40">
        <v>0</v>
      </c>
      <c r="L976" s="40">
        <v>0</v>
      </c>
      <c r="M976" s="40">
        <v>0</v>
      </c>
      <c r="N976" s="40">
        <v>0</v>
      </c>
      <c r="O976" s="40">
        <v>0</v>
      </c>
      <c r="P976" s="40">
        <v>0</v>
      </c>
      <c r="Q976" s="40">
        <v>0</v>
      </c>
      <c r="R976" s="40">
        <v>0</v>
      </c>
      <c r="S976" s="40">
        <v>0</v>
      </c>
      <c r="T976" s="40">
        <v>0</v>
      </c>
      <c r="U976" s="40">
        <v>0</v>
      </c>
    </row>
    <row r="977" spans="1:21" x14ac:dyDescent="0.2">
      <c r="A977" t="s">
        <v>834</v>
      </c>
      <c r="B977">
        <v>2135</v>
      </c>
      <c r="C977">
        <v>1</v>
      </c>
      <c r="D977" t="s">
        <v>344</v>
      </c>
      <c r="E977" s="40">
        <v>0</v>
      </c>
      <c r="F977" s="40">
        <v>0</v>
      </c>
      <c r="G977" s="40">
        <v>0</v>
      </c>
      <c r="H977" s="40">
        <v>0</v>
      </c>
      <c r="I977" s="40">
        <v>0</v>
      </c>
      <c r="J977" s="40">
        <v>0</v>
      </c>
      <c r="K977" s="40">
        <v>0</v>
      </c>
      <c r="L977" s="40">
        <v>0</v>
      </c>
      <c r="M977" s="40">
        <v>0</v>
      </c>
      <c r="N977" s="40">
        <v>0</v>
      </c>
      <c r="O977" s="40">
        <v>0</v>
      </c>
      <c r="P977" s="40">
        <v>0</v>
      </c>
      <c r="Q977" s="40">
        <v>0</v>
      </c>
      <c r="R977" s="40">
        <v>0</v>
      </c>
      <c r="S977" s="40">
        <v>0</v>
      </c>
      <c r="T977" s="40">
        <v>0</v>
      </c>
      <c r="U977" s="40">
        <v>0</v>
      </c>
    </row>
    <row r="978" spans="1:21" x14ac:dyDescent="0.2">
      <c r="A978" t="s">
        <v>834</v>
      </c>
      <c r="B978">
        <v>2137</v>
      </c>
      <c r="C978">
        <v>1</v>
      </c>
      <c r="D978" t="s">
        <v>345</v>
      </c>
      <c r="E978" s="40">
        <v>0</v>
      </c>
      <c r="F978" s="40">
        <v>0</v>
      </c>
      <c r="G978" s="40">
        <v>0</v>
      </c>
      <c r="H978" s="40">
        <v>0</v>
      </c>
      <c r="I978" s="40">
        <v>0</v>
      </c>
      <c r="J978" s="40">
        <v>0</v>
      </c>
      <c r="K978" s="40">
        <v>0</v>
      </c>
      <c r="L978" s="40">
        <v>0</v>
      </c>
      <c r="M978" s="40">
        <v>0</v>
      </c>
      <c r="N978" s="40">
        <v>0</v>
      </c>
      <c r="O978" s="40">
        <v>0</v>
      </c>
      <c r="P978" s="40">
        <v>0</v>
      </c>
      <c r="Q978" s="40">
        <v>0</v>
      </c>
      <c r="R978" s="40">
        <v>0</v>
      </c>
      <c r="S978" s="40">
        <v>0</v>
      </c>
      <c r="T978" s="40">
        <v>0</v>
      </c>
      <c r="U978" s="40">
        <v>0</v>
      </c>
    </row>
    <row r="979" spans="1:21" x14ac:dyDescent="0.2">
      <c r="A979" t="s">
        <v>834</v>
      </c>
      <c r="B979">
        <v>2142</v>
      </c>
      <c r="C979">
        <v>1</v>
      </c>
      <c r="D979" t="s">
        <v>346</v>
      </c>
      <c r="E979" s="40">
        <v>0</v>
      </c>
      <c r="F979" s="40">
        <v>0</v>
      </c>
      <c r="G979" s="40">
        <v>0</v>
      </c>
      <c r="H979" s="40">
        <v>0</v>
      </c>
      <c r="I979" s="40">
        <v>0</v>
      </c>
      <c r="J979" s="40">
        <v>0</v>
      </c>
      <c r="K979" s="40">
        <v>0</v>
      </c>
      <c r="L979" s="40">
        <v>0</v>
      </c>
      <c r="M979" s="40">
        <v>0</v>
      </c>
      <c r="N979" s="40">
        <v>0</v>
      </c>
      <c r="O979" s="40">
        <v>0</v>
      </c>
      <c r="P979" s="40">
        <v>0</v>
      </c>
      <c r="Q979" s="40">
        <v>0</v>
      </c>
      <c r="R979" s="40">
        <v>0</v>
      </c>
      <c r="S979" s="40">
        <v>0</v>
      </c>
      <c r="T979" s="40">
        <v>0</v>
      </c>
      <c r="U979" s="40">
        <v>0</v>
      </c>
    </row>
    <row r="980" spans="1:21" x14ac:dyDescent="0.2">
      <c r="A980" t="s">
        <v>834</v>
      </c>
      <c r="B980">
        <v>2143</v>
      </c>
      <c r="C980">
        <v>1</v>
      </c>
      <c r="D980" t="s">
        <v>347</v>
      </c>
      <c r="E980" s="40">
        <v>0</v>
      </c>
      <c r="F980" s="40">
        <v>0</v>
      </c>
      <c r="G980" s="40">
        <v>0</v>
      </c>
      <c r="H980" s="40">
        <v>450</v>
      </c>
      <c r="I980" s="40">
        <v>450</v>
      </c>
      <c r="J980" s="40">
        <v>450</v>
      </c>
      <c r="K980" s="40">
        <v>450</v>
      </c>
      <c r="L980" s="40">
        <v>450</v>
      </c>
      <c r="M980" s="40">
        <v>450</v>
      </c>
      <c r="N980" s="40">
        <v>450</v>
      </c>
      <c r="O980" s="40">
        <v>0</v>
      </c>
      <c r="P980" s="40">
        <v>0</v>
      </c>
      <c r="Q980" s="40">
        <v>0</v>
      </c>
      <c r="R980" s="40">
        <v>0</v>
      </c>
      <c r="S980" s="40">
        <v>0</v>
      </c>
      <c r="T980" s="40">
        <v>0</v>
      </c>
      <c r="U980" s="40">
        <v>0</v>
      </c>
    </row>
    <row r="981" spans="1:21" x14ac:dyDescent="0.2">
      <c r="A981" t="s">
        <v>834</v>
      </c>
      <c r="B981">
        <v>2144</v>
      </c>
      <c r="C981">
        <v>1</v>
      </c>
      <c r="D981" t="s">
        <v>348</v>
      </c>
      <c r="E981" s="40">
        <v>0</v>
      </c>
      <c r="F981" s="40">
        <v>0</v>
      </c>
      <c r="G981" s="40">
        <v>0</v>
      </c>
      <c r="H981" s="40">
        <v>0</v>
      </c>
      <c r="I981" s="40">
        <v>0</v>
      </c>
      <c r="J981" s="40">
        <v>0</v>
      </c>
      <c r="K981" s="40">
        <v>0</v>
      </c>
      <c r="L981" s="40">
        <v>0</v>
      </c>
      <c r="M981" s="40">
        <v>0</v>
      </c>
      <c r="N981" s="40">
        <v>0</v>
      </c>
      <c r="O981" s="40">
        <v>0</v>
      </c>
      <c r="P981" s="40">
        <v>0</v>
      </c>
      <c r="Q981" s="40">
        <v>0</v>
      </c>
      <c r="R981" s="40">
        <v>0</v>
      </c>
      <c r="S981" s="40">
        <v>0</v>
      </c>
      <c r="T981" s="40">
        <v>0</v>
      </c>
      <c r="U981" s="40">
        <v>0</v>
      </c>
    </row>
    <row r="982" spans="1:21" x14ac:dyDescent="0.2">
      <c r="A982" t="s">
        <v>834</v>
      </c>
      <c r="B982">
        <v>2149</v>
      </c>
      <c r="C982">
        <v>1</v>
      </c>
      <c r="D982" t="s">
        <v>349</v>
      </c>
      <c r="E982" s="40">
        <v>0</v>
      </c>
      <c r="F982" s="40">
        <v>0</v>
      </c>
      <c r="G982" s="40">
        <v>0</v>
      </c>
      <c r="H982" s="40">
        <v>0</v>
      </c>
      <c r="I982" s="40">
        <v>0</v>
      </c>
      <c r="J982" s="40">
        <v>0</v>
      </c>
      <c r="K982" s="40">
        <v>0</v>
      </c>
      <c r="L982" s="40">
        <v>0</v>
      </c>
      <c r="M982" s="40">
        <v>0</v>
      </c>
      <c r="N982" s="40">
        <v>0</v>
      </c>
      <c r="O982" s="40">
        <v>0</v>
      </c>
      <c r="P982" s="40">
        <v>0</v>
      </c>
      <c r="Q982" s="40">
        <v>0</v>
      </c>
      <c r="R982" s="40">
        <v>0</v>
      </c>
      <c r="S982" s="40">
        <v>0</v>
      </c>
      <c r="T982" s="40">
        <v>0</v>
      </c>
      <c r="U982" s="40">
        <v>0</v>
      </c>
    </row>
    <row r="983" spans="1:21" x14ac:dyDescent="0.2">
      <c r="A983" t="s">
        <v>834</v>
      </c>
      <c r="B983">
        <v>2154</v>
      </c>
      <c r="C983">
        <v>1</v>
      </c>
      <c r="D983" t="s">
        <v>350</v>
      </c>
      <c r="E983" s="40">
        <v>0</v>
      </c>
      <c r="F983" s="40">
        <v>0</v>
      </c>
      <c r="G983" s="40">
        <v>0</v>
      </c>
      <c r="H983" s="40">
        <v>0</v>
      </c>
      <c r="I983" s="40">
        <v>0</v>
      </c>
      <c r="J983" s="40">
        <v>0</v>
      </c>
      <c r="K983" s="40">
        <v>0</v>
      </c>
      <c r="L983" s="40">
        <v>0</v>
      </c>
      <c r="M983" s="40">
        <v>0</v>
      </c>
      <c r="N983" s="40">
        <v>0</v>
      </c>
      <c r="O983" s="40">
        <v>0</v>
      </c>
      <c r="P983" s="40">
        <v>0</v>
      </c>
      <c r="Q983" s="40">
        <v>0</v>
      </c>
      <c r="R983" s="40">
        <v>0</v>
      </c>
      <c r="S983" s="40">
        <v>0</v>
      </c>
      <c r="T983" s="40">
        <v>0</v>
      </c>
      <c r="U983" s="40">
        <v>0</v>
      </c>
    </row>
    <row r="984" spans="1:21" x14ac:dyDescent="0.2">
      <c r="A984" t="s">
        <v>834</v>
      </c>
      <c r="B984">
        <v>2155</v>
      </c>
      <c r="C984">
        <v>1</v>
      </c>
      <c r="D984" t="s">
        <v>351</v>
      </c>
      <c r="E984" s="40">
        <v>0</v>
      </c>
      <c r="F984" s="40">
        <v>0</v>
      </c>
      <c r="G984" s="40">
        <v>0</v>
      </c>
      <c r="H984" s="40">
        <v>0</v>
      </c>
      <c r="I984" s="40">
        <v>0</v>
      </c>
      <c r="J984" s="40">
        <v>0</v>
      </c>
      <c r="K984" s="40">
        <v>0</v>
      </c>
      <c r="L984" s="40">
        <v>0</v>
      </c>
      <c r="M984" s="40">
        <v>0</v>
      </c>
      <c r="N984" s="40">
        <v>0</v>
      </c>
      <c r="O984" s="40">
        <v>0</v>
      </c>
      <c r="P984" s="40">
        <v>0</v>
      </c>
      <c r="Q984" s="40">
        <v>0</v>
      </c>
      <c r="R984" s="40">
        <v>0</v>
      </c>
      <c r="S984" s="40">
        <v>0</v>
      </c>
      <c r="T984" s="40">
        <v>0</v>
      </c>
      <c r="U984" s="40">
        <v>0</v>
      </c>
    </row>
    <row r="985" spans="1:21" x14ac:dyDescent="0.2">
      <c r="A985" t="s">
        <v>834</v>
      </c>
      <c r="B985">
        <v>2159</v>
      </c>
      <c r="C985">
        <v>1</v>
      </c>
      <c r="D985" t="s">
        <v>352</v>
      </c>
      <c r="E985" s="40">
        <v>0</v>
      </c>
      <c r="F985" s="40">
        <v>0</v>
      </c>
      <c r="G985" s="40">
        <v>0</v>
      </c>
      <c r="H985" s="40">
        <v>0</v>
      </c>
      <c r="I985" s="40">
        <v>0</v>
      </c>
      <c r="J985" s="40">
        <v>0</v>
      </c>
      <c r="K985" s="40">
        <v>0</v>
      </c>
      <c r="L985" s="40">
        <v>0</v>
      </c>
      <c r="M985" s="40">
        <v>0</v>
      </c>
      <c r="N985" s="40">
        <v>0</v>
      </c>
      <c r="O985" s="40">
        <v>0</v>
      </c>
      <c r="P985" s="40">
        <v>0</v>
      </c>
      <c r="Q985" s="40">
        <v>0</v>
      </c>
      <c r="R985" s="40">
        <v>0</v>
      </c>
      <c r="S985" s="40">
        <v>0</v>
      </c>
      <c r="T985" s="40">
        <v>0</v>
      </c>
      <c r="U985" s="40">
        <v>0</v>
      </c>
    </row>
    <row r="986" spans="1:21" x14ac:dyDescent="0.2">
      <c r="A986" t="s">
        <v>834</v>
      </c>
      <c r="B986">
        <v>2164</v>
      </c>
      <c r="C986">
        <v>1</v>
      </c>
      <c r="D986" t="s">
        <v>353</v>
      </c>
      <c r="E986" s="40">
        <v>0</v>
      </c>
      <c r="F986" s="40">
        <v>0</v>
      </c>
      <c r="G986" s="40">
        <v>0</v>
      </c>
      <c r="H986" s="40">
        <v>0</v>
      </c>
      <c r="I986" s="40">
        <v>0</v>
      </c>
      <c r="J986" s="40">
        <v>0</v>
      </c>
      <c r="K986" s="40">
        <v>0</v>
      </c>
      <c r="L986" s="40">
        <v>0</v>
      </c>
      <c r="M986" s="40">
        <v>0</v>
      </c>
      <c r="N986" s="40">
        <v>0</v>
      </c>
      <c r="O986" s="40">
        <v>0</v>
      </c>
      <c r="P986" s="40">
        <v>0</v>
      </c>
      <c r="Q986" s="40">
        <v>0</v>
      </c>
      <c r="R986" s="40">
        <v>0</v>
      </c>
      <c r="S986" s="40">
        <v>0</v>
      </c>
      <c r="T986" s="40">
        <v>0</v>
      </c>
      <c r="U986" s="40">
        <v>0</v>
      </c>
    </row>
    <row r="987" spans="1:21" x14ac:dyDescent="0.2">
      <c r="A987" t="s">
        <v>834</v>
      </c>
      <c r="B987">
        <v>2165</v>
      </c>
      <c r="C987">
        <v>1</v>
      </c>
      <c r="D987" t="s">
        <v>354</v>
      </c>
      <c r="E987" s="40">
        <v>0</v>
      </c>
      <c r="F987" s="40">
        <v>0</v>
      </c>
      <c r="G987" s="40">
        <v>0</v>
      </c>
      <c r="H987" s="40">
        <v>0</v>
      </c>
      <c r="I987" s="40">
        <v>0</v>
      </c>
      <c r="J987" s="40">
        <v>0</v>
      </c>
      <c r="K987" s="40">
        <v>0</v>
      </c>
      <c r="L987" s="40">
        <v>0</v>
      </c>
      <c r="M987" s="40">
        <v>0</v>
      </c>
      <c r="N987" s="40">
        <v>0</v>
      </c>
      <c r="O987" s="40">
        <v>0</v>
      </c>
      <c r="P987" s="40">
        <v>0</v>
      </c>
      <c r="Q987" s="40">
        <v>0</v>
      </c>
      <c r="R987" s="40">
        <v>0</v>
      </c>
      <c r="S987" s="40">
        <v>0</v>
      </c>
      <c r="T987" s="40">
        <v>0</v>
      </c>
      <c r="U987" s="40">
        <v>0</v>
      </c>
    </row>
    <row r="988" spans="1:21" x14ac:dyDescent="0.2">
      <c r="A988" t="s">
        <v>834</v>
      </c>
      <c r="B988">
        <v>2167</v>
      </c>
      <c r="C988">
        <v>1</v>
      </c>
      <c r="D988" t="s">
        <v>355</v>
      </c>
      <c r="E988" s="40">
        <v>0</v>
      </c>
      <c r="F988" s="40">
        <v>0</v>
      </c>
      <c r="G988" s="40">
        <v>0</v>
      </c>
      <c r="H988" s="40">
        <v>0</v>
      </c>
      <c r="I988" s="40">
        <v>0</v>
      </c>
      <c r="J988" s="40">
        <v>0</v>
      </c>
      <c r="K988" s="40">
        <v>0</v>
      </c>
      <c r="L988" s="40">
        <v>0</v>
      </c>
      <c r="M988" s="40">
        <v>0</v>
      </c>
      <c r="N988" s="40">
        <v>0</v>
      </c>
      <c r="O988" s="40">
        <v>0</v>
      </c>
      <c r="P988" s="40">
        <v>0</v>
      </c>
      <c r="Q988" s="40">
        <v>0</v>
      </c>
      <c r="R988" s="40">
        <v>0</v>
      </c>
      <c r="S988" s="40">
        <v>0</v>
      </c>
      <c r="T988" s="40">
        <v>0</v>
      </c>
      <c r="U988" s="40">
        <v>0</v>
      </c>
    </row>
    <row r="989" spans="1:21" x14ac:dyDescent="0.2">
      <c r="A989" t="s">
        <v>834</v>
      </c>
      <c r="B989">
        <v>2168</v>
      </c>
      <c r="C989">
        <v>1</v>
      </c>
      <c r="D989" t="s">
        <v>356</v>
      </c>
      <c r="E989" s="40">
        <v>0</v>
      </c>
      <c r="F989" s="40">
        <v>0</v>
      </c>
      <c r="G989" s="40">
        <v>0</v>
      </c>
      <c r="H989" s="40">
        <v>0</v>
      </c>
      <c r="I989" s="40">
        <v>0</v>
      </c>
      <c r="J989" s="40">
        <v>0</v>
      </c>
      <c r="K989" s="40">
        <v>0</v>
      </c>
      <c r="L989" s="40">
        <v>0</v>
      </c>
      <c r="M989" s="40">
        <v>0</v>
      </c>
      <c r="N989" s="40">
        <v>0</v>
      </c>
      <c r="O989" s="40">
        <v>0</v>
      </c>
      <c r="P989" s="40">
        <v>0</v>
      </c>
      <c r="Q989" s="40">
        <v>0</v>
      </c>
      <c r="R989" s="40">
        <v>0</v>
      </c>
      <c r="S989" s="40">
        <v>0</v>
      </c>
      <c r="T989" s="40">
        <v>0</v>
      </c>
      <c r="U989" s="40">
        <v>0</v>
      </c>
    </row>
    <row r="990" spans="1:21" x14ac:dyDescent="0.2">
      <c r="A990" t="s">
        <v>834</v>
      </c>
      <c r="B990">
        <v>2169</v>
      </c>
      <c r="C990">
        <v>1</v>
      </c>
      <c r="D990" t="s">
        <v>357</v>
      </c>
      <c r="E990" s="40">
        <v>0</v>
      </c>
      <c r="F990" s="40">
        <v>0</v>
      </c>
      <c r="G990" s="40">
        <v>0</v>
      </c>
      <c r="H990" s="40">
        <v>0</v>
      </c>
      <c r="I990" s="40">
        <v>0</v>
      </c>
      <c r="J990" s="40">
        <v>0</v>
      </c>
      <c r="K990" s="40">
        <v>0</v>
      </c>
      <c r="L990" s="40">
        <v>0</v>
      </c>
      <c r="M990" s="40">
        <v>0</v>
      </c>
      <c r="N990" s="40">
        <v>0</v>
      </c>
      <c r="O990" s="40">
        <v>0</v>
      </c>
      <c r="P990" s="40">
        <v>0</v>
      </c>
      <c r="Q990" s="40">
        <v>0</v>
      </c>
      <c r="R990" s="40">
        <v>0</v>
      </c>
      <c r="S990" s="40">
        <v>0</v>
      </c>
      <c r="T990" s="40">
        <v>0</v>
      </c>
      <c r="U990" s="40">
        <v>0</v>
      </c>
    </row>
    <row r="991" spans="1:21" x14ac:dyDescent="0.2">
      <c r="A991" t="s">
        <v>834</v>
      </c>
      <c r="B991">
        <v>2170</v>
      </c>
      <c r="C991">
        <v>1</v>
      </c>
      <c r="D991" t="s">
        <v>358</v>
      </c>
      <c r="E991" s="40">
        <v>0</v>
      </c>
      <c r="F991" s="40">
        <v>0</v>
      </c>
      <c r="G991" s="40">
        <v>0</v>
      </c>
      <c r="H991" s="40">
        <v>0</v>
      </c>
      <c r="I991" s="40">
        <v>0</v>
      </c>
      <c r="J991" s="40">
        <v>0</v>
      </c>
      <c r="K991" s="40">
        <v>0</v>
      </c>
      <c r="L991" s="40">
        <v>0</v>
      </c>
      <c r="M991" s="40">
        <v>0</v>
      </c>
      <c r="N991" s="40">
        <v>0</v>
      </c>
      <c r="O991" s="40">
        <v>0</v>
      </c>
      <c r="P991" s="40">
        <v>0</v>
      </c>
      <c r="Q991" s="40">
        <v>0</v>
      </c>
      <c r="R991" s="40">
        <v>0</v>
      </c>
      <c r="S991" s="40">
        <v>0</v>
      </c>
      <c r="T991" s="40">
        <v>0</v>
      </c>
      <c r="U991" s="40">
        <v>0</v>
      </c>
    </row>
    <row r="992" spans="1:21" x14ac:dyDescent="0.2">
      <c r="A992" t="s">
        <v>834</v>
      </c>
      <c r="B992">
        <v>2171</v>
      </c>
      <c r="C992">
        <v>1</v>
      </c>
      <c r="D992" t="s">
        <v>359</v>
      </c>
      <c r="E992" s="40">
        <v>0</v>
      </c>
      <c r="F992" s="40">
        <v>0</v>
      </c>
      <c r="G992" s="40">
        <v>0</v>
      </c>
      <c r="H992" s="40">
        <v>0</v>
      </c>
      <c r="I992" s="40">
        <v>0</v>
      </c>
      <c r="J992" s="40">
        <v>0</v>
      </c>
      <c r="K992" s="40">
        <v>0</v>
      </c>
      <c r="L992" s="40">
        <v>0</v>
      </c>
      <c r="M992" s="40">
        <v>0</v>
      </c>
      <c r="N992" s="40">
        <v>0</v>
      </c>
      <c r="O992" s="40">
        <v>0</v>
      </c>
      <c r="P992" s="40">
        <v>0</v>
      </c>
      <c r="Q992" s="40">
        <v>0</v>
      </c>
      <c r="R992" s="40">
        <v>0</v>
      </c>
      <c r="S992" s="40">
        <v>0</v>
      </c>
      <c r="T992" s="40">
        <v>0</v>
      </c>
      <c r="U992" s="40">
        <v>0</v>
      </c>
    </row>
    <row r="993" spans="1:21" x14ac:dyDescent="0.2">
      <c r="A993" t="s">
        <v>834</v>
      </c>
      <c r="B993">
        <v>2172</v>
      </c>
      <c r="C993">
        <v>1</v>
      </c>
      <c r="D993" t="s">
        <v>360</v>
      </c>
      <c r="E993" s="40">
        <v>0</v>
      </c>
      <c r="F993" s="40">
        <v>0</v>
      </c>
      <c r="G993" s="40">
        <v>0</v>
      </c>
      <c r="H993" s="40">
        <v>0</v>
      </c>
      <c r="I993" s="40">
        <v>0</v>
      </c>
      <c r="J993" s="40">
        <v>0</v>
      </c>
      <c r="K993" s="40">
        <v>0</v>
      </c>
      <c r="L993" s="40">
        <v>0</v>
      </c>
      <c r="M993" s="40">
        <v>0</v>
      </c>
      <c r="N993" s="40">
        <v>0</v>
      </c>
      <c r="O993" s="40">
        <v>0</v>
      </c>
      <c r="P993" s="40">
        <v>0</v>
      </c>
      <c r="Q993" s="40">
        <v>0</v>
      </c>
      <c r="R993" s="40">
        <v>0</v>
      </c>
      <c r="S993" s="40">
        <v>0</v>
      </c>
      <c r="T993" s="40">
        <v>0</v>
      </c>
      <c r="U993" s="40">
        <v>0</v>
      </c>
    </row>
    <row r="994" spans="1:21" x14ac:dyDescent="0.2">
      <c r="A994" t="s">
        <v>834</v>
      </c>
      <c r="B994">
        <v>2174</v>
      </c>
      <c r="C994">
        <v>1</v>
      </c>
      <c r="D994" t="s">
        <v>361</v>
      </c>
      <c r="E994" s="40">
        <v>0</v>
      </c>
      <c r="F994" s="40">
        <v>0</v>
      </c>
      <c r="G994" s="40">
        <v>0</v>
      </c>
      <c r="H994" s="40">
        <v>1</v>
      </c>
      <c r="I994" s="40">
        <v>1</v>
      </c>
      <c r="J994" s="40">
        <v>1</v>
      </c>
      <c r="K994" s="40">
        <v>1</v>
      </c>
      <c r="L994" s="40">
        <v>1</v>
      </c>
      <c r="M994" s="40">
        <v>1</v>
      </c>
      <c r="N994" s="40">
        <v>1</v>
      </c>
      <c r="O994" s="40">
        <v>1</v>
      </c>
      <c r="P994" s="40">
        <v>1</v>
      </c>
      <c r="Q994" s="40">
        <v>1</v>
      </c>
      <c r="R994" s="40">
        <v>0</v>
      </c>
      <c r="S994" s="40">
        <v>0</v>
      </c>
      <c r="T994" s="40">
        <v>0</v>
      </c>
      <c r="U994" s="40">
        <v>0</v>
      </c>
    </row>
    <row r="995" spans="1:21" x14ac:dyDescent="0.2">
      <c r="A995" t="s">
        <v>834</v>
      </c>
      <c r="B995">
        <v>2176</v>
      </c>
      <c r="C995">
        <v>1</v>
      </c>
      <c r="D995" t="s">
        <v>362</v>
      </c>
      <c r="E995" s="40">
        <v>0</v>
      </c>
      <c r="F995" s="40">
        <v>0</v>
      </c>
      <c r="G995" s="40">
        <v>0</v>
      </c>
      <c r="H995" s="40">
        <v>0</v>
      </c>
      <c r="I995" s="40">
        <v>0</v>
      </c>
      <c r="J995" s="40">
        <v>0</v>
      </c>
      <c r="K995" s="40">
        <v>0</v>
      </c>
      <c r="L995" s="40">
        <v>0</v>
      </c>
      <c r="M995" s="40">
        <v>0</v>
      </c>
      <c r="N995" s="40">
        <v>0</v>
      </c>
      <c r="O995" s="40">
        <v>0</v>
      </c>
      <c r="P995" s="40">
        <v>0</v>
      </c>
      <c r="Q995" s="40">
        <v>0</v>
      </c>
      <c r="R995" s="40">
        <v>0</v>
      </c>
      <c r="S995" s="40">
        <v>0</v>
      </c>
      <c r="T995" s="40">
        <v>0</v>
      </c>
      <c r="U995" s="40">
        <v>0</v>
      </c>
    </row>
    <row r="996" spans="1:21" x14ac:dyDescent="0.2">
      <c r="A996" t="s">
        <v>834</v>
      </c>
      <c r="B996">
        <v>2180</v>
      </c>
      <c r="C996">
        <v>1</v>
      </c>
      <c r="D996" t="s">
        <v>363</v>
      </c>
      <c r="E996" s="40">
        <v>0</v>
      </c>
      <c r="F996" s="40">
        <v>0</v>
      </c>
      <c r="G996" s="40">
        <v>0</v>
      </c>
      <c r="H996" s="40">
        <v>0</v>
      </c>
      <c r="I996" s="40">
        <v>0</v>
      </c>
      <c r="J996" s="40">
        <v>0</v>
      </c>
      <c r="K996" s="40">
        <v>0</v>
      </c>
      <c r="L996" s="40">
        <v>0</v>
      </c>
      <c r="M996" s="40">
        <v>0</v>
      </c>
      <c r="N996" s="40">
        <v>0</v>
      </c>
      <c r="O996" s="40">
        <v>0</v>
      </c>
      <c r="P996" s="40">
        <v>0</v>
      </c>
      <c r="Q996" s="40">
        <v>0</v>
      </c>
      <c r="R996" s="40">
        <v>0</v>
      </c>
      <c r="S996" s="40">
        <v>0</v>
      </c>
      <c r="T996" s="40">
        <v>0</v>
      </c>
      <c r="U996" s="40">
        <v>0</v>
      </c>
    </row>
    <row r="997" spans="1:21" x14ac:dyDescent="0.2">
      <c r="A997" t="s">
        <v>834</v>
      </c>
      <c r="B997">
        <v>2184</v>
      </c>
      <c r="C997">
        <v>1</v>
      </c>
      <c r="D997" t="s">
        <v>364</v>
      </c>
      <c r="E997" s="40">
        <v>0</v>
      </c>
      <c r="F997" s="40">
        <v>0</v>
      </c>
      <c r="G997" s="40">
        <v>0</v>
      </c>
      <c r="H997" s="40">
        <v>0</v>
      </c>
      <c r="I997" s="40">
        <v>0</v>
      </c>
      <c r="J997" s="40">
        <v>0</v>
      </c>
      <c r="K997" s="40">
        <v>0</v>
      </c>
      <c r="L997" s="40">
        <v>0</v>
      </c>
      <c r="M997" s="40">
        <v>0</v>
      </c>
      <c r="N997" s="40">
        <v>0</v>
      </c>
      <c r="O997" s="40">
        <v>0</v>
      </c>
      <c r="P997" s="40">
        <v>0</v>
      </c>
      <c r="Q997" s="40">
        <v>0</v>
      </c>
      <c r="R997" s="40">
        <v>0</v>
      </c>
      <c r="S997" s="40">
        <v>0</v>
      </c>
      <c r="T997" s="40">
        <v>0</v>
      </c>
      <c r="U997" s="40">
        <v>0</v>
      </c>
    </row>
    <row r="998" spans="1:21" x14ac:dyDescent="0.2">
      <c r="A998" t="s">
        <v>834</v>
      </c>
      <c r="B998">
        <v>2190</v>
      </c>
      <c r="C998">
        <v>1</v>
      </c>
      <c r="D998" t="s">
        <v>365</v>
      </c>
      <c r="E998" s="40">
        <v>0</v>
      </c>
      <c r="F998" s="40">
        <v>0</v>
      </c>
      <c r="G998" s="40">
        <v>0</v>
      </c>
      <c r="H998" s="40">
        <v>0</v>
      </c>
      <c r="I998" s="40">
        <v>0</v>
      </c>
      <c r="J998" s="40">
        <v>0</v>
      </c>
      <c r="K998" s="40">
        <v>0</v>
      </c>
      <c r="L998" s="40">
        <v>0</v>
      </c>
      <c r="M998" s="40">
        <v>0</v>
      </c>
      <c r="N998" s="40">
        <v>0</v>
      </c>
      <c r="O998" s="40">
        <v>0</v>
      </c>
      <c r="P998" s="40">
        <v>0</v>
      </c>
      <c r="Q998" s="40">
        <v>0</v>
      </c>
      <c r="R998" s="40">
        <v>0</v>
      </c>
      <c r="S998" s="40">
        <v>0</v>
      </c>
      <c r="T998" s="40">
        <v>0</v>
      </c>
      <c r="U998" s="40">
        <v>0</v>
      </c>
    </row>
    <row r="999" spans="1:21" x14ac:dyDescent="0.2">
      <c r="A999" t="s">
        <v>834</v>
      </c>
      <c r="B999">
        <v>2198</v>
      </c>
      <c r="C999">
        <v>1</v>
      </c>
      <c r="D999" t="s">
        <v>366</v>
      </c>
      <c r="E999" s="40">
        <v>0</v>
      </c>
      <c r="F999" s="40">
        <v>0</v>
      </c>
      <c r="G999" s="40">
        <v>0</v>
      </c>
      <c r="H999" s="40">
        <v>0</v>
      </c>
      <c r="I999" s="40">
        <v>0</v>
      </c>
      <c r="J999" s="40">
        <v>0</v>
      </c>
      <c r="K999" s="40">
        <v>0</v>
      </c>
      <c r="L999" s="40">
        <v>0</v>
      </c>
      <c r="M999" s="40">
        <v>0</v>
      </c>
      <c r="N999" s="40">
        <v>0</v>
      </c>
      <c r="O999" s="40">
        <v>0</v>
      </c>
      <c r="P999" s="40">
        <v>0</v>
      </c>
      <c r="Q999" s="40">
        <v>0</v>
      </c>
      <c r="R999" s="40">
        <v>0</v>
      </c>
      <c r="S999" s="40">
        <v>0</v>
      </c>
      <c r="T999" s="40">
        <v>0</v>
      </c>
      <c r="U999" s="40">
        <v>0</v>
      </c>
    </row>
    <row r="1000" spans="1:21" x14ac:dyDescent="0.2">
      <c r="A1000" t="s">
        <v>834</v>
      </c>
      <c r="B1000">
        <v>2215</v>
      </c>
      <c r="C1000">
        <v>1</v>
      </c>
      <c r="D1000" t="s">
        <v>367</v>
      </c>
      <c r="E1000" s="40">
        <v>0</v>
      </c>
      <c r="F1000" s="40">
        <v>0</v>
      </c>
      <c r="G1000" s="40">
        <v>0</v>
      </c>
      <c r="H1000" s="40">
        <v>0</v>
      </c>
      <c r="I1000" s="40">
        <v>0</v>
      </c>
      <c r="J1000" s="40">
        <v>0</v>
      </c>
      <c r="K1000" s="40">
        <v>0</v>
      </c>
      <c r="L1000" s="40">
        <v>0</v>
      </c>
      <c r="M1000" s="40">
        <v>0</v>
      </c>
      <c r="N1000" s="40">
        <v>0</v>
      </c>
      <c r="O1000" s="40">
        <v>0</v>
      </c>
      <c r="P1000" s="40">
        <v>0</v>
      </c>
      <c r="Q1000" s="40">
        <v>0</v>
      </c>
      <c r="R1000" s="40">
        <v>0</v>
      </c>
      <c r="S1000" s="40">
        <v>0</v>
      </c>
      <c r="T1000" s="40">
        <v>0</v>
      </c>
      <c r="U1000" s="40">
        <v>0</v>
      </c>
    </row>
    <row r="1001" spans="1:21" x14ac:dyDescent="0.2">
      <c r="A1001" t="s">
        <v>834</v>
      </c>
      <c r="B1001">
        <v>2310</v>
      </c>
      <c r="C1001">
        <v>1</v>
      </c>
      <c r="D1001" t="s">
        <v>368</v>
      </c>
      <c r="E1001" s="40">
        <v>0</v>
      </c>
      <c r="F1001" s="40">
        <v>0</v>
      </c>
      <c r="G1001" s="40">
        <v>0</v>
      </c>
      <c r="H1001" s="40">
        <v>0</v>
      </c>
      <c r="I1001" s="40">
        <v>0</v>
      </c>
      <c r="J1001" s="40">
        <v>0</v>
      </c>
      <c r="K1001" s="40">
        <v>0</v>
      </c>
      <c r="L1001" s="40">
        <v>0</v>
      </c>
      <c r="M1001" s="40">
        <v>0</v>
      </c>
      <c r="N1001" s="40">
        <v>0</v>
      </c>
      <c r="O1001" s="40">
        <v>0</v>
      </c>
      <c r="P1001" s="40">
        <v>0</v>
      </c>
      <c r="Q1001" s="40">
        <v>0</v>
      </c>
      <c r="R1001" s="40">
        <v>0</v>
      </c>
      <c r="S1001" s="40">
        <v>0</v>
      </c>
      <c r="T1001" s="40">
        <v>0</v>
      </c>
      <c r="U1001" s="40">
        <v>0</v>
      </c>
    </row>
    <row r="1002" spans="1:21" x14ac:dyDescent="0.2">
      <c r="A1002" t="s">
        <v>834</v>
      </c>
      <c r="B1002">
        <v>2311</v>
      </c>
      <c r="C1002">
        <v>1</v>
      </c>
      <c r="D1002" t="s">
        <v>369</v>
      </c>
      <c r="E1002" s="40">
        <v>0</v>
      </c>
      <c r="F1002" s="40">
        <v>0</v>
      </c>
      <c r="G1002" s="40">
        <v>0</v>
      </c>
      <c r="H1002" s="40">
        <v>0</v>
      </c>
      <c r="I1002" s="40">
        <v>0</v>
      </c>
      <c r="J1002" s="40">
        <v>0</v>
      </c>
      <c r="K1002" s="40">
        <v>0</v>
      </c>
      <c r="L1002" s="40">
        <v>0</v>
      </c>
      <c r="M1002" s="40">
        <v>0</v>
      </c>
      <c r="N1002" s="40">
        <v>0</v>
      </c>
      <c r="O1002" s="40">
        <v>0</v>
      </c>
      <c r="P1002" s="40">
        <v>0</v>
      </c>
      <c r="Q1002" s="40">
        <v>0</v>
      </c>
      <c r="R1002" s="40">
        <v>0</v>
      </c>
      <c r="S1002" s="40">
        <v>0</v>
      </c>
      <c r="T1002" s="40">
        <v>0</v>
      </c>
      <c r="U1002" s="40">
        <v>0</v>
      </c>
    </row>
    <row r="1003" spans="1:21" x14ac:dyDescent="0.2">
      <c r="A1003" t="s">
        <v>834</v>
      </c>
      <c r="B1003">
        <v>2342</v>
      </c>
      <c r="C1003">
        <v>1</v>
      </c>
      <c r="D1003" t="s">
        <v>370</v>
      </c>
      <c r="E1003" s="40">
        <v>0</v>
      </c>
      <c r="F1003" s="40">
        <v>0</v>
      </c>
      <c r="G1003" s="40">
        <v>0</v>
      </c>
      <c r="H1003" s="40">
        <v>0</v>
      </c>
      <c r="I1003" s="40">
        <v>0</v>
      </c>
      <c r="J1003" s="40">
        <v>0</v>
      </c>
      <c r="K1003" s="40">
        <v>0</v>
      </c>
      <c r="L1003" s="40">
        <v>0</v>
      </c>
      <c r="M1003" s="40">
        <v>0</v>
      </c>
      <c r="N1003" s="40">
        <v>0</v>
      </c>
      <c r="O1003" s="40">
        <v>0</v>
      </c>
      <c r="P1003" s="40">
        <v>0</v>
      </c>
      <c r="Q1003" s="40">
        <v>0</v>
      </c>
      <c r="R1003" s="40">
        <v>0</v>
      </c>
      <c r="S1003" s="40">
        <v>0</v>
      </c>
      <c r="T1003" s="40">
        <v>0</v>
      </c>
      <c r="U1003" s="40">
        <v>0</v>
      </c>
    </row>
    <row r="1004" spans="1:21" x14ac:dyDescent="0.2">
      <c r="A1004" t="s">
        <v>834</v>
      </c>
      <c r="B1004">
        <v>2358</v>
      </c>
      <c r="C1004">
        <v>1</v>
      </c>
      <c r="D1004" t="s">
        <v>371</v>
      </c>
      <c r="E1004" s="40">
        <v>0</v>
      </c>
      <c r="F1004" s="40">
        <v>0</v>
      </c>
      <c r="G1004" s="40">
        <v>0</v>
      </c>
      <c r="H1004" s="40">
        <v>0</v>
      </c>
      <c r="I1004" s="40">
        <v>0</v>
      </c>
      <c r="J1004" s="40">
        <v>0</v>
      </c>
      <c r="K1004" s="40">
        <v>0</v>
      </c>
      <c r="L1004" s="40">
        <v>0</v>
      </c>
      <c r="M1004" s="40">
        <v>0</v>
      </c>
      <c r="N1004" s="40">
        <v>0</v>
      </c>
      <c r="O1004" s="40">
        <v>0</v>
      </c>
      <c r="P1004" s="40">
        <v>0</v>
      </c>
      <c r="Q1004" s="40">
        <v>0</v>
      </c>
      <c r="R1004" s="40">
        <v>0</v>
      </c>
      <c r="S1004" s="40">
        <v>0</v>
      </c>
      <c r="T1004" s="40">
        <v>0</v>
      </c>
      <c r="U1004" s="40">
        <v>0</v>
      </c>
    </row>
    <row r="1005" spans="1:21" x14ac:dyDescent="0.2">
      <c r="A1005" t="s">
        <v>834</v>
      </c>
      <c r="B1005">
        <v>2364</v>
      </c>
      <c r="C1005">
        <v>1</v>
      </c>
      <c r="D1005" t="s">
        <v>372</v>
      </c>
      <c r="E1005" s="40">
        <v>0</v>
      </c>
      <c r="F1005" s="40">
        <v>0</v>
      </c>
      <c r="G1005" s="40">
        <v>0</v>
      </c>
      <c r="H1005" s="40">
        <v>0</v>
      </c>
      <c r="I1005" s="40">
        <v>0</v>
      </c>
      <c r="J1005" s="40">
        <v>0</v>
      </c>
      <c r="K1005" s="40">
        <v>0</v>
      </c>
      <c r="L1005" s="40">
        <v>0</v>
      </c>
      <c r="M1005" s="40">
        <v>0</v>
      </c>
      <c r="N1005" s="40">
        <v>0</v>
      </c>
      <c r="O1005" s="40">
        <v>0</v>
      </c>
      <c r="P1005" s="40">
        <v>0</v>
      </c>
      <c r="Q1005" s="40">
        <v>0</v>
      </c>
      <c r="R1005" s="40">
        <v>0</v>
      </c>
      <c r="S1005" s="40">
        <v>0</v>
      </c>
      <c r="T1005" s="40">
        <v>0</v>
      </c>
      <c r="U1005" s="40">
        <v>0</v>
      </c>
    </row>
    <row r="1006" spans="1:21" x14ac:dyDescent="0.2">
      <c r="A1006" t="s">
        <v>834</v>
      </c>
      <c r="B1006">
        <v>2365</v>
      </c>
      <c r="C1006">
        <v>1</v>
      </c>
      <c r="D1006" t="s">
        <v>373</v>
      </c>
      <c r="E1006" s="40">
        <v>0</v>
      </c>
      <c r="F1006" s="40">
        <v>0</v>
      </c>
      <c r="G1006" s="40">
        <v>0</v>
      </c>
      <c r="H1006" s="40">
        <v>350</v>
      </c>
      <c r="I1006" s="40">
        <v>350</v>
      </c>
      <c r="J1006" s="40">
        <v>350</v>
      </c>
      <c r="K1006" s="40">
        <v>350</v>
      </c>
      <c r="L1006" s="40">
        <v>350</v>
      </c>
      <c r="M1006" s="40">
        <v>350</v>
      </c>
      <c r="N1006" s="40">
        <v>350</v>
      </c>
      <c r="O1006" s="40">
        <v>350</v>
      </c>
      <c r="P1006" s="40">
        <v>350</v>
      </c>
      <c r="Q1006" s="40">
        <v>350</v>
      </c>
      <c r="R1006" s="40">
        <v>0</v>
      </c>
      <c r="S1006" s="40">
        <v>0</v>
      </c>
      <c r="T1006" s="40">
        <v>0</v>
      </c>
      <c r="U1006" s="40">
        <v>0</v>
      </c>
    </row>
    <row r="1007" spans="1:21" x14ac:dyDescent="0.2">
      <c r="A1007" t="s">
        <v>834</v>
      </c>
      <c r="B1007">
        <v>2396</v>
      </c>
      <c r="C1007">
        <v>1</v>
      </c>
      <c r="D1007" t="s">
        <v>374</v>
      </c>
      <c r="E1007" s="40">
        <v>0</v>
      </c>
      <c r="F1007" s="40">
        <v>0</v>
      </c>
      <c r="G1007" s="40">
        <v>0</v>
      </c>
      <c r="H1007" s="40">
        <v>0</v>
      </c>
      <c r="I1007" s="40">
        <v>0</v>
      </c>
      <c r="J1007" s="40">
        <v>0</v>
      </c>
      <c r="K1007" s="40">
        <v>0</v>
      </c>
      <c r="L1007" s="40">
        <v>0</v>
      </c>
      <c r="M1007" s="40">
        <v>0</v>
      </c>
      <c r="N1007" s="40">
        <v>0</v>
      </c>
      <c r="O1007" s="40">
        <v>0</v>
      </c>
      <c r="P1007" s="40">
        <v>0</v>
      </c>
      <c r="Q1007" s="40">
        <v>0</v>
      </c>
      <c r="R1007" s="40">
        <v>0</v>
      </c>
      <c r="S1007" s="40">
        <v>0</v>
      </c>
      <c r="T1007" s="40">
        <v>0</v>
      </c>
      <c r="U1007" s="40">
        <v>0</v>
      </c>
    </row>
    <row r="1008" spans="1:21" x14ac:dyDescent="0.2">
      <c r="A1008" t="s">
        <v>834</v>
      </c>
      <c r="B1008">
        <v>2397</v>
      </c>
      <c r="C1008">
        <v>1</v>
      </c>
      <c r="D1008" t="s">
        <v>375</v>
      </c>
      <c r="E1008" s="40">
        <v>0</v>
      </c>
      <c r="F1008" s="40">
        <v>0</v>
      </c>
      <c r="G1008" s="40">
        <v>0</v>
      </c>
      <c r="H1008" s="40">
        <v>0</v>
      </c>
      <c r="I1008" s="40">
        <v>0</v>
      </c>
      <c r="J1008" s="40">
        <v>0</v>
      </c>
      <c r="K1008" s="40">
        <v>0</v>
      </c>
      <c r="L1008" s="40">
        <v>0</v>
      </c>
      <c r="M1008" s="40">
        <v>0</v>
      </c>
      <c r="N1008" s="40">
        <v>0</v>
      </c>
      <c r="O1008" s="40">
        <v>0</v>
      </c>
      <c r="P1008" s="40">
        <v>0</v>
      </c>
      <c r="Q1008" s="40">
        <v>0</v>
      </c>
      <c r="R1008" s="40">
        <v>0</v>
      </c>
      <c r="S1008" s="40">
        <v>0</v>
      </c>
      <c r="T1008" s="40">
        <v>0</v>
      </c>
      <c r="U1008" s="40">
        <v>0</v>
      </c>
    </row>
    <row r="1009" spans="1:21" x14ac:dyDescent="0.2">
      <c r="A1009" t="s">
        <v>834</v>
      </c>
      <c r="B1009">
        <v>2448</v>
      </c>
      <c r="C1009">
        <v>1</v>
      </c>
      <c r="D1009" t="s">
        <v>376</v>
      </c>
      <c r="E1009" s="40">
        <v>0</v>
      </c>
      <c r="F1009" s="40">
        <v>0</v>
      </c>
      <c r="G1009" s="40">
        <v>0</v>
      </c>
      <c r="H1009" s="40">
        <v>0</v>
      </c>
      <c r="I1009" s="40">
        <v>0</v>
      </c>
      <c r="J1009" s="40">
        <v>0</v>
      </c>
      <c r="K1009" s="40">
        <v>0</v>
      </c>
      <c r="L1009" s="40">
        <v>0</v>
      </c>
      <c r="M1009" s="40">
        <v>0</v>
      </c>
      <c r="N1009" s="40">
        <v>0</v>
      </c>
      <c r="O1009" s="40">
        <v>0</v>
      </c>
      <c r="P1009" s="40">
        <v>0</v>
      </c>
      <c r="Q1009" s="40">
        <v>0</v>
      </c>
      <c r="R1009" s="40">
        <v>0</v>
      </c>
      <c r="S1009" s="40">
        <v>0</v>
      </c>
      <c r="T1009" s="40">
        <v>0</v>
      </c>
      <c r="U1009" s="40">
        <v>0</v>
      </c>
    </row>
    <row r="1010" spans="1:21" x14ac:dyDescent="0.2">
      <c r="A1010" t="s">
        <v>834</v>
      </c>
      <c r="B1010">
        <v>2527</v>
      </c>
      <c r="C1010">
        <v>1</v>
      </c>
      <c r="D1010" t="s">
        <v>377</v>
      </c>
      <c r="E1010" s="40">
        <v>0</v>
      </c>
      <c r="F1010" s="40">
        <v>0</v>
      </c>
      <c r="G1010" s="40">
        <v>0</v>
      </c>
      <c r="H1010" s="40">
        <v>0</v>
      </c>
      <c r="I1010" s="40">
        <v>0</v>
      </c>
      <c r="J1010" s="40">
        <v>0</v>
      </c>
      <c r="K1010" s="40">
        <v>0</v>
      </c>
      <c r="L1010" s="40">
        <v>0</v>
      </c>
      <c r="M1010" s="40">
        <v>0</v>
      </c>
      <c r="N1010" s="40">
        <v>0</v>
      </c>
      <c r="O1010" s="40">
        <v>0</v>
      </c>
      <c r="P1010" s="40">
        <v>0</v>
      </c>
      <c r="Q1010" s="40">
        <v>0</v>
      </c>
      <c r="R1010" s="40">
        <v>0</v>
      </c>
      <c r="S1010" s="40">
        <v>0</v>
      </c>
      <c r="T1010" s="40">
        <v>0</v>
      </c>
      <c r="U1010" s="40">
        <v>0</v>
      </c>
    </row>
    <row r="1011" spans="1:21" x14ac:dyDescent="0.2">
      <c r="A1011" t="s">
        <v>834</v>
      </c>
      <c r="B1011">
        <v>2534</v>
      </c>
      <c r="C1011">
        <v>1</v>
      </c>
      <c r="D1011" t="s">
        <v>378</v>
      </c>
      <c r="E1011" s="40">
        <v>0</v>
      </c>
      <c r="F1011" s="40">
        <v>0</v>
      </c>
      <c r="G1011" s="40">
        <v>0</v>
      </c>
      <c r="H1011" s="40">
        <v>0</v>
      </c>
      <c r="I1011" s="40">
        <v>0</v>
      </c>
      <c r="J1011" s="40">
        <v>0</v>
      </c>
      <c r="K1011" s="40">
        <v>0</v>
      </c>
      <c r="L1011" s="40">
        <v>0</v>
      </c>
      <c r="M1011" s="40">
        <v>0</v>
      </c>
      <c r="N1011" s="40">
        <v>0</v>
      </c>
      <c r="O1011" s="40">
        <v>0</v>
      </c>
      <c r="P1011" s="40">
        <v>0</v>
      </c>
      <c r="Q1011" s="40">
        <v>0</v>
      </c>
      <c r="R1011" s="40">
        <v>0</v>
      </c>
      <c r="S1011" s="40">
        <v>0</v>
      </c>
      <c r="T1011" s="40">
        <v>0</v>
      </c>
      <c r="U1011" s="40">
        <v>0</v>
      </c>
    </row>
    <row r="1012" spans="1:21" x14ac:dyDescent="0.2">
      <c r="A1012" t="s">
        <v>834</v>
      </c>
      <c r="B1012">
        <v>2536</v>
      </c>
      <c r="C1012">
        <v>1</v>
      </c>
      <c r="D1012" t="s">
        <v>379</v>
      </c>
      <c r="E1012" s="40">
        <v>0</v>
      </c>
      <c r="F1012" s="40">
        <v>0</v>
      </c>
      <c r="G1012" s="40">
        <v>0</v>
      </c>
      <c r="H1012" s="40">
        <v>0</v>
      </c>
      <c r="I1012" s="40">
        <v>0</v>
      </c>
      <c r="J1012" s="40">
        <v>0</v>
      </c>
      <c r="K1012" s="40">
        <v>0</v>
      </c>
      <c r="L1012" s="40">
        <v>0</v>
      </c>
      <c r="M1012" s="40">
        <v>0</v>
      </c>
      <c r="N1012" s="40">
        <v>0</v>
      </c>
      <c r="O1012" s="40">
        <v>0</v>
      </c>
      <c r="P1012" s="40">
        <v>0</v>
      </c>
      <c r="Q1012" s="40">
        <v>0</v>
      </c>
      <c r="R1012" s="40">
        <v>0</v>
      </c>
      <c r="S1012" s="40">
        <v>0</v>
      </c>
      <c r="T1012" s="40">
        <v>0</v>
      </c>
      <c r="U1012" s="40">
        <v>0</v>
      </c>
    </row>
    <row r="1013" spans="1:21" x14ac:dyDescent="0.2">
      <c r="A1013" t="s">
        <v>834</v>
      </c>
      <c r="B1013">
        <v>2580</v>
      </c>
      <c r="C1013">
        <v>1</v>
      </c>
      <c r="D1013" t="s">
        <v>380</v>
      </c>
      <c r="E1013" s="40">
        <v>0</v>
      </c>
      <c r="F1013" s="40">
        <v>0</v>
      </c>
      <c r="G1013" s="40">
        <v>0</v>
      </c>
      <c r="H1013" s="40">
        <v>0</v>
      </c>
      <c r="I1013" s="40">
        <v>0</v>
      </c>
      <c r="J1013" s="40">
        <v>0</v>
      </c>
      <c r="K1013" s="40">
        <v>0</v>
      </c>
      <c r="L1013" s="40">
        <v>0</v>
      </c>
      <c r="M1013" s="40">
        <v>0</v>
      </c>
      <c r="N1013" s="40">
        <v>0</v>
      </c>
      <c r="O1013" s="40">
        <v>0</v>
      </c>
      <c r="P1013" s="40">
        <v>0</v>
      </c>
      <c r="Q1013" s="40">
        <v>0</v>
      </c>
      <c r="R1013" s="40">
        <v>0</v>
      </c>
      <c r="S1013" s="40">
        <v>0</v>
      </c>
      <c r="T1013" s="40">
        <v>0</v>
      </c>
      <c r="U1013" s="40">
        <v>0</v>
      </c>
    </row>
    <row r="1014" spans="1:21" x14ac:dyDescent="0.2">
      <c r="A1014" t="s">
        <v>834</v>
      </c>
      <c r="B1014">
        <v>2609</v>
      </c>
      <c r="C1014">
        <v>1</v>
      </c>
      <c r="D1014" t="s">
        <v>381</v>
      </c>
      <c r="E1014" s="40">
        <v>0</v>
      </c>
      <c r="F1014" s="40">
        <v>0</v>
      </c>
      <c r="G1014" s="40">
        <v>0</v>
      </c>
      <c r="H1014" s="40">
        <v>0</v>
      </c>
      <c r="I1014" s="40">
        <v>0</v>
      </c>
      <c r="J1014" s="40">
        <v>0</v>
      </c>
      <c r="K1014" s="40">
        <v>0</v>
      </c>
      <c r="L1014" s="40">
        <v>0</v>
      </c>
      <c r="M1014" s="40">
        <v>0</v>
      </c>
      <c r="N1014" s="40">
        <v>0</v>
      </c>
      <c r="O1014" s="40">
        <v>0</v>
      </c>
      <c r="P1014" s="40">
        <v>0</v>
      </c>
      <c r="Q1014" s="40">
        <v>0</v>
      </c>
      <c r="R1014" s="40">
        <v>0</v>
      </c>
      <c r="S1014" s="40">
        <v>0</v>
      </c>
      <c r="T1014" s="40">
        <v>0</v>
      </c>
      <c r="U1014" s="40">
        <v>0</v>
      </c>
    </row>
    <row r="1015" spans="1:21" x14ac:dyDescent="0.2">
      <c r="A1015" t="s">
        <v>834</v>
      </c>
      <c r="B1015">
        <v>2683</v>
      </c>
      <c r="C1015">
        <v>1</v>
      </c>
      <c r="D1015" t="s">
        <v>382</v>
      </c>
      <c r="E1015" s="40">
        <v>0</v>
      </c>
      <c r="F1015" s="40">
        <v>0</v>
      </c>
      <c r="G1015" s="40">
        <v>0</v>
      </c>
      <c r="H1015" s="40">
        <v>0</v>
      </c>
      <c r="I1015" s="40">
        <v>0</v>
      </c>
      <c r="J1015" s="40">
        <v>0</v>
      </c>
      <c r="K1015" s="40">
        <v>0</v>
      </c>
      <c r="L1015" s="40">
        <v>0</v>
      </c>
      <c r="M1015" s="40">
        <v>0</v>
      </c>
      <c r="N1015" s="40">
        <v>0</v>
      </c>
      <c r="O1015" s="40">
        <v>0</v>
      </c>
      <c r="P1015" s="40">
        <v>0</v>
      </c>
      <c r="Q1015" s="40">
        <v>0</v>
      </c>
      <c r="R1015" s="40">
        <v>0</v>
      </c>
      <c r="S1015" s="40">
        <v>0</v>
      </c>
      <c r="T1015" s="40">
        <v>0</v>
      </c>
      <c r="U1015" s="40">
        <v>0</v>
      </c>
    </row>
    <row r="1016" spans="1:21" x14ac:dyDescent="0.2">
      <c r="A1016" t="s">
        <v>834</v>
      </c>
      <c r="B1016">
        <v>2687</v>
      </c>
      <c r="C1016">
        <v>1</v>
      </c>
      <c r="D1016" t="s">
        <v>383</v>
      </c>
      <c r="E1016" s="40">
        <v>0</v>
      </c>
      <c r="F1016" s="40">
        <v>0</v>
      </c>
      <c r="G1016" s="40">
        <v>0</v>
      </c>
      <c r="H1016" s="40">
        <v>0</v>
      </c>
      <c r="I1016" s="40">
        <v>0</v>
      </c>
      <c r="J1016" s="40">
        <v>0</v>
      </c>
      <c r="K1016" s="40">
        <v>0</v>
      </c>
      <c r="L1016" s="40">
        <v>0</v>
      </c>
      <c r="M1016" s="40">
        <v>0</v>
      </c>
      <c r="N1016" s="40">
        <v>0</v>
      </c>
      <c r="O1016" s="40">
        <v>0</v>
      </c>
      <c r="P1016" s="40">
        <v>0</v>
      </c>
      <c r="Q1016" s="40">
        <v>0</v>
      </c>
      <c r="R1016" s="40">
        <v>0</v>
      </c>
      <c r="S1016" s="40">
        <v>0</v>
      </c>
      <c r="T1016" s="40">
        <v>0</v>
      </c>
      <c r="U1016" s="40">
        <v>0</v>
      </c>
    </row>
    <row r="1017" spans="1:21" x14ac:dyDescent="0.2">
      <c r="A1017" t="s">
        <v>834</v>
      </c>
      <c r="B1017">
        <v>2689</v>
      </c>
      <c r="C1017">
        <v>1</v>
      </c>
      <c r="D1017" t="s">
        <v>384</v>
      </c>
      <c r="E1017" s="40">
        <v>0</v>
      </c>
      <c r="F1017" s="40">
        <v>0</v>
      </c>
      <c r="G1017" s="40">
        <v>0</v>
      </c>
      <c r="H1017" s="40">
        <v>0</v>
      </c>
      <c r="I1017" s="40">
        <v>0</v>
      </c>
      <c r="J1017" s="40">
        <v>0</v>
      </c>
      <c r="K1017" s="40">
        <v>0</v>
      </c>
      <c r="L1017" s="40">
        <v>0</v>
      </c>
      <c r="M1017" s="40">
        <v>0</v>
      </c>
      <c r="N1017" s="40">
        <v>0</v>
      </c>
      <c r="O1017" s="40">
        <v>0</v>
      </c>
      <c r="P1017" s="40">
        <v>0</v>
      </c>
      <c r="Q1017" s="40">
        <v>0</v>
      </c>
      <c r="R1017" s="40">
        <v>0</v>
      </c>
      <c r="S1017" s="40">
        <v>0</v>
      </c>
      <c r="T1017" s="40">
        <v>0</v>
      </c>
      <c r="U1017" s="40">
        <v>0</v>
      </c>
    </row>
    <row r="1018" spans="1:21" x14ac:dyDescent="0.2">
      <c r="A1018" t="s">
        <v>834</v>
      </c>
      <c r="B1018">
        <v>2711</v>
      </c>
      <c r="C1018">
        <v>1</v>
      </c>
      <c r="D1018" t="s">
        <v>385</v>
      </c>
      <c r="E1018" s="40">
        <v>0</v>
      </c>
      <c r="F1018" s="40">
        <v>0</v>
      </c>
      <c r="G1018" s="40">
        <v>0</v>
      </c>
      <c r="H1018" s="40">
        <v>0</v>
      </c>
      <c r="I1018" s="40">
        <v>0</v>
      </c>
      <c r="J1018" s="40">
        <v>0</v>
      </c>
      <c r="K1018" s="40">
        <v>0</v>
      </c>
      <c r="L1018" s="40">
        <v>0</v>
      </c>
      <c r="M1018" s="40">
        <v>0</v>
      </c>
      <c r="N1018" s="40">
        <v>0</v>
      </c>
      <c r="O1018" s="40">
        <v>0</v>
      </c>
      <c r="P1018" s="40">
        <v>0</v>
      </c>
      <c r="Q1018" s="40">
        <v>0</v>
      </c>
      <c r="R1018" s="40">
        <v>0</v>
      </c>
      <c r="S1018" s="40">
        <v>0</v>
      </c>
      <c r="T1018" s="40">
        <v>0</v>
      </c>
      <c r="U1018" s="40">
        <v>0</v>
      </c>
    </row>
    <row r="1019" spans="1:21" x14ac:dyDescent="0.2">
      <c r="A1019" t="s">
        <v>834</v>
      </c>
      <c r="B1019">
        <v>2752</v>
      </c>
      <c r="C1019">
        <v>1</v>
      </c>
      <c r="D1019" t="s">
        <v>386</v>
      </c>
      <c r="E1019" s="40">
        <v>0</v>
      </c>
      <c r="F1019" s="40">
        <v>0</v>
      </c>
      <c r="G1019" s="40">
        <v>0</v>
      </c>
      <c r="H1019" s="40">
        <v>0</v>
      </c>
      <c r="I1019" s="40">
        <v>0</v>
      </c>
      <c r="J1019" s="40">
        <v>0</v>
      </c>
      <c r="K1019" s="40">
        <v>0</v>
      </c>
      <c r="L1019" s="40">
        <v>0</v>
      </c>
      <c r="M1019" s="40">
        <v>0</v>
      </c>
      <c r="N1019" s="40">
        <v>0</v>
      </c>
      <c r="O1019" s="40">
        <v>0</v>
      </c>
      <c r="P1019" s="40">
        <v>0</v>
      </c>
      <c r="Q1019" s="40">
        <v>0</v>
      </c>
      <c r="R1019" s="40">
        <v>0</v>
      </c>
      <c r="S1019" s="40">
        <v>0</v>
      </c>
      <c r="T1019" s="40">
        <v>0</v>
      </c>
      <c r="U1019" s="40">
        <v>0</v>
      </c>
    </row>
    <row r="1020" spans="1:21" x14ac:dyDescent="0.2">
      <c r="A1020" t="s">
        <v>834</v>
      </c>
      <c r="B1020">
        <v>2753</v>
      </c>
      <c r="C1020">
        <v>1</v>
      </c>
      <c r="D1020" t="s">
        <v>387</v>
      </c>
      <c r="E1020" s="40">
        <v>0</v>
      </c>
      <c r="F1020" s="40">
        <v>0</v>
      </c>
      <c r="G1020" s="40">
        <v>0</v>
      </c>
      <c r="H1020" s="40">
        <v>0</v>
      </c>
      <c r="I1020" s="40">
        <v>0</v>
      </c>
      <c r="J1020" s="40">
        <v>0</v>
      </c>
      <c r="K1020" s="40">
        <v>0</v>
      </c>
      <c r="L1020" s="40">
        <v>0</v>
      </c>
      <c r="M1020" s="40">
        <v>0</v>
      </c>
      <c r="N1020" s="40">
        <v>0</v>
      </c>
      <c r="O1020" s="40">
        <v>0</v>
      </c>
      <c r="P1020" s="40">
        <v>0</v>
      </c>
      <c r="Q1020" s="40">
        <v>0</v>
      </c>
      <c r="R1020" s="40">
        <v>0</v>
      </c>
      <c r="S1020" s="40">
        <v>0</v>
      </c>
      <c r="T1020" s="40">
        <v>0</v>
      </c>
      <c r="U1020" s="40">
        <v>0</v>
      </c>
    </row>
    <row r="1021" spans="1:21" x14ac:dyDescent="0.2">
      <c r="A1021" t="s">
        <v>834</v>
      </c>
      <c r="B1021">
        <v>2754</v>
      </c>
      <c r="C1021">
        <v>1</v>
      </c>
      <c r="D1021" t="s">
        <v>388</v>
      </c>
      <c r="E1021" s="40">
        <v>0</v>
      </c>
      <c r="F1021" s="40">
        <v>0</v>
      </c>
      <c r="G1021" s="40">
        <v>0</v>
      </c>
      <c r="H1021" s="40">
        <v>0</v>
      </c>
      <c r="I1021" s="40">
        <v>0</v>
      </c>
      <c r="J1021" s="40">
        <v>0</v>
      </c>
      <c r="K1021" s="40">
        <v>0</v>
      </c>
      <c r="L1021" s="40">
        <v>0</v>
      </c>
      <c r="M1021" s="40">
        <v>0</v>
      </c>
      <c r="N1021" s="40">
        <v>0</v>
      </c>
      <c r="O1021" s="40">
        <v>0</v>
      </c>
      <c r="P1021" s="40">
        <v>0</v>
      </c>
      <c r="Q1021" s="40">
        <v>0</v>
      </c>
      <c r="R1021" s="40">
        <v>0</v>
      </c>
      <c r="S1021" s="40">
        <v>0</v>
      </c>
      <c r="T1021" s="40">
        <v>0</v>
      </c>
      <c r="U1021" s="40">
        <v>0</v>
      </c>
    </row>
    <row r="1022" spans="1:21" x14ac:dyDescent="0.2">
      <c r="A1022" t="s">
        <v>834</v>
      </c>
      <c r="B1022">
        <v>2759</v>
      </c>
      <c r="C1022">
        <v>1</v>
      </c>
      <c r="D1022" t="s">
        <v>389</v>
      </c>
      <c r="E1022" s="40">
        <v>0</v>
      </c>
      <c r="F1022" s="40">
        <v>0</v>
      </c>
      <c r="G1022" s="40">
        <v>0</v>
      </c>
      <c r="H1022" s="40">
        <v>0</v>
      </c>
      <c r="I1022" s="40">
        <v>0</v>
      </c>
      <c r="J1022" s="40">
        <v>0</v>
      </c>
      <c r="K1022" s="40">
        <v>0</v>
      </c>
      <c r="L1022" s="40">
        <v>0</v>
      </c>
      <c r="M1022" s="40">
        <v>0</v>
      </c>
      <c r="N1022" s="40">
        <v>0</v>
      </c>
      <c r="O1022" s="40">
        <v>0</v>
      </c>
      <c r="P1022" s="40">
        <v>0</v>
      </c>
      <c r="Q1022" s="40">
        <v>0</v>
      </c>
      <c r="R1022" s="40">
        <v>0</v>
      </c>
      <c r="S1022" s="40">
        <v>0</v>
      </c>
      <c r="T1022" s="40">
        <v>0</v>
      </c>
      <c r="U1022" s="40">
        <v>0</v>
      </c>
    </row>
    <row r="1023" spans="1:21" x14ac:dyDescent="0.2">
      <c r="A1023" t="s">
        <v>834</v>
      </c>
      <c r="B1023">
        <v>2805</v>
      </c>
      <c r="C1023">
        <v>1</v>
      </c>
      <c r="D1023" t="s">
        <v>390</v>
      </c>
      <c r="E1023" s="40">
        <v>0</v>
      </c>
      <c r="F1023" s="40">
        <v>0</v>
      </c>
      <c r="G1023" s="40">
        <v>0</v>
      </c>
      <c r="H1023" s="40">
        <v>0</v>
      </c>
      <c r="I1023" s="40">
        <v>0</v>
      </c>
      <c r="J1023" s="40">
        <v>0</v>
      </c>
      <c r="K1023" s="40">
        <v>0</v>
      </c>
      <c r="L1023" s="40">
        <v>0</v>
      </c>
      <c r="M1023" s="40">
        <v>0</v>
      </c>
      <c r="N1023" s="40">
        <v>0</v>
      </c>
      <c r="O1023" s="40">
        <v>0</v>
      </c>
      <c r="P1023" s="40">
        <v>0</v>
      </c>
      <c r="Q1023" s="40">
        <v>0</v>
      </c>
      <c r="R1023" s="40">
        <v>0</v>
      </c>
      <c r="S1023" s="40">
        <v>0</v>
      </c>
      <c r="T1023" s="40">
        <v>0</v>
      </c>
      <c r="U1023" s="40">
        <v>0</v>
      </c>
    </row>
    <row r="1024" spans="1:21" x14ac:dyDescent="0.2">
      <c r="A1024" t="s">
        <v>834</v>
      </c>
      <c r="B1024">
        <v>2835</v>
      </c>
      <c r="C1024">
        <v>1</v>
      </c>
      <c r="D1024" t="s">
        <v>391</v>
      </c>
      <c r="E1024" s="40">
        <v>0</v>
      </c>
      <c r="F1024" s="40">
        <v>0</v>
      </c>
      <c r="G1024" s="40">
        <v>0</v>
      </c>
      <c r="H1024" s="40">
        <v>0</v>
      </c>
      <c r="I1024" s="40">
        <v>0</v>
      </c>
      <c r="J1024" s="40">
        <v>0</v>
      </c>
      <c r="K1024" s="40">
        <v>0</v>
      </c>
      <c r="L1024" s="40">
        <v>0</v>
      </c>
      <c r="M1024" s="40">
        <v>0</v>
      </c>
      <c r="N1024" s="40">
        <v>0</v>
      </c>
      <c r="O1024" s="40">
        <v>0</v>
      </c>
      <c r="P1024" s="40">
        <v>0</v>
      </c>
      <c r="Q1024" s="40">
        <v>0</v>
      </c>
      <c r="R1024" s="40">
        <v>0</v>
      </c>
      <c r="S1024" s="40">
        <v>0</v>
      </c>
      <c r="T1024" s="40">
        <v>0</v>
      </c>
      <c r="U1024" s="40">
        <v>0</v>
      </c>
    </row>
    <row r="1025" spans="1:21" x14ac:dyDescent="0.2">
      <c r="A1025" t="s">
        <v>834</v>
      </c>
      <c r="B1025">
        <v>2853</v>
      </c>
      <c r="C1025">
        <v>1</v>
      </c>
      <c r="D1025" t="s">
        <v>392</v>
      </c>
      <c r="E1025" s="40">
        <v>0</v>
      </c>
      <c r="F1025" s="40">
        <v>0</v>
      </c>
      <c r="G1025" s="40">
        <v>0</v>
      </c>
      <c r="H1025" s="40">
        <v>0</v>
      </c>
      <c r="I1025" s="40">
        <v>0</v>
      </c>
      <c r="J1025" s="40">
        <v>0</v>
      </c>
      <c r="K1025" s="40">
        <v>0</v>
      </c>
      <c r="L1025" s="40">
        <v>0</v>
      </c>
      <c r="M1025" s="40">
        <v>0</v>
      </c>
      <c r="N1025" s="40">
        <v>0</v>
      </c>
      <c r="O1025" s="40">
        <v>0</v>
      </c>
      <c r="P1025" s="40">
        <v>0</v>
      </c>
      <c r="Q1025" s="40">
        <v>0</v>
      </c>
      <c r="R1025" s="40">
        <v>0</v>
      </c>
      <c r="S1025" s="40">
        <v>0</v>
      </c>
      <c r="T1025" s="40">
        <v>0</v>
      </c>
      <c r="U1025" s="40">
        <v>0</v>
      </c>
    </row>
    <row r="1026" spans="1:21" x14ac:dyDescent="0.2">
      <c r="A1026" t="s">
        <v>834</v>
      </c>
      <c r="B1026">
        <v>2854</v>
      </c>
      <c r="C1026">
        <v>1</v>
      </c>
      <c r="D1026" t="s">
        <v>393</v>
      </c>
      <c r="E1026" s="40">
        <v>0</v>
      </c>
      <c r="F1026" s="40">
        <v>0</v>
      </c>
      <c r="G1026" s="40">
        <v>0</v>
      </c>
      <c r="H1026" s="40">
        <v>0</v>
      </c>
      <c r="I1026" s="40">
        <v>0</v>
      </c>
      <c r="J1026" s="40">
        <v>0</v>
      </c>
      <c r="K1026" s="40">
        <v>0</v>
      </c>
      <c r="L1026" s="40">
        <v>0</v>
      </c>
      <c r="M1026" s="40">
        <v>0</v>
      </c>
      <c r="N1026" s="40">
        <v>0</v>
      </c>
      <c r="O1026" s="40">
        <v>0</v>
      </c>
      <c r="P1026" s="40">
        <v>0</v>
      </c>
      <c r="Q1026" s="40">
        <v>0</v>
      </c>
      <c r="R1026" s="40">
        <v>0</v>
      </c>
      <c r="S1026" s="40">
        <v>0</v>
      </c>
      <c r="T1026" s="40">
        <v>0</v>
      </c>
      <c r="U1026" s="40">
        <v>0</v>
      </c>
    </row>
    <row r="1027" spans="1:21" x14ac:dyDescent="0.2">
      <c r="A1027" t="s">
        <v>834</v>
      </c>
      <c r="B1027">
        <v>2856</v>
      </c>
      <c r="C1027">
        <v>1</v>
      </c>
      <c r="D1027" t="s">
        <v>394</v>
      </c>
      <c r="E1027" s="40">
        <v>0</v>
      </c>
      <c r="F1027" s="40">
        <v>0</v>
      </c>
      <c r="G1027" s="40">
        <v>0</v>
      </c>
      <c r="H1027" s="40">
        <v>0</v>
      </c>
      <c r="I1027" s="40">
        <v>0</v>
      </c>
      <c r="J1027" s="40">
        <v>0</v>
      </c>
      <c r="K1027" s="40">
        <v>0</v>
      </c>
      <c r="L1027" s="40">
        <v>0</v>
      </c>
      <c r="M1027" s="40">
        <v>0</v>
      </c>
      <c r="N1027" s="40">
        <v>0</v>
      </c>
      <c r="O1027" s="40">
        <v>0</v>
      </c>
      <c r="P1027" s="40">
        <v>0</v>
      </c>
      <c r="Q1027" s="40">
        <v>0</v>
      </c>
      <c r="R1027" s="40">
        <v>0</v>
      </c>
      <c r="S1027" s="40">
        <v>0</v>
      </c>
      <c r="T1027" s="40">
        <v>0</v>
      </c>
      <c r="U1027" s="40">
        <v>0</v>
      </c>
    </row>
    <row r="1028" spans="1:21" x14ac:dyDescent="0.2">
      <c r="A1028" t="s">
        <v>834</v>
      </c>
      <c r="B1028">
        <v>2859</v>
      </c>
      <c r="C1028">
        <v>1</v>
      </c>
      <c r="D1028" t="s">
        <v>395</v>
      </c>
      <c r="E1028" s="40">
        <v>0</v>
      </c>
      <c r="F1028" s="40">
        <v>0</v>
      </c>
      <c r="G1028" s="40">
        <v>0</v>
      </c>
      <c r="H1028" s="40">
        <v>597</v>
      </c>
      <c r="I1028" s="40">
        <v>597</v>
      </c>
      <c r="J1028" s="40">
        <v>597</v>
      </c>
      <c r="K1028" s="40">
        <v>597</v>
      </c>
      <c r="L1028" s="40">
        <v>597</v>
      </c>
      <c r="M1028" s="40">
        <v>0</v>
      </c>
      <c r="N1028" s="40">
        <v>0</v>
      </c>
      <c r="O1028" s="40">
        <v>0</v>
      </c>
      <c r="P1028" s="40">
        <v>0</v>
      </c>
      <c r="Q1028" s="40">
        <v>0</v>
      </c>
      <c r="R1028" s="40">
        <v>0</v>
      </c>
      <c r="S1028" s="40">
        <v>0</v>
      </c>
      <c r="T1028" s="40">
        <v>0</v>
      </c>
      <c r="U1028" s="40">
        <v>0</v>
      </c>
    </row>
    <row r="1029" spans="1:21" x14ac:dyDescent="0.2">
      <c r="A1029" t="s">
        <v>834</v>
      </c>
      <c r="B1029">
        <v>2860</v>
      </c>
      <c r="C1029">
        <v>1</v>
      </c>
      <c r="D1029" t="s">
        <v>396</v>
      </c>
      <c r="E1029" s="40">
        <v>0</v>
      </c>
      <c r="F1029" s="40">
        <v>0</v>
      </c>
      <c r="G1029" s="40">
        <v>0</v>
      </c>
      <c r="H1029" s="40">
        <v>0</v>
      </c>
      <c r="I1029" s="40">
        <v>0</v>
      </c>
      <c r="J1029" s="40">
        <v>0</v>
      </c>
      <c r="K1029" s="40">
        <v>0</v>
      </c>
      <c r="L1029" s="40">
        <v>0</v>
      </c>
      <c r="M1029" s="40">
        <v>0</v>
      </c>
      <c r="N1029" s="40">
        <v>0</v>
      </c>
      <c r="O1029" s="40">
        <v>0</v>
      </c>
      <c r="P1029" s="40">
        <v>0</v>
      </c>
      <c r="Q1029" s="40">
        <v>0</v>
      </c>
      <c r="R1029" s="40">
        <v>0</v>
      </c>
      <c r="S1029" s="40">
        <v>0</v>
      </c>
      <c r="T1029" s="40">
        <v>0</v>
      </c>
      <c r="U1029" s="40">
        <v>0</v>
      </c>
    </row>
    <row r="1030" spans="1:21" x14ac:dyDescent="0.2">
      <c r="A1030" t="s">
        <v>834</v>
      </c>
      <c r="B1030">
        <v>2884</v>
      </c>
      <c r="C1030">
        <v>1</v>
      </c>
      <c r="D1030" t="s">
        <v>397</v>
      </c>
      <c r="E1030" s="40">
        <v>0</v>
      </c>
      <c r="F1030" s="40">
        <v>0</v>
      </c>
      <c r="G1030" s="40">
        <v>0</v>
      </c>
      <c r="H1030" s="40">
        <v>950</v>
      </c>
      <c r="I1030" s="40">
        <v>950</v>
      </c>
      <c r="J1030" s="40">
        <v>950</v>
      </c>
      <c r="K1030" s="40">
        <v>950</v>
      </c>
      <c r="L1030" s="40">
        <v>950</v>
      </c>
      <c r="M1030" s="40">
        <v>950</v>
      </c>
      <c r="N1030" s="40">
        <v>950</v>
      </c>
      <c r="O1030" s="40">
        <v>950</v>
      </c>
      <c r="P1030" s="40">
        <v>950</v>
      </c>
      <c r="Q1030" s="40">
        <v>950</v>
      </c>
      <c r="R1030" s="40">
        <v>0</v>
      </c>
      <c r="S1030" s="40">
        <v>0</v>
      </c>
      <c r="T1030" s="40">
        <v>0</v>
      </c>
      <c r="U1030" s="40">
        <v>0</v>
      </c>
    </row>
    <row r="1031" spans="1:21" x14ac:dyDescent="0.2">
      <c r="A1031" t="s">
        <v>834</v>
      </c>
      <c r="B1031">
        <v>2886</v>
      </c>
      <c r="C1031">
        <v>1</v>
      </c>
      <c r="D1031" t="s">
        <v>398</v>
      </c>
      <c r="E1031" s="40">
        <v>0</v>
      </c>
      <c r="F1031" s="40">
        <v>0</v>
      </c>
      <c r="G1031" s="40">
        <v>0</v>
      </c>
      <c r="H1031" s="40">
        <v>0</v>
      </c>
      <c r="I1031" s="40">
        <v>0</v>
      </c>
      <c r="J1031" s="40">
        <v>0</v>
      </c>
      <c r="K1031" s="40">
        <v>0</v>
      </c>
      <c r="L1031" s="40">
        <v>0</v>
      </c>
      <c r="M1031" s="40">
        <v>0</v>
      </c>
      <c r="N1031" s="40">
        <v>0</v>
      </c>
      <c r="O1031" s="40">
        <v>0</v>
      </c>
      <c r="P1031" s="40">
        <v>0</v>
      </c>
      <c r="Q1031" s="40">
        <v>0</v>
      </c>
      <c r="R1031" s="40">
        <v>0</v>
      </c>
      <c r="S1031" s="40">
        <v>0</v>
      </c>
      <c r="T1031" s="40">
        <v>0</v>
      </c>
      <c r="U1031" s="40">
        <v>0</v>
      </c>
    </row>
    <row r="1032" spans="1:21" x14ac:dyDescent="0.2">
      <c r="A1032" t="s">
        <v>834</v>
      </c>
      <c r="B1032">
        <v>2887</v>
      </c>
      <c r="C1032">
        <v>1</v>
      </c>
      <c r="D1032" t="s">
        <v>399</v>
      </c>
      <c r="E1032" s="40">
        <v>0</v>
      </c>
      <c r="F1032" s="40">
        <v>0</v>
      </c>
      <c r="G1032" s="40">
        <v>0</v>
      </c>
      <c r="H1032" s="40">
        <v>450</v>
      </c>
      <c r="I1032" s="40">
        <v>450</v>
      </c>
      <c r="J1032" s="40">
        <v>450</v>
      </c>
      <c r="K1032" s="40">
        <v>450</v>
      </c>
      <c r="L1032" s="40">
        <v>450</v>
      </c>
      <c r="M1032" s="40">
        <v>450</v>
      </c>
      <c r="N1032" s="40">
        <v>450</v>
      </c>
      <c r="O1032" s="40">
        <v>450</v>
      </c>
      <c r="P1032" s="40">
        <v>450</v>
      </c>
      <c r="Q1032" s="40">
        <v>450</v>
      </c>
      <c r="R1032" s="40">
        <v>0</v>
      </c>
      <c r="S1032" s="40">
        <v>0</v>
      </c>
      <c r="T1032" s="40">
        <v>0</v>
      </c>
      <c r="U1032" s="40">
        <v>0</v>
      </c>
    </row>
    <row r="1033" spans="1:21" x14ac:dyDescent="0.2">
      <c r="A1033" t="s">
        <v>834</v>
      </c>
      <c r="B1033">
        <v>2888</v>
      </c>
      <c r="C1033">
        <v>1</v>
      </c>
      <c r="D1033" t="s">
        <v>400</v>
      </c>
      <c r="E1033" s="40">
        <v>0</v>
      </c>
      <c r="F1033" s="40">
        <v>0</v>
      </c>
      <c r="G1033" s="40">
        <v>0</v>
      </c>
      <c r="H1033" s="40">
        <v>0</v>
      </c>
      <c r="I1033" s="40">
        <v>0</v>
      </c>
      <c r="J1033" s="40">
        <v>0</v>
      </c>
      <c r="K1033" s="40">
        <v>0</v>
      </c>
      <c r="L1033" s="40">
        <v>0</v>
      </c>
      <c r="M1033" s="40">
        <v>0</v>
      </c>
      <c r="N1033" s="40">
        <v>0</v>
      </c>
      <c r="O1033" s="40">
        <v>0</v>
      </c>
      <c r="P1033" s="40">
        <v>0</v>
      </c>
      <c r="Q1033" s="40">
        <v>0</v>
      </c>
      <c r="R1033" s="40">
        <v>0</v>
      </c>
      <c r="S1033" s="40">
        <v>0</v>
      </c>
      <c r="T1033" s="40">
        <v>0</v>
      </c>
      <c r="U1033" s="40">
        <v>0</v>
      </c>
    </row>
    <row r="1034" spans="1:21" x14ac:dyDescent="0.2">
      <c r="A1034" t="s">
        <v>834</v>
      </c>
      <c r="B1034">
        <v>2889</v>
      </c>
      <c r="C1034">
        <v>1</v>
      </c>
      <c r="D1034" t="s">
        <v>401</v>
      </c>
      <c r="E1034" s="40">
        <v>0</v>
      </c>
      <c r="F1034" s="40">
        <v>0</v>
      </c>
      <c r="G1034" s="40">
        <v>0</v>
      </c>
      <c r="H1034" s="40">
        <v>0</v>
      </c>
      <c r="I1034" s="40">
        <v>0</v>
      </c>
      <c r="J1034" s="40">
        <v>0</v>
      </c>
      <c r="K1034" s="40">
        <v>0</v>
      </c>
      <c r="L1034" s="40">
        <v>0</v>
      </c>
      <c r="M1034" s="40">
        <v>0</v>
      </c>
      <c r="N1034" s="40">
        <v>0</v>
      </c>
      <c r="O1034" s="40">
        <v>0</v>
      </c>
      <c r="P1034" s="40">
        <v>0</v>
      </c>
      <c r="Q1034" s="40">
        <v>0</v>
      </c>
      <c r="R1034" s="40">
        <v>0</v>
      </c>
      <c r="S1034" s="40">
        <v>0</v>
      </c>
      <c r="T1034" s="40">
        <v>0</v>
      </c>
      <c r="U1034" s="40">
        <v>0</v>
      </c>
    </row>
    <row r="1035" spans="1:21" x14ac:dyDescent="0.2">
      <c r="A1035" t="s">
        <v>834</v>
      </c>
      <c r="B1035">
        <v>2890</v>
      </c>
      <c r="C1035">
        <v>1</v>
      </c>
      <c r="D1035" t="s">
        <v>402</v>
      </c>
      <c r="E1035" s="40">
        <v>0</v>
      </c>
      <c r="F1035" s="40">
        <v>0</v>
      </c>
      <c r="G1035" s="40">
        <v>0</v>
      </c>
      <c r="H1035" s="40">
        <v>0</v>
      </c>
      <c r="I1035" s="40">
        <v>0</v>
      </c>
      <c r="J1035" s="40">
        <v>0</v>
      </c>
      <c r="K1035" s="40">
        <v>0</v>
      </c>
      <c r="L1035" s="40">
        <v>0</v>
      </c>
      <c r="M1035" s="40">
        <v>0</v>
      </c>
      <c r="N1035" s="40">
        <v>0</v>
      </c>
      <c r="O1035" s="40">
        <v>0</v>
      </c>
      <c r="P1035" s="40">
        <v>0</v>
      </c>
      <c r="Q1035" s="40">
        <v>0</v>
      </c>
      <c r="R1035" s="40">
        <v>0</v>
      </c>
      <c r="S1035" s="40">
        <v>0</v>
      </c>
      <c r="T1035" s="40">
        <v>0</v>
      </c>
      <c r="U1035" s="40">
        <v>0</v>
      </c>
    </row>
    <row r="1036" spans="1:21" x14ac:dyDescent="0.2">
      <c r="A1036" t="s">
        <v>834</v>
      </c>
      <c r="B1036">
        <v>2895</v>
      </c>
      <c r="C1036">
        <v>1</v>
      </c>
      <c r="D1036" t="s">
        <v>403</v>
      </c>
      <c r="E1036" s="40">
        <v>0</v>
      </c>
      <c r="F1036" s="40">
        <v>0</v>
      </c>
      <c r="G1036" s="40">
        <v>0</v>
      </c>
      <c r="H1036" s="40">
        <v>0</v>
      </c>
      <c r="I1036" s="40">
        <v>0</v>
      </c>
      <c r="J1036" s="40">
        <v>0</v>
      </c>
      <c r="K1036" s="40">
        <v>0</v>
      </c>
      <c r="L1036" s="40">
        <v>0</v>
      </c>
      <c r="M1036" s="40">
        <v>0</v>
      </c>
      <c r="N1036" s="40">
        <v>0</v>
      </c>
      <c r="O1036" s="40">
        <v>0</v>
      </c>
      <c r="P1036" s="40">
        <v>0</v>
      </c>
      <c r="Q1036" s="40">
        <v>0</v>
      </c>
      <c r="R1036" s="40">
        <v>0</v>
      </c>
      <c r="S1036" s="40">
        <v>0</v>
      </c>
      <c r="T1036" s="40">
        <v>0</v>
      </c>
      <c r="U1036" s="40">
        <v>0</v>
      </c>
    </row>
    <row r="1037" spans="1:21" x14ac:dyDescent="0.2">
      <c r="A1037" t="s">
        <v>834</v>
      </c>
      <c r="B1037">
        <v>2897</v>
      </c>
      <c r="C1037">
        <v>1</v>
      </c>
      <c r="D1037" t="s">
        <v>404</v>
      </c>
      <c r="E1037" s="40">
        <v>0</v>
      </c>
      <c r="F1037" s="40">
        <v>0</v>
      </c>
      <c r="G1037" s="40">
        <v>0</v>
      </c>
      <c r="H1037" s="40">
        <v>0</v>
      </c>
      <c r="I1037" s="40">
        <v>0</v>
      </c>
      <c r="J1037" s="40">
        <v>0</v>
      </c>
      <c r="K1037" s="40">
        <v>0</v>
      </c>
      <c r="L1037" s="40">
        <v>0</v>
      </c>
      <c r="M1037" s="40">
        <v>0</v>
      </c>
      <c r="N1037" s="40">
        <v>0</v>
      </c>
      <c r="O1037" s="40">
        <v>0</v>
      </c>
      <c r="P1037" s="40">
        <v>0</v>
      </c>
      <c r="Q1037" s="40">
        <v>0</v>
      </c>
      <c r="R1037" s="40">
        <v>0</v>
      </c>
      <c r="S1037" s="40">
        <v>0</v>
      </c>
      <c r="T1037" s="40">
        <v>0</v>
      </c>
      <c r="U1037" s="40">
        <v>0</v>
      </c>
    </row>
    <row r="1038" spans="1:21" x14ac:dyDescent="0.2">
      <c r="A1038" t="s">
        <v>834</v>
      </c>
      <c r="B1038">
        <v>2898</v>
      </c>
      <c r="C1038">
        <v>1</v>
      </c>
      <c r="D1038" t="s">
        <v>405</v>
      </c>
      <c r="E1038" s="40">
        <v>0</v>
      </c>
      <c r="F1038" s="40">
        <v>0</v>
      </c>
      <c r="G1038" s="40">
        <v>0</v>
      </c>
      <c r="H1038" s="40">
        <v>0</v>
      </c>
      <c r="I1038" s="40">
        <v>0</v>
      </c>
      <c r="J1038" s="40">
        <v>0</v>
      </c>
      <c r="K1038" s="40">
        <v>0</v>
      </c>
      <c r="L1038" s="40">
        <v>0</v>
      </c>
      <c r="M1038" s="40">
        <v>0</v>
      </c>
      <c r="N1038" s="40">
        <v>0</v>
      </c>
      <c r="O1038" s="40">
        <v>0</v>
      </c>
      <c r="P1038" s="40">
        <v>0</v>
      </c>
      <c r="Q1038" s="40">
        <v>0</v>
      </c>
      <c r="R1038" s="40">
        <v>0</v>
      </c>
      <c r="S1038" s="40">
        <v>0</v>
      </c>
      <c r="T1038" s="40">
        <v>0</v>
      </c>
      <c r="U1038" s="40">
        <v>0</v>
      </c>
    </row>
    <row r="1040" spans="1:21" x14ac:dyDescent="0.2">
      <c r="A1040" t="s">
        <v>861</v>
      </c>
      <c r="B1040">
        <v>1</v>
      </c>
      <c r="C1040">
        <v>1</v>
      </c>
      <c r="D1040" t="s">
        <v>63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0</v>
      </c>
      <c r="R1040" s="9">
        <v>0</v>
      </c>
      <c r="S1040" s="9">
        <v>0</v>
      </c>
      <c r="T1040" s="9">
        <v>0</v>
      </c>
      <c r="U1040" s="9">
        <v>0</v>
      </c>
    </row>
    <row r="1041" spans="1:21" x14ac:dyDescent="0.2">
      <c r="A1041" t="s">
        <v>861</v>
      </c>
      <c r="B1041">
        <v>1.2</v>
      </c>
      <c r="C1041">
        <v>3</v>
      </c>
      <c r="D1041" t="s">
        <v>64</v>
      </c>
      <c r="E1041" s="9">
        <v>0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0</v>
      </c>
      <c r="O1041" s="9">
        <v>0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</row>
    <row r="1042" spans="1:21" x14ac:dyDescent="0.2">
      <c r="A1042" t="s">
        <v>861</v>
      </c>
      <c r="B1042">
        <v>2</v>
      </c>
      <c r="C1042">
        <v>1</v>
      </c>
      <c r="D1042" t="s">
        <v>65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  <c r="O1042" s="9">
        <v>0</v>
      </c>
      <c r="P1042" s="9">
        <v>0</v>
      </c>
      <c r="Q1042" s="9">
        <v>0</v>
      </c>
      <c r="R1042" s="9">
        <v>0</v>
      </c>
      <c r="S1042" s="9">
        <v>0</v>
      </c>
      <c r="T1042" s="9">
        <v>0</v>
      </c>
      <c r="U1042" s="9">
        <v>0</v>
      </c>
    </row>
    <row r="1043" spans="1:21" x14ac:dyDescent="0.2">
      <c r="A1043" t="s">
        <v>861</v>
      </c>
      <c r="B1043">
        <v>4</v>
      </c>
      <c r="C1043">
        <v>1</v>
      </c>
      <c r="D1043" t="s">
        <v>66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0</v>
      </c>
      <c r="O1043" s="9">
        <v>0</v>
      </c>
      <c r="P1043" s="9">
        <v>0</v>
      </c>
      <c r="Q1043" s="9">
        <v>0</v>
      </c>
      <c r="R1043" s="9">
        <v>0</v>
      </c>
      <c r="S1043" s="9">
        <v>0</v>
      </c>
      <c r="T1043" s="9">
        <v>0</v>
      </c>
      <c r="U1043" s="9">
        <v>0</v>
      </c>
    </row>
    <row r="1044" spans="1:21" x14ac:dyDescent="0.2">
      <c r="A1044" t="s">
        <v>861</v>
      </c>
      <c r="B1044">
        <v>6</v>
      </c>
      <c r="C1044">
        <v>3</v>
      </c>
      <c r="D1044" t="s">
        <v>67</v>
      </c>
      <c r="E1044" s="9">
        <v>0</v>
      </c>
      <c r="F1044" s="9">
        <v>0</v>
      </c>
      <c r="G1044" s="9">
        <v>0</v>
      </c>
      <c r="H1044" s="9">
        <v>0</v>
      </c>
      <c r="I1044" s="9">
        <v>1</v>
      </c>
      <c r="J1044" s="9">
        <v>1</v>
      </c>
      <c r="K1044" s="9">
        <v>1</v>
      </c>
      <c r="L1044" s="9">
        <v>1</v>
      </c>
      <c r="M1044" s="9">
        <v>1</v>
      </c>
      <c r="N1044" s="9">
        <v>1</v>
      </c>
      <c r="O1044" s="9">
        <v>1</v>
      </c>
      <c r="P1044" s="9">
        <v>1</v>
      </c>
      <c r="Q1044" s="9">
        <v>1</v>
      </c>
      <c r="R1044" s="9">
        <v>1</v>
      </c>
      <c r="S1044" s="9">
        <v>1</v>
      </c>
      <c r="T1044" s="9">
        <v>1</v>
      </c>
      <c r="U1044" s="9">
        <v>1</v>
      </c>
    </row>
    <row r="1045" spans="1:21" x14ac:dyDescent="0.2">
      <c r="A1045" t="s">
        <v>861</v>
      </c>
      <c r="B1045">
        <v>11</v>
      </c>
      <c r="C1045">
        <v>1</v>
      </c>
      <c r="D1045" t="s">
        <v>68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  <c r="O1045" s="9">
        <v>0</v>
      </c>
      <c r="P1045" s="9">
        <v>0</v>
      </c>
      <c r="Q1045" s="9">
        <v>0</v>
      </c>
      <c r="R1045" s="9">
        <v>0</v>
      </c>
      <c r="S1045" s="9">
        <v>0</v>
      </c>
      <c r="T1045" s="9">
        <v>0</v>
      </c>
      <c r="U1045" s="9">
        <v>0</v>
      </c>
    </row>
    <row r="1046" spans="1:21" x14ac:dyDescent="0.2">
      <c r="A1046" t="s">
        <v>861</v>
      </c>
      <c r="B1046">
        <v>12</v>
      </c>
      <c r="C1046">
        <v>1</v>
      </c>
      <c r="D1046" t="s">
        <v>69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0</v>
      </c>
      <c r="S1046" s="9">
        <v>0</v>
      </c>
      <c r="T1046" s="9">
        <v>0</v>
      </c>
      <c r="U1046" s="9">
        <v>0</v>
      </c>
    </row>
    <row r="1047" spans="1:21" x14ac:dyDescent="0.2">
      <c r="A1047" t="s">
        <v>861</v>
      </c>
      <c r="B1047">
        <v>13</v>
      </c>
      <c r="C1047">
        <v>1</v>
      </c>
      <c r="D1047" t="s">
        <v>70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  <c r="O1047" s="9">
        <v>0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</row>
    <row r="1048" spans="1:21" x14ac:dyDescent="0.2">
      <c r="A1048" t="s">
        <v>861</v>
      </c>
      <c r="B1048">
        <v>14</v>
      </c>
      <c r="C1048">
        <v>1</v>
      </c>
      <c r="D1048" t="s">
        <v>71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  <c r="O1048" s="9">
        <v>0</v>
      </c>
      <c r="P1048" s="9">
        <v>0</v>
      </c>
      <c r="Q1048" s="9">
        <v>0</v>
      </c>
      <c r="R1048" s="9">
        <v>0</v>
      </c>
      <c r="S1048" s="9">
        <v>0</v>
      </c>
      <c r="T1048" s="9">
        <v>0</v>
      </c>
      <c r="U1048" s="9">
        <v>0</v>
      </c>
    </row>
    <row r="1049" spans="1:21" x14ac:dyDescent="0.2">
      <c r="A1049" t="s">
        <v>861</v>
      </c>
      <c r="B1049">
        <v>15</v>
      </c>
      <c r="C1049">
        <v>1</v>
      </c>
      <c r="D1049" t="s">
        <v>72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</row>
    <row r="1050" spans="1:21" x14ac:dyDescent="0.2">
      <c r="A1050" t="s">
        <v>861</v>
      </c>
      <c r="B1050">
        <v>16</v>
      </c>
      <c r="C1050">
        <v>1</v>
      </c>
      <c r="D1050" t="s">
        <v>73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9">
        <v>0</v>
      </c>
      <c r="P1050" s="9">
        <v>0</v>
      </c>
      <c r="Q1050" s="9">
        <v>0</v>
      </c>
      <c r="R1050" s="9">
        <v>0</v>
      </c>
      <c r="S1050" s="9">
        <v>0</v>
      </c>
      <c r="T1050" s="9">
        <v>0</v>
      </c>
      <c r="U1050" s="9">
        <v>0</v>
      </c>
    </row>
    <row r="1051" spans="1:21" x14ac:dyDescent="0.2">
      <c r="A1051" t="s">
        <v>861</v>
      </c>
      <c r="B1051">
        <v>22</v>
      </c>
      <c r="C1051">
        <v>1</v>
      </c>
      <c r="D1051" t="s">
        <v>74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  <c r="O1051" s="9">
        <v>0</v>
      </c>
      <c r="P1051" s="9">
        <v>0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</row>
    <row r="1052" spans="1:21" x14ac:dyDescent="0.2">
      <c r="A1052" t="s">
        <v>861</v>
      </c>
      <c r="B1052">
        <v>23</v>
      </c>
      <c r="C1052">
        <v>1</v>
      </c>
      <c r="D1052" t="s">
        <v>75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  <c r="O1052" s="9">
        <v>0</v>
      </c>
      <c r="P1052" s="9">
        <v>0</v>
      </c>
      <c r="Q1052" s="9">
        <v>0</v>
      </c>
      <c r="R1052" s="9">
        <v>0</v>
      </c>
      <c r="S1052" s="9">
        <v>0</v>
      </c>
      <c r="T1052" s="9">
        <v>0</v>
      </c>
      <c r="U1052" s="9">
        <v>0</v>
      </c>
    </row>
    <row r="1053" spans="1:21" x14ac:dyDescent="0.2">
      <c r="A1053" t="s">
        <v>861</v>
      </c>
      <c r="B1053">
        <v>25</v>
      </c>
      <c r="C1053">
        <v>1</v>
      </c>
      <c r="D1053" t="s">
        <v>76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</row>
    <row r="1054" spans="1:21" x14ac:dyDescent="0.2">
      <c r="A1054" t="s">
        <v>861</v>
      </c>
      <c r="B1054">
        <v>31</v>
      </c>
      <c r="C1054">
        <v>1</v>
      </c>
      <c r="D1054" t="s">
        <v>77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</row>
    <row r="1055" spans="1:21" x14ac:dyDescent="0.2">
      <c r="A1055" t="s">
        <v>861</v>
      </c>
      <c r="B1055">
        <v>32</v>
      </c>
      <c r="C1055">
        <v>1</v>
      </c>
      <c r="D1055" t="s">
        <v>78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  <c r="O1055" s="9">
        <v>0</v>
      </c>
      <c r="P1055" s="9">
        <v>0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</row>
    <row r="1056" spans="1:21" x14ac:dyDescent="0.2">
      <c r="A1056" t="s">
        <v>861</v>
      </c>
      <c r="B1056">
        <v>36</v>
      </c>
      <c r="C1056">
        <v>1</v>
      </c>
      <c r="D1056" t="s">
        <v>79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0</v>
      </c>
      <c r="O1056" s="9">
        <v>0</v>
      </c>
      <c r="P1056" s="9">
        <v>0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</row>
    <row r="1057" spans="1:21" x14ac:dyDescent="0.2">
      <c r="A1057" t="s">
        <v>861</v>
      </c>
      <c r="B1057">
        <v>38</v>
      </c>
      <c r="C1057">
        <v>1</v>
      </c>
      <c r="D1057" t="s">
        <v>80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0</v>
      </c>
      <c r="O1057" s="9">
        <v>0</v>
      </c>
      <c r="P1057" s="9">
        <v>0</v>
      </c>
      <c r="Q1057" s="9">
        <v>0</v>
      </c>
      <c r="R1057" s="9">
        <v>0</v>
      </c>
      <c r="S1057" s="9">
        <v>0</v>
      </c>
      <c r="T1057" s="9">
        <v>0</v>
      </c>
      <c r="U1057" s="9">
        <v>0</v>
      </c>
    </row>
    <row r="1058" spans="1:21" x14ac:dyDescent="0.2">
      <c r="A1058" t="s">
        <v>861</v>
      </c>
      <c r="B1058">
        <v>47</v>
      </c>
      <c r="C1058">
        <v>1</v>
      </c>
      <c r="D1058" t="s">
        <v>81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0</v>
      </c>
      <c r="O1058" s="9">
        <v>0</v>
      </c>
      <c r="P1058" s="9">
        <v>0</v>
      </c>
      <c r="Q1058" s="9">
        <v>0</v>
      </c>
      <c r="R1058" s="9">
        <v>0</v>
      </c>
      <c r="S1058" s="9">
        <v>0</v>
      </c>
      <c r="T1058" s="9">
        <v>0</v>
      </c>
      <c r="U1058" s="9">
        <v>0</v>
      </c>
    </row>
    <row r="1059" spans="1:21" x14ac:dyDescent="0.2">
      <c r="A1059" t="s">
        <v>861</v>
      </c>
      <c r="B1059">
        <v>51</v>
      </c>
      <c r="C1059">
        <v>1</v>
      </c>
      <c r="D1059" t="s">
        <v>82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0</v>
      </c>
      <c r="O1059" s="9">
        <v>0</v>
      </c>
      <c r="P1059" s="9">
        <v>0</v>
      </c>
      <c r="Q1059" s="9">
        <v>0</v>
      </c>
      <c r="R1059" s="9">
        <v>0</v>
      </c>
      <c r="S1059" s="9">
        <v>0</v>
      </c>
      <c r="T1059" s="9">
        <v>0</v>
      </c>
      <c r="U1059" s="9">
        <v>0</v>
      </c>
    </row>
    <row r="1060" spans="1:21" x14ac:dyDescent="0.2">
      <c r="A1060" t="s">
        <v>861</v>
      </c>
      <c r="B1060">
        <v>62</v>
      </c>
      <c r="C1060">
        <v>1</v>
      </c>
      <c r="D1060" t="s">
        <v>83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0</v>
      </c>
      <c r="O1060" s="9">
        <v>0</v>
      </c>
      <c r="P1060" s="9">
        <v>0</v>
      </c>
      <c r="Q1060" s="9">
        <v>0</v>
      </c>
      <c r="R1060" s="9">
        <v>0</v>
      </c>
      <c r="S1060" s="9">
        <v>0</v>
      </c>
      <c r="T1060" s="9">
        <v>0</v>
      </c>
      <c r="U1060" s="9">
        <v>0</v>
      </c>
    </row>
    <row r="1061" spans="1:21" x14ac:dyDescent="0.2">
      <c r="A1061" t="s">
        <v>861</v>
      </c>
      <c r="B1061">
        <v>75</v>
      </c>
      <c r="C1061">
        <v>1</v>
      </c>
      <c r="D1061" t="s">
        <v>84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9">
        <v>0</v>
      </c>
      <c r="N1061" s="9">
        <v>0</v>
      </c>
      <c r="O1061" s="9">
        <v>0</v>
      </c>
      <c r="P1061" s="9">
        <v>0</v>
      </c>
      <c r="Q1061" s="9">
        <v>0</v>
      </c>
      <c r="R1061" s="9">
        <v>0</v>
      </c>
      <c r="S1061" s="9">
        <v>0</v>
      </c>
      <c r="T1061" s="9">
        <v>0</v>
      </c>
      <c r="U1061" s="9">
        <v>0</v>
      </c>
    </row>
    <row r="1062" spans="1:21" x14ac:dyDescent="0.2">
      <c r="A1062" t="s">
        <v>861</v>
      </c>
      <c r="B1062">
        <v>77</v>
      </c>
      <c r="C1062">
        <v>1</v>
      </c>
      <c r="D1062" t="s">
        <v>85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0</v>
      </c>
      <c r="N1062" s="9">
        <v>0</v>
      </c>
      <c r="O1062" s="9">
        <v>0</v>
      </c>
      <c r="P1062" s="9">
        <v>0</v>
      </c>
      <c r="Q1062" s="9">
        <v>0</v>
      </c>
      <c r="R1062" s="9">
        <v>0</v>
      </c>
      <c r="S1062" s="9">
        <v>0</v>
      </c>
      <c r="T1062" s="9">
        <v>0</v>
      </c>
      <c r="U1062" s="9">
        <v>0</v>
      </c>
    </row>
    <row r="1063" spans="1:21" x14ac:dyDescent="0.2">
      <c r="A1063" t="s">
        <v>861</v>
      </c>
      <c r="B1063">
        <v>81</v>
      </c>
      <c r="C1063">
        <v>1</v>
      </c>
      <c r="D1063" t="s">
        <v>86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9">
        <v>0</v>
      </c>
      <c r="N1063" s="9">
        <v>0</v>
      </c>
      <c r="O1063" s="9">
        <v>0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</row>
    <row r="1064" spans="1:21" x14ac:dyDescent="0.2">
      <c r="A1064" t="s">
        <v>861</v>
      </c>
      <c r="B1064">
        <v>84</v>
      </c>
      <c r="C1064">
        <v>1</v>
      </c>
      <c r="D1064" t="s">
        <v>87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9">
        <v>0</v>
      </c>
      <c r="N1064" s="9">
        <v>0</v>
      </c>
      <c r="O1064" s="9">
        <v>0</v>
      </c>
      <c r="P1064" s="9">
        <v>0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</row>
    <row r="1065" spans="1:21" x14ac:dyDescent="0.2">
      <c r="A1065" t="s">
        <v>861</v>
      </c>
      <c r="B1065">
        <v>85</v>
      </c>
      <c r="C1065">
        <v>1</v>
      </c>
      <c r="D1065" t="s">
        <v>88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9">
        <v>0</v>
      </c>
      <c r="O1065" s="9">
        <v>0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</row>
    <row r="1066" spans="1:21" x14ac:dyDescent="0.2">
      <c r="A1066" t="s">
        <v>861</v>
      </c>
      <c r="B1066">
        <v>88</v>
      </c>
      <c r="C1066">
        <v>1</v>
      </c>
      <c r="D1066" t="s">
        <v>89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9">
        <v>0</v>
      </c>
      <c r="O1066" s="9">
        <v>0</v>
      </c>
      <c r="P1066" s="9">
        <v>0</v>
      </c>
      <c r="Q1066" s="9">
        <v>0</v>
      </c>
      <c r="R1066" s="9">
        <v>0</v>
      </c>
      <c r="S1066" s="9">
        <v>0</v>
      </c>
      <c r="T1066" s="9">
        <v>0</v>
      </c>
      <c r="U1066" s="9">
        <v>0</v>
      </c>
    </row>
    <row r="1067" spans="1:21" x14ac:dyDescent="0.2">
      <c r="A1067" t="s">
        <v>861</v>
      </c>
      <c r="B1067">
        <v>91</v>
      </c>
      <c r="C1067">
        <v>1</v>
      </c>
      <c r="D1067" t="s">
        <v>90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0</v>
      </c>
      <c r="N1067" s="9">
        <v>0</v>
      </c>
      <c r="O1067" s="9">
        <v>0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</row>
    <row r="1068" spans="1:21" x14ac:dyDescent="0.2">
      <c r="A1068" t="s">
        <v>861</v>
      </c>
      <c r="B1068">
        <v>93</v>
      </c>
      <c r="C1068">
        <v>1</v>
      </c>
      <c r="D1068" t="s">
        <v>91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</row>
    <row r="1069" spans="1:21" x14ac:dyDescent="0.2">
      <c r="A1069" t="s">
        <v>861</v>
      </c>
      <c r="B1069">
        <v>94</v>
      </c>
      <c r="C1069">
        <v>1</v>
      </c>
      <c r="D1069" t="s">
        <v>92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  <c r="O1069" s="9">
        <v>0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</row>
    <row r="1070" spans="1:21" x14ac:dyDescent="0.2">
      <c r="A1070" t="s">
        <v>861</v>
      </c>
      <c r="B1070">
        <v>95</v>
      </c>
      <c r="C1070">
        <v>1</v>
      </c>
      <c r="D1070" t="s">
        <v>93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0</v>
      </c>
      <c r="O1070" s="9">
        <v>0</v>
      </c>
      <c r="P1070" s="9">
        <v>0</v>
      </c>
      <c r="Q1070" s="9">
        <v>0</v>
      </c>
      <c r="R1070" s="9">
        <v>0</v>
      </c>
      <c r="S1070" s="9">
        <v>0</v>
      </c>
      <c r="T1070" s="9">
        <v>0</v>
      </c>
      <c r="U1070" s="9">
        <v>0</v>
      </c>
    </row>
    <row r="1071" spans="1:21" x14ac:dyDescent="0.2">
      <c r="A1071" t="s">
        <v>861</v>
      </c>
      <c r="B1071">
        <v>97</v>
      </c>
      <c r="C1071">
        <v>1</v>
      </c>
      <c r="D1071" t="s">
        <v>94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</row>
    <row r="1072" spans="1:21" x14ac:dyDescent="0.2">
      <c r="A1072" t="s">
        <v>861</v>
      </c>
      <c r="B1072">
        <v>99</v>
      </c>
      <c r="C1072">
        <v>1</v>
      </c>
      <c r="D1072" t="s">
        <v>95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</row>
    <row r="1073" spans="1:21" x14ac:dyDescent="0.2">
      <c r="A1073" t="s">
        <v>861</v>
      </c>
      <c r="B1073">
        <v>100</v>
      </c>
      <c r="C1073">
        <v>1</v>
      </c>
      <c r="D1073" t="s">
        <v>96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  <c r="O1073" s="9">
        <v>0</v>
      </c>
      <c r="P1073" s="9">
        <v>0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</row>
    <row r="1074" spans="1:21" x14ac:dyDescent="0.2">
      <c r="A1074" t="s">
        <v>861</v>
      </c>
      <c r="B1074">
        <v>108</v>
      </c>
      <c r="C1074">
        <v>1</v>
      </c>
      <c r="D1074" t="s">
        <v>97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</row>
    <row r="1075" spans="1:21" x14ac:dyDescent="0.2">
      <c r="A1075" t="s">
        <v>861</v>
      </c>
      <c r="B1075">
        <v>110</v>
      </c>
      <c r="C1075">
        <v>1</v>
      </c>
      <c r="D1075" t="s">
        <v>98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</v>
      </c>
      <c r="O1075" s="9">
        <v>0</v>
      </c>
      <c r="P1075" s="9">
        <v>0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</row>
    <row r="1076" spans="1:21" x14ac:dyDescent="0.2">
      <c r="A1076" t="s">
        <v>861</v>
      </c>
      <c r="B1076">
        <v>111</v>
      </c>
      <c r="C1076">
        <v>1</v>
      </c>
      <c r="D1076" t="s">
        <v>99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0</v>
      </c>
      <c r="N1076" s="9">
        <v>0</v>
      </c>
      <c r="O1076" s="9">
        <v>0</v>
      </c>
      <c r="P1076" s="9">
        <v>0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</row>
    <row r="1077" spans="1:21" x14ac:dyDescent="0.2">
      <c r="A1077" t="s">
        <v>861</v>
      </c>
      <c r="B1077">
        <v>112</v>
      </c>
      <c r="C1077">
        <v>1</v>
      </c>
      <c r="D1077" t="s">
        <v>100</v>
      </c>
      <c r="E1077" s="9">
        <v>0</v>
      </c>
      <c r="F1077" s="9">
        <v>0</v>
      </c>
      <c r="G1077" s="9">
        <v>0</v>
      </c>
      <c r="H1077" s="9">
        <v>0</v>
      </c>
      <c r="I1077" s="9">
        <v>1</v>
      </c>
      <c r="J1077" s="9">
        <v>1</v>
      </c>
      <c r="K1077" s="9">
        <v>1</v>
      </c>
      <c r="L1077" s="9">
        <v>1</v>
      </c>
      <c r="M1077" s="9">
        <v>1</v>
      </c>
      <c r="N1077" s="9">
        <v>1</v>
      </c>
      <c r="O1077" s="9">
        <v>1</v>
      </c>
      <c r="P1077" s="9">
        <v>1</v>
      </c>
      <c r="Q1077" s="9">
        <v>1</v>
      </c>
      <c r="R1077" s="9">
        <v>1</v>
      </c>
      <c r="S1077" s="9">
        <v>1</v>
      </c>
      <c r="T1077" s="9">
        <v>1</v>
      </c>
      <c r="U1077" s="9">
        <v>1</v>
      </c>
    </row>
    <row r="1078" spans="1:21" x14ac:dyDescent="0.2">
      <c r="A1078" t="s">
        <v>861</v>
      </c>
      <c r="B1078">
        <v>113</v>
      </c>
      <c r="C1078">
        <v>1</v>
      </c>
      <c r="D1078" t="s">
        <v>101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9">
        <v>0</v>
      </c>
      <c r="O1078" s="9">
        <v>0</v>
      </c>
      <c r="P1078" s="9">
        <v>0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</row>
    <row r="1079" spans="1:21" x14ac:dyDescent="0.2">
      <c r="A1079" t="s">
        <v>861</v>
      </c>
      <c r="B1079">
        <v>115</v>
      </c>
      <c r="C1079">
        <v>1</v>
      </c>
      <c r="D1079" t="s">
        <v>102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  <c r="O1079" s="9">
        <v>0</v>
      </c>
      <c r="P1079" s="9">
        <v>0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</row>
    <row r="1080" spans="1:21" x14ac:dyDescent="0.2">
      <c r="A1080" t="s">
        <v>861</v>
      </c>
      <c r="B1080">
        <v>116</v>
      </c>
      <c r="C1080">
        <v>1</v>
      </c>
      <c r="D1080" t="s">
        <v>103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0</v>
      </c>
      <c r="P1080" s="9">
        <v>0</v>
      </c>
      <c r="Q1080" s="9">
        <v>0</v>
      </c>
      <c r="R1080" s="9">
        <v>0</v>
      </c>
      <c r="S1080" s="9">
        <v>0</v>
      </c>
      <c r="T1080" s="9">
        <v>0</v>
      </c>
      <c r="U1080" s="9">
        <v>0</v>
      </c>
    </row>
    <row r="1081" spans="1:21" x14ac:dyDescent="0.2">
      <c r="A1081" t="s">
        <v>861</v>
      </c>
      <c r="B1081">
        <v>118</v>
      </c>
      <c r="C1081">
        <v>1</v>
      </c>
      <c r="D1081" t="s">
        <v>104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  <c r="O1081" s="9">
        <v>0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</row>
    <row r="1082" spans="1:21" x14ac:dyDescent="0.2">
      <c r="A1082" t="s">
        <v>861</v>
      </c>
      <c r="B1082">
        <v>129</v>
      </c>
      <c r="C1082">
        <v>1</v>
      </c>
      <c r="D1082" t="s">
        <v>105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</row>
    <row r="1083" spans="1:21" x14ac:dyDescent="0.2">
      <c r="A1083" t="s">
        <v>861</v>
      </c>
      <c r="B1083">
        <v>138</v>
      </c>
      <c r="C1083">
        <v>1</v>
      </c>
      <c r="D1083" t="s">
        <v>106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0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</row>
    <row r="1084" spans="1:21" x14ac:dyDescent="0.2">
      <c r="A1084" t="s">
        <v>861</v>
      </c>
      <c r="B1084">
        <v>139</v>
      </c>
      <c r="C1084">
        <v>1</v>
      </c>
      <c r="D1084" t="s">
        <v>107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</row>
    <row r="1085" spans="1:21" x14ac:dyDescent="0.2">
      <c r="A1085" t="s">
        <v>861</v>
      </c>
      <c r="B1085">
        <v>146</v>
      </c>
      <c r="C1085">
        <v>1</v>
      </c>
      <c r="D1085" t="s">
        <v>108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</row>
    <row r="1086" spans="1:21" x14ac:dyDescent="0.2">
      <c r="A1086" t="s">
        <v>861</v>
      </c>
      <c r="B1086">
        <v>150</v>
      </c>
      <c r="C1086">
        <v>1</v>
      </c>
      <c r="D1086" t="s">
        <v>109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0</v>
      </c>
      <c r="Q1086" s="9">
        <v>0</v>
      </c>
      <c r="R1086" s="9">
        <v>0</v>
      </c>
      <c r="S1086" s="9">
        <v>0</v>
      </c>
      <c r="T1086" s="9">
        <v>0</v>
      </c>
      <c r="U1086" s="9">
        <v>0</v>
      </c>
    </row>
    <row r="1087" spans="1:21" x14ac:dyDescent="0.2">
      <c r="A1087" t="s">
        <v>861</v>
      </c>
      <c r="B1087">
        <v>152</v>
      </c>
      <c r="C1087">
        <v>1</v>
      </c>
      <c r="D1087" t="s">
        <v>110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</row>
    <row r="1088" spans="1:21" x14ac:dyDescent="0.2">
      <c r="A1088" t="s">
        <v>861</v>
      </c>
      <c r="B1088">
        <v>162</v>
      </c>
      <c r="C1088">
        <v>1</v>
      </c>
      <c r="D1088" t="s">
        <v>111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0</v>
      </c>
      <c r="O1088" s="9">
        <v>0</v>
      </c>
      <c r="P1088" s="9">
        <v>0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</row>
    <row r="1089" spans="1:21" x14ac:dyDescent="0.2">
      <c r="A1089" t="s">
        <v>861</v>
      </c>
      <c r="B1089">
        <v>166</v>
      </c>
      <c r="C1089">
        <v>1</v>
      </c>
      <c r="D1089" t="s">
        <v>112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0</v>
      </c>
      <c r="O1089" s="9">
        <v>0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</row>
    <row r="1090" spans="1:21" x14ac:dyDescent="0.2">
      <c r="A1090" t="s">
        <v>861</v>
      </c>
      <c r="B1090">
        <v>173</v>
      </c>
      <c r="C1090">
        <v>1</v>
      </c>
      <c r="D1090" t="s">
        <v>113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0</v>
      </c>
      <c r="O1090" s="9">
        <v>0</v>
      </c>
      <c r="P1090" s="9">
        <v>0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</row>
    <row r="1091" spans="1:21" x14ac:dyDescent="0.2">
      <c r="A1091" t="s">
        <v>861</v>
      </c>
      <c r="B1091">
        <v>177</v>
      </c>
      <c r="C1091">
        <v>1</v>
      </c>
      <c r="D1091" t="s">
        <v>114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0</v>
      </c>
      <c r="O1091" s="9">
        <v>0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</row>
    <row r="1092" spans="1:21" x14ac:dyDescent="0.2">
      <c r="A1092" t="s">
        <v>861</v>
      </c>
      <c r="B1092">
        <v>181</v>
      </c>
      <c r="C1092">
        <v>1</v>
      </c>
      <c r="D1092" t="s">
        <v>115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</row>
    <row r="1093" spans="1:21" x14ac:dyDescent="0.2">
      <c r="A1093" t="s">
        <v>861</v>
      </c>
      <c r="B1093">
        <v>182</v>
      </c>
      <c r="C1093">
        <v>1</v>
      </c>
      <c r="D1093" t="s">
        <v>116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</row>
    <row r="1094" spans="1:21" x14ac:dyDescent="0.2">
      <c r="A1094" t="s">
        <v>861</v>
      </c>
      <c r="B1094">
        <v>186</v>
      </c>
      <c r="C1094">
        <v>1</v>
      </c>
      <c r="D1094" t="s">
        <v>117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0</v>
      </c>
      <c r="O1094" s="9">
        <v>0</v>
      </c>
      <c r="P1094" s="9">
        <v>0</v>
      </c>
      <c r="Q1094" s="9">
        <v>0</v>
      </c>
      <c r="R1094" s="9">
        <v>0</v>
      </c>
      <c r="S1094" s="9">
        <v>0</v>
      </c>
      <c r="T1094" s="9">
        <v>0</v>
      </c>
      <c r="U1094" s="9">
        <v>0</v>
      </c>
    </row>
    <row r="1095" spans="1:21" x14ac:dyDescent="0.2">
      <c r="A1095" t="s">
        <v>861</v>
      </c>
      <c r="B1095">
        <v>191</v>
      </c>
      <c r="C1095">
        <v>1</v>
      </c>
      <c r="D1095" t="s">
        <v>118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0</v>
      </c>
      <c r="O1095" s="9">
        <v>0</v>
      </c>
      <c r="P1095" s="9">
        <v>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</row>
    <row r="1096" spans="1:21" x14ac:dyDescent="0.2">
      <c r="A1096" t="s">
        <v>861</v>
      </c>
      <c r="B1096">
        <v>192</v>
      </c>
      <c r="C1096">
        <v>1</v>
      </c>
      <c r="D1096" t="s">
        <v>119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0</v>
      </c>
      <c r="O1096" s="9">
        <v>0</v>
      </c>
      <c r="P1096" s="9">
        <v>0</v>
      </c>
      <c r="Q1096" s="9">
        <v>0</v>
      </c>
      <c r="R1096" s="9">
        <v>0</v>
      </c>
      <c r="S1096" s="9">
        <v>0</v>
      </c>
      <c r="T1096" s="9">
        <v>0</v>
      </c>
      <c r="U1096" s="9">
        <v>0</v>
      </c>
    </row>
    <row r="1097" spans="1:21" x14ac:dyDescent="0.2">
      <c r="A1097" t="s">
        <v>861</v>
      </c>
      <c r="B1097">
        <v>194</v>
      </c>
      <c r="C1097">
        <v>1</v>
      </c>
      <c r="D1097" t="s">
        <v>120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</row>
    <row r="1098" spans="1:21" x14ac:dyDescent="0.2">
      <c r="A1098" t="s">
        <v>861</v>
      </c>
      <c r="B1098">
        <v>195</v>
      </c>
      <c r="C1098">
        <v>1</v>
      </c>
      <c r="D1098" t="s">
        <v>121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</row>
    <row r="1099" spans="1:21" x14ac:dyDescent="0.2">
      <c r="A1099" t="s">
        <v>861</v>
      </c>
      <c r="B1099">
        <v>196</v>
      </c>
      <c r="C1099">
        <v>1</v>
      </c>
      <c r="D1099" t="s">
        <v>122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9">
        <v>0</v>
      </c>
      <c r="O1099" s="9">
        <v>0</v>
      </c>
      <c r="P1099" s="9">
        <v>0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</row>
    <row r="1100" spans="1:21" x14ac:dyDescent="0.2">
      <c r="A1100" t="s">
        <v>861</v>
      </c>
      <c r="B1100">
        <v>197</v>
      </c>
      <c r="C1100">
        <v>1</v>
      </c>
      <c r="D1100" t="s">
        <v>123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  <c r="O1100" s="9">
        <v>0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</row>
    <row r="1101" spans="1:21" x14ac:dyDescent="0.2">
      <c r="A1101" t="s">
        <v>861</v>
      </c>
      <c r="B1101">
        <v>199</v>
      </c>
      <c r="C1101">
        <v>1</v>
      </c>
      <c r="D1101" t="s">
        <v>124</v>
      </c>
      <c r="E1101" s="9">
        <v>0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  <c r="O1101" s="9">
        <v>0</v>
      </c>
      <c r="P1101" s="9">
        <v>0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</row>
    <row r="1102" spans="1:21" x14ac:dyDescent="0.2">
      <c r="A1102" t="s">
        <v>861</v>
      </c>
      <c r="B1102">
        <v>200</v>
      </c>
      <c r="C1102">
        <v>1</v>
      </c>
      <c r="D1102" t="s">
        <v>125</v>
      </c>
      <c r="E1102" s="9">
        <v>0</v>
      </c>
      <c r="F1102" s="9">
        <v>0</v>
      </c>
      <c r="G1102" s="9">
        <v>0</v>
      </c>
      <c r="H1102" s="9">
        <v>0</v>
      </c>
      <c r="I1102" s="9">
        <v>1</v>
      </c>
      <c r="J1102" s="9">
        <v>1</v>
      </c>
      <c r="K1102" s="9">
        <v>1</v>
      </c>
      <c r="L1102" s="9">
        <v>1</v>
      </c>
      <c r="M1102" s="9">
        <v>1</v>
      </c>
      <c r="N1102" s="9">
        <v>1</v>
      </c>
      <c r="O1102" s="9">
        <v>1</v>
      </c>
      <c r="P1102" s="9">
        <v>1</v>
      </c>
      <c r="Q1102" s="9">
        <v>1</v>
      </c>
      <c r="R1102" s="9">
        <v>1</v>
      </c>
      <c r="S1102" s="9">
        <v>1</v>
      </c>
      <c r="T1102" s="9">
        <v>1</v>
      </c>
      <c r="U1102" s="9">
        <v>1</v>
      </c>
    </row>
    <row r="1103" spans="1:21" x14ac:dyDescent="0.2">
      <c r="A1103" t="s">
        <v>861</v>
      </c>
      <c r="B1103">
        <v>203</v>
      </c>
      <c r="C1103">
        <v>1</v>
      </c>
      <c r="D1103" t="s">
        <v>126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0</v>
      </c>
      <c r="O1103" s="9">
        <v>0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</row>
    <row r="1104" spans="1:21" x14ac:dyDescent="0.2">
      <c r="A1104" t="s">
        <v>861</v>
      </c>
      <c r="B1104">
        <v>204</v>
      </c>
      <c r="C1104">
        <v>1</v>
      </c>
      <c r="D1104" t="s">
        <v>127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9">
        <v>0</v>
      </c>
      <c r="T1104" s="9">
        <v>0</v>
      </c>
      <c r="U1104" s="9">
        <v>0</v>
      </c>
    </row>
    <row r="1105" spans="1:21" x14ac:dyDescent="0.2">
      <c r="A1105" t="s">
        <v>861</v>
      </c>
      <c r="B1105">
        <v>206</v>
      </c>
      <c r="C1105">
        <v>1</v>
      </c>
      <c r="D1105" t="s">
        <v>128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0</v>
      </c>
      <c r="O1105" s="9">
        <v>0</v>
      </c>
      <c r="P1105" s="9">
        <v>0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</row>
    <row r="1106" spans="1:21" x14ac:dyDescent="0.2">
      <c r="A1106" t="s">
        <v>861</v>
      </c>
      <c r="B1106">
        <v>207</v>
      </c>
      <c r="C1106">
        <v>1</v>
      </c>
      <c r="D1106" t="s">
        <v>129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  <c r="O1106" s="9">
        <v>0</v>
      </c>
      <c r="P1106" s="9">
        <v>0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</row>
    <row r="1107" spans="1:21" x14ac:dyDescent="0.2">
      <c r="A1107" t="s">
        <v>861</v>
      </c>
      <c r="B1107">
        <v>208</v>
      </c>
      <c r="C1107">
        <v>1</v>
      </c>
      <c r="D1107" t="s">
        <v>130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0</v>
      </c>
      <c r="O1107" s="9">
        <v>0</v>
      </c>
      <c r="P1107" s="9">
        <v>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</row>
    <row r="1108" spans="1:21" x14ac:dyDescent="0.2">
      <c r="A1108" t="s">
        <v>861</v>
      </c>
      <c r="B1108">
        <v>213</v>
      </c>
      <c r="C1108">
        <v>1</v>
      </c>
      <c r="D1108" t="s">
        <v>131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0</v>
      </c>
      <c r="S1108" s="9">
        <v>0</v>
      </c>
      <c r="T1108" s="9">
        <v>0</v>
      </c>
      <c r="U1108" s="9">
        <v>0</v>
      </c>
    </row>
    <row r="1109" spans="1:21" x14ac:dyDescent="0.2">
      <c r="A1109" t="s">
        <v>861</v>
      </c>
      <c r="B1109">
        <v>227</v>
      </c>
      <c r="C1109">
        <v>1</v>
      </c>
      <c r="D1109" t="s">
        <v>132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0</v>
      </c>
      <c r="O1109" s="9">
        <v>0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</row>
    <row r="1110" spans="1:21" x14ac:dyDescent="0.2">
      <c r="A1110" t="s">
        <v>861</v>
      </c>
      <c r="B1110">
        <v>229</v>
      </c>
      <c r="C1110">
        <v>1</v>
      </c>
      <c r="D1110" t="s">
        <v>133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  <c r="O1110" s="9">
        <v>0</v>
      </c>
      <c r="P1110" s="9">
        <v>0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</row>
    <row r="1111" spans="1:21" x14ac:dyDescent="0.2">
      <c r="A1111" t="s">
        <v>861</v>
      </c>
      <c r="B1111">
        <v>238</v>
      </c>
      <c r="C1111">
        <v>1</v>
      </c>
      <c r="D1111" t="s">
        <v>134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0</v>
      </c>
      <c r="O1111" s="9">
        <v>0</v>
      </c>
      <c r="P1111" s="9">
        <v>0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</row>
    <row r="1112" spans="1:21" x14ac:dyDescent="0.2">
      <c r="A1112" t="s">
        <v>861</v>
      </c>
      <c r="B1112">
        <v>239</v>
      </c>
      <c r="C1112">
        <v>1</v>
      </c>
      <c r="D1112" t="s">
        <v>135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</row>
    <row r="1113" spans="1:21" x14ac:dyDescent="0.2">
      <c r="A1113" t="s">
        <v>861</v>
      </c>
      <c r="B1113">
        <v>241</v>
      </c>
      <c r="C1113">
        <v>1</v>
      </c>
      <c r="D1113" t="s">
        <v>136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  <c r="O1113" s="9">
        <v>0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</row>
    <row r="1114" spans="1:21" x14ac:dyDescent="0.2">
      <c r="A1114" t="s">
        <v>861</v>
      </c>
      <c r="B1114">
        <v>242</v>
      </c>
      <c r="C1114">
        <v>1</v>
      </c>
      <c r="D1114" t="s">
        <v>137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  <c r="O1114" s="9">
        <v>0</v>
      </c>
      <c r="P1114" s="9">
        <v>0</v>
      </c>
      <c r="Q1114" s="9">
        <v>0</v>
      </c>
      <c r="R1114" s="9">
        <v>0</v>
      </c>
      <c r="S1114" s="9">
        <v>0</v>
      </c>
      <c r="T1114" s="9">
        <v>0</v>
      </c>
      <c r="U1114" s="9">
        <v>0</v>
      </c>
    </row>
    <row r="1115" spans="1:21" x14ac:dyDescent="0.2">
      <c r="A1115" t="s">
        <v>861</v>
      </c>
      <c r="B1115">
        <v>252</v>
      </c>
      <c r="C1115">
        <v>1</v>
      </c>
      <c r="D1115" t="s">
        <v>138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9">
        <v>0</v>
      </c>
      <c r="O1115" s="9">
        <v>0</v>
      </c>
      <c r="P1115" s="9">
        <v>0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</row>
    <row r="1116" spans="1:21" x14ac:dyDescent="0.2">
      <c r="A1116" t="s">
        <v>861</v>
      </c>
      <c r="B1116">
        <v>253</v>
      </c>
      <c r="C1116">
        <v>1</v>
      </c>
      <c r="D1116" t="s">
        <v>139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</row>
    <row r="1117" spans="1:21" x14ac:dyDescent="0.2">
      <c r="A1117" t="s">
        <v>861</v>
      </c>
      <c r="B1117">
        <v>255</v>
      </c>
      <c r="C1117">
        <v>1</v>
      </c>
      <c r="D1117" t="s">
        <v>140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9">
        <v>0</v>
      </c>
      <c r="O1117" s="9">
        <v>0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</row>
    <row r="1118" spans="1:21" x14ac:dyDescent="0.2">
      <c r="A1118" t="s">
        <v>861</v>
      </c>
      <c r="B1118">
        <v>256</v>
      </c>
      <c r="C1118">
        <v>1</v>
      </c>
      <c r="D1118" t="s">
        <v>141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  <c r="O1118" s="9">
        <v>0</v>
      </c>
      <c r="P1118" s="9">
        <v>0</v>
      </c>
      <c r="Q1118" s="9">
        <v>0</v>
      </c>
      <c r="R1118" s="9">
        <v>0</v>
      </c>
      <c r="S1118" s="9">
        <v>0</v>
      </c>
      <c r="T1118" s="9">
        <v>0</v>
      </c>
      <c r="U1118" s="9">
        <v>0</v>
      </c>
    </row>
    <row r="1119" spans="1:21" x14ac:dyDescent="0.2">
      <c r="A1119" t="s">
        <v>861</v>
      </c>
      <c r="B1119">
        <v>261</v>
      </c>
      <c r="C1119">
        <v>1</v>
      </c>
      <c r="D1119" t="s">
        <v>142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  <c r="O1119" s="9">
        <v>0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</row>
    <row r="1120" spans="1:21" x14ac:dyDescent="0.2">
      <c r="A1120" t="s">
        <v>861</v>
      </c>
      <c r="B1120">
        <v>264</v>
      </c>
      <c r="C1120">
        <v>1</v>
      </c>
      <c r="D1120" t="s">
        <v>143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0</v>
      </c>
      <c r="O1120" s="9">
        <v>0</v>
      </c>
      <c r="P1120" s="9">
        <v>0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</row>
    <row r="1121" spans="1:21" x14ac:dyDescent="0.2">
      <c r="A1121" t="s">
        <v>861</v>
      </c>
      <c r="B1121">
        <v>270</v>
      </c>
      <c r="C1121">
        <v>1</v>
      </c>
      <c r="D1121" t="s">
        <v>144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0</v>
      </c>
      <c r="N1121" s="9">
        <v>0</v>
      </c>
      <c r="O1121" s="9">
        <v>0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</row>
    <row r="1122" spans="1:21" x14ac:dyDescent="0.2">
      <c r="A1122" t="s">
        <v>861</v>
      </c>
      <c r="B1122">
        <v>271</v>
      </c>
      <c r="C1122">
        <v>1</v>
      </c>
      <c r="D1122" t="s">
        <v>145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</v>
      </c>
      <c r="N1122" s="9">
        <v>0</v>
      </c>
      <c r="O1122" s="9">
        <v>0</v>
      </c>
      <c r="P1122" s="9">
        <v>0</v>
      </c>
      <c r="Q1122" s="9">
        <v>0</v>
      </c>
      <c r="R1122" s="9">
        <v>0</v>
      </c>
      <c r="S1122" s="9">
        <v>0</v>
      </c>
      <c r="T1122" s="9">
        <v>0</v>
      </c>
      <c r="U1122" s="9">
        <v>0</v>
      </c>
    </row>
    <row r="1123" spans="1:21" x14ac:dyDescent="0.2">
      <c r="A1123" t="s">
        <v>861</v>
      </c>
      <c r="B1123">
        <v>272</v>
      </c>
      <c r="C1123">
        <v>1</v>
      </c>
      <c r="D1123" t="s">
        <v>146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0</v>
      </c>
      <c r="O1123" s="9">
        <v>0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</row>
    <row r="1124" spans="1:21" x14ac:dyDescent="0.2">
      <c r="A1124" t="s">
        <v>861</v>
      </c>
      <c r="B1124">
        <v>273</v>
      </c>
      <c r="C1124">
        <v>1</v>
      </c>
      <c r="D1124" t="s">
        <v>147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9">
        <v>0</v>
      </c>
      <c r="O1124" s="9">
        <v>0</v>
      </c>
      <c r="P1124" s="9">
        <v>0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</row>
    <row r="1125" spans="1:21" x14ac:dyDescent="0.2">
      <c r="A1125" t="s">
        <v>861</v>
      </c>
      <c r="B1125">
        <v>276</v>
      </c>
      <c r="C1125">
        <v>1</v>
      </c>
      <c r="D1125" t="s">
        <v>148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9">
        <v>0</v>
      </c>
      <c r="O1125" s="9">
        <v>0</v>
      </c>
      <c r="P1125" s="9">
        <v>0</v>
      </c>
      <c r="Q1125" s="9">
        <v>0</v>
      </c>
      <c r="R1125" s="9">
        <v>0</v>
      </c>
      <c r="S1125" s="9">
        <v>0</v>
      </c>
      <c r="T1125" s="9">
        <v>0</v>
      </c>
      <c r="U1125" s="9">
        <v>0</v>
      </c>
    </row>
    <row r="1126" spans="1:21" x14ac:dyDescent="0.2">
      <c r="A1126" t="s">
        <v>861</v>
      </c>
      <c r="B1126">
        <v>277</v>
      </c>
      <c r="C1126">
        <v>1</v>
      </c>
      <c r="D1126" t="s">
        <v>149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9">
        <v>0</v>
      </c>
      <c r="N1126" s="9">
        <v>0</v>
      </c>
      <c r="O1126" s="9">
        <v>0</v>
      </c>
      <c r="P1126" s="9">
        <v>0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</row>
    <row r="1127" spans="1:21" x14ac:dyDescent="0.2">
      <c r="A1127" t="s">
        <v>861</v>
      </c>
      <c r="B1127">
        <v>278</v>
      </c>
      <c r="C1127">
        <v>1</v>
      </c>
      <c r="D1127" t="s">
        <v>150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0</v>
      </c>
      <c r="O1127" s="9">
        <v>0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</row>
    <row r="1128" spans="1:21" x14ac:dyDescent="0.2">
      <c r="A1128" t="s">
        <v>861</v>
      </c>
      <c r="B1128">
        <v>279</v>
      </c>
      <c r="C1128">
        <v>1</v>
      </c>
      <c r="D1128" t="s">
        <v>151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</row>
    <row r="1129" spans="1:21" x14ac:dyDescent="0.2">
      <c r="A1129" t="s">
        <v>861</v>
      </c>
      <c r="B1129">
        <v>280</v>
      </c>
      <c r="C1129">
        <v>1</v>
      </c>
      <c r="D1129" t="s">
        <v>152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9">
        <v>0</v>
      </c>
      <c r="N1129" s="9">
        <v>0</v>
      </c>
      <c r="O1129" s="9">
        <v>0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</row>
    <row r="1130" spans="1:21" x14ac:dyDescent="0.2">
      <c r="A1130" t="s">
        <v>861</v>
      </c>
      <c r="B1130">
        <v>281</v>
      </c>
      <c r="C1130">
        <v>1</v>
      </c>
      <c r="D1130" t="s">
        <v>153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9">
        <v>0</v>
      </c>
      <c r="N1130" s="9">
        <v>0</v>
      </c>
      <c r="O1130" s="9">
        <v>0</v>
      </c>
      <c r="P1130" s="9">
        <v>0</v>
      </c>
      <c r="Q1130" s="9">
        <v>0</v>
      </c>
      <c r="R1130" s="9">
        <v>0</v>
      </c>
      <c r="S1130" s="9">
        <v>0</v>
      </c>
      <c r="T1130" s="9">
        <v>0</v>
      </c>
      <c r="U1130" s="9">
        <v>0</v>
      </c>
    </row>
    <row r="1131" spans="1:21" x14ac:dyDescent="0.2">
      <c r="A1131" t="s">
        <v>861</v>
      </c>
      <c r="B1131">
        <v>282</v>
      </c>
      <c r="C1131">
        <v>1</v>
      </c>
      <c r="D1131" t="s">
        <v>154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0</v>
      </c>
      <c r="O1131" s="9">
        <v>0</v>
      </c>
      <c r="P1131" s="9">
        <v>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</row>
    <row r="1132" spans="1:21" x14ac:dyDescent="0.2">
      <c r="A1132" t="s">
        <v>861</v>
      </c>
      <c r="B1132">
        <v>283</v>
      </c>
      <c r="C1132">
        <v>1</v>
      </c>
      <c r="D1132" t="s">
        <v>155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  <c r="O1132" s="9">
        <v>0</v>
      </c>
      <c r="P1132" s="9">
        <v>0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</row>
    <row r="1133" spans="1:21" x14ac:dyDescent="0.2">
      <c r="A1133" t="s">
        <v>861</v>
      </c>
      <c r="B1133">
        <v>284</v>
      </c>
      <c r="C1133">
        <v>1</v>
      </c>
      <c r="D1133" t="s">
        <v>156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</row>
    <row r="1134" spans="1:21" x14ac:dyDescent="0.2">
      <c r="A1134" t="s">
        <v>861</v>
      </c>
      <c r="B1134">
        <v>286</v>
      </c>
      <c r="C1134">
        <v>1</v>
      </c>
      <c r="D1134" t="s">
        <v>157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</row>
    <row r="1135" spans="1:21" x14ac:dyDescent="0.2">
      <c r="A1135" t="s">
        <v>861</v>
      </c>
      <c r="B1135">
        <v>294</v>
      </c>
      <c r="C1135">
        <v>1</v>
      </c>
      <c r="D1135" t="s">
        <v>158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</row>
    <row r="1136" spans="1:21" x14ac:dyDescent="0.2">
      <c r="A1136" t="s">
        <v>861</v>
      </c>
      <c r="B1136">
        <v>297</v>
      </c>
      <c r="C1136">
        <v>1</v>
      </c>
      <c r="D1136" t="s">
        <v>159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</row>
    <row r="1137" spans="1:21" x14ac:dyDescent="0.2">
      <c r="A1137" t="s">
        <v>861</v>
      </c>
      <c r="B1137">
        <v>299</v>
      </c>
      <c r="C1137">
        <v>1</v>
      </c>
      <c r="D1137" t="s">
        <v>160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</row>
    <row r="1138" spans="1:21" x14ac:dyDescent="0.2">
      <c r="A1138" t="s">
        <v>861</v>
      </c>
      <c r="B1138">
        <v>300</v>
      </c>
      <c r="C1138">
        <v>1</v>
      </c>
      <c r="D1138" t="s">
        <v>161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0</v>
      </c>
      <c r="N1138" s="9">
        <v>0</v>
      </c>
      <c r="O1138" s="9">
        <v>0</v>
      </c>
      <c r="P1138" s="9">
        <v>0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</row>
    <row r="1139" spans="1:21" x14ac:dyDescent="0.2">
      <c r="A1139" t="s">
        <v>861</v>
      </c>
      <c r="B1139">
        <v>306</v>
      </c>
      <c r="C1139">
        <v>1</v>
      </c>
      <c r="D1139" t="s">
        <v>162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  <c r="O1139" s="9">
        <v>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</row>
    <row r="1140" spans="1:21" x14ac:dyDescent="0.2">
      <c r="A1140" t="s">
        <v>861</v>
      </c>
      <c r="B1140">
        <v>308</v>
      </c>
      <c r="C1140">
        <v>1</v>
      </c>
      <c r="D1140" t="s">
        <v>163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9">
        <v>0</v>
      </c>
      <c r="Q1140" s="9">
        <v>0</v>
      </c>
      <c r="R1140" s="9">
        <v>0</v>
      </c>
      <c r="S1140" s="9">
        <v>0</v>
      </c>
      <c r="T1140" s="9">
        <v>0</v>
      </c>
      <c r="U1140" s="9">
        <v>0</v>
      </c>
    </row>
    <row r="1141" spans="1:21" x14ac:dyDescent="0.2">
      <c r="A1141" t="s">
        <v>861</v>
      </c>
      <c r="B1141">
        <v>309</v>
      </c>
      <c r="C1141">
        <v>1</v>
      </c>
      <c r="D1141" t="s">
        <v>164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  <c r="O1141" s="9">
        <v>0</v>
      </c>
      <c r="P1141" s="9">
        <v>0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</row>
    <row r="1142" spans="1:21" x14ac:dyDescent="0.2">
      <c r="A1142" t="s">
        <v>861</v>
      </c>
      <c r="B1142">
        <v>314</v>
      </c>
      <c r="C1142">
        <v>1</v>
      </c>
      <c r="D1142" t="s">
        <v>165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0</v>
      </c>
      <c r="R1142" s="9">
        <v>0</v>
      </c>
      <c r="S1142" s="9">
        <v>0</v>
      </c>
      <c r="T1142" s="9">
        <v>0</v>
      </c>
      <c r="U1142" s="9">
        <v>0</v>
      </c>
    </row>
    <row r="1143" spans="1:21" x14ac:dyDescent="0.2">
      <c r="A1143" t="s">
        <v>861</v>
      </c>
      <c r="B1143">
        <v>316</v>
      </c>
      <c r="C1143">
        <v>1</v>
      </c>
      <c r="D1143" t="s">
        <v>166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  <c r="O1143" s="9">
        <v>0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</row>
    <row r="1144" spans="1:21" x14ac:dyDescent="0.2">
      <c r="A1144" t="s">
        <v>861</v>
      </c>
      <c r="B1144">
        <v>317</v>
      </c>
      <c r="C1144">
        <v>1</v>
      </c>
      <c r="D1144" t="s">
        <v>167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P1144" s="9">
        <v>0</v>
      </c>
      <c r="Q1144" s="9">
        <v>0</v>
      </c>
      <c r="R1144" s="9">
        <v>0</v>
      </c>
      <c r="S1144" s="9">
        <v>0</v>
      </c>
      <c r="T1144" s="9">
        <v>0</v>
      </c>
      <c r="U1144" s="9">
        <v>0</v>
      </c>
    </row>
    <row r="1145" spans="1:21" x14ac:dyDescent="0.2">
      <c r="A1145" t="s">
        <v>861</v>
      </c>
      <c r="B1145">
        <v>318</v>
      </c>
      <c r="C1145">
        <v>1</v>
      </c>
      <c r="D1145" t="s">
        <v>168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0</v>
      </c>
      <c r="O1145" s="9">
        <v>0</v>
      </c>
      <c r="P1145" s="9">
        <v>0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</row>
    <row r="1146" spans="1:21" x14ac:dyDescent="0.2">
      <c r="A1146" t="s">
        <v>861</v>
      </c>
      <c r="B1146">
        <v>319</v>
      </c>
      <c r="C1146">
        <v>1</v>
      </c>
      <c r="D1146" t="s">
        <v>169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0</v>
      </c>
      <c r="P1146" s="9">
        <v>0</v>
      </c>
      <c r="Q1146" s="9">
        <v>0</v>
      </c>
      <c r="R1146" s="9">
        <v>0</v>
      </c>
      <c r="S1146" s="9">
        <v>0</v>
      </c>
      <c r="T1146" s="9">
        <v>0</v>
      </c>
      <c r="U1146" s="9">
        <v>0</v>
      </c>
    </row>
    <row r="1147" spans="1:21" x14ac:dyDescent="0.2">
      <c r="A1147" t="s">
        <v>861</v>
      </c>
      <c r="B1147">
        <v>323</v>
      </c>
      <c r="C1147">
        <v>2</v>
      </c>
      <c r="D1147" t="s">
        <v>170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</row>
    <row r="1148" spans="1:21" x14ac:dyDescent="0.2">
      <c r="A1148" t="s">
        <v>861</v>
      </c>
      <c r="B1148">
        <v>330</v>
      </c>
      <c r="C1148">
        <v>1</v>
      </c>
      <c r="D1148" t="s">
        <v>171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  <c r="Q1148" s="9">
        <v>0</v>
      </c>
      <c r="R1148" s="9">
        <v>0</v>
      </c>
      <c r="S1148" s="9">
        <v>0</v>
      </c>
      <c r="T1148" s="9">
        <v>0</v>
      </c>
      <c r="U1148" s="9">
        <v>0</v>
      </c>
    </row>
    <row r="1149" spans="1:21" x14ac:dyDescent="0.2">
      <c r="A1149" t="s">
        <v>861</v>
      </c>
      <c r="B1149">
        <v>332</v>
      </c>
      <c r="C1149">
        <v>1</v>
      </c>
      <c r="D1149" t="s">
        <v>172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9">
        <v>0</v>
      </c>
      <c r="O1149" s="9">
        <v>0</v>
      </c>
      <c r="P1149" s="9">
        <v>0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</row>
    <row r="1150" spans="1:21" x14ac:dyDescent="0.2">
      <c r="A1150" t="s">
        <v>861</v>
      </c>
      <c r="B1150">
        <v>333</v>
      </c>
      <c r="C1150">
        <v>1</v>
      </c>
      <c r="D1150" t="s">
        <v>173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  <c r="O1150" s="9">
        <v>0</v>
      </c>
      <c r="P1150" s="9">
        <v>0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</row>
    <row r="1151" spans="1:21" x14ac:dyDescent="0.2">
      <c r="A1151" t="s">
        <v>861</v>
      </c>
      <c r="B1151">
        <v>345</v>
      </c>
      <c r="C1151">
        <v>1</v>
      </c>
      <c r="D1151" t="s">
        <v>174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  <c r="O1151" s="9">
        <v>0</v>
      </c>
      <c r="P1151" s="9">
        <v>0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</row>
    <row r="1152" spans="1:21" x14ac:dyDescent="0.2">
      <c r="A1152" t="s">
        <v>861</v>
      </c>
      <c r="B1152">
        <v>347</v>
      </c>
      <c r="C1152">
        <v>1</v>
      </c>
      <c r="D1152" t="s">
        <v>175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9">
        <v>0</v>
      </c>
      <c r="T1152" s="9">
        <v>0</v>
      </c>
      <c r="U1152" s="9">
        <v>0</v>
      </c>
    </row>
    <row r="1153" spans="1:21" x14ac:dyDescent="0.2">
      <c r="A1153" t="s">
        <v>861</v>
      </c>
      <c r="B1153">
        <v>356</v>
      </c>
      <c r="C1153">
        <v>1</v>
      </c>
      <c r="D1153" t="s">
        <v>176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0</v>
      </c>
      <c r="O1153" s="9">
        <v>0</v>
      </c>
      <c r="P1153" s="9">
        <v>0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</row>
    <row r="1154" spans="1:21" x14ac:dyDescent="0.2">
      <c r="A1154" t="s">
        <v>861</v>
      </c>
      <c r="B1154">
        <v>361</v>
      </c>
      <c r="C1154">
        <v>1</v>
      </c>
      <c r="D1154" t="s">
        <v>177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  <c r="O1154" s="9">
        <v>0</v>
      </c>
      <c r="P1154" s="9">
        <v>0</v>
      </c>
      <c r="Q1154" s="9">
        <v>0</v>
      </c>
      <c r="R1154" s="9">
        <v>0</v>
      </c>
      <c r="S1154" s="9">
        <v>0</v>
      </c>
      <c r="T1154" s="9">
        <v>0</v>
      </c>
      <c r="U1154" s="9">
        <v>0</v>
      </c>
    </row>
    <row r="1155" spans="1:21" x14ac:dyDescent="0.2">
      <c r="A1155" t="s">
        <v>861</v>
      </c>
      <c r="B1155">
        <v>362</v>
      </c>
      <c r="C1155">
        <v>1</v>
      </c>
      <c r="D1155" t="s">
        <v>178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  <c r="O1155" s="9">
        <v>0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</row>
    <row r="1156" spans="1:21" x14ac:dyDescent="0.2">
      <c r="A1156" t="s">
        <v>861</v>
      </c>
      <c r="B1156">
        <v>363</v>
      </c>
      <c r="C1156">
        <v>1</v>
      </c>
      <c r="D1156" t="s">
        <v>179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0</v>
      </c>
      <c r="O1156" s="9">
        <v>0</v>
      </c>
      <c r="P1156" s="9">
        <v>0</v>
      </c>
      <c r="Q1156" s="9">
        <v>0</v>
      </c>
      <c r="R1156" s="9">
        <v>0</v>
      </c>
      <c r="S1156" s="9">
        <v>0</v>
      </c>
      <c r="T1156" s="9">
        <v>0</v>
      </c>
      <c r="U1156" s="9">
        <v>0</v>
      </c>
    </row>
    <row r="1157" spans="1:21" x14ac:dyDescent="0.2">
      <c r="A1157" t="s">
        <v>861</v>
      </c>
      <c r="B1157">
        <v>371</v>
      </c>
      <c r="C1157">
        <v>1</v>
      </c>
      <c r="D1157" t="s">
        <v>180</v>
      </c>
      <c r="E1157" s="9">
        <v>0</v>
      </c>
      <c r="F1157" s="9">
        <v>0</v>
      </c>
      <c r="G1157" s="9">
        <v>0</v>
      </c>
      <c r="H1157" s="9">
        <v>0</v>
      </c>
      <c r="I1157" s="9">
        <v>1</v>
      </c>
      <c r="J1157" s="9">
        <v>1</v>
      </c>
      <c r="K1157" s="9">
        <v>1</v>
      </c>
      <c r="L1157" s="9">
        <v>1</v>
      </c>
      <c r="M1157" s="9">
        <v>1</v>
      </c>
      <c r="N1157" s="9">
        <v>1</v>
      </c>
      <c r="O1157" s="9">
        <v>1</v>
      </c>
      <c r="P1157" s="9">
        <v>1</v>
      </c>
      <c r="Q1157" s="9">
        <v>1</v>
      </c>
      <c r="R1157" s="9">
        <v>1</v>
      </c>
      <c r="S1157" s="9">
        <v>1</v>
      </c>
      <c r="T1157" s="9">
        <v>1</v>
      </c>
      <c r="U1157" s="9">
        <v>1</v>
      </c>
    </row>
    <row r="1158" spans="1:21" x14ac:dyDescent="0.2">
      <c r="A1158" t="s">
        <v>861</v>
      </c>
      <c r="B1158">
        <v>378</v>
      </c>
      <c r="C1158">
        <v>1</v>
      </c>
      <c r="D1158" t="s">
        <v>181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</row>
    <row r="1159" spans="1:21" x14ac:dyDescent="0.2">
      <c r="A1159" t="s">
        <v>861</v>
      </c>
      <c r="B1159">
        <v>381</v>
      </c>
      <c r="C1159">
        <v>1</v>
      </c>
      <c r="D1159" t="s">
        <v>182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</row>
    <row r="1160" spans="1:21" x14ac:dyDescent="0.2">
      <c r="A1160" t="s">
        <v>861</v>
      </c>
      <c r="B1160">
        <v>390</v>
      </c>
      <c r="C1160">
        <v>1</v>
      </c>
      <c r="D1160" t="s">
        <v>183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</row>
    <row r="1161" spans="1:21" x14ac:dyDescent="0.2">
      <c r="A1161" t="s">
        <v>861</v>
      </c>
      <c r="B1161">
        <v>391</v>
      </c>
      <c r="C1161">
        <v>1</v>
      </c>
      <c r="D1161" t="s">
        <v>184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</row>
    <row r="1162" spans="1:21" x14ac:dyDescent="0.2">
      <c r="A1162" t="s">
        <v>861</v>
      </c>
      <c r="B1162">
        <v>392</v>
      </c>
      <c r="C1162">
        <v>1</v>
      </c>
      <c r="D1162" t="s">
        <v>185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</row>
    <row r="1163" spans="1:21" x14ac:dyDescent="0.2">
      <c r="A1163" t="s">
        <v>861</v>
      </c>
      <c r="B1163">
        <v>394</v>
      </c>
      <c r="C1163">
        <v>1</v>
      </c>
      <c r="D1163" t="s">
        <v>186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</row>
    <row r="1164" spans="1:21" x14ac:dyDescent="0.2">
      <c r="A1164" t="s">
        <v>861</v>
      </c>
      <c r="B1164">
        <v>402</v>
      </c>
      <c r="C1164">
        <v>1</v>
      </c>
      <c r="D1164" t="s">
        <v>187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</row>
    <row r="1165" spans="1:21" x14ac:dyDescent="0.2">
      <c r="A1165" t="s">
        <v>861</v>
      </c>
      <c r="B1165">
        <v>403</v>
      </c>
      <c r="C1165">
        <v>1</v>
      </c>
      <c r="D1165" t="s">
        <v>188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</row>
    <row r="1166" spans="1:21" x14ac:dyDescent="0.2">
      <c r="A1166" t="s">
        <v>861</v>
      </c>
      <c r="B1166">
        <v>404</v>
      </c>
      <c r="C1166">
        <v>1</v>
      </c>
      <c r="D1166" t="s">
        <v>189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  <c r="Q1166" s="9">
        <v>0</v>
      </c>
      <c r="R1166" s="9">
        <v>0</v>
      </c>
      <c r="S1166" s="9">
        <v>0</v>
      </c>
      <c r="T1166" s="9">
        <v>0</v>
      </c>
      <c r="U1166" s="9">
        <v>0</v>
      </c>
    </row>
    <row r="1167" spans="1:21" x14ac:dyDescent="0.2">
      <c r="A1167" t="s">
        <v>861</v>
      </c>
      <c r="B1167">
        <v>409</v>
      </c>
      <c r="C1167">
        <v>1</v>
      </c>
      <c r="D1167" t="s">
        <v>190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v>0</v>
      </c>
      <c r="R1167" s="9">
        <v>0</v>
      </c>
      <c r="S1167" s="9">
        <v>0</v>
      </c>
      <c r="T1167" s="9">
        <v>0</v>
      </c>
      <c r="U1167" s="9">
        <v>0</v>
      </c>
    </row>
    <row r="1168" spans="1:21" x14ac:dyDescent="0.2">
      <c r="A1168" t="s">
        <v>861</v>
      </c>
      <c r="B1168">
        <v>411</v>
      </c>
      <c r="C1168">
        <v>1</v>
      </c>
      <c r="D1168" t="s">
        <v>191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0</v>
      </c>
      <c r="R1168" s="9">
        <v>0</v>
      </c>
      <c r="S1168" s="9">
        <v>0</v>
      </c>
      <c r="T1168" s="9">
        <v>0</v>
      </c>
      <c r="U1168" s="9">
        <v>0</v>
      </c>
    </row>
    <row r="1169" spans="1:21" x14ac:dyDescent="0.2">
      <c r="A1169" t="s">
        <v>861</v>
      </c>
      <c r="B1169">
        <v>413</v>
      </c>
      <c r="C1169">
        <v>1</v>
      </c>
      <c r="D1169" t="s">
        <v>192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</row>
    <row r="1170" spans="1:21" x14ac:dyDescent="0.2">
      <c r="A1170" t="s">
        <v>861</v>
      </c>
      <c r="B1170">
        <v>414</v>
      </c>
      <c r="C1170">
        <v>1</v>
      </c>
      <c r="D1170" t="s">
        <v>193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</row>
    <row r="1171" spans="1:21" x14ac:dyDescent="0.2">
      <c r="A1171" t="s">
        <v>861</v>
      </c>
      <c r="B1171">
        <v>415</v>
      </c>
      <c r="C1171">
        <v>1</v>
      </c>
      <c r="D1171" t="s">
        <v>194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</row>
    <row r="1172" spans="1:21" x14ac:dyDescent="0.2">
      <c r="A1172" t="s">
        <v>861</v>
      </c>
      <c r="B1172">
        <v>417</v>
      </c>
      <c r="C1172">
        <v>1</v>
      </c>
      <c r="D1172" t="s">
        <v>195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 s="9">
        <v>0</v>
      </c>
      <c r="U1172" s="9">
        <v>0</v>
      </c>
    </row>
    <row r="1173" spans="1:21" x14ac:dyDescent="0.2">
      <c r="A1173" t="s">
        <v>861</v>
      </c>
      <c r="B1173">
        <v>418</v>
      </c>
      <c r="C1173">
        <v>1</v>
      </c>
      <c r="D1173" t="s">
        <v>196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</row>
    <row r="1174" spans="1:21" x14ac:dyDescent="0.2">
      <c r="A1174" t="s">
        <v>861</v>
      </c>
      <c r="B1174">
        <v>423</v>
      </c>
      <c r="C1174">
        <v>1</v>
      </c>
      <c r="D1174" t="s">
        <v>197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</row>
    <row r="1175" spans="1:21" x14ac:dyDescent="0.2">
      <c r="A1175" t="s">
        <v>861</v>
      </c>
      <c r="B1175">
        <v>424</v>
      </c>
      <c r="C1175">
        <v>1</v>
      </c>
      <c r="D1175" t="s">
        <v>198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</row>
    <row r="1176" spans="1:21" x14ac:dyDescent="0.2">
      <c r="A1176" t="s">
        <v>861</v>
      </c>
      <c r="B1176">
        <v>432</v>
      </c>
      <c r="C1176">
        <v>1</v>
      </c>
      <c r="D1176" t="s">
        <v>199</v>
      </c>
      <c r="E1176" s="9">
        <v>0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</row>
    <row r="1177" spans="1:21" x14ac:dyDescent="0.2">
      <c r="A1177" t="s">
        <v>861</v>
      </c>
      <c r="B1177">
        <v>435</v>
      </c>
      <c r="C1177">
        <v>1</v>
      </c>
      <c r="D1177" t="s">
        <v>200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</row>
    <row r="1178" spans="1:21" x14ac:dyDescent="0.2">
      <c r="A1178" t="s">
        <v>861</v>
      </c>
      <c r="B1178">
        <v>441</v>
      </c>
      <c r="C1178">
        <v>1</v>
      </c>
      <c r="D1178" t="s">
        <v>201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</row>
    <row r="1179" spans="1:21" x14ac:dyDescent="0.2">
      <c r="A1179" t="s">
        <v>861</v>
      </c>
      <c r="B1179">
        <v>447</v>
      </c>
      <c r="C1179">
        <v>1</v>
      </c>
      <c r="D1179" t="s">
        <v>202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</row>
    <row r="1180" spans="1:21" x14ac:dyDescent="0.2">
      <c r="A1180" t="s">
        <v>861</v>
      </c>
      <c r="B1180">
        <v>458</v>
      </c>
      <c r="C1180">
        <v>1</v>
      </c>
      <c r="D1180" t="s">
        <v>203</v>
      </c>
      <c r="E1180" s="9">
        <v>0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</row>
    <row r="1181" spans="1:21" x14ac:dyDescent="0.2">
      <c r="A1181" t="s">
        <v>861</v>
      </c>
      <c r="B1181">
        <v>463</v>
      </c>
      <c r="C1181">
        <v>1</v>
      </c>
      <c r="D1181" t="s">
        <v>204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</row>
    <row r="1182" spans="1:21" x14ac:dyDescent="0.2">
      <c r="A1182" t="s">
        <v>861</v>
      </c>
      <c r="B1182">
        <v>465</v>
      </c>
      <c r="C1182">
        <v>1</v>
      </c>
      <c r="D1182" t="s">
        <v>205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</row>
    <row r="1183" spans="1:21" x14ac:dyDescent="0.2">
      <c r="A1183" t="s">
        <v>861</v>
      </c>
      <c r="B1183">
        <v>466</v>
      </c>
      <c r="C1183">
        <v>1</v>
      </c>
      <c r="D1183" t="s">
        <v>206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</row>
    <row r="1184" spans="1:21" x14ac:dyDescent="0.2">
      <c r="A1184" t="s">
        <v>861</v>
      </c>
      <c r="B1184">
        <v>473</v>
      </c>
      <c r="C1184">
        <v>1</v>
      </c>
      <c r="D1184" t="s">
        <v>207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</row>
    <row r="1185" spans="1:21" x14ac:dyDescent="0.2">
      <c r="A1185" t="s">
        <v>861</v>
      </c>
      <c r="B1185">
        <v>477</v>
      </c>
      <c r="C1185">
        <v>1</v>
      </c>
      <c r="D1185" t="s">
        <v>208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</row>
    <row r="1186" spans="1:21" x14ac:dyDescent="0.2">
      <c r="A1186" t="s">
        <v>861</v>
      </c>
      <c r="B1186">
        <v>480</v>
      </c>
      <c r="C1186">
        <v>1</v>
      </c>
      <c r="D1186" t="s">
        <v>209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</row>
    <row r="1187" spans="1:21" x14ac:dyDescent="0.2">
      <c r="A1187" t="s">
        <v>861</v>
      </c>
      <c r="B1187">
        <v>482</v>
      </c>
      <c r="C1187">
        <v>1</v>
      </c>
      <c r="D1187" t="s">
        <v>210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  <c r="M1187" s="9">
        <v>0</v>
      </c>
      <c r="N1187" s="9">
        <v>0</v>
      </c>
      <c r="O1187" s="9">
        <v>0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</row>
    <row r="1188" spans="1:21" x14ac:dyDescent="0.2">
      <c r="A1188" t="s">
        <v>861</v>
      </c>
      <c r="B1188">
        <v>484</v>
      </c>
      <c r="C1188">
        <v>1</v>
      </c>
      <c r="D1188" t="s">
        <v>211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</row>
    <row r="1189" spans="1:21" x14ac:dyDescent="0.2">
      <c r="A1189" t="s">
        <v>861</v>
      </c>
      <c r="B1189">
        <v>485</v>
      </c>
      <c r="C1189">
        <v>1</v>
      </c>
      <c r="D1189" t="s">
        <v>212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0</v>
      </c>
      <c r="O1189" s="9">
        <v>0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</row>
    <row r="1190" spans="1:21" x14ac:dyDescent="0.2">
      <c r="A1190" t="s">
        <v>861</v>
      </c>
      <c r="B1190">
        <v>486</v>
      </c>
      <c r="C1190">
        <v>1</v>
      </c>
      <c r="D1190" t="s">
        <v>213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9">
        <v>0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</row>
    <row r="1191" spans="1:21" x14ac:dyDescent="0.2">
      <c r="A1191" t="s">
        <v>861</v>
      </c>
      <c r="B1191">
        <v>487</v>
      </c>
      <c r="C1191">
        <v>1</v>
      </c>
      <c r="D1191" t="s">
        <v>214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0</v>
      </c>
      <c r="O1191" s="9">
        <v>0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</row>
    <row r="1192" spans="1:21" x14ac:dyDescent="0.2">
      <c r="A1192" t="s">
        <v>861</v>
      </c>
      <c r="B1192">
        <v>492</v>
      </c>
      <c r="C1192">
        <v>1</v>
      </c>
      <c r="D1192" t="s">
        <v>215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</row>
    <row r="1193" spans="1:21" x14ac:dyDescent="0.2">
      <c r="A1193" t="s">
        <v>861</v>
      </c>
      <c r="B1193">
        <v>495</v>
      </c>
      <c r="C1193">
        <v>1</v>
      </c>
      <c r="D1193" t="s">
        <v>216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</row>
    <row r="1194" spans="1:21" x14ac:dyDescent="0.2">
      <c r="A1194" t="s">
        <v>861</v>
      </c>
      <c r="B1194">
        <v>497</v>
      </c>
      <c r="C1194">
        <v>1</v>
      </c>
      <c r="D1194" t="s">
        <v>217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</row>
    <row r="1195" spans="1:21" x14ac:dyDescent="0.2">
      <c r="A1195" t="s">
        <v>861</v>
      </c>
      <c r="B1195">
        <v>499</v>
      </c>
      <c r="C1195">
        <v>1</v>
      </c>
      <c r="D1195" t="s">
        <v>218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0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</row>
    <row r="1196" spans="1:21" x14ac:dyDescent="0.2">
      <c r="A1196" t="s">
        <v>861</v>
      </c>
      <c r="B1196">
        <v>500</v>
      </c>
      <c r="C1196">
        <v>1</v>
      </c>
      <c r="D1196" t="s">
        <v>219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</row>
    <row r="1197" spans="1:21" x14ac:dyDescent="0.2">
      <c r="A1197" t="s">
        <v>861</v>
      </c>
      <c r="B1197">
        <v>505</v>
      </c>
      <c r="C1197">
        <v>1</v>
      </c>
      <c r="D1197" t="s">
        <v>220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</row>
    <row r="1198" spans="1:21" x14ac:dyDescent="0.2">
      <c r="A1198" t="s">
        <v>861</v>
      </c>
      <c r="B1198">
        <v>507</v>
      </c>
      <c r="C1198">
        <v>1</v>
      </c>
      <c r="D1198" t="s">
        <v>221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9">
        <v>0</v>
      </c>
      <c r="Q1198" s="9">
        <v>0</v>
      </c>
      <c r="R1198" s="9">
        <v>0</v>
      </c>
      <c r="S1198" s="9">
        <v>0</v>
      </c>
      <c r="T1198" s="9">
        <v>0</v>
      </c>
      <c r="U1198" s="9">
        <v>0</v>
      </c>
    </row>
    <row r="1199" spans="1:21" x14ac:dyDescent="0.2">
      <c r="A1199" t="s">
        <v>861</v>
      </c>
      <c r="B1199">
        <v>508</v>
      </c>
      <c r="C1199">
        <v>1</v>
      </c>
      <c r="D1199" t="s">
        <v>222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</row>
    <row r="1200" spans="1:21" x14ac:dyDescent="0.2">
      <c r="A1200" t="s">
        <v>861</v>
      </c>
      <c r="B1200">
        <v>511</v>
      </c>
      <c r="C1200">
        <v>1</v>
      </c>
      <c r="D1200" t="s">
        <v>223</v>
      </c>
      <c r="E1200" s="9">
        <v>0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</row>
    <row r="1201" spans="1:21" x14ac:dyDescent="0.2">
      <c r="A1201" t="s">
        <v>861</v>
      </c>
      <c r="B1201">
        <v>513</v>
      </c>
      <c r="C1201">
        <v>1</v>
      </c>
      <c r="D1201" t="s">
        <v>224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9">
        <v>0</v>
      </c>
      <c r="O1201" s="9">
        <v>0</v>
      </c>
      <c r="P1201" s="9">
        <v>0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</row>
    <row r="1202" spans="1:21" x14ac:dyDescent="0.2">
      <c r="A1202" t="s">
        <v>861</v>
      </c>
      <c r="B1202">
        <v>514</v>
      </c>
      <c r="C1202">
        <v>1</v>
      </c>
      <c r="D1202" t="s">
        <v>225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</row>
    <row r="1203" spans="1:21" x14ac:dyDescent="0.2">
      <c r="A1203" t="s">
        <v>861</v>
      </c>
      <c r="B1203">
        <v>516</v>
      </c>
      <c r="C1203">
        <v>1</v>
      </c>
      <c r="D1203" t="s">
        <v>226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</row>
    <row r="1204" spans="1:21" x14ac:dyDescent="0.2">
      <c r="A1204" t="s">
        <v>861</v>
      </c>
      <c r="B1204">
        <v>518</v>
      </c>
      <c r="C1204">
        <v>1</v>
      </c>
      <c r="D1204" t="s">
        <v>227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  <c r="O1204" s="9">
        <v>0</v>
      </c>
      <c r="P1204" s="9">
        <v>0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</row>
    <row r="1205" spans="1:21" x14ac:dyDescent="0.2">
      <c r="A1205" t="s">
        <v>861</v>
      </c>
      <c r="B1205">
        <v>531</v>
      </c>
      <c r="C1205">
        <v>1</v>
      </c>
      <c r="D1205" t="s">
        <v>228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0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</row>
    <row r="1206" spans="1:21" x14ac:dyDescent="0.2">
      <c r="A1206" t="s">
        <v>861</v>
      </c>
      <c r="B1206">
        <v>533</v>
      </c>
      <c r="C1206">
        <v>1</v>
      </c>
      <c r="D1206" t="s">
        <v>229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9">
        <v>0</v>
      </c>
      <c r="O1206" s="9">
        <v>0</v>
      </c>
      <c r="P1206" s="9">
        <v>0</v>
      </c>
      <c r="Q1206" s="9">
        <v>0</v>
      </c>
      <c r="R1206" s="9">
        <v>0</v>
      </c>
      <c r="S1206" s="9">
        <v>0</v>
      </c>
      <c r="T1206" s="9">
        <v>0</v>
      </c>
      <c r="U1206" s="9">
        <v>0</v>
      </c>
    </row>
    <row r="1207" spans="1:21" x14ac:dyDescent="0.2">
      <c r="A1207" t="s">
        <v>861</v>
      </c>
      <c r="B1207">
        <v>534</v>
      </c>
      <c r="C1207">
        <v>1</v>
      </c>
      <c r="D1207" t="s">
        <v>230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0</v>
      </c>
      <c r="O1207" s="9">
        <v>0</v>
      </c>
      <c r="P1207" s="9">
        <v>0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</row>
    <row r="1208" spans="1:21" x14ac:dyDescent="0.2">
      <c r="A1208" t="s">
        <v>861</v>
      </c>
      <c r="B1208">
        <v>535</v>
      </c>
      <c r="C1208">
        <v>1</v>
      </c>
      <c r="D1208" t="s">
        <v>231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0</v>
      </c>
      <c r="O1208" s="9">
        <v>0</v>
      </c>
      <c r="P1208" s="9">
        <v>0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</row>
    <row r="1209" spans="1:21" x14ac:dyDescent="0.2">
      <c r="A1209" t="s">
        <v>861</v>
      </c>
      <c r="B1209">
        <v>542</v>
      </c>
      <c r="C1209">
        <v>1</v>
      </c>
      <c r="D1209" t="s">
        <v>232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0</v>
      </c>
      <c r="O1209" s="9">
        <v>0</v>
      </c>
      <c r="P1209" s="9">
        <v>0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</row>
    <row r="1210" spans="1:21" x14ac:dyDescent="0.2">
      <c r="A1210" t="s">
        <v>861</v>
      </c>
      <c r="B1210">
        <v>544</v>
      </c>
      <c r="C1210">
        <v>1</v>
      </c>
      <c r="D1210" t="s">
        <v>233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0</v>
      </c>
      <c r="O1210" s="9">
        <v>0</v>
      </c>
      <c r="P1210" s="9">
        <v>0</v>
      </c>
      <c r="Q1210" s="9">
        <v>0</v>
      </c>
      <c r="R1210" s="9">
        <v>0</v>
      </c>
      <c r="S1210" s="9">
        <v>0</v>
      </c>
      <c r="T1210" s="9">
        <v>0</v>
      </c>
      <c r="U1210" s="9">
        <v>0</v>
      </c>
    </row>
    <row r="1211" spans="1:21" x14ac:dyDescent="0.2">
      <c r="A1211" t="s">
        <v>861</v>
      </c>
      <c r="B1211">
        <v>545</v>
      </c>
      <c r="C1211">
        <v>1</v>
      </c>
      <c r="D1211" t="s">
        <v>234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v>0</v>
      </c>
      <c r="R1211" s="9">
        <v>0</v>
      </c>
      <c r="S1211" s="9">
        <v>0</v>
      </c>
      <c r="T1211" s="9">
        <v>0</v>
      </c>
      <c r="U1211" s="9">
        <v>0</v>
      </c>
    </row>
    <row r="1212" spans="1:21" x14ac:dyDescent="0.2">
      <c r="A1212" t="s">
        <v>861</v>
      </c>
      <c r="B1212">
        <v>547</v>
      </c>
      <c r="C1212">
        <v>1</v>
      </c>
      <c r="D1212" t="s">
        <v>235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0</v>
      </c>
      <c r="N1212" s="9">
        <v>0</v>
      </c>
      <c r="O1212" s="9">
        <v>0</v>
      </c>
      <c r="P1212" s="9">
        <v>0</v>
      </c>
      <c r="Q1212" s="9">
        <v>0</v>
      </c>
      <c r="R1212" s="9">
        <v>0</v>
      </c>
      <c r="S1212" s="9">
        <v>0</v>
      </c>
      <c r="T1212" s="9">
        <v>0</v>
      </c>
      <c r="U1212" s="9">
        <v>0</v>
      </c>
    </row>
    <row r="1213" spans="1:21" x14ac:dyDescent="0.2">
      <c r="A1213" t="s">
        <v>861</v>
      </c>
      <c r="B1213">
        <v>548</v>
      </c>
      <c r="C1213">
        <v>1</v>
      </c>
      <c r="D1213" t="s">
        <v>236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0</v>
      </c>
      <c r="O1213" s="9">
        <v>0</v>
      </c>
      <c r="P1213" s="9">
        <v>0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</row>
    <row r="1214" spans="1:21" x14ac:dyDescent="0.2">
      <c r="A1214" t="s">
        <v>861</v>
      </c>
      <c r="B1214">
        <v>549</v>
      </c>
      <c r="C1214">
        <v>1</v>
      </c>
      <c r="D1214" t="s">
        <v>237</v>
      </c>
      <c r="E1214" s="9">
        <v>0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  <c r="O1214" s="9">
        <v>0</v>
      </c>
      <c r="P1214" s="9">
        <v>0</v>
      </c>
      <c r="Q1214" s="9">
        <v>0</v>
      </c>
      <c r="R1214" s="9">
        <v>0</v>
      </c>
      <c r="S1214" s="9">
        <v>0</v>
      </c>
      <c r="T1214" s="9">
        <v>0</v>
      </c>
      <c r="U1214" s="9">
        <v>0</v>
      </c>
    </row>
    <row r="1215" spans="1:21" x14ac:dyDescent="0.2">
      <c r="A1215" t="s">
        <v>861</v>
      </c>
      <c r="B1215">
        <v>550</v>
      </c>
      <c r="C1215">
        <v>1</v>
      </c>
      <c r="D1215" t="s">
        <v>238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0</v>
      </c>
      <c r="O1215" s="9">
        <v>0</v>
      </c>
      <c r="P1215" s="9">
        <v>0</v>
      </c>
      <c r="Q1215" s="9">
        <v>0</v>
      </c>
      <c r="R1215" s="9">
        <v>0</v>
      </c>
      <c r="S1215" s="9">
        <v>0</v>
      </c>
      <c r="T1215" s="9">
        <v>0</v>
      </c>
      <c r="U1215" s="9">
        <v>0</v>
      </c>
    </row>
    <row r="1216" spans="1:21" x14ac:dyDescent="0.2">
      <c r="A1216" t="s">
        <v>861</v>
      </c>
      <c r="B1216">
        <v>553</v>
      </c>
      <c r="C1216">
        <v>1</v>
      </c>
      <c r="D1216" t="s">
        <v>239</v>
      </c>
      <c r="E1216" s="9">
        <v>0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0</v>
      </c>
      <c r="O1216" s="9">
        <v>0</v>
      </c>
      <c r="P1216" s="9">
        <v>0</v>
      </c>
      <c r="Q1216" s="9">
        <v>0</v>
      </c>
      <c r="R1216" s="9">
        <v>0</v>
      </c>
      <c r="S1216" s="9">
        <v>0</v>
      </c>
      <c r="T1216" s="9">
        <v>0</v>
      </c>
      <c r="U1216" s="9">
        <v>0</v>
      </c>
    </row>
    <row r="1217" spans="1:21" x14ac:dyDescent="0.2">
      <c r="A1217" t="s">
        <v>861</v>
      </c>
      <c r="B1217">
        <v>561</v>
      </c>
      <c r="C1217">
        <v>1</v>
      </c>
      <c r="D1217" t="s">
        <v>240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0</v>
      </c>
      <c r="N1217" s="9">
        <v>0</v>
      </c>
      <c r="O1217" s="9">
        <v>0</v>
      </c>
      <c r="P1217" s="9">
        <v>0</v>
      </c>
      <c r="Q1217" s="9">
        <v>0</v>
      </c>
      <c r="R1217" s="9">
        <v>0</v>
      </c>
      <c r="S1217" s="9">
        <v>0</v>
      </c>
      <c r="T1217" s="9">
        <v>0</v>
      </c>
      <c r="U1217" s="9">
        <v>0</v>
      </c>
    </row>
    <row r="1218" spans="1:21" x14ac:dyDescent="0.2">
      <c r="A1218" t="s">
        <v>861</v>
      </c>
      <c r="B1218">
        <v>564</v>
      </c>
      <c r="C1218">
        <v>1</v>
      </c>
      <c r="D1218" t="s">
        <v>241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</row>
    <row r="1219" spans="1:21" x14ac:dyDescent="0.2">
      <c r="A1219" t="s">
        <v>861</v>
      </c>
      <c r="B1219">
        <v>577</v>
      </c>
      <c r="C1219">
        <v>1</v>
      </c>
      <c r="D1219" t="s">
        <v>242</v>
      </c>
      <c r="E1219" s="9">
        <v>0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  <c r="M1219" s="9">
        <v>0</v>
      </c>
      <c r="N1219" s="9">
        <v>0</v>
      </c>
      <c r="O1219" s="9">
        <v>0</v>
      </c>
      <c r="P1219" s="9">
        <v>0</v>
      </c>
      <c r="Q1219" s="9">
        <v>0</v>
      </c>
      <c r="R1219" s="9">
        <v>0</v>
      </c>
      <c r="S1219" s="9">
        <v>0</v>
      </c>
      <c r="T1219" s="9">
        <v>0</v>
      </c>
      <c r="U1219" s="9">
        <v>0</v>
      </c>
    </row>
    <row r="1220" spans="1:21" x14ac:dyDescent="0.2">
      <c r="A1220" t="s">
        <v>861</v>
      </c>
      <c r="B1220">
        <v>578</v>
      </c>
      <c r="C1220">
        <v>1</v>
      </c>
      <c r="D1220" t="s">
        <v>243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0</v>
      </c>
      <c r="O1220" s="9">
        <v>0</v>
      </c>
      <c r="P1220" s="9">
        <v>0</v>
      </c>
      <c r="Q1220" s="9">
        <v>0</v>
      </c>
      <c r="R1220" s="9">
        <v>0</v>
      </c>
      <c r="S1220" s="9">
        <v>0</v>
      </c>
      <c r="T1220" s="9">
        <v>0</v>
      </c>
      <c r="U1220" s="9">
        <v>0</v>
      </c>
    </row>
    <row r="1221" spans="1:21" x14ac:dyDescent="0.2">
      <c r="A1221" t="s">
        <v>861</v>
      </c>
      <c r="B1221">
        <v>581</v>
      </c>
      <c r="C1221">
        <v>1</v>
      </c>
      <c r="D1221" t="s">
        <v>244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9">
        <v>0</v>
      </c>
      <c r="O1221" s="9">
        <v>0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</row>
    <row r="1222" spans="1:21" x14ac:dyDescent="0.2">
      <c r="A1222" t="s">
        <v>861</v>
      </c>
      <c r="B1222">
        <v>584</v>
      </c>
      <c r="C1222">
        <v>1</v>
      </c>
      <c r="D1222" t="s">
        <v>245</v>
      </c>
      <c r="E1222" s="9">
        <v>0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9">
        <v>0</v>
      </c>
      <c r="O1222" s="9">
        <v>0</v>
      </c>
      <c r="P1222" s="9">
        <v>0</v>
      </c>
      <c r="Q1222" s="9">
        <v>0</v>
      </c>
      <c r="R1222" s="9">
        <v>0</v>
      </c>
      <c r="S1222" s="9">
        <v>0</v>
      </c>
      <c r="T1222" s="9">
        <v>0</v>
      </c>
      <c r="U1222" s="9">
        <v>0</v>
      </c>
    </row>
    <row r="1223" spans="1:21" x14ac:dyDescent="0.2">
      <c r="A1223" t="s">
        <v>861</v>
      </c>
      <c r="B1223">
        <v>592</v>
      </c>
      <c r="C1223">
        <v>1</v>
      </c>
      <c r="D1223" t="s">
        <v>246</v>
      </c>
      <c r="E1223" s="9">
        <v>0</v>
      </c>
      <c r="F1223" s="9">
        <v>0</v>
      </c>
      <c r="G1223" s="9">
        <v>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  <c r="M1223" s="9">
        <v>0</v>
      </c>
      <c r="N1223" s="9">
        <v>0</v>
      </c>
      <c r="O1223" s="9">
        <v>0</v>
      </c>
      <c r="P1223" s="9">
        <v>0</v>
      </c>
      <c r="Q1223" s="9">
        <v>0</v>
      </c>
      <c r="R1223" s="9">
        <v>0</v>
      </c>
      <c r="S1223" s="9">
        <v>0</v>
      </c>
      <c r="T1223" s="9">
        <v>0</v>
      </c>
      <c r="U1223" s="9">
        <v>0</v>
      </c>
    </row>
    <row r="1224" spans="1:21" x14ac:dyDescent="0.2">
      <c r="A1224" t="s">
        <v>861</v>
      </c>
      <c r="B1224">
        <v>593</v>
      </c>
      <c r="C1224">
        <v>1</v>
      </c>
      <c r="D1224" t="s">
        <v>247</v>
      </c>
      <c r="E1224" s="9">
        <v>0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0</v>
      </c>
      <c r="O1224" s="9">
        <v>0</v>
      </c>
      <c r="P1224" s="9">
        <v>0</v>
      </c>
      <c r="Q1224" s="9">
        <v>0</v>
      </c>
      <c r="R1224" s="9">
        <v>0</v>
      </c>
      <c r="S1224" s="9">
        <v>0</v>
      </c>
      <c r="T1224" s="9">
        <v>0</v>
      </c>
      <c r="U1224" s="9">
        <v>0</v>
      </c>
    </row>
    <row r="1225" spans="1:21" x14ac:dyDescent="0.2">
      <c r="A1225" t="s">
        <v>861</v>
      </c>
      <c r="B1225">
        <v>595</v>
      </c>
      <c r="C1225">
        <v>1</v>
      </c>
      <c r="D1225" t="s">
        <v>248</v>
      </c>
      <c r="E1225" s="9">
        <v>0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  <c r="O1225" s="9">
        <v>0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</row>
    <row r="1226" spans="1:21" x14ac:dyDescent="0.2">
      <c r="A1226" t="s">
        <v>861</v>
      </c>
      <c r="B1226">
        <v>599</v>
      </c>
      <c r="C1226">
        <v>1</v>
      </c>
      <c r="D1226" t="s">
        <v>249</v>
      </c>
      <c r="E1226" s="9">
        <v>0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  <c r="O1226" s="9">
        <v>0</v>
      </c>
      <c r="P1226" s="9">
        <v>0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</row>
    <row r="1227" spans="1:21" x14ac:dyDescent="0.2">
      <c r="A1227" t="s">
        <v>861</v>
      </c>
      <c r="B1227">
        <v>600</v>
      </c>
      <c r="C1227">
        <v>1</v>
      </c>
      <c r="D1227" t="s">
        <v>250</v>
      </c>
      <c r="E1227" s="9">
        <v>0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</v>
      </c>
      <c r="N1227" s="9">
        <v>0</v>
      </c>
      <c r="O1227" s="9">
        <v>0</v>
      </c>
      <c r="P1227" s="9">
        <v>0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</row>
    <row r="1228" spans="1:21" x14ac:dyDescent="0.2">
      <c r="A1228" t="s">
        <v>861</v>
      </c>
      <c r="B1228">
        <v>601</v>
      </c>
      <c r="C1228">
        <v>1</v>
      </c>
      <c r="D1228" t="s">
        <v>251</v>
      </c>
      <c r="E1228" s="9">
        <v>0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0</v>
      </c>
      <c r="O1228" s="9">
        <v>0</v>
      </c>
      <c r="P1228" s="9">
        <v>0</v>
      </c>
      <c r="Q1228" s="9">
        <v>0</v>
      </c>
      <c r="R1228" s="9">
        <v>0</v>
      </c>
      <c r="S1228" s="9">
        <v>0</v>
      </c>
      <c r="T1228" s="9">
        <v>0</v>
      </c>
      <c r="U1228" s="9">
        <v>0</v>
      </c>
    </row>
    <row r="1229" spans="1:21" x14ac:dyDescent="0.2">
      <c r="A1229" t="s">
        <v>861</v>
      </c>
      <c r="B1229">
        <v>611</v>
      </c>
      <c r="C1229">
        <v>1</v>
      </c>
      <c r="D1229" t="s">
        <v>252</v>
      </c>
      <c r="E1229" s="9">
        <v>0</v>
      </c>
      <c r="F1229" s="9">
        <v>0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0</v>
      </c>
      <c r="N1229" s="9">
        <v>0</v>
      </c>
      <c r="O1229" s="9">
        <v>0</v>
      </c>
      <c r="P1229" s="9">
        <v>0</v>
      </c>
      <c r="Q1229" s="9">
        <v>0</v>
      </c>
      <c r="R1229" s="9">
        <v>0</v>
      </c>
      <c r="S1229" s="9">
        <v>0</v>
      </c>
      <c r="T1229" s="9">
        <v>0</v>
      </c>
      <c r="U1229" s="9">
        <v>0</v>
      </c>
    </row>
    <row r="1230" spans="1:21" x14ac:dyDescent="0.2">
      <c r="A1230" t="s">
        <v>861</v>
      </c>
      <c r="B1230">
        <v>621</v>
      </c>
      <c r="C1230">
        <v>1</v>
      </c>
      <c r="D1230" t="s">
        <v>253</v>
      </c>
      <c r="E1230" s="9">
        <v>0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0</v>
      </c>
      <c r="O1230" s="9">
        <v>0</v>
      </c>
      <c r="P1230" s="9">
        <v>0</v>
      </c>
      <c r="Q1230" s="9">
        <v>0</v>
      </c>
      <c r="R1230" s="9">
        <v>0</v>
      </c>
      <c r="S1230" s="9">
        <v>0</v>
      </c>
      <c r="T1230" s="9">
        <v>0</v>
      </c>
      <c r="U1230" s="9">
        <v>0</v>
      </c>
    </row>
    <row r="1231" spans="1:21" x14ac:dyDescent="0.2">
      <c r="A1231" t="s">
        <v>861</v>
      </c>
      <c r="B1231">
        <v>622</v>
      </c>
      <c r="C1231">
        <v>1</v>
      </c>
      <c r="D1231" t="s">
        <v>254</v>
      </c>
      <c r="E1231" s="9">
        <v>0</v>
      </c>
      <c r="F1231" s="9">
        <v>0</v>
      </c>
      <c r="G1231" s="9">
        <v>0</v>
      </c>
      <c r="H1231" s="9">
        <v>0</v>
      </c>
      <c r="I1231" s="9">
        <v>0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</row>
    <row r="1232" spans="1:21" x14ac:dyDescent="0.2">
      <c r="A1232" t="s">
        <v>861</v>
      </c>
      <c r="B1232">
        <v>623</v>
      </c>
      <c r="C1232">
        <v>1</v>
      </c>
      <c r="D1232" t="s">
        <v>255</v>
      </c>
      <c r="E1232" s="9">
        <v>0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  <c r="O1232" s="9">
        <v>0</v>
      </c>
      <c r="P1232" s="9">
        <v>0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</row>
    <row r="1233" spans="1:21" x14ac:dyDescent="0.2">
      <c r="A1233" t="s">
        <v>861</v>
      </c>
      <c r="B1233">
        <v>624</v>
      </c>
      <c r="C1233">
        <v>1</v>
      </c>
      <c r="D1233" t="s">
        <v>256</v>
      </c>
      <c r="E1233" s="9">
        <v>0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0</v>
      </c>
      <c r="L1233" s="9">
        <v>0</v>
      </c>
      <c r="M1233" s="9">
        <v>0</v>
      </c>
      <c r="N1233" s="9">
        <v>0</v>
      </c>
      <c r="O1233" s="9">
        <v>0</v>
      </c>
      <c r="P1233" s="9">
        <v>0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</row>
    <row r="1234" spans="1:21" x14ac:dyDescent="0.2">
      <c r="A1234" t="s">
        <v>861</v>
      </c>
      <c r="B1234">
        <v>625</v>
      </c>
      <c r="C1234">
        <v>1</v>
      </c>
      <c r="D1234" t="s">
        <v>257</v>
      </c>
      <c r="E1234" s="9">
        <v>0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0</v>
      </c>
      <c r="M1234" s="9">
        <v>0</v>
      </c>
      <c r="N1234" s="9">
        <v>0</v>
      </c>
      <c r="O1234" s="9">
        <v>0</v>
      </c>
      <c r="P1234" s="9">
        <v>0</v>
      </c>
      <c r="Q1234" s="9">
        <v>0</v>
      </c>
      <c r="R1234" s="9">
        <v>0</v>
      </c>
      <c r="S1234" s="9">
        <v>0</v>
      </c>
      <c r="T1234" s="9">
        <v>0</v>
      </c>
      <c r="U1234" s="9">
        <v>0</v>
      </c>
    </row>
    <row r="1235" spans="1:21" x14ac:dyDescent="0.2">
      <c r="A1235" t="s">
        <v>861</v>
      </c>
      <c r="B1235">
        <v>627</v>
      </c>
      <c r="C1235">
        <v>1</v>
      </c>
      <c r="D1235" t="s">
        <v>258</v>
      </c>
      <c r="E1235" s="9">
        <v>0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0</v>
      </c>
      <c r="O1235" s="9">
        <v>0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</row>
    <row r="1236" spans="1:21" x14ac:dyDescent="0.2">
      <c r="A1236" t="s">
        <v>861</v>
      </c>
      <c r="B1236">
        <v>628</v>
      </c>
      <c r="C1236">
        <v>1</v>
      </c>
      <c r="D1236" t="s">
        <v>259</v>
      </c>
      <c r="E1236" s="9">
        <v>0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  <c r="M1236" s="9">
        <v>0</v>
      </c>
      <c r="N1236" s="9">
        <v>0</v>
      </c>
      <c r="O1236" s="9">
        <v>0</v>
      </c>
      <c r="P1236" s="9">
        <v>0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</row>
    <row r="1237" spans="1:21" x14ac:dyDescent="0.2">
      <c r="A1237" t="s">
        <v>861</v>
      </c>
      <c r="B1237">
        <v>630</v>
      </c>
      <c r="C1237">
        <v>1</v>
      </c>
      <c r="D1237" t="s">
        <v>260</v>
      </c>
      <c r="E1237" s="9">
        <v>0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9">
        <v>0</v>
      </c>
      <c r="O1237" s="9">
        <v>0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</row>
    <row r="1238" spans="1:21" x14ac:dyDescent="0.2">
      <c r="A1238" t="s">
        <v>861</v>
      </c>
      <c r="B1238">
        <v>635</v>
      </c>
      <c r="C1238">
        <v>1</v>
      </c>
      <c r="D1238" t="s">
        <v>261</v>
      </c>
      <c r="E1238" s="9">
        <v>0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  <c r="O1238" s="9">
        <v>0</v>
      </c>
      <c r="P1238" s="9">
        <v>0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</row>
    <row r="1239" spans="1:21" x14ac:dyDescent="0.2">
      <c r="A1239" t="s">
        <v>861</v>
      </c>
      <c r="B1239">
        <v>640</v>
      </c>
      <c r="C1239">
        <v>1</v>
      </c>
      <c r="D1239" t="s">
        <v>262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0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</row>
    <row r="1240" spans="1:21" x14ac:dyDescent="0.2">
      <c r="A1240" t="s">
        <v>861</v>
      </c>
      <c r="B1240">
        <v>656</v>
      </c>
      <c r="C1240">
        <v>1</v>
      </c>
      <c r="D1240" t="s">
        <v>263</v>
      </c>
      <c r="E1240" s="9">
        <v>0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</row>
    <row r="1241" spans="1:21" x14ac:dyDescent="0.2">
      <c r="A1241" t="s">
        <v>861</v>
      </c>
      <c r="B1241">
        <v>659</v>
      </c>
      <c r="C1241">
        <v>1</v>
      </c>
      <c r="D1241" t="s">
        <v>264</v>
      </c>
      <c r="E1241" s="9">
        <v>0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</row>
    <row r="1242" spans="1:21" x14ac:dyDescent="0.2">
      <c r="A1242" t="s">
        <v>861</v>
      </c>
      <c r="B1242">
        <v>671</v>
      </c>
      <c r="C1242">
        <v>1</v>
      </c>
      <c r="D1242" t="s">
        <v>265</v>
      </c>
      <c r="E1242" s="9">
        <v>0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0</v>
      </c>
      <c r="O1242" s="9">
        <v>0</v>
      </c>
      <c r="P1242" s="9">
        <v>0</v>
      </c>
      <c r="Q1242" s="9">
        <v>0</v>
      </c>
      <c r="R1242" s="9">
        <v>0</v>
      </c>
      <c r="S1242" s="9">
        <v>0</v>
      </c>
      <c r="T1242" s="9">
        <v>0</v>
      </c>
      <c r="U1242" s="9">
        <v>0</v>
      </c>
    </row>
    <row r="1243" spans="1:21" x14ac:dyDescent="0.2">
      <c r="A1243" t="s">
        <v>861</v>
      </c>
      <c r="B1243">
        <v>676</v>
      </c>
      <c r="C1243">
        <v>1</v>
      </c>
      <c r="D1243" t="s">
        <v>266</v>
      </c>
      <c r="E1243" s="9">
        <v>0</v>
      </c>
      <c r="F1243" s="9">
        <v>0</v>
      </c>
      <c r="G1243" s="9">
        <v>0</v>
      </c>
      <c r="H1243" s="9">
        <v>0</v>
      </c>
      <c r="I1243" s="9">
        <v>1</v>
      </c>
      <c r="J1243" s="9">
        <v>1</v>
      </c>
      <c r="K1243" s="9">
        <v>1</v>
      </c>
      <c r="L1243" s="9">
        <v>1</v>
      </c>
      <c r="M1243" s="9">
        <v>1</v>
      </c>
      <c r="N1243" s="9">
        <v>1</v>
      </c>
      <c r="O1243" s="9">
        <v>1</v>
      </c>
      <c r="P1243" s="9">
        <v>1</v>
      </c>
      <c r="Q1243" s="9">
        <v>1</v>
      </c>
      <c r="R1243" s="9">
        <v>1</v>
      </c>
      <c r="S1243" s="9">
        <v>1</v>
      </c>
      <c r="T1243" s="9">
        <v>1</v>
      </c>
      <c r="U1243" s="9">
        <v>1</v>
      </c>
    </row>
    <row r="1244" spans="1:21" x14ac:dyDescent="0.2">
      <c r="A1244" t="s">
        <v>861</v>
      </c>
      <c r="B1244">
        <v>682</v>
      </c>
      <c r="C1244">
        <v>1</v>
      </c>
      <c r="D1244" t="s">
        <v>267</v>
      </c>
      <c r="E1244" s="9">
        <v>0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P1244" s="9">
        <v>0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</row>
    <row r="1245" spans="1:21" x14ac:dyDescent="0.2">
      <c r="A1245" t="s">
        <v>861</v>
      </c>
      <c r="B1245">
        <v>690</v>
      </c>
      <c r="C1245">
        <v>1</v>
      </c>
      <c r="D1245" t="s">
        <v>268</v>
      </c>
      <c r="E1245" s="9">
        <v>0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0</v>
      </c>
      <c r="O1245" s="9">
        <v>0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</row>
    <row r="1246" spans="1:21" x14ac:dyDescent="0.2">
      <c r="A1246" t="s">
        <v>861</v>
      </c>
      <c r="B1246">
        <v>695</v>
      </c>
      <c r="C1246">
        <v>1</v>
      </c>
      <c r="D1246" t="s">
        <v>269</v>
      </c>
      <c r="E1246" s="9">
        <v>0</v>
      </c>
      <c r="F1246" s="9">
        <v>0</v>
      </c>
      <c r="G1246" s="9">
        <v>0</v>
      </c>
      <c r="H1246" s="9">
        <v>0</v>
      </c>
      <c r="I1246" s="9">
        <v>1</v>
      </c>
      <c r="J1246" s="9">
        <v>1</v>
      </c>
      <c r="K1246" s="9">
        <v>1</v>
      </c>
      <c r="L1246" s="9">
        <v>1</v>
      </c>
      <c r="M1246" s="9">
        <v>1</v>
      </c>
      <c r="N1246" s="9">
        <v>1</v>
      </c>
      <c r="O1246" s="9">
        <v>1</v>
      </c>
      <c r="P1246" s="9">
        <v>1</v>
      </c>
      <c r="Q1246" s="9">
        <v>1</v>
      </c>
      <c r="R1246" s="9">
        <v>1</v>
      </c>
      <c r="S1246" s="9">
        <v>1</v>
      </c>
      <c r="T1246" s="9">
        <v>1</v>
      </c>
      <c r="U1246" s="9">
        <v>1</v>
      </c>
    </row>
    <row r="1247" spans="1:21" x14ac:dyDescent="0.2">
      <c r="A1247" t="s">
        <v>861</v>
      </c>
      <c r="B1247">
        <v>696</v>
      </c>
      <c r="C1247">
        <v>1</v>
      </c>
      <c r="D1247" t="s">
        <v>270</v>
      </c>
      <c r="E1247" s="9">
        <v>0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0</v>
      </c>
      <c r="M1247" s="9">
        <v>0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</row>
    <row r="1248" spans="1:21" x14ac:dyDescent="0.2">
      <c r="A1248" t="s">
        <v>861</v>
      </c>
      <c r="B1248">
        <v>698</v>
      </c>
      <c r="C1248">
        <v>1</v>
      </c>
      <c r="D1248" t="s">
        <v>271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</row>
    <row r="1249" spans="1:21" x14ac:dyDescent="0.2">
      <c r="A1249" t="s">
        <v>861</v>
      </c>
      <c r="B1249">
        <v>700</v>
      </c>
      <c r="C1249">
        <v>1</v>
      </c>
      <c r="D1249" t="s">
        <v>272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0</v>
      </c>
      <c r="M1249" s="9">
        <v>0</v>
      </c>
      <c r="N1249" s="9">
        <v>0</v>
      </c>
      <c r="O1249" s="9">
        <v>0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</row>
    <row r="1250" spans="1:21" x14ac:dyDescent="0.2">
      <c r="A1250" t="s">
        <v>861</v>
      </c>
      <c r="B1250">
        <v>701</v>
      </c>
      <c r="C1250">
        <v>1</v>
      </c>
      <c r="D1250" t="s">
        <v>273</v>
      </c>
      <c r="E1250" s="9">
        <v>0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  <c r="M1250" s="9">
        <v>0</v>
      </c>
      <c r="N1250" s="9">
        <v>0</v>
      </c>
      <c r="O1250" s="9">
        <v>0</v>
      </c>
      <c r="P1250" s="9">
        <v>0</v>
      </c>
      <c r="Q1250" s="9">
        <v>0</v>
      </c>
      <c r="R1250" s="9">
        <v>0</v>
      </c>
      <c r="S1250" s="9">
        <v>0</v>
      </c>
      <c r="T1250" s="9">
        <v>0</v>
      </c>
      <c r="U1250" s="9">
        <v>0</v>
      </c>
    </row>
    <row r="1251" spans="1:21" x14ac:dyDescent="0.2">
      <c r="A1251" t="s">
        <v>861</v>
      </c>
      <c r="B1251">
        <v>704</v>
      </c>
      <c r="C1251">
        <v>1</v>
      </c>
      <c r="D1251" t="s">
        <v>274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</row>
    <row r="1252" spans="1:21" x14ac:dyDescent="0.2">
      <c r="A1252" t="s">
        <v>861</v>
      </c>
      <c r="B1252">
        <v>706</v>
      </c>
      <c r="C1252">
        <v>1</v>
      </c>
      <c r="D1252" t="s">
        <v>275</v>
      </c>
      <c r="E1252" s="9">
        <v>0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0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</row>
    <row r="1253" spans="1:21" x14ac:dyDescent="0.2">
      <c r="A1253" t="s">
        <v>861</v>
      </c>
      <c r="B1253">
        <v>707</v>
      </c>
      <c r="C1253">
        <v>1</v>
      </c>
      <c r="D1253" t="s">
        <v>276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  <c r="M1253" s="9">
        <v>0</v>
      </c>
      <c r="N1253" s="9">
        <v>0</v>
      </c>
      <c r="O1253" s="9">
        <v>0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</row>
    <row r="1254" spans="1:21" x14ac:dyDescent="0.2">
      <c r="A1254" t="s">
        <v>861</v>
      </c>
      <c r="B1254">
        <v>709</v>
      </c>
      <c r="C1254">
        <v>1</v>
      </c>
      <c r="D1254" t="s">
        <v>277</v>
      </c>
      <c r="E1254" s="9">
        <v>0</v>
      </c>
      <c r="F1254" s="9">
        <v>0</v>
      </c>
      <c r="G1254" s="9">
        <v>0</v>
      </c>
      <c r="H1254" s="9">
        <v>0</v>
      </c>
      <c r="I1254" s="9">
        <v>0</v>
      </c>
      <c r="J1254" s="9">
        <v>0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</row>
    <row r="1255" spans="1:21" x14ac:dyDescent="0.2">
      <c r="A1255" t="s">
        <v>861</v>
      </c>
      <c r="B1255">
        <v>712</v>
      </c>
      <c r="C1255">
        <v>1</v>
      </c>
      <c r="D1255" t="s">
        <v>278</v>
      </c>
      <c r="E1255" s="9">
        <v>0</v>
      </c>
      <c r="F1255" s="9">
        <v>0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0</v>
      </c>
      <c r="O1255" s="9">
        <v>0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</row>
    <row r="1256" spans="1:21" x14ac:dyDescent="0.2">
      <c r="A1256" t="s">
        <v>861</v>
      </c>
      <c r="B1256">
        <v>716</v>
      </c>
      <c r="C1256">
        <v>1</v>
      </c>
      <c r="D1256" t="s">
        <v>279</v>
      </c>
      <c r="E1256" s="9">
        <v>0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P1256" s="9">
        <v>0</v>
      </c>
      <c r="Q1256" s="9">
        <v>0</v>
      </c>
      <c r="R1256" s="9">
        <v>0</v>
      </c>
      <c r="S1256" s="9">
        <v>0</v>
      </c>
      <c r="T1256" s="9">
        <v>0</v>
      </c>
      <c r="U1256" s="9">
        <v>0</v>
      </c>
    </row>
    <row r="1257" spans="1:21" x14ac:dyDescent="0.2">
      <c r="A1257" t="s">
        <v>861</v>
      </c>
      <c r="B1257">
        <v>717</v>
      </c>
      <c r="C1257">
        <v>1</v>
      </c>
      <c r="D1257" t="s">
        <v>280</v>
      </c>
      <c r="E1257" s="9">
        <v>0</v>
      </c>
      <c r="F1257" s="9">
        <v>0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0</v>
      </c>
      <c r="N1257" s="9">
        <v>0</v>
      </c>
      <c r="O1257" s="9">
        <v>0</v>
      </c>
      <c r="P1257" s="9">
        <v>0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</row>
    <row r="1258" spans="1:21" x14ac:dyDescent="0.2">
      <c r="A1258" t="s">
        <v>861</v>
      </c>
      <c r="B1258">
        <v>719</v>
      </c>
      <c r="C1258">
        <v>1</v>
      </c>
      <c r="D1258" t="s">
        <v>281</v>
      </c>
      <c r="E1258" s="9">
        <v>0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 s="9">
        <v>0</v>
      </c>
      <c r="T1258" s="9">
        <v>0</v>
      </c>
      <c r="U1258" s="9">
        <v>0</v>
      </c>
    </row>
    <row r="1259" spans="1:21" x14ac:dyDescent="0.2">
      <c r="A1259" t="s">
        <v>861</v>
      </c>
      <c r="B1259">
        <v>720</v>
      </c>
      <c r="C1259">
        <v>1</v>
      </c>
      <c r="D1259" t="s">
        <v>282</v>
      </c>
      <c r="E1259" s="9">
        <v>0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</row>
    <row r="1260" spans="1:21" x14ac:dyDescent="0.2">
      <c r="A1260" t="s">
        <v>861</v>
      </c>
      <c r="B1260">
        <v>721</v>
      </c>
      <c r="C1260">
        <v>1</v>
      </c>
      <c r="D1260" t="s">
        <v>283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0</v>
      </c>
      <c r="Q1260" s="9">
        <v>0</v>
      </c>
      <c r="R1260" s="9">
        <v>0</v>
      </c>
      <c r="S1260" s="9">
        <v>0</v>
      </c>
      <c r="T1260" s="9">
        <v>0</v>
      </c>
      <c r="U1260" s="9">
        <v>0</v>
      </c>
    </row>
    <row r="1261" spans="1:21" x14ac:dyDescent="0.2">
      <c r="A1261" t="s">
        <v>861</v>
      </c>
      <c r="B1261">
        <v>726</v>
      </c>
      <c r="C1261">
        <v>1</v>
      </c>
      <c r="D1261" t="s">
        <v>284</v>
      </c>
      <c r="E1261" s="9">
        <v>0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0</v>
      </c>
      <c r="O1261" s="9">
        <v>0</v>
      </c>
      <c r="P1261" s="9">
        <v>0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</row>
    <row r="1262" spans="1:21" x14ac:dyDescent="0.2">
      <c r="A1262" t="s">
        <v>861</v>
      </c>
      <c r="B1262">
        <v>727</v>
      </c>
      <c r="C1262">
        <v>1</v>
      </c>
      <c r="D1262" t="s">
        <v>285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  <c r="O1262" s="9">
        <v>0</v>
      </c>
      <c r="P1262" s="9">
        <v>0</v>
      </c>
      <c r="Q1262" s="9">
        <v>0</v>
      </c>
      <c r="R1262" s="9">
        <v>0</v>
      </c>
      <c r="S1262" s="9">
        <v>0</v>
      </c>
      <c r="T1262" s="9">
        <v>0</v>
      </c>
      <c r="U1262" s="9">
        <v>0</v>
      </c>
    </row>
    <row r="1263" spans="1:21" x14ac:dyDescent="0.2">
      <c r="A1263" t="s">
        <v>861</v>
      </c>
      <c r="B1263">
        <v>728</v>
      </c>
      <c r="C1263">
        <v>1</v>
      </c>
      <c r="D1263" t="s">
        <v>286</v>
      </c>
      <c r="E1263" s="9">
        <v>0</v>
      </c>
      <c r="F1263" s="9">
        <v>0</v>
      </c>
      <c r="G1263" s="9">
        <v>0</v>
      </c>
      <c r="H1263" s="9">
        <v>0</v>
      </c>
      <c r="I1263" s="9">
        <v>0</v>
      </c>
      <c r="J1263" s="9">
        <v>0</v>
      </c>
      <c r="K1263" s="9">
        <v>0</v>
      </c>
      <c r="L1263" s="9">
        <v>0</v>
      </c>
      <c r="M1263" s="9">
        <v>0</v>
      </c>
      <c r="N1263" s="9">
        <v>0</v>
      </c>
      <c r="O1263" s="9">
        <v>0</v>
      </c>
      <c r="P1263" s="9">
        <v>0</v>
      </c>
      <c r="Q1263" s="9">
        <v>0</v>
      </c>
      <c r="R1263" s="9">
        <v>0</v>
      </c>
      <c r="S1263" s="9">
        <v>0</v>
      </c>
      <c r="T1263" s="9">
        <v>0</v>
      </c>
      <c r="U1263" s="9">
        <v>0</v>
      </c>
    </row>
    <row r="1264" spans="1:21" x14ac:dyDescent="0.2">
      <c r="A1264" t="s">
        <v>861</v>
      </c>
      <c r="B1264">
        <v>738</v>
      </c>
      <c r="C1264">
        <v>1</v>
      </c>
      <c r="D1264" t="s">
        <v>287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0</v>
      </c>
      <c r="N1264" s="9">
        <v>0</v>
      </c>
      <c r="O1264" s="9">
        <v>0</v>
      </c>
      <c r="P1264" s="9">
        <v>0</v>
      </c>
      <c r="Q1264" s="9">
        <v>0</v>
      </c>
      <c r="R1264" s="9">
        <v>0</v>
      </c>
      <c r="S1264" s="9">
        <v>0</v>
      </c>
      <c r="T1264" s="9">
        <v>0</v>
      </c>
      <c r="U1264" s="9">
        <v>0</v>
      </c>
    </row>
    <row r="1265" spans="1:21" x14ac:dyDescent="0.2">
      <c r="A1265" t="s">
        <v>861</v>
      </c>
      <c r="B1265">
        <v>739</v>
      </c>
      <c r="C1265">
        <v>1</v>
      </c>
      <c r="D1265" t="s">
        <v>288</v>
      </c>
      <c r="E1265" s="9">
        <v>0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0</v>
      </c>
      <c r="N1265" s="9">
        <v>0</v>
      </c>
      <c r="O1265" s="9">
        <v>0</v>
      </c>
      <c r="P1265" s="9">
        <v>0</v>
      </c>
      <c r="Q1265" s="9">
        <v>0</v>
      </c>
      <c r="R1265" s="9">
        <v>0</v>
      </c>
      <c r="S1265" s="9">
        <v>0</v>
      </c>
      <c r="T1265" s="9">
        <v>0</v>
      </c>
      <c r="U1265" s="9">
        <v>0</v>
      </c>
    </row>
    <row r="1266" spans="1:21" x14ac:dyDescent="0.2">
      <c r="A1266" t="s">
        <v>861</v>
      </c>
      <c r="B1266">
        <v>740</v>
      </c>
      <c r="C1266">
        <v>1</v>
      </c>
      <c r="D1266" t="s">
        <v>289</v>
      </c>
      <c r="E1266" s="9">
        <v>0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0</v>
      </c>
      <c r="O1266" s="9">
        <v>0</v>
      </c>
      <c r="P1266" s="9">
        <v>0</v>
      </c>
      <c r="Q1266" s="9">
        <v>0</v>
      </c>
      <c r="R1266" s="9">
        <v>0</v>
      </c>
      <c r="S1266" s="9">
        <v>0</v>
      </c>
      <c r="T1266" s="9">
        <v>0</v>
      </c>
      <c r="U1266" s="9">
        <v>0</v>
      </c>
    </row>
    <row r="1267" spans="1:21" x14ac:dyDescent="0.2">
      <c r="A1267" t="s">
        <v>861</v>
      </c>
      <c r="B1267">
        <v>741</v>
      </c>
      <c r="C1267">
        <v>1</v>
      </c>
      <c r="D1267" t="s">
        <v>290</v>
      </c>
      <c r="E1267" s="9">
        <v>0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0</v>
      </c>
      <c r="O1267" s="9">
        <v>0</v>
      </c>
      <c r="P1267" s="9">
        <v>0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</row>
    <row r="1268" spans="1:21" x14ac:dyDescent="0.2">
      <c r="A1268" t="s">
        <v>861</v>
      </c>
      <c r="B1268">
        <v>742</v>
      </c>
      <c r="C1268">
        <v>1</v>
      </c>
      <c r="D1268" t="s">
        <v>291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0</v>
      </c>
      <c r="N1268" s="9">
        <v>0</v>
      </c>
      <c r="O1268" s="9">
        <v>0</v>
      </c>
      <c r="P1268" s="9">
        <v>0</v>
      </c>
      <c r="Q1268" s="9">
        <v>0</v>
      </c>
      <c r="R1268" s="9">
        <v>0</v>
      </c>
      <c r="S1268" s="9">
        <v>0</v>
      </c>
      <c r="T1268" s="9">
        <v>0</v>
      </c>
      <c r="U1268" s="9">
        <v>0</v>
      </c>
    </row>
    <row r="1269" spans="1:21" x14ac:dyDescent="0.2">
      <c r="A1269" t="s">
        <v>861</v>
      </c>
      <c r="B1269">
        <v>743</v>
      </c>
      <c r="C1269">
        <v>1</v>
      </c>
      <c r="D1269" t="s">
        <v>292</v>
      </c>
      <c r="E1269" s="9">
        <v>0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0</v>
      </c>
      <c r="O1269" s="9">
        <v>0</v>
      </c>
      <c r="P1269" s="9">
        <v>0</v>
      </c>
      <c r="Q1269" s="9">
        <v>0</v>
      </c>
      <c r="R1269" s="9">
        <v>0</v>
      </c>
      <c r="S1269" s="9">
        <v>0</v>
      </c>
      <c r="T1269" s="9">
        <v>0</v>
      </c>
      <c r="U1269" s="9">
        <v>0</v>
      </c>
    </row>
    <row r="1270" spans="1:21" x14ac:dyDescent="0.2">
      <c r="A1270" t="s">
        <v>861</v>
      </c>
      <c r="B1270">
        <v>745</v>
      </c>
      <c r="C1270">
        <v>1</v>
      </c>
      <c r="D1270" t="s">
        <v>293</v>
      </c>
      <c r="E1270" s="9">
        <v>0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9">
        <v>0</v>
      </c>
      <c r="O1270" s="9">
        <v>0</v>
      </c>
      <c r="P1270" s="9">
        <v>0</v>
      </c>
      <c r="Q1270" s="9">
        <v>0</v>
      </c>
      <c r="R1270" s="9">
        <v>0</v>
      </c>
      <c r="S1270" s="9">
        <v>0</v>
      </c>
      <c r="T1270" s="9">
        <v>0</v>
      </c>
      <c r="U1270" s="9">
        <v>0</v>
      </c>
    </row>
    <row r="1271" spans="1:21" x14ac:dyDescent="0.2">
      <c r="A1271" t="s">
        <v>861</v>
      </c>
      <c r="B1271">
        <v>748</v>
      </c>
      <c r="C1271">
        <v>1</v>
      </c>
      <c r="D1271" t="s">
        <v>294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0</v>
      </c>
      <c r="O1271" s="9">
        <v>0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</row>
    <row r="1272" spans="1:21" x14ac:dyDescent="0.2">
      <c r="A1272" t="s">
        <v>861</v>
      </c>
      <c r="B1272">
        <v>750</v>
      </c>
      <c r="C1272">
        <v>1</v>
      </c>
      <c r="D1272" t="s">
        <v>295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0</v>
      </c>
      <c r="O1272" s="9">
        <v>0</v>
      </c>
      <c r="P1272" s="9">
        <v>0</v>
      </c>
      <c r="Q1272" s="9">
        <v>0</v>
      </c>
      <c r="R1272" s="9">
        <v>0</v>
      </c>
      <c r="S1272" s="9">
        <v>0</v>
      </c>
      <c r="T1272" s="9">
        <v>0</v>
      </c>
      <c r="U1272" s="9">
        <v>0</v>
      </c>
    </row>
    <row r="1273" spans="1:21" x14ac:dyDescent="0.2">
      <c r="A1273" t="s">
        <v>861</v>
      </c>
      <c r="B1273">
        <v>756</v>
      </c>
      <c r="C1273">
        <v>1</v>
      </c>
      <c r="D1273" t="s">
        <v>296</v>
      </c>
      <c r="E1273" s="9">
        <v>0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0</v>
      </c>
      <c r="O1273" s="9">
        <v>0</v>
      </c>
      <c r="P1273" s="9">
        <v>0</v>
      </c>
      <c r="Q1273" s="9">
        <v>0</v>
      </c>
      <c r="R1273" s="9">
        <v>0</v>
      </c>
      <c r="S1273" s="9">
        <v>0</v>
      </c>
      <c r="T1273" s="9">
        <v>0</v>
      </c>
      <c r="U1273" s="9">
        <v>0</v>
      </c>
    </row>
    <row r="1274" spans="1:21" x14ac:dyDescent="0.2">
      <c r="A1274" t="s">
        <v>861</v>
      </c>
      <c r="B1274">
        <v>761</v>
      </c>
      <c r="C1274">
        <v>1</v>
      </c>
      <c r="D1274" t="s">
        <v>297</v>
      </c>
      <c r="E1274" s="9">
        <v>0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  <c r="O1274" s="9">
        <v>0</v>
      </c>
      <c r="P1274" s="9">
        <v>0</v>
      </c>
      <c r="Q1274" s="9">
        <v>0</v>
      </c>
      <c r="R1274" s="9">
        <v>0</v>
      </c>
      <c r="S1274" s="9">
        <v>0</v>
      </c>
      <c r="T1274" s="9">
        <v>0</v>
      </c>
      <c r="U1274" s="9">
        <v>0</v>
      </c>
    </row>
    <row r="1275" spans="1:21" x14ac:dyDescent="0.2">
      <c r="A1275" t="s">
        <v>861</v>
      </c>
      <c r="B1275">
        <v>763</v>
      </c>
      <c r="C1275">
        <v>1</v>
      </c>
      <c r="D1275" t="s">
        <v>298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0</v>
      </c>
      <c r="O1275" s="9">
        <v>0</v>
      </c>
      <c r="P1275" s="9">
        <v>0</v>
      </c>
      <c r="Q1275" s="9">
        <v>0</v>
      </c>
      <c r="R1275" s="9">
        <v>0</v>
      </c>
      <c r="S1275" s="9">
        <v>0</v>
      </c>
      <c r="T1275" s="9">
        <v>0</v>
      </c>
      <c r="U1275" s="9">
        <v>0</v>
      </c>
    </row>
    <row r="1276" spans="1:21" x14ac:dyDescent="0.2">
      <c r="A1276" t="s">
        <v>861</v>
      </c>
      <c r="B1276">
        <v>768</v>
      </c>
      <c r="C1276">
        <v>1</v>
      </c>
      <c r="D1276" t="s">
        <v>299</v>
      </c>
      <c r="E1276" s="9">
        <v>0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0</v>
      </c>
      <c r="O1276" s="9">
        <v>0</v>
      </c>
      <c r="P1276" s="9">
        <v>0</v>
      </c>
      <c r="Q1276" s="9">
        <v>0</v>
      </c>
      <c r="R1276" s="9">
        <v>0</v>
      </c>
      <c r="S1276" s="9">
        <v>0</v>
      </c>
      <c r="T1276" s="9">
        <v>0</v>
      </c>
      <c r="U1276" s="9">
        <v>0</v>
      </c>
    </row>
    <row r="1277" spans="1:21" x14ac:dyDescent="0.2">
      <c r="A1277" t="s">
        <v>861</v>
      </c>
      <c r="B1277">
        <v>769</v>
      </c>
      <c r="C1277">
        <v>1</v>
      </c>
      <c r="D1277" t="s">
        <v>300</v>
      </c>
      <c r="E1277" s="9">
        <v>0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  <c r="M1277" s="9">
        <v>0</v>
      </c>
      <c r="N1277" s="9">
        <v>0</v>
      </c>
      <c r="O1277" s="9">
        <v>0</v>
      </c>
      <c r="P1277" s="9">
        <v>0</v>
      </c>
      <c r="Q1277" s="9">
        <v>0</v>
      </c>
      <c r="R1277" s="9">
        <v>0</v>
      </c>
      <c r="S1277" s="9">
        <v>0</v>
      </c>
      <c r="T1277" s="9">
        <v>0</v>
      </c>
      <c r="U1277" s="9">
        <v>0</v>
      </c>
    </row>
    <row r="1278" spans="1:21" x14ac:dyDescent="0.2">
      <c r="A1278" t="s">
        <v>861</v>
      </c>
      <c r="B1278">
        <v>771</v>
      </c>
      <c r="C1278">
        <v>1</v>
      </c>
      <c r="D1278" t="s">
        <v>301</v>
      </c>
      <c r="E1278" s="9">
        <v>0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0</v>
      </c>
      <c r="N1278" s="9">
        <v>0</v>
      </c>
      <c r="O1278" s="9">
        <v>0</v>
      </c>
      <c r="P1278" s="9">
        <v>0</v>
      </c>
      <c r="Q1278" s="9">
        <v>0</v>
      </c>
      <c r="R1278" s="9">
        <v>0</v>
      </c>
      <c r="S1278" s="9">
        <v>0</v>
      </c>
      <c r="T1278" s="9">
        <v>0</v>
      </c>
      <c r="U1278" s="9">
        <v>0</v>
      </c>
    </row>
    <row r="1279" spans="1:21" x14ac:dyDescent="0.2">
      <c r="A1279" t="s">
        <v>861</v>
      </c>
      <c r="B1279">
        <v>775</v>
      </c>
      <c r="C1279">
        <v>1</v>
      </c>
      <c r="D1279" t="s">
        <v>302</v>
      </c>
      <c r="E1279" s="9">
        <v>0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  <c r="M1279" s="9">
        <v>0</v>
      </c>
      <c r="N1279" s="9">
        <v>0</v>
      </c>
      <c r="O1279" s="9">
        <v>0</v>
      </c>
      <c r="P1279" s="9">
        <v>0</v>
      </c>
      <c r="Q1279" s="9">
        <v>0</v>
      </c>
      <c r="R1279" s="9">
        <v>0</v>
      </c>
      <c r="S1279" s="9">
        <v>0</v>
      </c>
      <c r="T1279" s="9">
        <v>0</v>
      </c>
      <c r="U1279" s="9">
        <v>0</v>
      </c>
    </row>
    <row r="1280" spans="1:21" x14ac:dyDescent="0.2">
      <c r="A1280" t="s">
        <v>861</v>
      </c>
      <c r="B1280">
        <v>777</v>
      </c>
      <c r="C1280">
        <v>1</v>
      </c>
      <c r="D1280" t="s">
        <v>303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0</v>
      </c>
      <c r="M1280" s="9">
        <v>0</v>
      </c>
      <c r="N1280" s="9">
        <v>0</v>
      </c>
      <c r="O1280" s="9">
        <v>0</v>
      </c>
      <c r="P1280" s="9">
        <v>0</v>
      </c>
      <c r="Q1280" s="9">
        <v>0</v>
      </c>
      <c r="R1280" s="9">
        <v>0</v>
      </c>
      <c r="S1280" s="9">
        <v>0</v>
      </c>
      <c r="T1280" s="9">
        <v>0</v>
      </c>
      <c r="U1280" s="9">
        <v>0</v>
      </c>
    </row>
    <row r="1281" spans="1:21" x14ac:dyDescent="0.2">
      <c r="A1281" t="s">
        <v>861</v>
      </c>
      <c r="B1281">
        <v>786</v>
      </c>
      <c r="C1281">
        <v>1</v>
      </c>
      <c r="D1281" t="s">
        <v>304</v>
      </c>
      <c r="E1281" s="9">
        <v>0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0</v>
      </c>
      <c r="M1281" s="9">
        <v>0</v>
      </c>
      <c r="N1281" s="9">
        <v>0</v>
      </c>
      <c r="O1281" s="9">
        <v>0</v>
      </c>
      <c r="P1281" s="9">
        <v>0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</row>
    <row r="1282" spans="1:21" x14ac:dyDescent="0.2">
      <c r="A1282" t="s">
        <v>861</v>
      </c>
      <c r="B1282">
        <v>787</v>
      </c>
      <c r="C1282">
        <v>1</v>
      </c>
      <c r="D1282" t="s">
        <v>305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9">
        <v>0</v>
      </c>
      <c r="O1282" s="9">
        <v>0</v>
      </c>
      <c r="P1282" s="9">
        <v>0</v>
      </c>
      <c r="Q1282" s="9">
        <v>0</v>
      </c>
      <c r="R1282" s="9">
        <v>0</v>
      </c>
      <c r="S1282" s="9">
        <v>0</v>
      </c>
      <c r="T1282" s="9">
        <v>0</v>
      </c>
      <c r="U1282" s="9">
        <v>0</v>
      </c>
    </row>
    <row r="1283" spans="1:21" x14ac:dyDescent="0.2">
      <c r="A1283" t="s">
        <v>861</v>
      </c>
      <c r="B1283">
        <v>801</v>
      </c>
      <c r="C1283">
        <v>1</v>
      </c>
      <c r="D1283" t="s">
        <v>306</v>
      </c>
      <c r="E1283" s="9">
        <v>0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0</v>
      </c>
      <c r="M1283" s="9">
        <v>0</v>
      </c>
      <c r="N1283" s="9">
        <v>0</v>
      </c>
      <c r="O1283" s="9">
        <v>0</v>
      </c>
      <c r="P1283" s="9">
        <v>0</v>
      </c>
      <c r="Q1283" s="9">
        <v>0</v>
      </c>
      <c r="R1283" s="9">
        <v>0</v>
      </c>
      <c r="S1283" s="9">
        <v>0</v>
      </c>
      <c r="T1283" s="9">
        <v>0</v>
      </c>
      <c r="U1283" s="9">
        <v>0</v>
      </c>
    </row>
    <row r="1284" spans="1:21" x14ac:dyDescent="0.2">
      <c r="A1284" t="s">
        <v>861</v>
      </c>
      <c r="B1284">
        <v>803</v>
      </c>
      <c r="C1284">
        <v>1</v>
      </c>
      <c r="D1284" t="s">
        <v>307</v>
      </c>
      <c r="E1284" s="9">
        <v>0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0</v>
      </c>
      <c r="M1284" s="9">
        <v>0</v>
      </c>
      <c r="N1284" s="9">
        <v>0</v>
      </c>
      <c r="O1284" s="9">
        <v>0</v>
      </c>
      <c r="P1284" s="9">
        <v>0</v>
      </c>
      <c r="Q1284" s="9">
        <v>0</v>
      </c>
      <c r="R1284" s="9">
        <v>0</v>
      </c>
      <c r="S1284" s="9">
        <v>0</v>
      </c>
      <c r="T1284" s="9">
        <v>0</v>
      </c>
      <c r="U1284" s="9">
        <v>0</v>
      </c>
    </row>
    <row r="1285" spans="1:21" x14ac:dyDescent="0.2">
      <c r="A1285" t="s">
        <v>861</v>
      </c>
      <c r="B1285">
        <v>806</v>
      </c>
      <c r="C1285">
        <v>1</v>
      </c>
      <c r="D1285" t="s">
        <v>308</v>
      </c>
      <c r="E1285" s="9">
        <v>0</v>
      </c>
      <c r="F1285" s="9">
        <v>0</v>
      </c>
      <c r="G1285" s="9">
        <v>0</v>
      </c>
      <c r="H1285" s="9">
        <v>0</v>
      </c>
      <c r="I1285" s="9">
        <v>0</v>
      </c>
      <c r="J1285" s="9">
        <v>0</v>
      </c>
      <c r="K1285" s="9">
        <v>0</v>
      </c>
      <c r="L1285" s="9">
        <v>0</v>
      </c>
      <c r="M1285" s="9">
        <v>0</v>
      </c>
      <c r="N1285" s="9">
        <v>0</v>
      </c>
      <c r="O1285" s="9">
        <v>0</v>
      </c>
      <c r="P1285" s="9">
        <v>0</v>
      </c>
      <c r="Q1285" s="9">
        <v>0</v>
      </c>
      <c r="R1285" s="9">
        <v>0</v>
      </c>
      <c r="S1285" s="9">
        <v>0</v>
      </c>
      <c r="T1285" s="9">
        <v>0</v>
      </c>
      <c r="U1285" s="9">
        <v>0</v>
      </c>
    </row>
    <row r="1286" spans="1:21" x14ac:dyDescent="0.2">
      <c r="A1286" t="s">
        <v>861</v>
      </c>
      <c r="B1286">
        <v>810</v>
      </c>
      <c r="C1286">
        <v>1</v>
      </c>
      <c r="D1286" t="s">
        <v>309</v>
      </c>
      <c r="E1286" s="9">
        <v>0</v>
      </c>
      <c r="F1286" s="9">
        <v>0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9">
        <v>0</v>
      </c>
      <c r="O1286" s="9">
        <v>0</v>
      </c>
      <c r="P1286" s="9">
        <v>0</v>
      </c>
      <c r="Q1286" s="9">
        <v>0</v>
      </c>
      <c r="R1286" s="9">
        <v>0</v>
      </c>
      <c r="S1286" s="9">
        <v>0</v>
      </c>
      <c r="T1286" s="9">
        <v>0</v>
      </c>
      <c r="U1286" s="9">
        <v>0</v>
      </c>
    </row>
    <row r="1287" spans="1:21" x14ac:dyDescent="0.2">
      <c r="A1287" t="s">
        <v>861</v>
      </c>
      <c r="B1287">
        <v>811</v>
      </c>
      <c r="C1287">
        <v>1</v>
      </c>
      <c r="D1287" t="s">
        <v>310</v>
      </c>
      <c r="E1287" s="9">
        <v>0</v>
      </c>
      <c r="F1287" s="9">
        <v>0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  <c r="O1287" s="9">
        <v>0</v>
      </c>
      <c r="P1287" s="9">
        <v>0</v>
      </c>
      <c r="Q1287" s="9">
        <v>0</v>
      </c>
      <c r="R1287" s="9">
        <v>0</v>
      </c>
      <c r="S1287" s="9">
        <v>0</v>
      </c>
      <c r="T1287" s="9">
        <v>0</v>
      </c>
      <c r="U1287" s="9">
        <v>0</v>
      </c>
    </row>
    <row r="1288" spans="1:21" x14ac:dyDescent="0.2">
      <c r="A1288" t="s">
        <v>861</v>
      </c>
      <c r="B1288">
        <v>813</v>
      </c>
      <c r="C1288">
        <v>1</v>
      </c>
      <c r="D1288" t="s">
        <v>311</v>
      </c>
      <c r="E1288" s="9">
        <v>0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0</v>
      </c>
      <c r="N1288" s="9">
        <v>0</v>
      </c>
      <c r="O1288" s="9">
        <v>0</v>
      </c>
      <c r="P1288" s="9">
        <v>0</v>
      </c>
      <c r="Q1288" s="9">
        <v>0</v>
      </c>
      <c r="R1288" s="9">
        <v>0</v>
      </c>
      <c r="S1288" s="9">
        <v>0</v>
      </c>
      <c r="T1288" s="9">
        <v>0</v>
      </c>
      <c r="U1288" s="9">
        <v>0</v>
      </c>
    </row>
    <row r="1289" spans="1:21" x14ac:dyDescent="0.2">
      <c r="A1289" t="s">
        <v>861</v>
      </c>
      <c r="B1289">
        <v>815</v>
      </c>
      <c r="C1289">
        <v>2</v>
      </c>
      <c r="D1289" t="s">
        <v>312</v>
      </c>
      <c r="E1289" s="9">
        <v>0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0</v>
      </c>
      <c r="O1289" s="9">
        <v>0</v>
      </c>
      <c r="P1289" s="9">
        <v>0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</row>
    <row r="1290" spans="1:21" x14ac:dyDescent="0.2">
      <c r="A1290" t="s">
        <v>861</v>
      </c>
      <c r="B1290">
        <v>818</v>
      </c>
      <c r="C1290">
        <v>1</v>
      </c>
      <c r="D1290" t="s">
        <v>313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9">
        <v>0</v>
      </c>
      <c r="O1290" s="9">
        <v>0</v>
      </c>
      <c r="P1290" s="9">
        <v>0</v>
      </c>
      <c r="Q1290" s="9">
        <v>0</v>
      </c>
      <c r="R1290" s="9">
        <v>0</v>
      </c>
      <c r="S1290" s="9">
        <v>0</v>
      </c>
      <c r="T1290" s="9">
        <v>0</v>
      </c>
      <c r="U1290" s="9">
        <v>0</v>
      </c>
    </row>
    <row r="1291" spans="1:21" x14ac:dyDescent="0.2">
      <c r="A1291" t="s">
        <v>861</v>
      </c>
      <c r="B1291">
        <v>820</v>
      </c>
      <c r="C1291">
        <v>1</v>
      </c>
      <c r="D1291" t="s">
        <v>314</v>
      </c>
      <c r="E1291" s="9">
        <v>0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0</v>
      </c>
      <c r="M1291" s="9">
        <v>0</v>
      </c>
      <c r="N1291" s="9">
        <v>0</v>
      </c>
      <c r="O1291" s="9">
        <v>0</v>
      </c>
      <c r="P1291" s="9">
        <v>0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</row>
    <row r="1292" spans="1:21" x14ac:dyDescent="0.2">
      <c r="A1292" t="s">
        <v>861</v>
      </c>
      <c r="B1292">
        <v>821</v>
      </c>
      <c r="C1292">
        <v>1</v>
      </c>
      <c r="D1292" t="s">
        <v>315</v>
      </c>
      <c r="E1292" s="9">
        <v>0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0</v>
      </c>
      <c r="N1292" s="9">
        <v>0</v>
      </c>
      <c r="O1292" s="9">
        <v>0</v>
      </c>
      <c r="P1292" s="9">
        <v>0</v>
      </c>
      <c r="Q1292" s="9">
        <v>0</v>
      </c>
      <c r="R1292" s="9">
        <v>0</v>
      </c>
      <c r="S1292" s="9">
        <v>0</v>
      </c>
      <c r="T1292" s="9">
        <v>0</v>
      </c>
      <c r="U1292" s="9">
        <v>0</v>
      </c>
    </row>
    <row r="1293" spans="1:21" x14ac:dyDescent="0.2">
      <c r="A1293" t="s">
        <v>861</v>
      </c>
      <c r="B1293">
        <v>829</v>
      </c>
      <c r="C1293">
        <v>1</v>
      </c>
      <c r="D1293" t="s">
        <v>316</v>
      </c>
      <c r="E1293" s="9">
        <v>0</v>
      </c>
      <c r="F1293" s="9">
        <v>0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0</v>
      </c>
      <c r="M1293" s="9">
        <v>0</v>
      </c>
      <c r="N1293" s="9">
        <v>0</v>
      </c>
      <c r="O1293" s="9">
        <v>0</v>
      </c>
      <c r="P1293" s="9">
        <v>0</v>
      </c>
      <c r="Q1293" s="9">
        <v>0</v>
      </c>
      <c r="R1293" s="9">
        <v>0</v>
      </c>
      <c r="S1293" s="9">
        <v>0</v>
      </c>
      <c r="T1293" s="9">
        <v>0</v>
      </c>
      <c r="U1293" s="9">
        <v>0</v>
      </c>
    </row>
    <row r="1294" spans="1:21" x14ac:dyDescent="0.2">
      <c r="A1294" t="s">
        <v>861</v>
      </c>
      <c r="B1294">
        <v>831</v>
      </c>
      <c r="C1294">
        <v>1</v>
      </c>
      <c r="D1294" t="s">
        <v>317</v>
      </c>
      <c r="E1294" s="9">
        <v>0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0</v>
      </c>
      <c r="N1294" s="9">
        <v>0</v>
      </c>
      <c r="O1294" s="9">
        <v>0</v>
      </c>
      <c r="P1294" s="9">
        <v>0</v>
      </c>
      <c r="Q1294" s="9">
        <v>0</v>
      </c>
      <c r="R1294" s="9">
        <v>0</v>
      </c>
      <c r="S1294" s="9">
        <v>0</v>
      </c>
      <c r="T1294" s="9">
        <v>0</v>
      </c>
      <c r="U1294" s="9">
        <v>0</v>
      </c>
    </row>
    <row r="1295" spans="1:21" x14ac:dyDescent="0.2">
      <c r="A1295" t="s">
        <v>861</v>
      </c>
      <c r="B1295">
        <v>832</v>
      </c>
      <c r="C1295">
        <v>1</v>
      </c>
      <c r="D1295" t="s">
        <v>318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  <c r="M1295" s="9">
        <v>0</v>
      </c>
      <c r="N1295" s="9">
        <v>0</v>
      </c>
      <c r="O1295" s="9">
        <v>0</v>
      </c>
      <c r="P1295" s="9">
        <v>0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</row>
    <row r="1296" spans="1:21" x14ac:dyDescent="0.2">
      <c r="A1296" t="s">
        <v>861</v>
      </c>
      <c r="B1296">
        <v>833</v>
      </c>
      <c r="C1296">
        <v>1</v>
      </c>
      <c r="D1296" t="s">
        <v>319</v>
      </c>
      <c r="E1296" s="9">
        <v>0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  <c r="M1296" s="9">
        <v>0</v>
      </c>
      <c r="N1296" s="9">
        <v>0</v>
      </c>
      <c r="O1296" s="9">
        <v>0</v>
      </c>
      <c r="P1296" s="9">
        <v>0</v>
      </c>
      <c r="Q1296" s="9">
        <v>0</v>
      </c>
      <c r="R1296" s="9">
        <v>0</v>
      </c>
      <c r="S1296" s="9">
        <v>0</v>
      </c>
      <c r="T1296" s="9">
        <v>0</v>
      </c>
      <c r="U1296" s="9">
        <v>0</v>
      </c>
    </row>
    <row r="1297" spans="1:21" x14ac:dyDescent="0.2">
      <c r="A1297" t="s">
        <v>861</v>
      </c>
      <c r="B1297">
        <v>834</v>
      </c>
      <c r="C1297">
        <v>1</v>
      </c>
      <c r="D1297" t="s">
        <v>320</v>
      </c>
      <c r="E1297" s="9">
        <v>0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0</v>
      </c>
      <c r="N1297" s="9">
        <v>0</v>
      </c>
      <c r="O1297" s="9">
        <v>0</v>
      </c>
      <c r="P1297" s="9">
        <v>0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</row>
    <row r="1298" spans="1:21" x14ac:dyDescent="0.2">
      <c r="A1298" t="s">
        <v>861</v>
      </c>
      <c r="B1298">
        <v>836</v>
      </c>
      <c r="C1298">
        <v>1</v>
      </c>
      <c r="D1298" t="s">
        <v>321</v>
      </c>
      <c r="E1298" s="9">
        <v>0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0</v>
      </c>
      <c r="O1298" s="9">
        <v>0</v>
      </c>
      <c r="P1298" s="9">
        <v>0</v>
      </c>
      <c r="Q1298" s="9">
        <v>0</v>
      </c>
      <c r="R1298" s="9">
        <v>0</v>
      </c>
      <c r="S1298" s="9">
        <v>0</v>
      </c>
      <c r="T1298" s="9">
        <v>0</v>
      </c>
      <c r="U1298" s="9">
        <v>0</v>
      </c>
    </row>
    <row r="1299" spans="1:21" x14ac:dyDescent="0.2">
      <c r="A1299" t="s">
        <v>861</v>
      </c>
      <c r="B1299">
        <v>837</v>
      </c>
      <c r="C1299">
        <v>1</v>
      </c>
      <c r="D1299" t="s">
        <v>322</v>
      </c>
      <c r="E1299" s="9">
        <v>0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  <c r="M1299" s="9">
        <v>0</v>
      </c>
      <c r="N1299" s="9">
        <v>0</v>
      </c>
      <c r="O1299" s="9">
        <v>0</v>
      </c>
      <c r="P1299" s="9">
        <v>0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</row>
    <row r="1300" spans="1:21" x14ac:dyDescent="0.2">
      <c r="A1300" t="s">
        <v>861</v>
      </c>
      <c r="B1300">
        <v>840</v>
      </c>
      <c r="C1300">
        <v>1</v>
      </c>
      <c r="D1300" t="s">
        <v>323</v>
      </c>
      <c r="E1300" s="9">
        <v>0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0</v>
      </c>
      <c r="N1300" s="9">
        <v>0</v>
      </c>
      <c r="O1300" s="9">
        <v>0</v>
      </c>
      <c r="P1300" s="9">
        <v>0</v>
      </c>
      <c r="Q1300" s="9">
        <v>0</v>
      </c>
      <c r="R1300" s="9">
        <v>0</v>
      </c>
      <c r="S1300" s="9">
        <v>0</v>
      </c>
      <c r="T1300" s="9">
        <v>0</v>
      </c>
      <c r="U1300" s="9">
        <v>0</v>
      </c>
    </row>
    <row r="1301" spans="1:21" x14ac:dyDescent="0.2">
      <c r="A1301" t="s">
        <v>861</v>
      </c>
      <c r="B1301">
        <v>846</v>
      </c>
      <c r="C1301">
        <v>1</v>
      </c>
      <c r="D1301" t="s">
        <v>324</v>
      </c>
      <c r="E1301" s="9">
        <v>0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0</v>
      </c>
      <c r="N1301" s="9">
        <v>0</v>
      </c>
      <c r="O1301" s="9">
        <v>0</v>
      </c>
      <c r="P1301" s="9">
        <v>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</row>
    <row r="1302" spans="1:21" x14ac:dyDescent="0.2">
      <c r="A1302" t="s">
        <v>861</v>
      </c>
      <c r="B1302">
        <v>850</v>
      </c>
      <c r="C1302">
        <v>1</v>
      </c>
      <c r="D1302" t="s">
        <v>325</v>
      </c>
      <c r="E1302" s="9">
        <v>0</v>
      </c>
      <c r="F1302" s="9">
        <v>0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0</v>
      </c>
      <c r="M1302" s="9">
        <v>0</v>
      </c>
      <c r="N1302" s="9">
        <v>0</v>
      </c>
      <c r="O1302" s="9">
        <v>0</v>
      </c>
      <c r="P1302" s="9">
        <v>0</v>
      </c>
      <c r="Q1302" s="9">
        <v>0</v>
      </c>
      <c r="R1302" s="9">
        <v>0</v>
      </c>
      <c r="S1302" s="9">
        <v>0</v>
      </c>
      <c r="T1302" s="9">
        <v>0</v>
      </c>
      <c r="U1302" s="9">
        <v>0</v>
      </c>
    </row>
    <row r="1303" spans="1:21" x14ac:dyDescent="0.2">
      <c r="A1303" t="s">
        <v>861</v>
      </c>
      <c r="B1303">
        <v>852</v>
      </c>
      <c r="C1303">
        <v>1</v>
      </c>
      <c r="D1303" t="s">
        <v>326</v>
      </c>
      <c r="E1303" s="9">
        <v>0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0</v>
      </c>
      <c r="M1303" s="9">
        <v>0</v>
      </c>
      <c r="N1303" s="9">
        <v>0</v>
      </c>
      <c r="O1303" s="9">
        <v>0</v>
      </c>
      <c r="P1303" s="9">
        <v>0</v>
      </c>
      <c r="Q1303" s="9">
        <v>0</v>
      </c>
      <c r="R1303" s="9">
        <v>0</v>
      </c>
      <c r="S1303" s="9">
        <v>0</v>
      </c>
      <c r="T1303" s="9">
        <v>0</v>
      </c>
      <c r="U1303" s="9">
        <v>0</v>
      </c>
    </row>
    <row r="1304" spans="1:21" x14ac:dyDescent="0.2">
      <c r="A1304" t="s">
        <v>861</v>
      </c>
      <c r="B1304">
        <v>857</v>
      </c>
      <c r="C1304">
        <v>1</v>
      </c>
      <c r="D1304" t="s">
        <v>327</v>
      </c>
      <c r="E1304" s="9">
        <v>0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  <c r="M1304" s="9">
        <v>0</v>
      </c>
      <c r="N1304" s="9">
        <v>0</v>
      </c>
      <c r="O1304" s="9">
        <v>0</v>
      </c>
      <c r="P1304" s="9">
        <v>0</v>
      </c>
      <c r="Q1304" s="9">
        <v>0</v>
      </c>
      <c r="R1304" s="9">
        <v>0</v>
      </c>
      <c r="S1304" s="9">
        <v>0</v>
      </c>
      <c r="T1304" s="9">
        <v>0</v>
      </c>
      <c r="U1304" s="9">
        <v>0</v>
      </c>
    </row>
    <row r="1305" spans="1:21" x14ac:dyDescent="0.2">
      <c r="A1305" t="s">
        <v>861</v>
      </c>
      <c r="B1305">
        <v>858</v>
      </c>
      <c r="C1305">
        <v>1</v>
      </c>
      <c r="D1305" t="s">
        <v>328</v>
      </c>
      <c r="E1305" s="9">
        <v>0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  <c r="M1305" s="9">
        <v>0</v>
      </c>
      <c r="N1305" s="9">
        <v>0</v>
      </c>
      <c r="O1305" s="9">
        <v>0</v>
      </c>
      <c r="P1305" s="9">
        <v>0</v>
      </c>
      <c r="Q1305" s="9">
        <v>0</v>
      </c>
      <c r="R1305" s="9">
        <v>0</v>
      </c>
      <c r="S1305" s="9">
        <v>0</v>
      </c>
      <c r="T1305" s="9">
        <v>0</v>
      </c>
      <c r="U1305" s="9">
        <v>0</v>
      </c>
    </row>
    <row r="1306" spans="1:21" x14ac:dyDescent="0.2">
      <c r="A1306" t="s">
        <v>861</v>
      </c>
      <c r="B1306">
        <v>861</v>
      </c>
      <c r="C1306">
        <v>1</v>
      </c>
      <c r="D1306" t="s">
        <v>329</v>
      </c>
      <c r="E1306" s="9">
        <v>0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0</v>
      </c>
      <c r="N1306" s="9">
        <v>0</v>
      </c>
      <c r="O1306" s="9">
        <v>0</v>
      </c>
      <c r="P1306" s="9">
        <v>0</v>
      </c>
      <c r="Q1306" s="9">
        <v>0</v>
      </c>
      <c r="R1306" s="9">
        <v>0</v>
      </c>
      <c r="S1306" s="9">
        <v>0</v>
      </c>
      <c r="T1306" s="9">
        <v>0</v>
      </c>
      <c r="U1306" s="9">
        <v>0</v>
      </c>
    </row>
    <row r="1307" spans="1:21" x14ac:dyDescent="0.2">
      <c r="A1307" t="s">
        <v>861</v>
      </c>
      <c r="B1307">
        <v>876</v>
      </c>
      <c r="C1307">
        <v>1</v>
      </c>
      <c r="D1307" t="s">
        <v>330</v>
      </c>
      <c r="E1307" s="9">
        <v>0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0</v>
      </c>
      <c r="M1307" s="9">
        <v>0</v>
      </c>
      <c r="N1307" s="9">
        <v>0</v>
      </c>
      <c r="O1307" s="9">
        <v>0</v>
      </c>
      <c r="P1307" s="9">
        <v>0</v>
      </c>
      <c r="Q1307" s="9">
        <v>0</v>
      </c>
      <c r="R1307" s="9">
        <v>0</v>
      </c>
      <c r="S1307" s="9">
        <v>0</v>
      </c>
      <c r="T1307" s="9">
        <v>0</v>
      </c>
      <c r="U1307" s="9">
        <v>0</v>
      </c>
    </row>
    <row r="1308" spans="1:21" x14ac:dyDescent="0.2">
      <c r="A1308" t="s">
        <v>861</v>
      </c>
      <c r="B1308">
        <v>877</v>
      </c>
      <c r="C1308">
        <v>1</v>
      </c>
      <c r="D1308" t="s">
        <v>331</v>
      </c>
      <c r="E1308" s="9">
        <v>0</v>
      </c>
      <c r="F1308" s="9">
        <v>0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0</v>
      </c>
      <c r="M1308" s="9">
        <v>0</v>
      </c>
      <c r="N1308" s="9">
        <v>0</v>
      </c>
      <c r="O1308" s="9">
        <v>0</v>
      </c>
      <c r="P1308" s="9">
        <v>0</v>
      </c>
      <c r="Q1308" s="9">
        <v>0</v>
      </c>
      <c r="R1308" s="9">
        <v>0</v>
      </c>
      <c r="S1308" s="9">
        <v>0</v>
      </c>
      <c r="T1308" s="9">
        <v>0</v>
      </c>
      <c r="U1308" s="9">
        <v>0</v>
      </c>
    </row>
    <row r="1309" spans="1:21" x14ac:dyDescent="0.2">
      <c r="A1309" t="s">
        <v>861</v>
      </c>
      <c r="B1309">
        <v>879</v>
      </c>
      <c r="C1309">
        <v>1</v>
      </c>
      <c r="D1309" t="s">
        <v>332</v>
      </c>
      <c r="E1309" s="9">
        <v>0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L1309" s="9">
        <v>0</v>
      </c>
      <c r="M1309" s="9">
        <v>0</v>
      </c>
      <c r="N1309" s="9">
        <v>0</v>
      </c>
      <c r="O1309" s="9">
        <v>0</v>
      </c>
      <c r="P1309" s="9">
        <v>0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</row>
    <row r="1310" spans="1:21" x14ac:dyDescent="0.2">
      <c r="A1310" t="s">
        <v>861</v>
      </c>
      <c r="B1310">
        <v>881</v>
      </c>
      <c r="C1310">
        <v>1</v>
      </c>
      <c r="D1310" t="s">
        <v>333</v>
      </c>
      <c r="E1310" s="9">
        <v>0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  <c r="M1310" s="9">
        <v>0</v>
      </c>
      <c r="N1310" s="9">
        <v>0</v>
      </c>
      <c r="O1310" s="9">
        <v>0</v>
      </c>
      <c r="P1310" s="9">
        <v>0</v>
      </c>
      <c r="Q1310" s="9">
        <v>0</v>
      </c>
      <c r="R1310" s="9">
        <v>0</v>
      </c>
      <c r="S1310" s="9">
        <v>0</v>
      </c>
      <c r="T1310" s="9">
        <v>0</v>
      </c>
      <c r="U1310" s="9">
        <v>0</v>
      </c>
    </row>
    <row r="1311" spans="1:21" x14ac:dyDescent="0.2">
      <c r="A1311" t="s">
        <v>861</v>
      </c>
      <c r="B1311">
        <v>882</v>
      </c>
      <c r="C1311">
        <v>1</v>
      </c>
      <c r="D1311" t="s">
        <v>334</v>
      </c>
      <c r="E1311" s="9">
        <v>0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  <c r="M1311" s="9">
        <v>0</v>
      </c>
      <c r="N1311" s="9">
        <v>0</v>
      </c>
      <c r="O1311" s="9">
        <v>0</v>
      </c>
      <c r="P1311" s="9">
        <v>0</v>
      </c>
      <c r="Q1311" s="9">
        <v>0</v>
      </c>
      <c r="R1311" s="9">
        <v>0</v>
      </c>
      <c r="S1311" s="9">
        <v>0</v>
      </c>
      <c r="T1311" s="9">
        <v>0</v>
      </c>
      <c r="U1311" s="9">
        <v>0</v>
      </c>
    </row>
    <row r="1312" spans="1:21" x14ac:dyDescent="0.2">
      <c r="A1312" t="s">
        <v>861</v>
      </c>
      <c r="B1312">
        <v>883</v>
      </c>
      <c r="C1312">
        <v>1</v>
      </c>
      <c r="D1312" t="s">
        <v>335</v>
      </c>
      <c r="E1312" s="9">
        <v>0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0</v>
      </c>
      <c r="O1312" s="9">
        <v>0</v>
      </c>
      <c r="P1312" s="9">
        <v>0</v>
      </c>
      <c r="Q1312" s="9">
        <v>0</v>
      </c>
      <c r="R1312" s="9">
        <v>0</v>
      </c>
      <c r="S1312" s="9">
        <v>0</v>
      </c>
      <c r="T1312" s="9">
        <v>0</v>
      </c>
      <c r="U1312" s="9">
        <v>0</v>
      </c>
    </row>
    <row r="1313" spans="1:21" x14ac:dyDescent="0.2">
      <c r="A1313" t="s">
        <v>861</v>
      </c>
      <c r="B1313">
        <v>885</v>
      </c>
      <c r="C1313">
        <v>1</v>
      </c>
      <c r="D1313" t="s">
        <v>336</v>
      </c>
      <c r="E1313" s="9">
        <v>0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0</v>
      </c>
      <c r="O1313" s="9">
        <v>0</v>
      </c>
      <c r="P1313" s="9">
        <v>0</v>
      </c>
      <c r="Q1313" s="9">
        <v>0</v>
      </c>
      <c r="R1313" s="9">
        <v>0</v>
      </c>
      <c r="S1313" s="9">
        <v>0</v>
      </c>
      <c r="T1313" s="9">
        <v>0</v>
      </c>
      <c r="U1313" s="9">
        <v>0</v>
      </c>
    </row>
    <row r="1314" spans="1:21" x14ac:dyDescent="0.2">
      <c r="A1314" t="s">
        <v>861</v>
      </c>
      <c r="B1314">
        <v>891</v>
      </c>
      <c r="C1314">
        <v>1</v>
      </c>
      <c r="D1314" t="s">
        <v>337</v>
      </c>
      <c r="E1314" s="9">
        <v>0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0</v>
      </c>
      <c r="M1314" s="9">
        <v>0</v>
      </c>
      <c r="N1314" s="9">
        <v>0</v>
      </c>
      <c r="O1314" s="9">
        <v>0</v>
      </c>
      <c r="P1314" s="9">
        <v>0</v>
      </c>
      <c r="Q1314" s="9">
        <v>0</v>
      </c>
      <c r="R1314" s="9">
        <v>0</v>
      </c>
      <c r="S1314" s="9">
        <v>0</v>
      </c>
      <c r="T1314" s="9">
        <v>0</v>
      </c>
      <c r="U1314" s="9">
        <v>0</v>
      </c>
    </row>
    <row r="1315" spans="1:21" x14ac:dyDescent="0.2">
      <c r="A1315" t="s">
        <v>861</v>
      </c>
      <c r="B1315">
        <v>911</v>
      </c>
      <c r="C1315">
        <v>1</v>
      </c>
      <c r="D1315" t="s">
        <v>338</v>
      </c>
      <c r="E1315" s="9">
        <v>0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0</v>
      </c>
      <c r="N1315" s="9">
        <v>0</v>
      </c>
      <c r="O1315" s="9">
        <v>0</v>
      </c>
      <c r="P1315" s="9">
        <v>0</v>
      </c>
      <c r="Q1315" s="9">
        <v>0</v>
      </c>
      <c r="R1315" s="9">
        <v>0</v>
      </c>
      <c r="S1315" s="9">
        <v>0</v>
      </c>
      <c r="T1315" s="9">
        <v>0</v>
      </c>
      <c r="U1315" s="9">
        <v>0</v>
      </c>
    </row>
    <row r="1316" spans="1:21" x14ac:dyDescent="0.2">
      <c r="A1316" t="s">
        <v>861</v>
      </c>
      <c r="B1316">
        <v>912</v>
      </c>
      <c r="C1316">
        <v>1</v>
      </c>
      <c r="D1316" t="s">
        <v>339</v>
      </c>
      <c r="E1316" s="9">
        <v>0</v>
      </c>
      <c r="F1316" s="9">
        <v>0</v>
      </c>
      <c r="G1316" s="9">
        <v>0</v>
      </c>
      <c r="H1316" s="9">
        <v>0</v>
      </c>
      <c r="I1316" s="9">
        <v>0</v>
      </c>
      <c r="J1316" s="9">
        <v>0</v>
      </c>
      <c r="K1316" s="9">
        <v>0</v>
      </c>
      <c r="L1316" s="9">
        <v>0</v>
      </c>
      <c r="M1316" s="9">
        <v>0</v>
      </c>
      <c r="N1316" s="9">
        <v>0</v>
      </c>
      <c r="O1316" s="9">
        <v>0</v>
      </c>
      <c r="P1316" s="9">
        <v>0</v>
      </c>
      <c r="Q1316" s="9">
        <v>0</v>
      </c>
      <c r="R1316" s="9">
        <v>0</v>
      </c>
      <c r="S1316" s="9">
        <v>0</v>
      </c>
      <c r="T1316" s="9">
        <v>0</v>
      </c>
      <c r="U1316" s="9">
        <v>0</v>
      </c>
    </row>
    <row r="1317" spans="1:21" x14ac:dyDescent="0.2">
      <c r="A1317" t="s">
        <v>861</v>
      </c>
      <c r="B1317">
        <v>914</v>
      </c>
      <c r="C1317">
        <v>1</v>
      </c>
      <c r="D1317" t="s">
        <v>340</v>
      </c>
      <c r="E1317" s="9">
        <v>0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0</v>
      </c>
      <c r="O1317" s="9">
        <v>0</v>
      </c>
      <c r="P1317" s="9">
        <v>0</v>
      </c>
      <c r="Q1317" s="9">
        <v>0</v>
      </c>
      <c r="R1317" s="9">
        <v>0</v>
      </c>
      <c r="S1317" s="9">
        <v>0</v>
      </c>
      <c r="T1317" s="9">
        <v>0</v>
      </c>
      <c r="U1317" s="9">
        <v>0</v>
      </c>
    </row>
    <row r="1318" spans="1:21" x14ac:dyDescent="0.2">
      <c r="A1318" t="s">
        <v>861</v>
      </c>
      <c r="B1318">
        <v>2071</v>
      </c>
      <c r="C1318">
        <v>1</v>
      </c>
      <c r="D1318" t="s">
        <v>341</v>
      </c>
      <c r="E1318" s="9">
        <v>0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  <c r="O1318" s="9">
        <v>0</v>
      </c>
      <c r="P1318" s="9">
        <v>0</v>
      </c>
      <c r="Q1318" s="9">
        <v>0</v>
      </c>
      <c r="R1318" s="9">
        <v>0</v>
      </c>
      <c r="S1318" s="9">
        <v>0</v>
      </c>
      <c r="T1318" s="9">
        <v>0</v>
      </c>
      <c r="U1318" s="9">
        <v>0</v>
      </c>
    </row>
    <row r="1319" spans="1:21" x14ac:dyDescent="0.2">
      <c r="A1319" t="s">
        <v>861</v>
      </c>
      <c r="B1319">
        <v>2125</v>
      </c>
      <c r="C1319">
        <v>1</v>
      </c>
      <c r="D1319" t="s">
        <v>342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0</v>
      </c>
      <c r="N1319" s="9">
        <v>0</v>
      </c>
      <c r="O1319" s="9">
        <v>0</v>
      </c>
      <c r="P1319" s="9">
        <v>0</v>
      </c>
      <c r="Q1319" s="9">
        <v>0</v>
      </c>
      <c r="R1319" s="9">
        <v>0</v>
      </c>
      <c r="S1319" s="9">
        <v>0</v>
      </c>
      <c r="T1319" s="9">
        <v>0</v>
      </c>
      <c r="U1319" s="9">
        <v>0</v>
      </c>
    </row>
    <row r="1320" spans="1:21" x14ac:dyDescent="0.2">
      <c r="A1320" t="s">
        <v>861</v>
      </c>
      <c r="B1320">
        <v>2134</v>
      </c>
      <c r="C1320">
        <v>1</v>
      </c>
      <c r="D1320" t="s">
        <v>343</v>
      </c>
      <c r="E1320" s="9">
        <v>0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0</v>
      </c>
      <c r="O1320" s="9">
        <v>0</v>
      </c>
      <c r="P1320" s="9">
        <v>0</v>
      </c>
      <c r="Q1320" s="9">
        <v>0</v>
      </c>
      <c r="R1320" s="9">
        <v>0</v>
      </c>
      <c r="S1320" s="9">
        <v>0</v>
      </c>
      <c r="T1320" s="9">
        <v>0</v>
      </c>
      <c r="U1320" s="9">
        <v>0</v>
      </c>
    </row>
    <row r="1321" spans="1:21" x14ac:dyDescent="0.2">
      <c r="A1321" t="s">
        <v>861</v>
      </c>
      <c r="B1321">
        <v>2135</v>
      </c>
      <c r="C1321">
        <v>1</v>
      </c>
      <c r="D1321" t="s">
        <v>344</v>
      </c>
      <c r="E1321" s="9">
        <v>0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0</v>
      </c>
      <c r="N1321" s="9">
        <v>0</v>
      </c>
      <c r="O1321" s="9">
        <v>0</v>
      </c>
      <c r="P1321" s="9">
        <v>0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</row>
    <row r="1322" spans="1:21" x14ac:dyDescent="0.2">
      <c r="A1322" t="s">
        <v>861</v>
      </c>
      <c r="B1322">
        <v>2137</v>
      </c>
      <c r="C1322">
        <v>1</v>
      </c>
      <c r="D1322" t="s">
        <v>345</v>
      </c>
      <c r="E1322" s="9">
        <v>0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9">
        <v>0</v>
      </c>
      <c r="O1322" s="9">
        <v>0</v>
      </c>
      <c r="P1322" s="9">
        <v>0</v>
      </c>
      <c r="Q1322" s="9">
        <v>0</v>
      </c>
      <c r="R1322" s="9">
        <v>0</v>
      </c>
      <c r="S1322" s="9">
        <v>0</v>
      </c>
      <c r="T1322" s="9">
        <v>0</v>
      </c>
      <c r="U1322" s="9">
        <v>0</v>
      </c>
    </row>
    <row r="1323" spans="1:21" x14ac:dyDescent="0.2">
      <c r="A1323" t="s">
        <v>861</v>
      </c>
      <c r="B1323">
        <v>2142</v>
      </c>
      <c r="C1323">
        <v>1</v>
      </c>
      <c r="D1323" t="s">
        <v>346</v>
      </c>
      <c r="E1323" s="9">
        <v>0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0</v>
      </c>
      <c r="N1323" s="9">
        <v>0</v>
      </c>
      <c r="O1323" s="9">
        <v>0</v>
      </c>
      <c r="P1323" s="9">
        <v>0</v>
      </c>
      <c r="Q1323" s="9">
        <v>0</v>
      </c>
      <c r="R1323" s="9">
        <v>0</v>
      </c>
      <c r="S1323" s="9">
        <v>0</v>
      </c>
      <c r="T1323" s="9">
        <v>0</v>
      </c>
      <c r="U1323" s="9">
        <v>0</v>
      </c>
    </row>
    <row r="1324" spans="1:21" x14ac:dyDescent="0.2">
      <c r="A1324" t="s">
        <v>861</v>
      </c>
      <c r="B1324">
        <v>2143</v>
      </c>
      <c r="C1324">
        <v>1</v>
      </c>
      <c r="D1324" t="s">
        <v>347</v>
      </c>
      <c r="E1324" s="9">
        <v>0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  <c r="Q1324" s="9">
        <v>0</v>
      </c>
      <c r="R1324" s="9">
        <v>0</v>
      </c>
      <c r="S1324" s="9">
        <v>0</v>
      </c>
      <c r="T1324" s="9">
        <v>0</v>
      </c>
      <c r="U1324" s="9">
        <v>0</v>
      </c>
    </row>
    <row r="1325" spans="1:21" x14ac:dyDescent="0.2">
      <c r="A1325" t="s">
        <v>861</v>
      </c>
      <c r="B1325">
        <v>2144</v>
      </c>
      <c r="C1325">
        <v>1</v>
      </c>
      <c r="D1325" t="s">
        <v>348</v>
      </c>
      <c r="E1325" s="9">
        <v>0</v>
      </c>
      <c r="F1325" s="9">
        <v>0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  <c r="M1325" s="9">
        <v>0</v>
      </c>
      <c r="N1325" s="9">
        <v>0</v>
      </c>
      <c r="O1325" s="9">
        <v>0</v>
      </c>
      <c r="P1325" s="9">
        <v>0</v>
      </c>
      <c r="Q1325" s="9">
        <v>0</v>
      </c>
      <c r="R1325" s="9">
        <v>0</v>
      </c>
      <c r="S1325" s="9">
        <v>0</v>
      </c>
      <c r="T1325" s="9">
        <v>0</v>
      </c>
      <c r="U1325" s="9">
        <v>0</v>
      </c>
    </row>
    <row r="1326" spans="1:21" x14ac:dyDescent="0.2">
      <c r="A1326" t="s">
        <v>861</v>
      </c>
      <c r="B1326">
        <v>2149</v>
      </c>
      <c r="C1326">
        <v>1</v>
      </c>
      <c r="D1326" t="s">
        <v>349</v>
      </c>
      <c r="E1326" s="9">
        <v>0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0</v>
      </c>
      <c r="O1326" s="9">
        <v>0</v>
      </c>
      <c r="P1326" s="9">
        <v>0</v>
      </c>
      <c r="Q1326" s="9">
        <v>0</v>
      </c>
      <c r="R1326" s="9">
        <v>0</v>
      </c>
      <c r="S1326" s="9">
        <v>0</v>
      </c>
      <c r="T1326" s="9">
        <v>0</v>
      </c>
      <c r="U1326" s="9">
        <v>0</v>
      </c>
    </row>
    <row r="1327" spans="1:21" x14ac:dyDescent="0.2">
      <c r="A1327" t="s">
        <v>861</v>
      </c>
      <c r="B1327">
        <v>2154</v>
      </c>
      <c r="C1327">
        <v>1</v>
      </c>
      <c r="D1327" t="s">
        <v>350</v>
      </c>
      <c r="E1327" s="9">
        <v>0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  <c r="O1327" s="9">
        <v>0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</row>
    <row r="1328" spans="1:21" x14ac:dyDescent="0.2">
      <c r="A1328" t="s">
        <v>861</v>
      </c>
      <c r="B1328">
        <v>2155</v>
      </c>
      <c r="C1328">
        <v>1</v>
      </c>
      <c r="D1328" t="s">
        <v>351</v>
      </c>
      <c r="E1328" s="9">
        <v>0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  <c r="O1328" s="9">
        <v>0</v>
      </c>
      <c r="P1328" s="9">
        <v>0</v>
      </c>
      <c r="Q1328" s="9">
        <v>0</v>
      </c>
      <c r="R1328" s="9">
        <v>0</v>
      </c>
      <c r="S1328" s="9">
        <v>0</v>
      </c>
      <c r="T1328" s="9">
        <v>0</v>
      </c>
      <c r="U1328" s="9">
        <v>0</v>
      </c>
    </row>
    <row r="1329" spans="1:21" x14ac:dyDescent="0.2">
      <c r="A1329" t="s">
        <v>861</v>
      </c>
      <c r="B1329">
        <v>2159</v>
      </c>
      <c r="C1329">
        <v>1</v>
      </c>
      <c r="D1329" t="s">
        <v>352</v>
      </c>
      <c r="E1329" s="9">
        <v>0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  <c r="O1329" s="9">
        <v>0</v>
      </c>
      <c r="P1329" s="9">
        <v>0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</row>
    <row r="1330" spans="1:21" x14ac:dyDescent="0.2">
      <c r="A1330" t="s">
        <v>861</v>
      </c>
      <c r="B1330">
        <v>2164</v>
      </c>
      <c r="C1330">
        <v>1</v>
      </c>
      <c r="D1330" t="s">
        <v>353</v>
      </c>
      <c r="E1330" s="9">
        <v>0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</row>
    <row r="1331" spans="1:21" x14ac:dyDescent="0.2">
      <c r="A1331" t="s">
        <v>861</v>
      </c>
      <c r="B1331">
        <v>2165</v>
      </c>
      <c r="C1331">
        <v>1</v>
      </c>
      <c r="D1331" t="s">
        <v>354</v>
      </c>
      <c r="E1331" s="9">
        <v>0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0</v>
      </c>
      <c r="O1331" s="9">
        <v>0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</row>
    <row r="1332" spans="1:21" x14ac:dyDescent="0.2">
      <c r="A1332" t="s">
        <v>861</v>
      </c>
      <c r="B1332">
        <v>2167</v>
      </c>
      <c r="C1332">
        <v>1</v>
      </c>
      <c r="D1332" t="s">
        <v>355</v>
      </c>
      <c r="E1332" s="9">
        <v>0</v>
      </c>
      <c r="F1332" s="9">
        <v>0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0</v>
      </c>
      <c r="O1332" s="9">
        <v>0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</row>
    <row r="1333" spans="1:21" x14ac:dyDescent="0.2">
      <c r="A1333" t="s">
        <v>861</v>
      </c>
      <c r="B1333">
        <v>2168</v>
      </c>
      <c r="C1333">
        <v>1</v>
      </c>
      <c r="D1333" t="s">
        <v>356</v>
      </c>
      <c r="E1333" s="9">
        <v>0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0</v>
      </c>
      <c r="N1333" s="9">
        <v>0</v>
      </c>
      <c r="O1333" s="9">
        <v>0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</row>
    <row r="1334" spans="1:21" x14ac:dyDescent="0.2">
      <c r="A1334" t="s">
        <v>861</v>
      </c>
      <c r="B1334">
        <v>2169</v>
      </c>
      <c r="C1334">
        <v>1</v>
      </c>
      <c r="D1334" t="s">
        <v>357</v>
      </c>
      <c r="E1334" s="9">
        <v>0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0</v>
      </c>
      <c r="O1334" s="9">
        <v>0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</row>
    <row r="1335" spans="1:21" x14ac:dyDescent="0.2">
      <c r="A1335" t="s">
        <v>861</v>
      </c>
      <c r="B1335">
        <v>2170</v>
      </c>
      <c r="C1335">
        <v>1</v>
      </c>
      <c r="D1335" t="s">
        <v>358</v>
      </c>
      <c r="E1335" s="9">
        <v>0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0</v>
      </c>
      <c r="N1335" s="9">
        <v>0</v>
      </c>
      <c r="O1335" s="9">
        <v>0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</row>
    <row r="1336" spans="1:21" x14ac:dyDescent="0.2">
      <c r="A1336" t="s">
        <v>861</v>
      </c>
      <c r="B1336">
        <v>2171</v>
      </c>
      <c r="C1336">
        <v>1</v>
      </c>
      <c r="D1336" t="s">
        <v>359</v>
      </c>
      <c r="E1336" s="9">
        <v>0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0</v>
      </c>
      <c r="M1336" s="9">
        <v>0</v>
      </c>
      <c r="N1336" s="9">
        <v>0</v>
      </c>
      <c r="O1336" s="9">
        <v>0</v>
      </c>
      <c r="P1336" s="9">
        <v>0</v>
      </c>
      <c r="Q1336" s="9">
        <v>0</v>
      </c>
      <c r="R1336" s="9">
        <v>0</v>
      </c>
      <c r="S1336" s="9">
        <v>0</v>
      </c>
      <c r="T1336" s="9">
        <v>0</v>
      </c>
      <c r="U1336" s="9">
        <v>0</v>
      </c>
    </row>
    <row r="1337" spans="1:21" x14ac:dyDescent="0.2">
      <c r="A1337" t="s">
        <v>861</v>
      </c>
      <c r="B1337">
        <v>2172</v>
      </c>
      <c r="C1337">
        <v>1</v>
      </c>
      <c r="D1337" t="s">
        <v>360</v>
      </c>
      <c r="E1337" s="9">
        <v>0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0</v>
      </c>
      <c r="O1337" s="9">
        <v>0</v>
      </c>
      <c r="P1337" s="9">
        <v>0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</row>
    <row r="1338" spans="1:21" x14ac:dyDescent="0.2">
      <c r="A1338" t="s">
        <v>861</v>
      </c>
      <c r="B1338">
        <v>2174</v>
      </c>
      <c r="C1338">
        <v>1</v>
      </c>
      <c r="D1338" t="s">
        <v>361</v>
      </c>
      <c r="E1338" s="9">
        <v>0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9">
        <v>0</v>
      </c>
      <c r="O1338" s="9">
        <v>0</v>
      </c>
      <c r="P1338" s="9">
        <v>0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</row>
    <row r="1339" spans="1:21" x14ac:dyDescent="0.2">
      <c r="A1339" t="s">
        <v>861</v>
      </c>
      <c r="B1339">
        <v>2176</v>
      </c>
      <c r="C1339">
        <v>1</v>
      </c>
      <c r="D1339" t="s">
        <v>362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0</v>
      </c>
      <c r="M1339" s="9">
        <v>0</v>
      </c>
      <c r="N1339" s="9">
        <v>0</v>
      </c>
      <c r="O1339" s="9">
        <v>0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</row>
    <row r="1340" spans="1:21" x14ac:dyDescent="0.2">
      <c r="A1340" t="s">
        <v>861</v>
      </c>
      <c r="B1340">
        <v>2180</v>
      </c>
      <c r="C1340">
        <v>1</v>
      </c>
      <c r="D1340" t="s">
        <v>363</v>
      </c>
      <c r="E1340" s="9">
        <v>0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0</v>
      </c>
      <c r="N1340" s="9">
        <v>0</v>
      </c>
      <c r="O1340" s="9">
        <v>0</v>
      </c>
      <c r="P1340" s="9">
        <v>0</v>
      </c>
      <c r="Q1340" s="9">
        <v>0</v>
      </c>
      <c r="R1340" s="9">
        <v>0</v>
      </c>
      <c r="S1340" s="9">
        <v>0</v>
      </c>
      <c r="T1340" s="9">
        <v>0</v>
      </c>
      <c r="U1340" s="9">
        <v>0</v>
      </c>
    </row>
    <row r="1341" spans="1:21" x14ac:dyDescent="0.2">
      <c r="A1341" t="s">
        <v>861</v>
      </c>
      <c r="B1341">
        <v>2184</v>
      </c>
      <c r="C1341">
        <v>1</v>
      </c>
      <c r="D1341" t="s">
        <v>364</v>
      </c>
      <c r="E1341" s="9">
        <v>0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  <c r="M1341" s="9">
        <v>0</v>
      </c>
      <c r="N1341" s="9">
        <v>0</v>
      </c>
      <c r="O1341" s="9">
        <v>0</v>
      </c>
      <c r="P1341" s="9">
        <v>0</v>
      </c>
      <c r="Q1341" s="9">
        <v>0</v>
      </c>
      <c r="R1341" s="9">
        <v>0</v>
      </c>
      <c r="S1341" s="9">
        <v>0</v>
      </c>
      <c r="T1341" s="9">
        <v>0</v>
      </c>
      <c r="U1341" s="9">
        <v>0</v>
      </c>
    </row>
    <row r="1342" spans="1:21" x14ac:dyDescent="0.2">
      <c r="A1342" t="s">
        <v>861</v>
      </c>
      <c r="B1342">
        <v>2190</v>
      </c>
      <c r="C1342">
        <v>1</v>
      </c>
      <c r="D1342" t="s">
        <v>365</v>
      </c>
      <c r="E1342" s="9">
        <v>0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9">
        <v>0</v>
      </c>
      <c r="O1342" s="9">
        <v>0</v>
      </c>
      <c r="P1342" s="9">
        <v>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</row>
    <row r="1343" spans="1:21" x14ac:dyDescent="0.2">
      <c r="A1343" t="s">
        <v>861</v>
      </c>
      <c r="B1343">
        <v>2198</v>
      </c>
      <c r="C1343">
        <v>1</v>
      </c>
      <c r="D1343" t="s">
        <v>366</v>
      </c>
      <c r="E1343" s="9">
        <v>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0</v>
      </c>
      <c r="O1343" s="9">
        <v>0</v>
      </c>
      <c r="P1343" s="9">
        <v>0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</row>
    <row r="1344" spans="1:21" x14ac:dyDescent="0.2">
      <c r="A1344" t="s">
        <v>861</v>
      </c>
      <c r="B1344">
        <v>2215</v>
      </c>
      <c r="C1344">
        <v>1</v>
      </c>
      <c r="D1344" t="s">
        <v>367</v>
      </c>
      <c r="E1344" s="9">
        <v>0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0</v>
      </c>
      <c r="O1344" s="9">
        <v>0</v>
      </c>
      <c r="P1344" s="9">
        <v>0</v>
      </c>
      <c r="Q1344" s="9">
        <v>0</v>
      </c>
      <c r="R1344" s="9">
        <v>0</v>
      </c>
      <c r="S1344" s="9">
        <v>0</v>
      </c>
      <c r="T1344" s="9">
        <v>0</v>
      </c>
      <c r="U1344" s="9">
        <v>0</v>
      </c>
    </row>
    <row r="1345" spans="1:21" x14ac:dyDescent="0.2">
      <c r="A1345" t="s">
        <v>861</v>
      </c>
      <c r="B1345">
        <v>2310</v>
      </c>
      <c r="C1345">
        <v>1</v>
      </c>
      <c r="D1345" t="s">
        <v>368</v>
      </c>
      <c r="E1345" s="9">
        <v>0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9">
        <v>0</v>
      </c>
      <c r="O1345" s="9">
        <v>0</v>
      </c>
      <c r="P1345" s="9">
        <v>0</v>
      </c>
      <c r="Q1345" s="9">
        <v>0</v>
      </c>
      <c r="R1345" s="9">
        <v>0</v>
      </c>
      <c r="S1345" s="9">
        <v>0</v>
      </c>
      <c r="T1345" s="9">
        <v>0</v>
      </c>
      <c r="U1345" s="9">
        <v>0</v>
      </c>
    </row>
    <row r="1346" spans="1:21" x14ac:dyDescent="0.2">
      <c r="A1346" t="s">
        <v>861</v>
      </c>
      <c r="B1346">
        <v>2311</v>
      </c>
      <c r="C1346">
        <v>1</v>
      </c>
      <c r="D1346" t="s">
        <v>369</v>
      </c>
      <c r="E1346" s="9">
        <v>0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0</v>
      </c>
      <c r="O1346" s="9">
        <v>0</v>
      </c>
      <c r="P1346" s="9">
        <v>0</v>
      </c>
      <c r="Q1346" s="9">
        <v>0</v>
      </c>
      <c r="R1346" s="9">
        <v>0</v>
      </c>
      <c r="S1346" s="9">
        <v>0</v>
      </c>
      <c r="T1346" s="9">
        <v>0</v>
      </c>
      <c r="U1346" s="9">
        <v>0</v>
      </c>
    </row>
    <row r="1347" spans="1:21" x14ac:dyDescent="0.2">
      <c r="A1347" t="s">
        <v>861</v>
      </c>
      <c r="B1347">
        <v>2342</v>
      </c>
      <c r="C1347">
        <v>1</v>
      </c>
      <c r="D1347" t="s">
        <v>370</v>
      </c>
      <c r="E1347" s="9">
        <v>0</v>
      </c>
      <c r="F1347" s="9">
        <v>0</v>
      </c>
      <c r="G1347" s="9">
        <v>0</v>
      </c>
      <c r="H1347" s="9">
        <v>0</v>
      </c>
      <c r="I1347" s="9">
        <v>0</v>
      </c>
      <c r="J1347" s="9">
        <v>0</v>
      </c>
      <c r="K1347" s="9">
        <v>0</v>
      </c>
      <c r="L1347" s="9">
        <v>0</v>
      </c>
      <c r="M1347" s="9">
        <v>0</v>
      </c>
      <c r="N1347" s="9">
        <v>0</v>
      </c>
      <c r="O1347" s="9">
        <v>0</v>
      </c>
      <c r="P1347" s="9">
        <v>0</v>
      </c>
      <c r="Q1347" s="9">
        <v>0</v>
      </c>
      <c r="R1347" s="9">
        <v>0</v>
      </c>
      <c r="S1347" s="9">
        <v>0</v>
      </c>
      <c r="T1347" s="9">
        <v>0</v>
      </c>
      <c r="U1347" s="9">
        <v>0</v>
      </c>
    </row>
    <row r="1348" spans="1:21" x14ac:dyDescent="0.2">
      <c r="A1348" t="s">
        <v>861</v>
      </c>
      <c r="B1348">
        <v>2358</v>
      </c>
      <c r="C1348">
        <v>1</v>
      </c>
      <c r="D1348" t="s">
        <v>371</v>
      </c>
      <c r="E1348" s="9">
        <v>0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  <c r="O1348" s="9">
        <v>0</v>
      </c>
      <c r="P1348" s="9">
        <v>0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</row>
    <row r="1349" spans="1:21" x14ac:dyDescent="0.2">
      <c r="A1349" t="s">
        <v>861</v>
      </c>
      <c r="B1349">
        <v>2364</v>
      </c>
      <c r="C1349">
        <v>1</v>
      </c>
      <c r="D1349" t="s">
        <v>372</v>
      </c>
      <c r="E1349" s="9">
        <v>0</v>
      </c>
      <c r="F1349" s="9">
        <v>0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0</v>
      </c>
      <c r="O1349" s="9">
        <v>0</v>
      </c>
      <c r="P1349" s="9">
        <v>0</v>
      </c>
      <c r="Q1349" s="9">
        <v>0</v>
      </c>
      <c r="R1349" s="9">
        <v>0</v>
      </c>
      <c r="S1349" s="9">
        <v>0</v>
      </c>
      <c r="T1349" s="9">
        <v>0</v>
      </c>
      <c r="U1349" s="9">
        <v>0</v>
      </c>
    </row>
    <row r="1350" spans="1:21" x14ac:dyDescent="0.2">
      <c r="A1350" t="s">
        <v>861</v>
      </c>
      <c r="B1350">
        <v>2365</v>
      </c>
      <c r="C1350">
        <v>1</v>
      </c>
      <c r="D1350" t="s">
        <v>373</v>
      </c>
      <c r="E1350" s="9">
        <v>0</v>
      </c>
      <c r="F1350" s="9">
        <v>0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0</v>
      </c>
      <c r="O1350" s="9">
        <v>0</v>
      </c>
      <c r="P1350" s="9">
        <v>0</v>
      </c>
      <c r="Q1350" s="9">
        <v>0</v>
      </c>
      <c r="R1350" s="9">
        <v>0</v>
      </c>
      <c r="S1350" s="9">
        <v>0</v>
      </c>
      <c r="T1350" s="9">
        <v>0</v>
      </c>
      <c r="U1350" s="9">
        <v>0</v>
      </c>
    </row>
    <row r="1351" spans="1:21" x14ac:dyDescent="0.2">
      <c r="A1351" t="s">
        <v>861</v>
      </c>
      <c r="B1351">
        <v>2396</v>
      </c>
      <c r="C1351">
        <v>1</v>
      </c>
      <c r="D1351" t="s">
        <v>374</v>
      </c>
      <c r="E1351" s="9">
        <v>0</v>
      </c>
      <c r="F1351" s="9">
        <v>0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0</v>
      </c>
      <c r="N1351" s="9">
        <v>0</v>
      </c>
      <c r="O1351" s="9">
        <v>0</v>
      </c>
      <c r="P1351" s="9">
        <v>0</v>
      </c>
      <c r="Q1351" s="9">
        <v>0</v>
      </c>
      <c r="R1351" s="9">
        <v>0</v>
      </c>
      <c r="S1351" s="9">
        <v>0</v>
      </c>
      <c r="T1351" s="9">
        <v>0</v>
      </c>
      <c r="U1351" s="9">
        <v>0</v>
      </c>
    </row>
    <row r="1352" spans="1:21" x14ac:dyDescent="0.2">
      <c r="A1352" t="s">
        <v>861</v>
      </c>
      <c r="B1352">
        <v>2397</v>
      </c>
      <c r="C1352">
        <v>1</v>
      </c>
      <c r="D1352" t="s">
        <v>375</v>
      </c>
      <c r="E1352" s="9">
        <v>0</v>
      </c>
      <c r="F1352" s="9">
        <v>0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0</v>
      </c>
      <c r="N1352" s="9">
        <v>0</v>
      </c>
      <c r="O1352" s="9">
        <v>0</v>
      </c>
      <c r="P1352" s="9">
        <v>0</v>
      </c>
      <c r="Q1352" s="9">
        <v>0</v>
      </c>
      <c r="R1352" s="9">
        <v>0</v>
      </c>
      <c r="S1352" s="9">
        <v>0</v>
      </c>
      <c r="T1352" s="9">
        <v>0</v>
      </c>
      <c r="U1352" s="9">
        <v>0</v>
      </c>
    </row>
    <row r="1353" spans="1:21" x14ac:dyDescent="0.2">
      <c r="A1353" t="s">
        <v>861</v>
      </c>
      <c r="B1353">
        <v>2448</v>
      </c>
      <c r="C1353">
        <v>1</v>
      </c>
      <c r="D1353" t="s">
        <v>376</v>
      </c>
      <c r="E1353" s="9">
        <v>0</v>
      </c>
      <c r="F1353" s="9">
        <v>0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0</v>
      </c>
      <c r="M1353" s="9">
        <v>0</v>
      </c>
      <c r="N1353" s="9">
        <v>0</v>
      </c>
      <c r="O1353" s="9">
        <v>0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</row>
    <row r="1354" spans="1:21" x14ac:dyDescent="0.2">
      <c r="A1354" t="s">
        <v>861</v>
      </c>
      <c r="B1354">
        <v>2527</v>
      </c>
      <c r="C1354">
        <v>1</v>
      </c>
      <c r="D1354" t="s">
        <v>377</v>
      </c>
      <c r="E1354" s="9">
        <v>0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9">
        <v>0</v>
      </c>
      <c r="L1354" s="9">
        <v>0</v>
      </c>
      <c r="M1354" s="9">
        <v>0</v>
      </c>
      <c r="N1354" s="9">
        <v>0</v>
      </c>
      <c r="O1354" s="9">
        <v>0</v>
      </c>
      <c r="P1354" s="9">
        <v>0</v>
      </c>
      <c r="Q1354" s="9">
        <v>0</v>
      </c>
      <c r="R1354" s="9">
        <v>0</v>
      </c>
      <c r="S1354" s="9">
        <v>0</v>
      </c>
      <c r="T1354" s="9">
        <v>0</v>
      </c>
      <c r="U1354" s="9">
        <v>0</v>
      </c>
    </row>
    <row r="1355" spans="1:21" x14ac:dyDescent="0.2">
      <c r="A1355" t="s">
        <v>861</v>
      </c>
      <c r="B1355">
        <v>2534</v>
      </c>
      <c r="C1355">
        <v>1</v>
      </c>
      <c r="D1355" t="s">
        <v>378</v>
      </c>
      <c r="E1355" s="9">
        <v>0</v>
      </c>
      <c r="F1355" s="9">
        <v>0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9">
        <v>0</v>
      </c>
      <c r="O1355" s="9">
        <v>0</v>
      </c>
      <c r="P1355" s="9">
        <v>0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</row>
    <row r="1356" spans="1:21" x14ac:dyDescent="0.2">
      <c r="A1356" t="s">
        <v>861</v>
      </c>
      <c r="B1356">
        <v>2536</v>
      </c>
      <c r="C1356">
        <v>1</v>
      </c>
      <c r="D1356" t="s">
        <v>379</v>
      </c>
      <c r="E1356" s="9">
        <v>0</v>
      </c>
      <c r="F1356" s="9">
        <v>0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  <c r="M1356" s="9">
        <v>0</v>
      </c>
      <c r="N1356" s="9">
        <v>0</v>
      </c>
      <c r="O1356" s="9">
        <v>0</v>
      </c>
      <c r="P1356" s="9">
        <v>0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</row>
    <row r="1357" spans="1:21" x14ac:dyDescent="0.2">
      <c r="A1357" t="s">
        <v>861</v>
      </c>
      <c r="B1357">
        <v>2580</v>
      </c>
      <c r="C1357">
        <v>1</v>
      </c>
      <c r="D1357" t="s">
        <v>380</v>
      </c>
      <c r="E1357" s="9">
        <v>0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0</v>
      </c>
      <c r="N1357" s="9">
        <v>0</v>
      </c>
      <c r="O1357" s="9">
        <v>0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</row>
    <row r="1358" spans="1:21" x14ac:dyDescent="0.2">
      <c r="A1358" t="s">
        <v>861</v>
      </c>
      <c r="B1358">
        <v>2609</v>
      </c>
      <c r="C1358">
        <v>1</v>
      </c>
      <c r="D1358" t="s">
        <v>381</v>
      </c>
      <c r="E1358" s="9">
        <v>0</v>
      </c>
      <c r="F1358" s="9">
        <v>0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M1358" s="9">
        <v>0</v>
      </c>
      <c r="N1358" s="9">
        <v>0</v>
      </c>
      <c r="O1358" s="9">
        <v>0</v>
      </c>
      <c r="P1358" s="9">
        <v>0</v>
      </c>
      <c r="Q1358" s="9">
        <v>0</v>
      </c>
      <c r="R1358" s="9">
        <v>0</v>
      </c>
      <c r="S1358" s="9">
        <v>0</v>
      </c>
      <c r="T1358" s="9">
        <v>0</v>
      </c>
      <c r="U1358" s="9">
        <v>0</v>
      </c>
    </row>
    <row r="1359" spans="1:21" x14ac:dyDescent="0.2">
      <c r="A1359" t="s">
        <v>861</v>
      </c>
      <c r="B1359">
        <v>2683</v>
      </c>
      <c r="C1359">
        <v>1</v>
      </c>
      <c r="D1359" t="s">
        <v>382</v>
      </c>
      <c r="E1359" s="9">
        <v>0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0</v>
      </c>
      <c r="O1359" s="9">
        <v>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</row>
    <row r="1360" spans="1:21" x14ac:dyDescent="0.2">
      <c r="A1360" t="s">
        <v>861</v>
      </c>
      <c r="B1360">
        <v>2687</v>
      </c>
      <c r="C1360">
        <v>1</v>
      </c>
      <c r="D1360" t="s">
        <v>383</v>
      </c>
      <c r="E1360" s="9">
        <v>0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  <c r="O1360" s="9">
        <v>0</v>
      </c>
      <c r="P1360" s="9">
        <v>0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</row>
    <row r="1361" spans="1:21" x14ac:dyDescent="0.2">
      <c r="A1361" t="s">
        <v>861</v>
      </c>
      <c r="B1361">
        <v>2689</v>
      </c>
      <c r="C1361">
        <v>1</v>
      </c>
      <c r="D1361" t="s">
        <v>384</v>
      </c>
      <c r="E1361" s="9">
        <v>0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9">
        <v>0</v>
      </c>
      <c r="O1361" s="9">
        <v>0</v>
      </c>
      <c r="P1361" s="9">
        <v>0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</row>
    <row r="1362" spans="1:21" x14ac:dyDescent="0.2">
      <c r="A1362" t="s">
        <v>861</v>
      </c>
      <c r="B1362">
        <v>2711</v>
      </c>
      <c r="C1362">
        <v>1</v>
      </c>
      <c r="D1362" t="s">
        <v>385</v>
      </c>
      <c r="E1362" s="9">
        <v>0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0</v>
      </c>
      <c r="N1362" s="9">
        <v>0</v>
      </c>
      <c r="O1362" s="9">
        <v>0</v>
      </c>
      <c r="P1362" s="9">
        <v>0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</row>
    <row r="1363" spans="1:21" x14ac:dyDescent="0.2">
      <c r="A1363" t="s">
        <v>861</v>
      </c>
      <c r="B1363">
        <v>2752</v>
      </c>
      <c r="C1363">
        <v>1</v>
      </c>
      <c r="D1363" t="s">
        <v>386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0</v>
      </c>
      <c r="N1363" s="9">
        <v>0</v>
      </c>
      <c r="O1363" s="9">
        <v>0</v>
      </c>
      <c r="P1363" s="9">
        <v>0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</row>
    <row r="1364" spans="1:21" x14ac:dyDescent="0.2">
      <c r="A1364" t="s">
        <v>861</v>
      </c>
      <c r="B1364">
        <v>2753</v>
      </c>
      <c r="C1364">
        <v>1</v>
      </c>
      <c r="D1364" t="s">
        <v>387</v>
      </c>
      <c r="E1364" s="9">
        <v>0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  <c r="M1364" s="9">
        <v>0</v>
      </c>
      <c r="N1364" s="9">
        <v>0</v>
      </c>
      <c r="O1364" s="9">
        <v>0</v>
      </c>
      <c r="P1364" s="9">
        <v>0</v>
      </c>
      <c r="Q1364" s="9">
        <v>0</v>
      </c>
      <c r="R1364" s="9">
        <v>0</v>
      </c>
      <c r="S1364" s="9">
        <v>0</v>
      </c>
      <c r="T1364" s="9">
        <v>0</v>
      </c>
      <c r="U1364" s="9">
        <v>0</v>
      </c>
    </row>
    <row r="1365" spans="1:21" x14ac:dyDescent="0.2">
      <c r="A1365" t="s">
        <v>861</v>
      </c>
      <c r="B1365">
        <v>2754</v>
      </c>
      <c r="C1365">
        <v>1</v>
      </c>
      <c r="D1365" t="s">
        <v>388</v>
      </c>
      <c r="E1365" s="9">
        <v>0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  <c r="M1365" s="9">
        <v>0</v>
      </c>
      <c r="N1365" s="9">
        <v>0</v>
      </c>
      <c r="O1365" s="9">
        <v>0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</row>
    <row r="1366" spans="1:21" x14ac:dyDescent="0.2">
      <c r="A1366" t="s">
        <v>861</v>
      </c>
      <c r="B1366">
        <v>2759</v>
      </c>
      <c r="C1366">
        <v>1</v>
      </c>
      <c r="D1366" t="s">
        <v>389</v>
      </c>
      <c r="E1366" s="9">
        <v>0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0</v>
      </c>
      <c r="N1366" s="9">
        <v>0</v>
      </c>
      <c r="O1366" s="9">
        <v>0</v>
      </c>
      <c r="P1366" s="9">
        <v>0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</row>
    <row r="1367" spans="1:21" x14ac:dyDescent="0.2">
      <c r="A1367" t="s">
        <v>861</v>
      </c>
      <c r="B1367">
        <v>2805</v>
      </c>
      <c r="C1367">
        <v>1</v>
      </c>
      <c r="D1367" t="s">
        <v>390</v>
      </c>
      <c r="E1367" s="9">
        <v>0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0</v>
      </c>
      <c r="M1367" s="9">
        <v>0</v>
      </c>
      <c r="N1367" s="9">
        <v>0</v>
      </c>
      <c r="O1367" s="9">
        <v>0</v>
      </c>
      <c r="P1367" s="9">
        <v>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</row>
    <row r="1368" spans="1:21" x14ac:dyDescent="0.2">
      <c r="A1368" t="s">
        <v>861</v>
      </c>
      <c r="B1368">
        <v>2835</v>
      </c>
      <c r="C1368">
        <v>1</v>
      </c>
      <c r="D1368" t="s">
        <v>391</v>
      </c>
      <c r="E1368" s="9">
        <v>0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0</v>
      </c>
      <c r="M1368" s="9">
        <v>0</v>
      </c>
      <c r="N1368" s="9">
        <v>0</v>
      </c>
      <c r="O1368" s="9">
        <v>0</v>
      </c>
      <c r="P1368" s="9">
        <v>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</row>
    <row r="1369" spans="1:21" x14ac:dyDescent="0.2">
      <c r="A1369" t="s">
        <v>861</v>
      </c>
      <c r="B1369">
        <v>2853</v>
      </c>
      <c r="C1369">
        <v>1</v>
      </c>
      <c r="D1369" t="s">
        <v>392</v>
      </c>
      <c r="E1369" s="9">
        <v>0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  <c r="M1369" s="9">
        <v>0</v>
      </c>
      <c r="N1369" s="9">
        <v>0</v>
      </c>
      <c r="O1369" s="9">
        <v>0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</row>
    <row r="1370" spans="1:21" x14ac:dyDescent="0.2">
      <c r="A1370" t="s">
        <v>861</v>
      </c>
      <c r="B1370">
        <v>2854</v>
      </c>
      <c r="C1370">
        <v>1</v>
      </c>
      <c r="D1370" t="s">
        <v>393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0</v>
      </c>
      <c r="M1370" s="9">
        <v>0</v>
      </c>
      <c r="N1370" s="9">
        <v>0</v>
      </c>
      <c r="O1370" s="9">
        <v>0</v>
      </c>
      <c r="P1370" s="9">
        <v>0</v>
      </c>
      <c r="Q1370" s="9">
        <v>0</v>
      </c>
      <c r="R1370" s="9">
        <v>0</v>
      </c>
      <c r="S1370" s="9">
        <v>0</v>
      </c>
      <c r="T1370" s="9">
        <v>0</v>
      </c>
      <c r="U1370" s="9">
        <v>0</v>
      </c>
    </row>
    <row r="1371" spans="1:21" x14ac:dyDescent="0.2">
      <c r="A1371" t="s">
        <v>861</v>
      </c>
      <c r="B1371">
        <v>2856</v>
      </c>
      <c r="C1371">
        <v>1</v>
      </c>
      <c r="D1371" t="s">
        <v>394</v>
      </c>
      <c r="E1371" s="9">
        <v>0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0</v>
      </c>
      <c r="L1371" s="9">
        <v>0</v>
      </c>
      <c r="M1371" s="9">
        <v>0</v>
      </c>
      <c r="N1371" s="9">
        <v>0</v>
      </c>
      <c r="O1371" s="9">
        <v>0</v>
      </c>
      <c r="P1371" s="9">
        <v>0</v>
      </c>
      <c r="Q1371" s="9">
        <v>0</v>
      </c>
      <c r="R1371" s="9">
        <v>0</v>
      </c>
      <c r="S1371" s="9">
        <v>0</v>
      </c>
      <c r="T1371" s="9">
        <v>0</v>
      </c>
      <c r="U1371" s="9">
        <v>0</v>
      </c>
    </row>
    <row r="1372" spans="1:21" x14ac:dyDescent="0.2">
      <c r="A1372" t="s">
        <v>861</v>
      </c>
      <c r="B1372">
        <v>2859</v>
      </c>
      <c r="C1372">
        <v>1</v>
      </c>
      <c r="D1372" t="s">
        <v>395</v>
      </c>
      <c r="E1372" s="9">
        <v>0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0</v>
      </c>
      <c r="M1372" s="9">
        <v>0</v>
      </c>
      <c r="N1372" s="9">
        <v>0</v>
      </c>
      <c r="O1372" s="9">
        <v>0</v>
      </c>
      <c r="P1372" s="9">
        <v>0</v>
      </c>
      <c r="Q1372" s="9">
        <v>0</v>
      </c>
      <c r="R1372" s="9">
        <v>0</v>
      </c>
      <c r="S1372" s="9">
        <v>0</v>
      </c>
      <c r="T1372" s="9">
        <v>0</v>
      </c>
      <c r="U1372" s="9">
        <v>0</v>
      </c>
    </row>
    <row r="1373" spans="1:21" x14ac:dyDescent="0.2">
      <c r="A1373" t="s">
        <v>861</v>
      </c>
      <c r="B1373">
        <v>2860</v>
      </c>
      <c r="C1373">
        <v>1</v>
      </c>
      <c r="D1373" t="s">
        <v>396</v>
      </c>
      <c r="E1373" s="9">
        <v>0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0</v>
      </c>
      <c r="M1373" s="9">
        <v>0</v>
      </c>
      <c r="N1373" s="9">
        <v>0</v>
      </c>
      <c r="O1373" s="9">
        <v>0</v>
      </c>
      <c r="P1373" s="9">
        <v>0</v>
      </c>
      <c r="Q1373" s="9">
        <v>0</v>
      </c>
      <c r="R1373" s="9">
        <v>0</v>
      </c>
      <c r="S1373" s="9">
        <v>0</v>
      </c>
      <c r="T1373" s="9">
        <v>0</v>
      </c>
      <c r="U1373" s="9">
        <v>0</v>
      </c>
    </row>
    <row r="1374" spans="1:21" x14ac:dyDescent="0.2">
      <c r="A1374" t="s">
        <v>861</v>
      </c>
      <c r="B1374">
        <v>2884</v>
      </c>
      <c r="C1374">
        <v>1</v>
      </c>
      <c r="D1374" t="s">
        <v>397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0</v>
      </c>
      <c r="M1374" s="9">
        <v>0</v>
      </c>
      <c r="N1374" s="9">
        <v>0</v>
      </c>
      <c r="O1374" s="9">
        <v>0</v>
      </c>
      <c r="P1374" s="9">
        <v>0</v>
      </c>
      <c r="Q1374" s="9">
        <v>0</v>
      </c>
      <c r="R1374" s="9">
        <v>0</v>
      </c>
      <c r="S1374" s="9">
        <v>0</v>
      </c>
      <c r="T1374" s="9">
        <v>0</v>
      </c>
      <c r="U1374" s="9">
        <v>0</v>
      </c>
    </row>
    <row r="1375" spans="1:21" x14ac:dyDescent="0.2">
      <c r="A1375" t="s">
        <v>861</v>
      </c>
      <c r="B1375">
        <v>2886</v>
      </c>
      <c r="C1375">
        <v>1</v>
      </c>
      <c r="D1375" t="s">
        <v>398</v>
      </c>
      <c r="E1375" s="9">
        <v>0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  <c r="M1375" s="9">
        <v>0</v>
      </c>
      <c r="N1375" s="9">
        <v>0</v>
      </c>
      <c r="O1375" s="9">
        <v>0</v>
      </c>
      <c r="P1375" s="9">
        <v>0</v>
      </c>
      <c r="Q1375" s="9">
        <v>0</v>
      </c>
      <c r="R1375" s="9">
        <v>0</v>
      </c>
      <c r="S1375" s="9">
        <v>0</v>
      </c>
      <c r="T1375" s="9">
        <v>0</v>
      </c>
      <c r="U1375" s="9">
        <v>0</v>
      </c>
    </row>
    <row r="1376" spans="1:21" x14ac:dyDescent="0.2">
      <c r="A1376" t="s">
        <v>861</v>
      </c>
      <c r="B1376">
        <v>2887</v>
      </c>
      <c r="C1376">
        <v>1</v>
      </c>
      <c r="D1376" t="s">
        <v>399</v>
      </c>
      <c r="E1376" s="9">
        <v>0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0</v>
      </c>
      <c r="M1376" s="9">
        <v>0</v>
      </c>
      <c r="N1376" s="9">
        <v>0</v>
      </c>
      <c r="O1376" s="9">
        <v>0</v>
      </c>
      <c r="P1376" s="9">
        <v>0</v>
      </c>
      <c r="Q1376" s="9">
        <v>0</v>
      </c>
      <c r="R1376" s="9">
        <v>0</v>
      </c>
      <c r="S1376" s="9">
        <v>0</v>
      </c>
      <c r="T1376" s="9">
        <v>0</v>
      </c>
      <c r="U1376" s="9">
        <v>0</v>
      </c>
    </row>
    <row r="1377" spans="1:21" x14ac:dyDescent="0.2">
      <c r="A1377" t="s">
        <v>861</v>
      </c>
      <c r="B1377">
        <v>2888</v>
      </c>
      <c r="C1377">
        <v>1</v>
      </c>
      <c r="D1377" t="s">
        <v>400</v>
      </c>
      <c r="E1377" s="9">
        <v>0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  <c r="M1377" s="9">
        <v>0</v>
      </c>
      <c r="N1377" s="9">
        <v>0</v>
      </c>
      <c r="O1377" s="9">
        <v>0</v>
      </c>
      <c r="P1377" s="9">
        <v>0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</row>
    <row r="1378" spans="1:21" x14ac:dyDescent="0.2">
      <c r="A1378" t="s">
        <v>861</v>
      </c>
      <c r="B1378">
        <v>2889</v>
      </c>
      <c r="C1378">
        <v>1</v>
      </c>
      <c r="D1378" t="s">
        <v>401</v>
      </c>
      <c r="E1378" s="9">
        <v>0</v>
      </c>
      <c r="F1378" s="9">
        <v>0</v>
      </c>
      <c r="G1378" s="9">
        <v>0</v>
      </c>
      <c r="H1378" s="9">
        <v>0</v>
      </c>
      <c r="I1378" s="9">
        <v>0</v>
      </c>
      <c r="J1378" s="9">
        <v>0</v>
      </c>
      <c r="K1378" s="9">
        <v>0</v>
      </c>
      <c r="L1378" s="9">
        <v>0</v>
      </c>
      <c r="M1378" s="9">
        <v>0</v>
      </c>
      <c r="N1378" s="9">
        <v>0</v>
      </c>
      <c r="O1378" s="9">
        <v>0</v>
      </c>
      <c r="P1378" s="9">
        <v>0</v>
      </c>
      <c r="Q1378" s="9">
        <v>0</v>
      </c>
      <c r="R1378" s="9">
        <v>0</v>
      </c>
      <c r="S1378" s="9">
        <v>0</v>
      </c>
      <c r="T1378" s="9">
        <v>0</v>
      </c>
      <c r="U1378" s="9">
        <v>0</v>
      </c>
    </row>
    <row r="1379" spans="1:21" x14ac:dyDescent="0.2">
      <c r="A1379" t="s">
        <v>861</v>
      </c>
      <c r="B1379">
        <v>2890</v>
      </c>
      <c r="C1379">
        <v>1</v>
      </c>
      <c r="D1379" t="s">
        <v>402</v>
      </c>
      <c r="E1379" s="9">
        <v>0</v>
      </c>
      <c r="F1379" s="9">
        <v>0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0</v>
      </c>
      <c r="O1379" s="9">
        <v>0</v>
      </c>
      <c r="P1379" s="9">
        <v>0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</row>
    <row r="1380" spans="1:21" x14ac:dyDescent="0.2">
      <c r="A1380" t="s">
        <v>861</v>
      </c>
      <c r="B1380">
        <v>2895</v>
      </c>
      <c r="C1380">
        <v>1</v>
      </c>
      <c r="D1380" t="s">
        <v>403</v>
      </c>
      <c r="E1380" s="9">
        <v>0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  <c r="O1380" s="9">
        <v>0</v>
      </c>
      <c r="P1380" s="9">
        <v>0</v>
      </c>
      <c r="Q1380" s="9">
        <v>0</v>
      </c>
      <c r="R1380" s="9">
        <v>0</v>
      </c>
      <c r="S1380" s="9">
        <v>0</v>
      </c>
      <c r="T1380" s="9">
        <v>0</v>
      </c>
      <c r="U1380" s="9">
        <v>0</v>
      </c>
    </row>
    <row r="1381" spans="1:21" x14ac:dyDescent="0.2">
      <c r="A1381" t="s">
        <v>861</v>
      </c>
      <c r="B1381">
        <v>2897</v>
      </c>
      <c r="C1381">
        <v>1</v>
      </c>
      <c r="D1381" t="s">
        <v>404</v>
      </c>
      <c r="E1381" s="9">
        <v>0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  <c r="O1381" s="9">
        <v>0</v>
      </c>
      <c r="P1381" s="9">
        <v>0</v>
      </c>
      <c r="Q1381" s="9">
        <v>0</v>
      </c>
      <c r="R1381" s="9">
        <v>0</v>
      </c>
      <c r="S1381" s="9">
        <v>0</v>
      </c>
      <c r="T1381" s="9">
        <v>0</v>
      </c>
      <c r="U1381" s="9">
        <v>0</v>
      </c>
    </row>
    <row r="1382" spans="1:21" x14ac:dyDescent="0.2">
      <c r="A1382" t="s">
        <v>861</v>
      </c>
      <c r="B1382">
        <v>2898</v>
      </c>
      <c r="C1382">
        <v>1</v>
      </c>
      <c r="D1382" t="s">
        <v>405</v>
      </c>
      <c r="E1382" s="9">
        <v>0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  <c r="O1382" s="9">
        <v>0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0</v>
      </c>
    </row>
    <row r="1383" spans="1:21" x14ac:dyDescent="0.2">
      <c r="E1383" s="3"/>
    </row>
    <row r="1384" spans="1:21" x14ac:dyDescent="0.2">
      <c r="A1384" t="s">
        <v>860</v>
      </c>
      <c r="B1384">
        <v>1</v>
      </c>
      <c r="C1384">
        <v>1</v>
      </c>
      <c r="D1384" t="s">
        <v>63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</row>
    <row r="1385" spans="1:21" x14ac:dyDescent="0.2">
      <c r="A1385" t="s">
        <v>860</v>
      </c>
      <c r="B1385">
        <v>1.2</v>
      </c>
      <c r="C1385">
        <v>3</v>
      </c>
      <c r="D1385" t="s">
        <v>64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</row>
    <row r="1386" spans="1:21" x14ac:dyDescent="0.2">
      <c r="A1386" t="s">
        <v>860</v>
      </c>
      <c r="B1386">
        <v>2</v>
      </c>
      <c r="C1386">
        <v>1</v>
      </c>
      <c r="D1386" t="s">
        <v>65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</row>
    <row r="1387" spans="1:21" x14ac:dyDescent="0.2">
      <c r="A1387" t="s">
        <v>860</v>
      </c>
      <c r="B1387">
        <v>4</v>
      </c>
      <c r="C1387">
        <v>1</v>
      </c>
      <c r="D1387" t="s">
        <v>66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</row>
    <row r="1388" spans="1:21" x14ac:dyDescent="0.2">
      <c r="A1388" t="s">
        <v>860</v>
      </c>
      <c r="B1388">
        <v>6</v>
      </c>
      <c r="C1388">
        <v>3</v>
      </c>
      <c r="D1388" t="s">
        <v>67</v>
      </c>
      <c r="E1388" s="3">
        <v>0</v>
      </c>
      <c r="F1388" s="3">
        <v>0</v>
      </c>
      <c r="G1388" s="3">
        <v>0</v>
      </c>
      <c r="H1388" s="3">
        <v>0</v>
      </c>
      <c r="I1388" s="3">
        <v>869.57</v>
      </c>
      <c r="J1388" s="3">
        <v>869.57</v>
      </c>
      <c r="K1388" s="3">
        <v>869.57</v>
      </c>
      <c r="L1388" s="3">
        <v>869.57</v>
      </c>
      <c r="M1388" s="3">
        <v>869.57</v>
      </c>
      <c r="N1388" s="3">
        <v>869.57</v>
      </c>
      <c r="O1388" s="3">
        <v>869.57</v>
      </c>
      <c r="P1388" s="3">
        <v>869.57</v>
      </c>
      <c r="Q1388" s="3">
        <v>869.57</v>
      </c>
      <c r="R1388" s="3">
        <v>869.57</v>
      </c>
      <c r="S1388" s="3">
        <v>0</v>
      </c>
      <c r="T1388" s="3">
        <v>0</v>
      </c>
      <c r="U1388" s="3">
        <v>0</v>
      </c>
    </row>
    <row r="1389" spans="1:21" x14ac:dyDescent="0.2">
      <c r="A1389" t="s">
        <v>860</v>
      </c>
      <c r="B1389">
        <v>11</v>
      </c>
      <c r="C1389">
        <v>1</v>
      </c>
      <c r="D1389" t="s">
        <v>68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</row>
    <row r="1390" spans="1:21" x14ac:dyDescent="0.2">
      <c r="A1390" t="s">
        <v>860</v>
      </c>
      <c r="B1390">
        <v>12</v>
      </c>
      <c r="C1390">
        <v>1</v>
      </c>
      <c r="D1390" t="s">
        <v>69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</row>
    <row r="1391" spans="1:21" x14ac:dyDescent="0.2">
      <c r="A1391" t="s">
        <v>860</v>
      </c>
      <c r="B1391">
        <v>13</v>
      </c>
      <c r="C1391">
        <v>1</v>
      </c>
      <c r="D1391" t="s">
        <v>70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</row>
    <row r="1392" spans="1:21" x14ac:dyDescent="0.2">
      <c r="A1392" t="s">
        <v>860</v>
      </c>
      <c r="B1392">
        <v>14</v>
      </c>
      <c r="C1392">
        <v>1</v>
      </c>
      <c r="D1392" t="s">
        <v>71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</row>
    <row r="1393" spans="1:21" x14ac:dyDescent="0.2">
      <c r="A1393" t="s">
        <v>860</v>
      </c>
      <c r="B1393">
        <v>15</v>
      </c>
      <c r="C1393">
        <v>1</v>
      </c>
      <c r="D1393" t="s">
        <v>72</v>
      </c>
      <c r="E1393" s="3">
        <v>0</v>
      </c>
      <c r="F1393" s="3">
        <v>0</v>
      </c>
      <c r="G1393" s="3">
        <v>0</v>
      </c>
      <c r="H1393" s="3">
        <v>0</v>
      </c>
      <c r="I1393" s="3">
        <v>383.75</v>
      </c>
      <c r="J1393" s="3">
        <v>383.75</v>
      </c>
      <c r="K1393" s="3">
        <v>383.75</v>
      </c>
      <c r="L1393" s="3">
        <v>383.75</v>
      </c>
      <c r="M1393" s="3">
        <v>383.75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</row>
    <row r="1394" spans="1:21" x14ac:dyDescent="0.2">
      <c r="A1394" t="s">
        <v>860</v>
      </c>
      <c r="B1394">
        <v>16</v>
      </c>
      <c r="C1394">
        <v>1</v>
      </c>
      <c r="D1394" t="s">
        <v>73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</row>
    <row r="1395" spans="1:21" x14ac:dyDescent="0.2">
      <c r="A1395" t="s">
        <v>860</v>
      </c>
      <c r="B1395">
        <v>22</v>
      </c>
      <c r="C1395">
        <v>1</v>
      </c>
      <c r="D1395" t="s">
        <v>74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</row>
    <row r="1396" spans="1:21" x14ac:dyDescent="0.2">
      <c r="A1396" t="s">
        <v>860</v>
      </c>
      <c r="B1396">
        <v>23</v>
      </c>
      <c r="C1396">
        <v>1</v>
      </c>
      <c r="D1396" t="s">
        <v>75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</row>
    <row r="1397" spans="1:21" x14ac:dyDescent="0.2">
      <c r="A1397" t="s">
        <v>860</v>
      </c>
      <c r="B1397">
        <v>25</v>
      </c>
      <c r="C1397">
        <v>1</v>
      </c>
      <c r="D1397" t="s">
        <v>76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</row>
    <row r="1398" spans="1:21" x14ac:dyDescent="0.2">
      <c r="A1398" t="s">
        <v>860</v>
      </c>
      <c r="B1398">
        <v>31</v>
      </c>
      <c r="C1398">
        <v>1</v>
      </c>
      <c r="D1398" t="s">
        <v>77</v>
      </c>
      <c r="E1398" s="3">
        <v>0</v>
      </c>
      <c r="F1398" s="3">
        <v>0</v>
      </c>
      <c r="G1398" s="3">
        <v>0</v>
      </c>
      <c r="H1398" s="3">
        <v>0</v>
      </c>
      <c r="I1398" s="3">
        <v>501</v>
      </c>
      <c r="J1398" s="3">
        <v>501</v>
      </c>
      <c r="K1398" s="3">
        <v>501</v>
      </c>
      <c r="L1398" s="3">
        <v>501</v>
      </c>
      <c r="M1398" s="3">
        <v>501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</row>
    <row r="1399" spans="1:21" x14ac:dyDescent="0.2">
      <c r="A1399" t="s">
        <v>860</v>
      </c>
      <c r="B1399">
        <v>32</v>
      </c>
      <c r="C1399">
        <v>1</v>
      </c>
      <c r="D1399" t="s">
        <v>78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</row>
    <row r="1400" spans="1:21" x14ac:dyDescent="0.2">
      <c r="A1400" t="s">
        <v>860</v>
      </c>
      <c r="B1400">
        <v>36</v>
      </c>
      <c r="C1400">
        <v>1</v>
      </c>
      <c r="D1400" t="s">
        <v>79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</row>
    <row r="1401" spans="1:21" x14ac:dyDescent="0.2">
      <c r="A1401" t="s">
        <v>860</v>
      </c>
      <c r="B1401">
        <v>38</v>
      </c>
      <c r="C1401">
        <v>1</v>
      </c>
      <c r="D1401" t="s">
        <v>80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</row>
    <row r="1402" spans="1:21" x14ac:dyDescent="0.2">
      <c r="A1402" t="s">
        <v>860</v>
      </c>
      <c r="B1402">
        <v>47</v>
      </c>
      <c r="C1402">
        <v>1</v>
      </c>
      <c r="D1402" t="s">
        <v>81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</row>
    <row r="1403" spans="1:21" x14ac:dyDescent="0.2">
      <c r="A1403" t="s">
        <v>860</v>
      </c>
      <c r="B1403">
        <v>51</v>
      </c>
      <c r="C1403">
        <v>1</v>
      </c>
      <c r="D1403" t="s">
        <v>82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</row>
    <row r="1404" spans="1:21" x14ac:dyDescent="0.2">
      <c r="A1404" t="s">
        <v>860</v>
      </c>
      <c r="B1404">
        <v>62</v>
      </c>
      <c r="C1404">
        <v>1</v>
      </c>
      <c r="D1404" t="s">
        <v>83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</row>
    <row r="1405" spans="1:21" x14ac:dyDescent="0.2">
      <c r="A1405" t="s">
        <v>860</v>
      </c>
      <c r="B1405">
        <v>75</v>
      </c>
      <c r="C1405">
        <v>1</v>
      </c>
      <c r="D1405" t="s">
        <v>84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</row>
    <row r="1406" spans="1:21" x14ac:dyDescent="0.2">
      <c r="A1406" t="s">
        <v>860</v>
      </c>
      <c r="B1406">
        <v>77</v>
      </c>
      <c r="C1406">
        <v>1</v>
      </c>
      <c r="D1406" t="s">
        <v>85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</row>
    <row r="1407" spans="1:21" x14ac:dyDescent="0.2">
      <c r="A1407" t="s">
        <v>860</v>
      </c>
      <c r="B1407">
        <v>81</v>
      </c>
      <c r="C1407">
        <v>1</v>
      </c>
      <c r="D1407" t="s">
        <v>86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</row>
    <row r="1408" spans="1:21" x14ac:dyDescent="0.2">
      <c r="A1408" t="s">
        <v>860</v>
      </c>
      <c r="B1408">
        <v>84</v>
      </c>
      <c r="C1408">
        <v>1</v>
      </c>
      <c r="D1408" t="s">
        <v>87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</row>
    <row r="1409" spans="1:21" x14ac:dyDescent="0.2">
      <c r="A1409" t="s">
        <v>860</v>
      </c>
      <c r="B1409">
        <v>85</v>
      </c>
      <c r="C1409">
        <v>1</v>
      </c>
      <c r="D1409" t="s">
        <v>88</v>
      </c>
      <c r="E1409" s="3">
        <v>0</v>
      </c>
      <c r="F1409" s="3">
        <v>0</v>
      </c>
      <c r="G1409" s="3">
        <v>0</v>
      </c>
      <c r="H1409" s="3">
        <v>0</v>
      </c>
      <c r="I1409" s="3">
        <v>600</v>
      </c>
      <c r="J1409" s="3">
        <v>600</v>
      </c>
      <c r="K1409" s="3">
        <v>600</v>
      </c>
      <c r="L1409" s="3">
        <v>600</v>
      </c>
      <c r="M1409" s="3">
        <v>600</v>
      </c>
      <c r="N1409" s="3">
        <v>600</v>
      </c>
      <c r="O1409" s="3">
        <v>600</v>
      </c>
      <c r="P1409" s="3">
        <v>600</v>
      </c>
      <c r="Q1409" s="3">
        <v>600</v>
      </c>
      <c r="R1409" s="3">
        <v>600</v>
      </c>
      <c r="S1409" s="3">
        <v>0</v>
      </c>
      <c r="T1409" s="3">
        <v>0</v>
      </c>
      <c r="U1409" s="3">
        <v>0</v>
      </c>
    </row>
    <row r="1410" spans="1:21" x14ac:dyDescent="0.2">
      <c r="A1410" t="s">
        <v>860</v>
      </c>
      <c r="B1410">
        <v>88</v>
      </c>
      <c r="C1410">
        <v>1</v>
      </c>
      <c r="D1410" t="s">
        <v>89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</row>
    <row r="1411" spans="1:21" x14ac:dyDescent="0.2">
      <c r="A1411" t="s">
        <v>860</v>
      </c>
      <c r="B1411">
        <v>91</v>
      </c>
      <c r="C1411">
        <v>1</v>
      </c>
      <c r="D1411" t="s">
        <v>90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</row>
    <row r="1412" spans="1:21" x14ac:dyDescent="0.2">
      <c r="A1412" t="s">
        <v>860</v>
      </c>
      <c r="B1412">
        <v>93</v>
      </c>
      <c r="C1412">
        <v>1</v>
      </c>
      <c r="D1412" t="s">
        <v>91</v>
      </c>
      <c r="E1412" s="3">
        <v>0</v>
      </c>
      <c r="F1412" s="3">
        <v>0</v>
      </c>
      <c r="G1412" s="3">
        <v>0</v>
      </c>
      <c r="H1412" s="3">
        <v>0</v>
      </c>
      <c r="I1412" s="3">
        <v>500</v>
      </c>
      <c r="J1412" s="3">
        <v>500</v>
      </c>
      <c r="K1412" s="3">
        <v>500</v>
      </c>
      <c r="L1412" s="3">
        <v>500</v>
      </c>
      <c r="M1412" s="3">
        <v>500</v>
      </c>
      <c r="N1412" s="3">
        <v>500</v>
      </c>
      <c r="O1412" s="3">
        <v>500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</row>
    <row r="1413" spans="1:21" x14ac:dyDescent="0.2">
      <c r="A1413" t="s">
        <v>860</v>
      </c>
      <c r="B1413">
        <v>94</v>
      </c>
      <c r="C1413">
        <v>1</v>
      </c>
      <c r="D1413" t="s">
        <v>92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</row>
    <row r="1414" spans="1:21" x14ac:dyDescent="0.2">
      <c r="A1414" t="s">
        <v>860</v>
      </c>
      <c r="B1414">
        <v>95</v>
      </c>
      <c r="C1414">
        <v>1</v>
      </c>
      <c r="D1414" t="s">
        <v>93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</row>
    <row r="1415" spans="1:21" x14ac:dyDescent="0.2">
      <c r="A1415" t="s">
        <v>860</v>
      </c>
      <c r="B1415">
        <v>97</v>
      </c>
      <c r="C1415">
        <v>1</v>
      </c>
      <c r="D1415" t="s">
        <v>94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</row>
    <row r="1416" spans="1:21" x14ac:dyDescent="0.2">
      <c r="A1416" t="s">
        <v>860</v>
      </c>
      <c r="B1416">
        <v>99</v>
      </c>
      <c r="C1416">
        <v>1</v>
      </c>
      <c r="D1416" t="s">
        <v>95</v>
      </c>
      <c r="E1416" s="3">
        <v>0</v>
      </c>
      <c r="F1416" s="3">
        <v>0</v>
      </c>
      <c r="G1416" s="3">
        <v>0</v>
      </c>
      <c r="H1416" s="3">
        <v>0</v>
      </c>
      <c r="I1416" s="3">
        <v>404</v>
      </c>
      <c r="J1416" s="3">
        <v>404</v>
      </c>
      <c r="K1416" s="3">
        <v>404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</row>
    <row r="1417" spans="1:21" x14ac:dyDescent="0.2">
      <c r="A1417" t="s">
        <v>860</v>
      </c>
      <c r="B1417">
        <v>100</v>
      </c>
      <c r="C1417">
        <v>1</v>
      </c>
      <c r="D1417" t="s">
        <v>96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</row>
    <row r="1418" spans="1:21" x14ac:dyDescent="0.2">
      <c r="A1418" t="s">
        <v>860</v>
      </c>
      <c r="B1418">
        <v>108</v>
      </c>
      <c r="C1418">
        <v>1</v>
      </c>
      <c r="D1418" t="s">
        <v>97</v>
      </c>
      <c r="E1418" s="3">
        <v>0</v>
      </c>
      <c r="F1418" s="3">
        <v>0</v>
      </c>
      <c r="G1418" s="3">
        <v>0</v>
      </c>
      <c r="H1418" s="3">
        <v>0</v>
      </c>
      <c r="I1418" s="3">
        <v>500</v>
      </c>
      <c r="J1418" s="3">
        <v>500</v>
      </c>
      <c r="K1418" s="3">
        <v>500</v>
      </c>
      <c r="L1418" s="3">
        <v>500</v>
      </c>
      <c r="M1418" s="3">
        <v>500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</row>
    <row r="1419" spans="1:21" x14ac:dyDescent="0.2">
      <c r="A1419" t="s">
        <v>860</v>
      </c>
      <c r="B1419">
        <v>110</v>
      </c>
      <c r="C1419">
        <v>1</v>
      </c>
      <c r="D1419" t="s">
        <v>98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</row>
    <row r="1420" spans="1:21" x14ac:dyDescent="0.2">
      <c r="A1420" t="s">
        <v>860</v>
      </c>
      <c r="B1420">
        <v>111</v>
      </c>
      <c r="C1420">
        <v>1</v>
      </c>
      <c r="D1420" t="s">
        <v>99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</row>
    <row r="1421" spans="1:21" x14ac:dyDescent="0.2">
      <c r="A1421" t="s">
        <v>860</v>
      </c>
      <c r="B1421">
        <v>112</v>
      </c>
      <c r="C1421">
        <v>1</v>
      </c>
      <c r="D1421" t="s">
        <v>100</v>
      </c>
      <c r="E1421" s="3">
        <v>0</v>
      </c>
      <c r="F1421" s="3">
        <v>0</v>
      </c>
      <c r="G1421" s="3">
        <v>0</v>
      </c>
      <c r="H1421" s="3">
        <v>0</v>
      </c>
      <c r="I1421" s="3">
        <v>768.24</v>
      </c>
      <c r="J1421" s="3">
        <v>768.24</v>
      </c>
      <c r="K1421" s="3">
        <v>768.24</v>
      </c>
      <c r="L1421" s="3">
        <v>768.24</v>
      </c>
      <c r="M1421" s="3">
        <v>768.24</v>
      </c>
      <c r="N1421" s="3">
        <v>768.24</v>
      </c>
      <c r="O1421" s="3">
        <v>768.24</v>
      </c>
      <c r="P1421" s="3">
        <v>768.24</v>
      </c>
      <c r="Q1421" s="3">
        <v>768.24</v>
      </c>
      <c r="R1421" s="3">
        <v>768.24</v>
      </c>
      <c r="S1421" s="3">
        <v>0</v>
      </c>
      <c r="T1421" s="3">
        <v>0</v>
      </c>
      <c r="U1421" s="3">
        <v>0</v>
      </c>
    </row>
    <row r="1422" spans="1:21" x14ac:dyDescent="0.2">
      <c r="A1422" t="s">
        <v>860</v>
      </c>
      <c r="B1422">
        <v>113</v>
      </c>
      <c r="C1422">
        <v>1</v>
      </c>
      <c r="D1422" t="s">
        <v>101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</row>
    <row r="1423" spans="1:21" x14ac:dyDescent="0.2">
      <c r="A1423" t="s">
        <v>860</v>
      </c>
      <c r="B1423">
        <v>115</v>
      </c>
      <c r="C1423">
        <v>1</v>
      </c>
      <c r="D1423" t="s">
        <v>102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</row>
    <row r="1424" spans="1:21" x14ac:dyDescent="0.2">
      <c r="A1424" t="s">
        <v>860</v>
      </c>
      <c r="B1424">
        <v>116</v>
      </c>
      <c r="C1424">
        <v>1</v>
      </c>
      <c r="D1424" t="s">
        <v>103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</row>
    <row r="1425" spans="1:21" x14ac:dyDescent="0.2">
      <c r="A1425" t="s">
        <v>860</v>
      </c>
      <c r="B1425">
        <v>118</v>
      </c>
      <c r="C1425">
        <v>1</v>
      </c>
      <c r="D1425" t="s">
        <v>104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</row>
    <row r="1426" spans="1:21" x14ac:dyDescent="0.2">
      <c r="A1426" t="s">
        <v>860</v>
      </c>
      <c r="B1426">
        <v>129</v>
      </c>
      <c r="C1426">
        <v>1</v>
      </c>
      <c r="D1426" t="s">
        <v>105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</row>
    <row r="1427" spans="1:21" x14ac:dyDescent="0.2">
      <c r="A1427" t="s">
        <v>860</v>
      </c>
      <c r="B1427">
        <v>138</v>
      </c>
      <c r="C1427">
        <v>1</v>
      </c>
      <c r="D1427" t="s">
        <v>106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</row>
    <row r="1428" spans="1:21" x14ac:dyDescent="0.2">
      <c r="A1428" t="s">
        <v>860</v>
      </c>
      <c r="B1428">
        <v>139</v>
      </c>
      <c r="C1428">
        <v>1</v>
      </c>
      <c r="D1428" t="s">
        <v>107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</row>
    <row r="1429" spans="1:21" x14ac:dyDescent="0.2">
      <c r="A1429" t="s">
        <v>860</v>
      </c>
      <c r="B1429">
        <v>146</v>
      </c>
      <c r="C1429">
        <v>1</v>
      </c>
      <c r="D1429" t="s">
        <v>108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</row>
    <row r="1430" spans="1:21" x14ac:dyDescent="0.2">
      <c r="A1430" t="s">
        <v>860</v>
      </c>
      <c r="B1430">
        <v>150</v>
      </c>
      <c r="C1430">
        <v>1</v>
      </c>
      <c r="D1430" t="s">
        <v>109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</row>
    <row r="1431" spans="1:21" x14ac:dyDescent="0.2">
      <c r="A1431" t="s">
        <v>860</v>
      </c>
      <c r="B1431">
        <v>152</v>
      </c>
      <c r="C1431">
        <v>1</v>
      </c>
      <c r="D1431" t="s">
        <v>110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</row>
    <row r="1432" spans="1:21" x14ac:dyDescent="0.2">
      <c r="A1432" t="s">
        <v>860</v>
      </c>
      <c r="B1432">
        <v>162</v>
      </c>
      <c r="C1432">
        <v>1</v>
      </c>
      <c r="D1432" t="s">
        <v>111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</row>
    <row r="1433" spans="1:21" x14ac:dyDescent="0.2">
      <c r="A1433" t="s">
        <v>860</v>
      </c>
      <c r="B1433">
        <v>166</v>
      </c>
      <c r="C1433">
        <v>1</v>
      </c>
      <c r="D1433" t="s">
        <v>112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</row>
    <row r="1434" spans="1:21" x14ac:dyDescent="0.2">
      <c r="A1434" t="s">
        <v>860</v>
      </c>
      <c r="B1434">
        <v>173</v>
      </c>
      <c r="C1434">
        <v>1</v>
      </c>
      <c r="D1434" t="s">
        <v>113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</row>
    <row r="1435" spans="1:21" x14ac:dyDescent="0.2">
      <c r="A1435" t="s">
        <v>860</v>
      </c>
      <c r="B1435">
        <v>177</v>
      </c>
      <c r="C1435">
        <v>1</v>
      </c>
      <c r="D1435" t="s">
        <v>114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</row>
    <row r="1436" spans="1:21" x14ac:dyDescent="0.2">
      <c r="A1436" t="s">
        <v>860</v>
      </c>
      <c r="B1436">
        <v>181</v>
      </c>
      <c r="C1436">
        <v>1</v>
      </c>
      <c r="D1436" t="s">
        <v>115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</row>
    <row r="1437" spans="1:21" x14ac:dyDescent="0.2">
      <c r="A1437" t="s">
        <v>860</v>
      </c>
      <c r="B1437">
        <v>182</v>
      </c>
      <c r="C1437">
        <v>1</v>
      </c>
      <c r="D1437" t="s">
        <v>116</v>
      </c>
      <c r="E1437" s="3">
        <v>0</v>
      </c>
      <c r="F1437" s="3">
        <v>0</v>
      </c>
      <c r="G1437" s="3">
        <v>0</v>
      </c>
      <c r="H1437" s="3">
        <v>0</v>
      </c>
      <c r="I1437" s="3">
        <v>404</v>
      </c>
      <c r="J1437" s="3">
        <v>404</v>
      </c>
      <c r="K1437" s="3">
        <v>404</v>
      </c>
      <c r="L1437" s="3">
        <v>404</v>
      </c>
      <c r="M1437" s="3">
        <v>404</v>
      </c>
      <c r="N1437" s="3">
        <v>404</v>
      </c>
      <c r="O1437" s="3">
        <v>404</v>
      </c>
      <c r="P1437" s="3">
        <v>404</v>
      </c>
      <c r="Q1437" s="3">
        <v>404</v>
      </c>
      <c r="R1437" s="3">
        <v>404</v>
      </c>
      <c r="S1437" s="3">
        <v>0</v>
      </c>
      <c r="T1437" s="3">
        <v>0</v>
      </c>
      <c r="U1437" s="3">
        <v>0</v>
      </c>
    </row>
    <row r="1438" spans="1:21" x14ac:dyDescent="0.2">
      <c r="A1438" t="s">
        <v>860</v>
      </c>
      <c r="B1438">
        <v>186</v>
      </c>
      <c r="C1438">
        <v>1</v>
      </c>
      <c r="D1438" t="s">
        <v>117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</row>
    <row r="1439" spans="1:21" x14ac:dyDescent="0.2">
      <c r="A1439" t="s">
        <v>860</v>
      </c>
      <c r="B1439">
        <v>191</v>
      </c>
      <c r="C1439">
        <v>1</v>
      </c>
      <c r="D1439" t="s">
        <v>118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</row>
    <row r="1440" spans="1:21" x14ac:dyDescent="0.2">
      <c r="A1440" t="s">
        <v>860</v>
      </c>
      <c r="B1440">
        <v>192</v>
      </c>
      <c r="C1440">
        <v>1</v>
      </c>
      <c r="D1440" t="s">
        <v>119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</row>
    <row r="1441" spans="1:21" x14ac:dyDescent="0.2">
      <c r="A1441" t="s">
        <v>860</v>
      </c>
      <c r="B1441">
        <v>194</v>
      </c>
      <c r="C1441">
        <v>1</v>
      </c>
      <c r="D1441" t="s">
        <v>120</v>
      </c>
      <c r="E1441" s="3">
        <v>0</v>
      </c>
      <c r="F1441" s="3">
        <v>0</v>
      </c>
      <c r="G1441" s="3">
        <v>0</v>
      </c>
      <c r="H1441" s="3">
        <v>0</v>
      </c>
      <c r="I1441" s="3">
        <v>375</v>
      </c>
      <c r="J1441" s="3">
        <v>375</v>
      </c>
      <c r="K1441" s="3">
        <v>375</v>
      </c>
      <c r="L1441" s="3">
        <v>375</v>
      </c>
      <c r="M1441" s="3">
        <v>250</v>
      </c>
      <c r="N1441" s="3">
        <v>250</v>
      </c>
      <c r="O1441" s="3">
        <v>250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</row>
    <row r="1442" spans="1:21" x14ac:dyDescent="0.2">
      <c r="A1442" t="s">
        <v>860</v>
      </c>
      <c r="B1442">
        <v>195</v>
      </c>
      <c r="C1442">
        <v>1</v>
      </c>
      <c r="D1442" t="s">
        <v>121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</row>
    <row r="1443" spans="1:21" x14ac:dyDescent="0.2">
      <c r="A1443" t="s">
        <v>860</v>
      </c>
      <c r="B1443">
        <v>196</v>
      </c>
      <c r="C1443">
        <v>1</v>
      </c>
      <c r="D1443" t="s">
        <v>122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</row>
    <row r="1444" spans="1:21" x14ac:dyDescent="0.2">
      <c r="A1444" t="s">
        <v>860</v>
      </c>
      <c r="B1444">
        <v>197</v>
      </c>
      <c r="C1444">
        <v>1</v>
      </c>
      <c r="D1444" t="s">
        <v>123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</row>
    <row r="1445" spans="1:21" x14ac:dyDescent="0.2">
      <c r="A1445" t="s">
        <v>860</v>
      </c>
      <c r="B1445">
        <v>199</v>
      </c>
      <c r="C1445">
        <v>1</v>
      </c>
      <c r="D1445" t="s">
        <v>124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</row>
    <row r="1446" spans="1:21" x14ac:dyDescent="0.2">
      <c r="A1446" t="s">
        <v>860</v>
      </c>
      <c r="B1446">
        <v>200</v>
      </c>
      <c r="C1446">
        <v>1</v>
      </c>
      <c r="D1446" t="s">
        <v>125</v>
      </c>
      <c r="E1446" s="3">
        <v>0</v>
      </c>
      <c r="F1446" s="3">
        <v>0</v>
      </c>
      <c r="G1446" s="3">
        <v>0</v>
      </c>
      <c r="H1446" s="3">
        <v>0</v>
      </c>
      <c r="I1446" s="3">
        <v>690</v>
      </c>
      <c r="J1446" s="3">
        <v>690</v>
      </c>
      <c r="K1446" s="3">
        <v>690</v>
      </c>
      <c r="L1446" s="3">
        <v>690</v>
      </c>
      <c r="M1446" s="3">
        <v>690</v>
      </c>
      <c r="N1446" s="3">
        <v>690</v>
      </c>
      <c r="O1446" s="3">
        <v>690</v>
      </c>
      <c r="P1446" s="3">
        <v>690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</row>
    <row r="1447" spans="1:21" x14ac:dyDescent="0.2">
      <c r="A1447" t="s">
        <v>860</v>
      </c>
      <c r="B1447">
        <v>203</v>
      </c>
      <c r="C1447">
        <v>1</v>
      </c>
      <c r="D1447" t="s">
        <v>126</v>
      </c>
      <c r="E1447" s="3">
        <v>0</v>
      </c>
      <c r="F1447" s="3">
        <v>0</v>
      </c>
      <c r="G1447" s="3">
        <v>0</v>
      </c>
      <c r="H1447" s="3">
        <v>0</v>
      </c>
      <c r="I1447" s="3">
        <v>400</v>
      </c>
      <c r="J1447" s="3">
        <v>400</v>
      </c>
      <c r="K1447" s="3">
        <v>400</v>
      </c>
      <c r="L1447" s="3">
        <v>400</v>
      </c>
      <c r="M1447" s="3">
        <v>400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</row>
    <row r="1448" spans="1:21" x14ac:dyDescent="0.2">
      <c r="A1448" t="s">
        <v>860</v>
      </c>
      <c r="B1448">
        <v>204</v>
      </c>
      <c r="C1448">
        <v>1</v>
      </c>
      <c r="D1448" t="s">
        <v>127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</row>
    <row r="1449" spans="1:21" x14ac:dyDescent="0.2">
      <c r="A1449" t="s">
        <v>860</v>
      </c>
      <c r="B1449">
        <v>206</v>
      </c>
      <c r="C1449">
        <v>1</v>
      </c>
      <c r="D1449" t="s">
        <v>128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</row>
    <row r="1450" spans="1:21" x14ac:dyDescent="0.2">
      <c r="A1450" t="s">
        <v>860</v>
      </c>
      <c r="B1450">
        <v>207</v>
      </c>
      <c r="C1450">
        <v>1</v>
      </c>
      <c r="D1450" t="s">
        <v>129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</row>
    <row r="1451" spans="1:21" x14ac:dyDescent="0.2">
      <c r="A1451" t="s">
        <v>860</v>
      </c>
      <c r="B1451">
        <v>208</v>
      </c>
      <c r="C1451">
        <v>1</v>
      </c>
      <c r="D1451" t="s">
        <v>130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</row>
    <row r="1452" spans="1:21" x14ac:dyDescent="0.2">
      <c r="A1452" t="s">
        <v>860</v>
      </c>
      <c r="B1452">
        <v>213</v>
      </c>
      <c r="C1452">
        <v>1</v>
      </c>
      <c r="D1452" t="s">
        <v>131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</row>
    <row r="1453" spans="1:21" x14ac:dyDescent="0.2">
      <c r="A1453" t="s">
        <v>860</v>
      </c>
      <c r="B1453">
        <v>227</v>
      </c>
      <c r="C1453">
        <v>1</v>
      </c>
      <c r="D1453" t="s">
        <v>132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</row>
    <row r="1454" spans="1:21" x14ac:dyDescent="0.2">
      <c r="A1454" t="s">
        <v>860</v>
      </c>
      <c r="B1454">
        <v>229</v>
      </c>
      <c r="C1454">
        <v>1</v>
      </c>
      <c r="D1454" t="s">
        <v>133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</row>
    <row r="1455" spans="1:21" x14ac:dyDescent="0.2">
      <c r="A1455" t="s">
        <v>860</v>
      </c>
      <c r="B1455">
        <v>238</v>
      </c>
      <c r="C1455">
        <v>1</v>
      </c>
      <c r="D1455" t="s">
        <v>134</v>
      </c>
      <c r="E1455" s="3">
        <v>0</v>
      </c>
      <c r="F1455" s="3">
        <v>0</v>
      </c>
      <c r="G1455" s="3">
        <v>0</v>
      </c>
      <c r="H1455" s="3">
        <v>0</v>
      </c>
      <c r="I1455" s="3">
        <v>300</v>
      </c>
      <c r="J1455" s="3">
        <v>300</v>
      </c>
      <c r="K1455" s="3">
        <v>300</v>
      </c>
      <c r="L1455" s="3">
        <v>300</v>
      </c>
      <c r="M1455" s="3">
        <v>300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</row>
    <row r="1456" spans="1:21" x14ac:dyDescent="0.2">
      <c r="A1456" t="s">
        <v>860</v>
      </c>
      <c r="B1456">
        <v>239</v>
      </c>
      <c r="C1456">
        <v>1</v>
      </c>
      <c r="D1456" t="s">
        <v>135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</row>
    <row r="1457" spans="1:21" x14ac:dyDescent="0.2">
      <c r="A1457" t="s">
        <v>860</v>
      </c>
      <c r="B1457">
        <v>241</v>
      </c>
      <c r="C1457">
        <v>1</v>
      </c>
      <c r="D1457" t="s">
        <v>136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</row>
    <row r="1458" spans="1:21" x14ac:dyDescent="0.2">
      <c r="A1458" t="s">
        <v>860</v>
      </c>
      <c r="B1458">
        <v>242</v>
      </c>
      <c r="C1458">
        <v>1</v>
      </c>
      <c r="D1458" t="s">
        <v>137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</row>
    <row r="1459" spans="1:21" x14ac:dyDescent="0.2">
      <c r="A1459" t="s">
        <v>860</v>
      </c>
      <c r="B1459">
        <v>252</v>
      </c>
      <c r="C1459">
        <v>1</v>
      </c>
      <c r="D1459" t="s">
        <v>138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</row>
    <row r="1460" spans="1:21" x14ac:dyDescent="0.2">
      <c r="A1460" t="s">
        <v>860</v>
      </c>
      <c r="B1460">
        <v>253</v>
      </c>
      <c r="C1460">
        <v>1</v>
      </c>
      <c r="D1460" t="s">
        <v>139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</row>
    <row r="1461" spans="1:21" x14ac:dyDescent="0.2">
      <c r="A1461" t="s">
        <v>860</v>
      </c>
      <c r="B1461">
        <v>255</v>
      </c>
      <c r="C1461">
        <v>1</v>
      </c>
      <c r="D1461" t="s">
        <v>140</v>
      </c>
      <c r="E1461" s="3">
        <v>0</v>
      </c>
      <c r="F1461" s="3">
        <v>0</v>
      </c>
      <c r="G1461" s="3">
        <v>0</v>
      </c>
      <c r="H1461" s="3">
        <v>0</v>
      </c>
      <c r="I1461" s="3">
        <v>500</v>
      </c>
      <c r="J1461" s="3">
        <v>500</v>
      </c>
      <c r="K1461" s="3">
        <v>500</v>
      </c>
      <c r="L1461" s="3">
        <v>500</v>
      </c>
      <c r="M1461" s="3">
        <v>500</v>
      </c>
      <c r="N1461" s="3">
        <v>500</v>
      </c>
      <c r="O1461" s="3">
        <v>500</v>
      </c>
      <c r="P1461" s="3">
        <v>500</v>
      </c>
      <c r="Q1461" s="3">
        <v>500</v>
      </c>
      <c r="R1461" s="3">
        <v>500</v>
      </c>
      <c r="S1461" s="3">
        <v>0</v>
      </c>
      <c r="T1461" s="3">
        <v>0</v>
      </c>
      <c r="U1461" s="3">
        <v>0</v>
      </c>
    </row>
    <row r="1462" spans="1:21" x14ac:dyDescent="0.2">
      <c r="A1462" t="s">
        <v>860</v>
      </c>
      <c r="B1462">
        <v>256</v>
      </c>
      <c r="C1462">
        <v>1</v>
      </c>
      <c r="D1462" t="s">
        <v>141</v>
      </c>
      <c r="E1462" s="3">
        <v>0</v>
      </c>
      <c r="F1462" s="3">
        <v>0</v>
      </c>
      <c r="G1462" s="3">
        <v>0</v>
      </c>
      <c r="H1462" s="3">
        <v>0</v>
      </c>
      <c r="I1462" s="3">
        <v>520</v>
      </c>
      <c r="J1462" s="3">
        <v>520</v>
      </c>
      <c r="K1462" s="3">
        <v>520</v>
      </c>
      <c r="L1462" s="3">
        <v>520</v>
      </c>
      <c r="M1462" s="3">
        <v>520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</row>
    <row r="1463" spans="1:21" x14ac:dyDescent="0.2">
      <c r="A1463" t="s">
        <v>860</v>
      </c>
      <c r="B1463">
        <v>261</v>
      </c>
      <c r="C1463">
        <v>1</v>
      </c>
      <c r="D1463" t="s">
        <v>142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</row>
    <row r="1464" spans="1:21" x14ac:dyDescent="0.2">
      <c r="A1464" t="s">
        <v>860</v>
      </c>
      <c r="B1464">
        <v>264</v>
      </c>
      <c r="C1464">
        <v>1</v>
      </c>
      <c r="D1464" t="s">
        <v>143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</row>
    <row r="1465" spans="1:21" x14ac:dyDescent="0.2">
      <c r="A1465" t="s">
        <v>860</v>
      </c>
      <c r="B1465">
        <v>270</v>
      </c>
      <c r="C1465">
        <v>1</v>
      </c>
      <c r="D1465" t="s">
        <v>144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</row>
    <row r="1466" spans="1:21" x14ac:dyDescent="0.2">
      <c r="A1466" t="s">
        <v>860</v>
      </c>
      <c r="B1466">
        <v>271</v>
      </c>
      <c r="C1466">
        <v>1</v>
      </c>
      <c r="D1466" t="s">
        <v>145</v>
      </c>
      <c r="E1466" s="3">
        <v>0</v>
      </c>
      <c r="F1466" s="3">
        <v>0</v>
      </c>
      <c r="G1466" s="3">
        <v>0</v>
      </c>
      <c r="H1466" s="3">
        <v>0</v>
      </c>
      <c r="I1466" s="3">
        <v>395.6</v>
      </c>
      <c r="J1466" s="3">
        <v>395.6</v>
      </c>
      <c r="K1466" s="3">
        <v>395.6</v>
      </c>
      <c r="L1466" s="3">
        <v>395.6</v>
      </c>
      <c r="M1466" s="3">
        <v>395.6</v>
      </c>
      <c r="N1466" s="3">
        <v>395.6</v>
      </c>
      <c r="O1466" s="3">
        <v>395.6</v>
      </c>
      <c r="P1466" s="3">
        <v>395.6</v>
      </c>
      <c r="Q1466" s="3">
        <v>395.6</v>
      </c>
      <c r="R1466" s="3">
        <v>395.6</v>
      </c>
      <c r="S1466" s="3">
        <v>0</v>
      </c>
      <c r="T1466" s="3">
        <v>0</v>
      </c>
      <c r="U1466" s="3">
        <v>0</v>
      </c>
    </row>
    <row r="1467" spans="1:21" x14ac:dyDescent="0.2">
      <c r="A1467" t="s">
        <v>860</v>
      </c>
      <c r="B1467">
        <v>272</v>
      </c>
      <c r="C1467">
        <v>1</v>
      </c>
      <c r="D1467" t="s">
        <v>146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</row>
    <row r="1468" spans="1:21" x14ac:dyDescent="0.2">
      <c r="A1468" t="s">
        <v>860</v>
      </c>
      <c r="B1468">
        <v>273</v>
      </c>
      <c r="C1468">
        <v>1</v>
      </c>
      <c r="D1468" t="s">
        <v>147</v>
      </c>
      <c r="E1468" s="3">
        <v>0</v>
      </c>
      <c r="F1468" s="3">
        <v>0</v>
      </c>
      <c r="G1468" s="3">
        <v>0</v>
      </c>
      <c r="H1468" s="3">
        <v>0</v>
      </c>
      <c r="I1468" s="3">
        <v>43.12</v>
      </c>
      <c r="J1468" s="3">
        <v>77.260000000000005</v>
      </c>
      <c r="K1468" s="3">
        <v>114.77</v>
      </c>
      <c r="L1468" s="3">
        <v>154.38999999999999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</row>
    <row r="1469" spans="1:21" x14ac:dyDescent="0.2">
      <c r="A1469" t="s">
        <v>860</v>
      </c>
      <c r="B1469">
        <v>276</v>
      </c>
      <c r="C1469">
        <v>1</v>
      </c>
      <c r="D1469" t="s">
        <v>148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</row>
    <row r="1470" spans="1:21" x14ac:dyDescent="0.2">
      <c r="A1470" t="s">
        <v>860</v>
      </c>
      <c r="B1470">
        <v>277</v>
      </c>
      <c r="C1470">
        <v>1</v>
      </c>
      <c r="D1470" t="s">
        <v>149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</row>
    <row r="1471" spans="1:21" x14ac:dyDescent="0.2">
      <c r="A1471" t="s">
        <v>860</v>
      </c>
      <c r="B1471">
        <v>278</v>
      </c>
      <c r="C1471">
        <v>1</v>
      </c>
      <c r="D1471" t="s">
        <v>150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</row>
    <row r="1472" spans="1:21" x14ac:dyDescent="0.2">
      <c r="A1472" t="s">
        <v>860</v>
      </c>
      <c r="B1472">
        <v>279</v>
      </c>
      <c r="C1472">
        <v>1</v>
      </c>
      <c r="D1472" t="s">
        <v>151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</row>
    <row r="1473" spans="1:21" x14ac:dyDescent="0.2">
      <c r="A1473" t="s">
        <v>860</v>
      </c>
      <c r="B1473">
        <v>280</v>
      </c>
      <c r="C1473">
        <v>1</v>
      </c>
      <c r="D1473" t="s">
        <v>152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</row>
    <row r="1474" spans="1:21" x14ac:dyDescent="0.2">
      <c r="A1474" t="s">
        <v>860</v>
      </c>
      <c r="B1474">
        <v>281</v>
      </c>
      <c r="C1474">
        <v>1</v>
      </c>
      <c r="D1474" t="s">
        <v>153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</row>
    <row r="1475" spans="1:21" x14ac:dyDescent="0.2">
      <c r="A1475" t="s">
        <v>860</v>
      </c>
      <c r="B1475">
        <v>282</v>
      </c>
      <c r="C1475">
        <v>1</v>
      </c>
      <c r="D1475" t="s">
        <v>154</v>
      </c>
      <c r="E1475" s="3">
        <v>0</v>
      </c>
      <c r="F1475" s="3">
        <v>0</v>
      </c>
      <c r="G1475" s="3">
        <v>0</v>
      </c>
      <c r="H1475" s="3">
        <v>0</v>
      </c>
      <c r="I1475" s="3">
        <v>400</v>
      </c>
      <c r="J1475" s="3">
        <v>400</v>
      </c>
      <c r="K1475" s="3">
        <v>400</v>
      </c>
      <c r="L1475" s="3">
        <v>400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</row>
    <row r="1476" spans="1:21" x14ac:dyDescent="0.2">
      <c r="A1476" t="s">
        <v>860</v>
      </c>
      <c r="B1476">
        <v>283</v>
      </c>
      <c r="C1476">
        <v>1</v>
      </c>
      <c r="D1476" t="s">
        <v>155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</row>
    <row r="1477" spans="1:21" x14ac:dyDescent="0.2">
      <c r="A1477" t="s">
        <v>860</v>
      </c>
      <c r="B1477">
        <v>284</v>
      </c>
      <c r="C1477">
        <v>1</v>
      </c>
      <c r="D1477" t="s">
        <v>156</v>
      </c>
      <c r="E1477" s="3">
        <v>0</v>
      </c>
      <c r="F1477" s="3">
        <v>0</v>
      </c>
      <c r="G1477" s="3">
        <v>0</v>
      </c>
      <c r="H1477" s="3">
        <v>0</v>
      </c>
      <c r="I1477" s="3">
        <v>31.06</v>
      </c>
      <c r="J1477" s="3">
        <v>65.97</v>
      </c>
      <c r="K1477" s="3">
        <v>102.27</v>
      </c>
      <c r="L1477" s="3">
        <v>140.03</v>
      </c>
      <c r="M1477" s="3">
        <v>140.03</v>
      </c>
      <c r="N1477" s="3">
        <v>140.03</v>
      </c>
      <c r="O1477" s="3">
        <v>140.03</v>
      </c>
      <c r="P1477" s="3">
        <v>140.03</v>
      </c>
      <c r="Q1477" s="3">
        <v>140.03</v>
      </c>
      <c r="R1477" s="3">
        <v>140.03</v>
      </c>
      <c r="S1477" s="3">
        <v>0</v>
      </c>
      <c r="T1477" s="3">
        <v>0</v>
      </c>
      <c r="U1477" s="3">
        <v>0</v>
      </c>
    </row>
    <row r="1478" spans="1:21" x14ac:dyDescent="0.2">
      <c r="A1478" t="s">
        <v>860</v>
      </c>
      <c r="B1478">
        <v>286</v>
      </c>
      <c r="C1478">
        <v>1</v>
      </c>
      <c r="D1478" t="s">
        <v>157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</row>
    <row r="1479" spans="1:21" x14ac:dyDescent="0.2">
      <c r="A1479" t="s">
        <v>860</v>
      </c>
      <c r="B1479">
        <v>294</v>
      </c>
      <c r="C1479">
        <v>1</v>
      </c>
      <c r="D1479" t="s">
        <v>158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</row>
    <row r="1480" spans="1:21" x14ac:dyDescent="0.2">
      <c r="A1480" t="s">
        <v>860</v>
      </c>
      <c r="B1480">
        <v>297</v>
      </c>
      <c r="C1480">
        <v>1</v>
      </c>
      <c r="D1480" t="s">
        <v>159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</row>
    <row r="1481" spans="1:21" x14ac:dyDescent="0.2">
      <c r="A1481" t="s">
        <v>860</v>
      </c>
      <c r="B1481">
        <v>299</v>
      </c>
      <c r="C1481">
        <v>1</v>
      </c>
      <c r="D1481" t="s">
        <v>160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</row>
    <row r="1482" spans="1:21" x14ac:dyDescent="0.2">
      <c r="A1482" t="s">
        <v>860</v>
      </c>
      <c r="B1482">
        <v>300</v>
      </c>
      <c r="C1482">
        <v>1</v>
      </c>
      <c r="D1482" t="s">
        <v>161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</row>
    <row r="1483" spans="1:21" x14ac:dyDescent="0.2">
      <c r="A1483" t="s">
        <v>860</v>
      </c>
      <c r="B1483">
        <v>306</v>
      </c>
      <c r="C1483">
        <v>1</v>
      </c>
      <c r="D1483" t="s">
        <v>162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</row>
    <row r="1484" spans="1:21" x14ac:dyDescent="0.2">
      <c r="A1484" t="s">
        <v>860</v>
      </c>
      <c r="B1484">
        <v>308</v>
      </c>
      <c r="C1484">
        <v>1</v>
      </c>
      <c r="D1484" t="s">
        <v>163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</row>
    <row r="1485" spans="1:21" x14ac:dyDescent="0.2">
      <c r="A1485" t="s">
        <v>860</v>
      </c>
      <c r="B1485">
        <v>309</v>
      </c>
      <c r="C1485">
        <v>1</v>
      </c>
      <c r="D1485" t="s">
        <v>164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</row>
    <row r="1486" spans="1:21" x14ac:dyDescent="0.2">
      <c r="A1486" t="s">
        <v>860</v>
      </c>
      <c r="B1486">
        <v>314</v>
      </c>
      <c r="C1486">
        <v>1</v>
      </c>
      <c r="D1486" t="s">
        <v>165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</row>
    <row r="1487" spans="1:21" x14ac:dyDescent="0.2">
      <c r="A1487" t="s">
        <v>860</v>
      </c>
      <c r="B1487">
        <v>316</v>
      </c>
      <c r="C1487">
        <v>1</v>
      </c>
      <c r="D1487" t="s">
        <v>166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</row>
    <row r="1488" spans="1:21" x14ac:dyDescent="0.2">
      <c r="A1488" t="s">
        <v>860</v>
      </c>
      <c r="B1488">
        <v>317</v>
      </c>
      <c r="C1488">
        <v>1</v>
      </c>
      <c r="D1488" t="s">
        <v>167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</row>
    <row r="1489" spans="1:21" x14ac:dyDescent="0.2">
      <c r="A1489" t="s">
        <v>860</v>
      </c>
      <c r="B1489">
        <v>318</v>
      </c>
      <c r="C1489">
        <v>1</v>
      </c>
      <c r="D1489" t="s">
        <v>168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</row>
    <row r="1490" spans="1:21" x14ac:dyDescent="0.2">
      <c r="A1490" t="s">
        <v>860</v>
      </c>
      <c r="B1490">
        <v>319</v>
      </c>
      <c r="C1490">
        <v>1</v>
      </c>
      <c r="D1490" t="s">
        <v>169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</row>
    <row r="1491" spans="1:21" x14ac:dyDescent="0.2">
      <c r="A1491" t="s">
        <v>860</v>
      </c>
      <c r="B1491">
        <v>323</v>
      </c>
      <c r="C1491">
        <v>2</v>
      </c>
      <c r="D1491" t="s">
        <v>170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</row>
    <row r="1492" spans="1:21" x14ac:dyDescent="0.2">
      <c r="A1492" t="s">
        <v>860</v>
      </c>
      <c r="B1492">
        <v>330</v>
      </c>
      <c r="C1492">
        <v>1</v>
      </c>
      <c r="D1492" t="s">
        <v>171</v>
      </c>
      <c r="E1492" s="3">
        <v>0</v>
      </c>
      <c r="F1492" s="3">
        <v>0</v>
      </c>
      <c r="G1492" s="3">
        <v>0</v>
      </c>
      <c r="H1492" s="3">
        <v>0</v>
      </c>
      <c r="I1492" s="3">
        <v>500</v>
      </c>
      <c r="J1492" s="3">
        <v>500</v>
      </c>
      <c r="K1492" s="3">
        <v>500</v>
      </c>
      <c r="L1492" s="3">
        <v>500</v>
      </c>
      <c r="M1492" s="3">
        <v>500</v>
      </c>
      <c r="N1492" s="3">
        <v>500</v>
      </c>
      <c r="O1492" s="3">
        <v>500</v>
      </c>
      <c r="P1492" s="3">
        <v>500</v>
      </c>
      <c r="Q1492" s="3">
        <v>500</v>
      </c>
      <c r="R1492" s="3">
        <v>500</v>
      </c>
      <c r="S1492" s="3">
        <v>0</v>
      </c>
      <c r="T1492" s="3">
        <v>0</v>
      </c>
      <c r="U1492" s="3">
        <v>0</v>
      </c>
    </row>
    <row r="1493" spans="1:21" x14ac:dyDescent="0.2">
      <c r="A1493" t="s">
        <v>860</v>
      </c>
      <c r="B1493">
        <v>332</v>
      </c>
      <c r="C1493">
        <v>1</v>
      </c>
      <c r="D1493" t="s">
        <v>172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</row>
    <row r="1494" spans="1:21" x14ac:dyDescent="0.2">
      <c r="A1494" t="s">
        <v>860</v>
      </c>
      <c r="B1494">
        <v>333</v>
      </c>
      <c r="C1494">
        <v>1</v>
      </c>
      <c r="D1494" t="s">
        <v>173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</row>
    <row r="1495" spans="1:21" x14ac:dyDescent="0.2">
      <c r="A1495" t="s">
        <v>860</v>
      </c>
      <c r="B1495">
        <v>345</v>
      </c>
      <c r="C1495">
        <v>1</v>
      </c>
      <c r="D1495" t="s">
        <v>174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</row>
    <row r="1496" spans="1:21" x14ac:dyDescent="0.2">
      <c r="A1496" t="s">
        <v>860</v>
      </c>
      <c r="B1496">
        <v>347</v>
      </c>
      <c r="C1496">
        <v>1</v>
      </c>
      <c r="D1496" t="s">
        <v>175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</row>
    <row r="1497" spans="1:21" x14ac:dyDescent="0.2">
      <c r="A1497" t="s">
        <v>860</v>
      </c>
      <c r="B1497">
        <v>356</v>
      </c>
      <c r="C1497">
        <v>1</v>
      </c>
      <c r="D1497" t="s">
        <v>176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</row>
    <row r="1498" spans="1:21" x14ac:dyDescent="0.2">
      <c r="A1498" t="s">
        <v>860</v>
      </c>
      <c r="B1498">
        <v>361</v>
      </c>
      <c r="C1498">
        <v>1</v>
      </c>
      <c r="D1498" t="s">
        <v>177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</row>
    <row r="1499" spans="1:21" x14ac:dyDescent="0.2">
      <c r="A1499" t="s">
        <v>860</v>
      </c>
      <c r="B1499">
        <v>362</v>
      </c>
      <c r="C1499">
        <v>1</v>
      </c>
      <c r="D1499" t="s">
        <v>178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</row>
    <row r="1500" spans="1:21" x14ac:dyDescent="0.2">
      <c r="A1500" t="s">
        <v>860</v>
      </c>
      <c r="B1500">
        <v>363</v>
      </c>
      <c r="C1500">
        <v>1</v>
      </c>
      <c r="D1500" t="s">
        <v>179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</row>
    <row r="1501" spans="1:21" x14ac:dyDescent="0.2">
      <c r="A1501" t="s">
        <v>860</v>
      </c>
      <c r="B1501">
        <v>371</v>
      </c>
      <c r="C1501">
        <v>1</v>
      </c>
      <c r="D1501" t="s">
        <v>180</v>
      </c>
      <c r="E1501" s="3">
        <v>0</v>
      </c>
      <c r="F1501" s="3">
        <v>0</v>
      </c>
      <c r="G1501" s="3">
        <v>0</v>
      </c>
      <c r="H1501" s="3">
        <v>0</v>
      </c>
      <c r="I1501" s="3">
        <v>1536.57</v>
      </c>
      <c r="J1501" s="3">
        <v>1536.57</v>
      </c>
      <c r="K1501" s="3">
        <v>1536.57</v>
      </c>
      <c r="L1501" s="3">
        <v>1536.57</v>
      </c>
      <c r="M1501" s="3">
        <v>1536.57</v>
      </c>
      <c r="N1501" s="3">
        <v>1536.57</v>
      </c>
      <c r="O1501" s="3">
        <v>1536.57</v>
      </c>
      <c r="P1501" s="3">
        <v>1536.57</v>
      </c>
      <c r="Q1501" s="3">
        <v>1536.57</v>
      </c>
      <c r="R1501" s="3">
        <v>1536.57</v>
      </c>
      <c r="S1501" s="3">
        <v>0</v>
      </c>
      <c r="T1501" s="3">
        <v>0</v>
      </c>
      <c r="U1501" s="3">
        <v>0</v>
      </c>
    </row>
    <row r="1502" spans="1:21" x14ac:dyDescent="0.2">
      <c r="A1502" t="s">
        <v>860</v>
      </c>
      <c r="B1502">
        <v>378</v>
      </c>
      <c r="C1502">
        <v>1</v>
      </c>
      <c r="D1502" t="s">
        <v>181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</row>
    <row r="1503" spans="1:21" x14ac:dyDescent="0.2">
      <c r="A1503" t="s">
        <v>860</v>
      </c>
      <c r="B1503">
        <v>381</v>
      </c>
      <c r="C1503">
        <v>1</v>
      </c>
      <c r="D1503" t="s">
        <v>182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</row>
    <row r="1504" spans="1:21" x14ac:dyDescent="0.2">
      <c r="A1504" t="s">
        <v>860</v>
      </c>
      <c r="B1504">
        <v>390</v>
      </c>
      <c r="C1504">
        <v>1</v>
      </c>
      <c r="D1504" t="s">
        <v>183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</row>
    <row r="1505" spans="1:21" x14ac:dyDescent="0.2">
      <c r="A1505" t="s">
        <v>860</v>
      </c>
      <c r="B1505">
        <v>391</v>
      </c>
      <c r="C1505">
        <v>1</v>
      </c>
      <c r="D1505" t="s">
        <v>184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</row>
    <row r="1506" spans="1:21" x14ac:dyDescent="0.2">
      <c r="A1506" t="s">
        <v>860</v>
      </c>
      <c r="B1506">
        <v>392</v>
      </c>
      <c r="C1506">
        <v>1</v>
      </c>
      <c r="D1506" t="s">
        <v>185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</row>
    <row r="1507" spans="1:21" x14ac:dyDescent="0.2">
      <c r="A1507" t="s">
        <v>860</v>
      </c>
      <c r="B1507">
        <v>394</v>
      </c>
      <c r="C1507">
        <v>1</v>
      </c>
      <c r="D1507" t="s">
        <v>186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</row>
    <row r="1508" spans="1:21" x14ac:dyDescent="0.2">
      <c r="A1508" t="s">
        <v>860</v>
      </c>
      <c r="B1508">
        <v>402</v>
      </c>
      <c r="C1508">
        <v>1</v>
      </c>
      <c r="D1508" t="s">
        <v>187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</row>
    <row r="1509" spans="1:21" x14ac:dyDescent="0.2">
      <c r="A1509" t="s">
        <v>860</v>
      </c>
      <c r="B1509">
        <v>403</v>
      </c>
      <c r="C1509">
        <v>1</v>
      </c>
      <c r="D1509" t="s">
        <v>188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</row>
    <row r="1510" spans="1:21" x14ac:dyDescent="0.2">
      <c r="A1510" t="s">
        <v>860</v>
      </c>
      <c r="B1510">
        <v>404</v>
      </c>
      <c r="C1510">
        <v>1</v>
      </c>
      <c r="D1510" t="s">
        <v>189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</row>
    <row r="1511" spans="1:21" x14ac:dyDescent="0.2">
      <c r="A1511" t="s">
        <v>860</v>
      </c>
      <c r="B1511">
        <v>409</v>
      </c>
      <c r="C1511">
        <v>1</v>
      </c>
      <c r="D1511" t="s">
        <v>190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</row>
    <row r="1512" spans="1:21" x14ac:dyDescent="0.2">
      <c r="A1512" t="s">
        <v>860</v>
      </c>
      <c r="B1512">
        <v>411</v>
      </c>
      <c r="C1512">
        <v>1</v>
      </c>
      <c r="D1512" t="s">
        <v>191</v>
      </c>
      <c r="E1512" s="3">
        <v>0</v>
      </c>
      <c r="F1512" s="3">
        <v>0</v>
      </c>
      <c r="G1512" s="3">
        <v>0</v>
      </c>
      <c r="H1512" s="3">
        <v>0</v>
      </c>
      <c r="I1512" s="3">
        <v>226.25</v>
      </c>
      <c r="J1512" s="3">
        <v>226.25</v>
      </c>
      <c r="K1512" s="3">
        <v>226.25</v>
      </c>
      <c r="L1512" s="3">
        <v>226.25</v>
      </c>
      <c r="M1512" s="3">
        <v>226.25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</row>
    <row r="1513" spans="1:21" x14ac:dyDescent="0.2">
      <c r="A1513" t="s">
        <v>860</v>
      </c>
      <c r="B1513">
        <v>413</v>
      </c>
      <c r="C1513">
        <v>1</v>
      </c>
      <c r="D1513" t="s">
        <v>192</v>
      </c>
      <c r="E1513" s="3">
        <v>0</v>
      </c>
      <c r="F1513" s="3">
        <v>0</v>
      </c>
      <c r="G1513" s="3">
        <v>0</v>
      </c>
      <c r="H1513" s="3">
        <v>0</v>
      </c>
      <c r="I1513" s="3">
        <v>200</v>
      </c>
      <c r="J1513" s="3">
        <v>200</v>
      </c>
      <c r="K1513" s="3">
        <v>200</v>
      </c>
      <c r="L1513" s="3">
        <v>200</v>
      </c>
      <c r="M1513" s="3">
        <v>200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</row>
    <row r="1514" spans="1:21" x14ac:dyDescent="0.2">
      <c r="A1514" t="s">
        <v>860</v>
      </c>
      <c r="B1514">
        <v>414</v>
      </c>
      <c r="C1514">
        <v>1</v>
      </c>
      <c r="D1514" t="s">
        <v>193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</row>
    <row r="1515" spans="1:21" x14ac:dyDescent="0.2">
      <c r="A1515" t="s">
        <v>860</v>
      </c>
      <c r="B1515">
        <v>415</v>
      </c>
      <c r="C1515">
        <v>1</v>
      </c>
      <c r="D1515" t="s">
        <v>194</v>
      </c>
      <c r="E1515" s="3">
        <v>0</v>
      </c>
      <c r="F1515" s="3">
        <v>0</v>
      </c>
      <c r="G1515" s="3">
        <v>0</v>
      </c>
      <c r="H1515" s="3">
        <v>0</v>
      </c>
      <c r="I1515" s="3">
        <v>615</v>
      </c>
      <c r="J1515" s="3">
        <v>615</v>
      </c>
      <c r="K1515" s="3">
        <v>615</v>
      </c>
      <c r="L1515" s="3">
        <v>615</v>
      </c>
      <c r="M1515" s="3">
        <v>615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</row>
    <row r="1516" spans="1:21" x14ac:dyDescent="0.2">
      <c r="A1516" t="s">
        <v>860</v>
      </c>
      <c r="B1516">
        <v>417</v>
      </c>
      <c r="C1516">
        <v>1</v>
      </c>
      <c r="D1516" t="s">
        <v>195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</row>
    <row r="1517" spans="1:21" x14ac:dyDescent="0.2">
      <c r="A1517" t="s">
        <v>860</v>
      </c>
      <c r="B1517">
        <v>418</v>
      </c>
      <c r="C1517">
        <v>1</v>
      </c>
      <c r="D1517" t="s">
        <v>196</v>
      </c>
      <c r="E1517" s="3">
        <v>0</v>
      </c>
      <c r="F1517" s="3">
        <v>0</v>
      </c>
      <c r="G1517" s="3">
        <v>0</v>
      </c>
      <c r="H1517" s="3">
        <v>0</v>
      </c>
      <c r="I1517" s="3">
        <v>500</v>
      </c>
      <c r="J1517" s="3">
        <v>500</v>
      </c>
      <c r="K1517" s="3">
        <v>500</v>
      </c>
      <c r="L1517" s="3">
        <v>500</v>
      </c>
      <c r="M1517" s="3">
        <v>500</v>
      </c>
      <c r="N1517" s="3">
        <v>500</v>
      </c>
      <c r="O1517" s="3">
        <v>500</v>
      </c>
      <c r="P1517" s="3">
        <v>500</v>
      </c>
      <c r="Q1517" s="3">
        <v>500</v>
      </c>
      <c r="R1517" s="3">
        <v>500</v>
      </c>
      <c r="S1517" s="3">
        <v>0</v>
      </c>
      <c r="T1517" s="3">
        <v>0</v>
      </c>
      <c r="U1517" s="3">
        <v>0</v>
      </c>
    </row>
    <row r="1518" spans="1:21" x14ac:dyDescent="0.2">
      <c r="A1518" t="s">
        <v>860</v>
      </c>
      <c r="B1518">
        <v>423</v>
      </c>
      <c r="C1518">
        <v>1</v>
      </c>
      <c r="D1518" t="s">
        <v>197</v>
      </c>
      <c r="E1518" s="3">
        <v>0</v>
      </c>
      <c r="F1518" s="3">
        <v>0</v>
      </c>
      <c r="G1518" s="3">
        <v>0</v>
      </c>
      <c r="H1518" s="3">
        <v>0</v>
      </c>
      <c r="I1518" s="3">
        <v>680</v>
      </c>
      <c r="J1518" s="3">
        <v>680</v>
      </c>
      <c r="K1518" s="3">
        <v>680</v>
      </c>
      <c r="L1518" s="3">
        <v>680</v>
      </c>
      <c r="M1518" s="3">
        <v>680</v>
      </c>
      <c r="N1518" s="3">
        <v>680</v>
      </c>
      <c r="O1518" s="3">
        <v>680</v>
      </c>
      <c r="P1518" s="3">
        <v>680</v>
      </c>
      <c r="Q1518" s="3">
        <v>680</v>
      </c>
      <c r="R1518" s="3">
        <v>680</v>
      </c>
      <c r="S1518" s="3">
        <v>0</v>
      </c>
      <c r="T1518" s="3">
        <v>0</v>
      </c>
      <c r="U1518" s="3">
        <v>0</v>
      </c>
    </row>
    <row r="1519" spans="1:21" x14ac:dyDescent="0.2">
      <c r="A1519" t="s">
        <v>860</v>
      </c>
      <c r="B1519">
        <v>424</v>
      </c>
      <c r="C1519">
        <v>1</v>
      </c>
      <c r="D1519" t="s">
        <v>198</v>
      </c>
      <c r="E1519" s="3">
        <v>0</v>
      </c>
      <c r="F1519" s="3">
        <v>0</v>
      </c>
      <c r="G1519" s="3">
        <v>0</v>
      </c>
      <c r="H1519" s="3">
        <v>0</v>
      </c>
      <c r="I1519" s="3">
        <v>405</v>
      </c>
      <c r="J1519" s="3">
        <v>500</v>
      </c>
      <c r="K1519" s="3">
        <v>500</v>
      </c>
      <c r="L1519" s="3">
        <v>500</v>
      </c>
      <c r="M1519" s="3">
        <v>500</v>
      </c>
      <c r="N1519" s="3">
        <v>500</v>
      </c>
      <c r="O1519" s="3">
        <v>500</v>
      </c>
      <c r="P1519" s="3">
        <v>500</v>
      </c>
      <c r="Q1519" s="3">
        <v>500</v>
      </c>
      <c r="R1519" s="3">
        <v>500</v>
      </c>
      <c r="S1519" s="3">
        <v>0</v>
      </c>
      <c r="T1519" s="3">
        <v>0</v>
      </c>
      <c r="U1519" s="3">
        <v>0</v>
      </c>
    </row>
    <row r="1520" spans="1:21" x14ac:dyDescent="0.2">
      <c r="A1520" t="s">
        <v>860</v>
      </c>
      <c r="B1520">
        <v>432</v>
      </c>
      <c r="C1520">
        <v>1</v>
      </c>
      <c r="D1520" t="s">
        <v>199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</row>
    <row r="1521" spans="1:21" x14ac:dyDescent="0.2">
      <c r="A1521" t="s">
        <v>860</v>
      </c>
      <c r="B1521">
        <v>435</v>
      </c>
      <c r="C1521">
        <v>1</v>
      </c>
      <c r="D1521" t="s">
        <v>200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</row>
    <row r="1522" spans="1:21" x14ac:dyDescent="0.2">
      <c r="A1522" t="s">
        <v>860</v>
      </c>
      <c r="B1522">
        <v>441</v>
      </c>
      <c r="C1522">
        <v>1</v>
      </c>
      <c r="D1522" t="s">
        <v>201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</row>
    <row r="1523" spans="1:21" x14ac:dyDescent="0.2">
      <c r="A1523" t="s">
        <v>860</v>
      </c>
      <c r="B1523">
        <v>447</v>
      </c>
      <c r="C1523">
        <v>1</v>
      </c>
      <c r="D1523" t="s">
        <v>202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</row>
    <row r="1524" spans="1:21" x14ac:dyDescent="0.2">
      <c r="A1524" t="s">
        <v>860</v>
      </c>
      <c r="B1524">
        <v>458</v>
      </c>
      <c r="C1524">
        <v>1</v>
      </c>
      <c r="D1524" t="s">
        <v>203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</row>
    <row r="1525" spans="1:21" x14ac:dyDescent="0.2">
      <c r="A1525" t="s">
        <v>860</v>
      </c>
      <c r="B1525">
        <v>463</v>
      </c>
      <c r="C1525">
        <v>1</v>
      </c>
      <c r="D1525" t="s">
        <v>204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</row>
    <row r="1526" spans="1:21" x14ac:dyDescent="0.2">
      <c r="A1526" t="s">
        <v>860</v>
      </c>
      <c r="B1526">
        <v>465</v>
      </c>
      <c r="C1526">
        <v>1</v>
      </c>
      <c r="D1526" t="s">
        <v>205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</row>
    <row r="1527" spans="1:21" x14ac:dyDescent="0.2">
      <c r="A1527" t="s">
        <v>860</v>
      </c>
      <c r="B1527">
        <v>466</v>
      </c>
      <c r="C1527">
        <v>1</v>
      </c>
      <c r="D1527" t="s">
        <v>206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</row>
    <row r="1528" spans="1:21" x14ac:dyDescent="0.2">
      <c r="A1528" t="s">
        <v>860</v>
      </c>
      <c r="B1528">
        <v>473</v>
      </c>
      <c r="C1528">
        <v>1</v>
      </c>
      <c r="D1528" t="s">
        <v>207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</row>
    <row r="1529" spans="1:21" x14ac:dyDescent="0.2">
      <c r="A1529" t="s">
        <v>860</v>
      </c>
      <c r="B1529">
        <v>477</v>
      </c>
      <c r="C1529">
        <v>1</v>
      </c>
      <c r="D1529" t="s">
        <v>208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</row>
    <row r="1530" spans="1:21" x14ac:dyDescent="0.2">
      <c r="A1530" t="s">
        <v>860</v>
      </c>
      <c r="B1530">
        <v>480</v>
      </c>
      <c r="C1530">
        <v>1</v>
      </c>
      <c r="D1530" t="s">
        <v>209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</row>
    <row r="1531" spans="1:21" x14ac:dyDescent="0.2">
      <c r="A1531" t="s">
        <v>860</v>
      </c>
      <c r="B1531">
        <v>482</v>
      </c>
      <c r="C1531">
        <v>1</v>
      </c>
      <c r="D1531" t="s">
        <v>210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</row>
    <row r="1532" spans="1:21" x14ac:dyDescent="0.2">
      <c r="A1532" t="s">
        <v>860</v>
      </c>
      <c r="B1532">
        <v>484</v>
      </c>
      <c r="C1532">
        <v>1</v>
      </c>
      <c r="D1532" t="s">
        <v>211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</row>
    <row r="1533" spans="1:21" x14ac:dyDescent="0.2">
      <c r="A1533" t="s">
        <v>860</v>
      </c>
      <c r="B1533">
        <v>485</v>
      </c>
      <c r="C1533">
        <v>1</v>
      </c>
      <c r="D1533" t="s">
        <v>212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</row>
    <row r="1534" spans="1:21" x14ac:dyDescent="0.2">
      <c r="A1534" t="s">
        <v>860</v>
      </c>
      <c r="B1534">
        <v>486</v>
      </c>
      <c r="C1534">
        <v>1</v>
      </c>
      <c r="D1534" t="s">
        <v>213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</row>
    <row r="1535" spans="1:21" x14ac:dyDescent="0.2">
      <c r="A1535" t="s">
        <v>860</v>
      </c>
      <c r="B1535">
        <v>487</v>
      </c>
      <c r="C1535">
        <v>1</v>
      </c>
      <c r="D1535" t="s">
        <v>214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</row>
    <row r="1536" spans="1:21" x14ac:dyDescent="0.2">
      <c r="A1536" t="s">
        <v>860</v>
      </c>
      <c r="B1536">
        <v>492</v>
      </c>
      <c r="C1536">
        <v>1</v>
      </c>
      <c r="D1536" t="s">
        <v>215</v>
      </c>
      <c r="E1536" s="3">
        <v>0</v>
      </c>
      <c r="F1536" s="3">
        <v>0</v>
      </c>
      <c r="G1536" s="3">
        <v>0</v>
      </c>
      <c r="H1536" s="3">
        <v>0</v>
      </c>
      <c r="I1536" s="3">
        <v>415</v>
      </c>
      <c r="J1536" s="3">
        <v>415</v>
      </c>
      <c r="K1536" s="3">
        <v>415</v>
      </c>
      <c r="L1536" s="3">
        <v>415</v>
      </c>
      <c r="M1536" s="3">
        <v>415</v>
      </c>
      <c r="N1536" s="3">
        <v>415</v>
      </c>
      <c r="O1536" s="3">
        <v>415</v>
      </c>
      <c r="P1536" s="3">
        <v>415</v>
      </c>
      <c r="Q1536" s="3">
        <v>415</v>
      </c>
      <c r="R1536" s="3">
        <v>415</v>
      </c>
      <c r="S1536" s="3">
        <v>0</v>
      </c>
      <c r="T1536" s="3">
        <v>0</v>
      </c>
      <c r="U1536" s="3">
        <v>0</v>
      </c>
    </row>
    <row r="1537" spans="1:21" x14ac:dyDescent="0.2">
      <c r="A1537" t="s">
        <v>860</v>
      </c>
      <c r="B1537">
        <v>495</v>
      </c>
      <c r="C1537">
        <v>1</v>
      </c>
      <c r="D1537" t="s">
        <v>216</v>
      </c>
      <c r="E1537" s="3">
        <v>0</v>
      </c>
      <c r="F1537" s="3">
        <v>0</v>
      </c>
      <c r="G1537" s="3">
        <v>0</v>
      </c>
      <c r="H1537" s="3">
        <v>0</v>
      </c>
      <c r="I1537" s="3">
        <v>400</v>
      </c>
      <c r="J1537" s="3">
        <v>400</v>
      </c>
      <c r="K1537" s="3">
        <v>400</v>
      </c>
      <c r="L1537" s="3">
        <v>400</v>
      </c>
      <c r="M1537" s="3">
        <v>400</v>
      </c>
      <c r="N1537" s="3">
        <v>400</v>
      </c>
      <c r="O1537" s="3">
        <v>400</v>
      </c>
      <c r="P1537" s="3">
        <v>400</v>
      </c>
      <c r="Q1537" s="3">
        <v>400</v>
      </c>
      <c r="R1537" s="3">
        <v>400</v>
      </c>
      <c r="S1537" s="3">
        <v>0</v>
      </c>
      <c r="T1537" s="3">
        <v>0</v>
      </c>
      <c r="U1537" s="3">
        <v>0</v>
      </c>
    </row>
    <row r="1538" spans="1:21" x14ac:dyDescent="0.2">
      <c r="A1538" t="s">
        <v>860</v>
      </c>
      <c r="B1538">
        <v>497</v>
      </c>
      <c r="C1538">
        <v>1</v>
      </c>
      <c r="D1538" t="s">
        <v>217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</row>
    <row r="1539" spans="1:21" x14ac:dyDescent="0.2">
      <c r="A1539" t="s">
        <v>860</v>
      </c>
      <c r="B1539">
        <v>499</v>
      </c>
      <c r="C1539">
        <v>1</v>
      </c>
      <c r="D1539" t="s">
        <v>218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</row>
    <row r="1540" spans="1:21" x14ac:dyDescent="0.2">
      <c r="A1540" t="s">
        <v>860</v>
      </c>
      <c r="B1540">
        <v>500</v>
      </c>
      <c r="C1540">
        <v>1</v>
      </c>
      <c r="D1540" t="s">
        <v>219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</row>
    <row r="1541" spans="1:21" x14ac:dyDescent="0.2">
      <c r="A1541" t="s">
        <v>860</v>
      </c>
      <c r="B1541">
        <v>505</v>
      </c>
      <c r="C1541">
        <v>1</v>
      </c>
      <c r="D1541" t="s">
        <v>220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</row>
    <row r="1542" spans="1:21" x14ac:dyDescent="0.2">
      <c r="A1542" t="s">
        <v>860</v>
      </c>
      <c r="B1542">
        <v>507</v>
      </c>
      <c r="C1542">
        <v>1</v>
      </c>
      <c r="D1542" t="s">
        <v>221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</row>
    <row r="1543" spans="1:21" x14ac:dyDescent="0.2">
      <c r="A1543" t="s">
        <v>860</v>
      </c>
      <c r="B1543">
        <v>508</v>
      </c>
      <c r="C1543">
        <v>1</v>
      </c>
      <c r="D1543" t="s">
        <v>222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</row>
    <row r="1544" spans="1:21" x14ac:dyDescent="0.2">
      <c r="A1544" t="s">
        <v>860</v>
      </c>
      <c r="B1544">
        <v>511</v>
      </c>
      <c r="C1544">
        <v>1</v>
      </c>
      <c r="D1544" t="s">
        <v>223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</row>
    <row r="1545" spans="1:21" x14ac:dyDescent="0.2">
      <c r="A1545" t="s">
        <v>860</v>
      </c>
      <c r="B1545">
        <v>513</v>
      </c>
      <c r="C1545">
        <v>1</v>
      </c>
      <c r="D1545" t="s">
        <v>224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</row>
    <row r="1546" spans="1:21" x14ac:dyDescent="0.2">
      <c r="A1546" t="s">
        <v>860</v>
      </c>
      <c r="B1546">
        <v>514</v>
      </c>
      <c r="C1546">
        <v>1</v>
      </c>
      <c r="D1546" t="s">
        <v>225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</row>
    <row r="1547" spans="1:21" x14ac:dyDescent="0.2">
      <c r="A1547" t="s">
        <v>860</v>
      </c>
      <c r="B1547">
        <v>516</v>
      </c>
      <c r="C1547">
        <v>1</v>
      </c>
      <c r="D1547" t="s">
        <v>226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</row>
    <row r="1548" spans="1:21" x14ac:dyDescent="0.2">
      <c r="A1548" t="s">
        <v>860</v>
      </c>
      <c r="B1548">
        <v>518</v>
      </c>
      <c r="C1548">
        <v>1</v>
      </c>
      <c r="D1548" t="s">
        <v>227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</row>
    <row r="1549" spans="1:21" x14ac:dyDescent="0.2">
      <c r="A1549" t="s">
        <v>860</v>
      </c>
      <c r="B1549">
        <v>531</v>
      </c>
      <c r="C1549">
        <v>1</v>
      </c>
      <c r="D1549" t="s">
        <v>228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</row>
    <row r="1550" spans="1:21" x14ac:dyDescent="0.2">
      <c r="A1550" t="s">
        <v>860</v>
      </c>
      <c r="B1550">
        <v>533</v>
      </c>
      <c r="C1550">
        <v>1</v>
      </c>
      <c r="D1550" t="s">
        <v>229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</row>
    <row r="1551" spans="1:21" x14ac:dyDescent="0.2">
      <c r="A1551" t="s">
        <v>860</v>
      </c>
      <c r="B1551">
        <v>534</v>
      </c>
      <c r="C1551">
        <v>1</v>
      </c>
      <c r="D1551" t="s">
        <v>230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</row>
    <row r="1552" spans="1:21" x14ac:dyDescent="0.2">
      <c r="A1552" t="s">
        <v>860</v>
      </c>
      <c r="B1552">
        <v>535</v>
      </c>
      <c r="C1552">
        <v>1</v>
      </c>
      <c r="D1552" t="s">
        <v>231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</row>
    <row r="1553" spans="1:21" x14ac:dyDescent="0.2">
      <c r="A1553" t="s">
        <v>860</v>
      </c>
      <c r="B1553">
        <v>542</v>
      </c>
      <c r="C1553">
        <v>1</v>
      </c>
      <c r="D1553" t="s">
        <v>232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</row>
    <row r="1554" spans="1:21" x14ac:dyDescent="0.2">
      <c r="A1554" t="s">
        <v>860</v>
      </c>
      <c r="B1554">
        <v>544</v>
      </c>
      <c r="C1554">
        <v>1</v>
      </c>
      <c r="D1554" t="s">
        <v>233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</row>
    <row r="1555" spans="1:21" x14ac:dyDescent="0.2">
      <c r="A1555" t="s">
        <v>860</v>
      </c>
      <c r="B1555">
        <v>545</v>
      </c>
      <c r="C1555">
        <v>1</v>
      </c>
      <c r="D1555" t="s">
        <v>234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</row>
    <row r="1556" spans="1:21" x14ac:dyDescent="0.2">
      <c r="A1556" t="s">
        <v>860</v>
      </c>
      <c r="B1556">
        <v>547</v>
      </c>
      <c r="C1556">
        <v>1</v>
      </c>
      <c r="D1556" t="s">
        <v>235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</row>
    <row r="1557" spans="1:21" x14ac:dyDescent="0.2">
      <c r="A1557" t="s">
        <v>860</v>
      </c>
      <c r="B1557">
        <v>548</v>
      </c>
      <c r="C1557">
        <v>1</v>
      </c>
      <c r="D1557" t="s">
        <v>236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</row>
    <row r="1558" spans="1:21" x14ac:dyDescent="0.2">
      <c r="A1558" t="s">
        <v>860</v>
      </c>
      <c r="B1558">
        <v>549</v>
      </c>
      <c r="C1558">
        <v>1</v>
      </c>
      <c r="D1558" t="s">
        <v>237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</row>
    <row r="1559" spans="1:21" x14ac:dyDescent="0.2">
      <c r="A1559" t="s">
        <v>860</v>
      </c>
      <c r="B1559">
        <v>550</v>
      </c>
      <c r="C1559">
        <v>1</v>
      </c>
      <c r="D1559" t="s">
        <v>238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</row>
    <row r="1560" spans="1:21" x14ac:dyDescent="0.2">
      <c r="A1560" t="s">
        <v>860</v>
      </c>
      <c r="B1560">
        <v>553</v>
      </c>
      <c r="C1560">
        <v>1</v>
      </c>
      <c r="D1560" t="s">
        <v>239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</row>
    <row r="1561" spans="1:21" x14ac:dyDescent="0.2">
      <c r="A1561" t="s">
        <v>860</v>
      </c>
      <c r="B1561">
        <v>561</v>
      </c>
      <c r="C1561">
        <v>1</v>
      </c>
      <c r="D1561" t="s">
        <v>240</v>
      </c>
      <c r="E1561" s="3">
        <v>0</v>
      </c>
      <c r="F1561" s="3">
        <v>0</v>
      </c>
      <c r="G1561" s="3">
        <v>0</v>
      </c>
      <c r="H1561" s="3">
        <v>0</v>
      </c>
      <c r="I1561" s="3">
        <v>1750</v>
      </c>
      <c r="J1561" s="3">
        <v>1750</v>
      </c>
      <c r="K1561" s="3">
        <v>1750</v>
      </c>
      <c r="L1561" s="3">
        <v>1750</v>
      </c>
      <c r="M1561" s="3">
        <v>1750</v>
      </c>
      <c r="N1561" s="3">
        <v>1750</v>
      </c>
      <c r="O1561" s="3">
        <v>1750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</row>
    <row r="1562" spans="1:21" x14ac:dyDescent="0.2">
      <c r="A1562" t="s">
        <v>860</v>
      </c>
      <c r="B1562">
        <v>564</v>
      </c>
      <c r="C1562">
        <v>1</v>
      </c>
      <c r="D1562" t="s">
        <v>241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</row>
    <row r="1563" spans="1:21" x14ac:dyDescent="0.2">
      <c r="A1563" t="s">
        <v>860</v>
      </c>
      <c r="B1563">
        <v>577</v>
      </c>
      <c r="C1563">
        <v>1</v>
      </c>
      <c r="D1563" t="s">
        <v>242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</row>
    <row r="1564" spans="1:21" x14ac:dyDescent="0.2">
      <c r="A1564" t="s">
        <v>860</v>
      </c>
      <c r="B1564">
        <v>578</v>
      </c>
      <c r="C1564">
        <v>1</v>
      </c>
      <c r="D1564" t="s">
        <v>243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</row>
    <row r="1565" spans="1:21" x14ac:dyDescent="0.2">
      <c r="A1565" t="s">
        <v>860</v>
      </c>
      <c r="B1565">
        <v>581</v>
      </c>
      <c r="C1565">
        <v>1</v>
      </c>
      <c r="D1565" t="s">
        <v>244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</row>
    <row r="1566" spans="1:21" x14ac:dyDescent="0.2">
      <c r="A1566" t="s">
        <v>860</v>
      </c>
      <c r="B1566">
        <v>584</v>
      </c>
      <c r="C1566">
        <v>1</v>
      </c>
      <c r="D1566" t="s">
        <v>245</v>
      </c>
      <c r="E1566" s="3">
        <v>0</v>
      </c>
      <c r="F1566" s="3">
        <v>0</v>
      </c>
      <c r="G1566" s="3">
        <v>0</v>
      </c>
      <c r="H1566" s="3">
        <v>0</v>
      </c>
      <c r="I1566" s="3">
        <v>500</v>
      </c>
      <c r="J1566" s="3">
        <v>500</v>
      </c>
      <c r="K1566" s="3">
        <v>500</v>
      </c>
      <c r="L1566" s="3">
        <v>500</v>
      </c>
      <c r="M1566" s="3">
        <v>500</v>
      </c>
      <c r="N1566" s="3">
        <v>500</v>
      </c>
      <c r="O1566" s="3">
        <v>500</v>
      </c>
      <c r="P1566" s="3">
        <v>500</v>
      </c>
      <c r="Q1566" s="3">
        <v>500</v>
      </c>
      <c r="R1566" s="3">
        <v>500</v>
      </c>
      <c r="S1566" s="3">
        <v>0</v>
      </c>
      <c r="T1566" s="3">
        <v>0</v>
      </c>
      <c r="U1566" s="3">
        <v>0</v>
      </c>
    </row>
    <row r="1567" spans="1:21" x14ac:dyDescent="0.2">
      <c r="A1567" t="s">
        <v>860</v>
      </c>
      <c r="B1567">
        <v>592</v>
      </c>
      <c r="C1567">
        <v>1</v>
      </c>
      <c r="D1567" t="s">
        <v>246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</row>
    <row r="1568" spans="1:21" x14ac:dyDescent="0.2">
      <c r="A1568" t="s">
        <v>860</v>
      </c>
      <c r="B1568">
        <v>593</v>
      </c>
      <c r="C1568">
        <v>1</v>
      </c>
      <c r="D1568" t="s">
        <v>247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</row>
    <row r="1569" spans="1:21" x14ac:dyDescent="0.2">
      <c r="A1569" t="s">
        <v>860</v>
      </c>
      <c r="B1569">
        <v>595</v>
      </c>
      <c r="C1569">
        <v>1</v>
      </c>
      <c r="D1569" t="s">
        <v>248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</row>
    <row r="1570" spans="1:21" x14ac:dyDescent="0.2">
      <c r="A1570" t="s">
        <v>860</v>
      </c>
      <c r="B1570">
        <v>599</v>
      </c>
      <c r="C1570">
        <v>1</v>
      </c>
      <c r="D1570" t="s">
        <v>249</v>
      </c>
      <c r="E1570" s="3">
        <v>0</v>
      </c>
      <c r="F1570" s="3">
        <v>0</v>
      </c>
      <c r="G1570" s="3">
        <v>0</v>
      </c>
      <c r="H1570" s="3">
        <v>0</v>
      </c>
      <c r="I1570" s="3">
        <v>1200</v>
      </c>
      <c r="J1570" s="3">
        <v>1200</v>
      </c>
      <c r="K1570" s="3">
        <v>1200</v>
      </c>
      <c r="L1570" s="3">
        <v>1200</v>
      </c>
      <c r="M1570" s="3">
        <v>1200</v>
      </c>
      <c r="N1570" s="3">
        <v>1200</v>
      </c>
      <c r="O1570" s="3">
        <v>1200</v>
      </c>
      <c r="P1570" s="3">
        <v>1200</v>
      </c>
      <c r="Q1570" s="3">
        <v>1200</v>
      </c>
      <c r="R1570" s="3">
        <v>1200</v>
      </c>
      <c r="S1570" s="3">
        <v>0</v>
      </c>
      <c r="T1570" s="3">
        <v>0</v>
      </c>
      <c r="U1570" s="3">
        <v>0</v>
      </c>
    </row>
    <row r="1571" spans="1:21" x14ac:dyDescent="0.2">
      <c r="A1571" t="s">
        <v>860</v>
      </c>
      <c r="B1571">
        <v>600</v>
      </c>
      <c r="C1571">
        <v>1</v>
      </c>
      <c r="D1571" t="s">
        <v>250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</row>
    <row r="1572" spans="1:21" x14ac:dyDescent="0.2">
      <c r="A1572" t="s">
        <v>860</v>
      </c>
      <c r="B1572">
        <v>601</v>
      </c>
      <c r="C1572">
        <v>1</v>
      </c>
      <c r="D1572" t="s">
        <v>251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</row>
    <row r="1573" spans="1:21" x14ac:dyDescent="0.2">
      <c r="A1573" t="s">
        <v>860</v>
      </c>
      <c r="B1573">
        <v>611</v>
      </c>
      <c r="C1573">
        <v>1</v>
      </c>
      <c r="D1573" t="s">
        <v>252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</row>
    <row r="1574" spans="1:21" x14ac:dyDescent="0.2">
      <c r="A1574" t="s">
        <v>860</v>
      </c>
      <c r="B1574">
        <v>621</v>
      </c>
      <c r="C1574">
        <v>1</v>
      </c>
      <c r="D1574" t="s">
        <v>253</v>
      </c>
      <c r="E1574" s="3">
        <v>0</v>
      </c>
      <c r="F1574" s="3">
        <v>0</v>
      </c>
      <c r="G1574" s="3">
        <v>0</v>
      </c>
      <c r="H1574" s="3">
        <v>0</v>
      </c>
      <c r="I1574" s="3">
        <v>532.54</v>
      </c>
      <c r="J1574" s="3">
        <v>532.54</v>
      </c>
      <c r="K1574" s="3">
        <v>532.54</v>
      </c>
      <c r="L1574" s="3">
        <v>532.54</v>
      </c>
      <c r="M1574" s="3">
        <v>532.54</v>
      </c>
      <c r="N1574" s="3">
        <v>532.54</v>
      </c>
      <c r="O1574" s="3">
        <v>532.54</v>
      </c>
      <c r="P1574" s="3">
        <v>532.54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</row>
    <row r="1575" spans="1:21" x14ac:dyDescent="0.2">
      <c r="A1575" t="s">
        <v>860</v>
      </c>
      <c r="B1575">
        <v>622</v>
      </c>
      <c r="C1575">
        <v>1</v>
      </c>
      <c r="D1575" t="s">
        <v>254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</row>
    <row r="1576" spans="1:21" x14ac:dyDescent="0.2">
      <c r="A1576" t="s">
        <v>860</v>
      </c>
      <c r="B1576">
        <v>623</v>
      </c>
      <c r="C1576">
        <v>1</v>
      </c>
      <c r="D1576" t="s">
        <v>255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</row>
    <row r="1577" spans="1:21" x14ac:dyDescent="0.2">
      <c r="A1577" t="s">
        <v>860</v>
      </c>
      <c r="B1577">
        <v>624</v>
      </c>
      <c r="C1577">
        <v>1</v>
      </c>
      <c r="D1577" t="s">
        <v>256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</row>
    <row r="1578" spans="1:21" x14ac:dyDescent="0.2">
      <c r="A1578" t="s">
        <v>860</v>
      </c>
      <c r="B1578">
        <v>625</v>
      </c>
      <c r="C1578">
        <v>1</v>
      </c>
      <c r="D1578" t="s">
        <v>257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</row>
    <row r="1579" spans="1:21" x14ac:dyDescent="0.2">
      <c r="A1579" t="s">
        <v>860</v>
      </c>
      <c r="B1579">
        <v>627</v>
      </c>
      <c r="C1579">
        <v>1</v>
      </c>
      <c r="D1579" t="s">
        <v>258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</row>
    <row r="1580" spans="1:21" x14ac:dyDescent="0.2">
      <c r="A1580" t="s">
        <v>860</v>
      </c>
      <c r="B1580">
        <v>628</v>
      </c>
      <c r="C1580">
        <v>1</v>
      </c>
      <c r="D1580" t="s">
        <v>259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</row>
    <row r="1581" spans="1:21" x14ac:dyDescent="0.2">
      <c r="A1581" t="s">
        <v>860</v>
      </c>
      <c r="B1581">
        <v>630</v>
      </c>
      <c r="C1581">
        <v>1</v>
      </c>
      <c r="D1581" t="s">
        <v>260</v>
      </c>
      <c r="E1581" s="3">
        <v>0</v>
      </c>
      <c r="F1581" s="3">
        <v>0</v>
      </c>
      <c r="G1581" s="3">
        <v>0</v>
      </c>
      <c r="H1581" s="3">
        <v>0</v>
      </c>
      <c r="I1581" s="3">
        <v>1000</v>
      </c>
      <c r="J1581" s="3">
        <v>1000</v>
      </c>
      <c r="K1581" s="3">
        <v>1000</v>
      </c>
      <c r="L1581" s="3">
        <v>1000</v>
      </c>
      <c r="M1581" s="3">
        <v>1000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</row>
    <row r="1582" spans="1:21" x14ac:dyDescent="0.2">
      <c r="A1582" t="s">
        <v>860</v>
      </c>
      <c r="B1582">
        <v>635</v>
      </c>
      <c r="C1582">
        <v>1</v>
      </c>
      <c r="D1582" t="s">
        <v>261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</row>
    <row r="1583" spans="1:21" x14ac:dyDescent="0.2">
      <c r="A1583" t="s">
        <v>860</v>
      </c>
      <c r="B1583">
        <v>640</v>
      </c>
      <c r="C1583">
        <v>1</v>
      </c>
      <c r="D1583" t="s">
        <v>262</v>
      </c>
      <c r="E1583" s="3">
        <v>0</v>
      </c>
      <c r="F1583" s="3">
        <v>0</v>
      </c>
      <c r="G1583" s="3">
        <v>0</v>
      </c>
      <c r="H1583" s="3">
        <v>0</v>
      </c>
      <c r="I1583" s="3">
        <v>500</v>
      </c>
      <c r="J1583" s="3">
        <v>500</v>
      </c>
      <c r="K1583" s="3">
        <v>500</v>
      </c>
      <c r="L1583" s="3">
        <v>500</v>
      </c>
      <c r="M1583" s="3">
        <v>500</v>
      </c>
      <c r="N1583" s="3">
        <v>500</v>
      </c>
      <c r="O1583" s="3">
        <v>500</v>
      </c>
      <c r="P1583" s="3">
        <v>500</v>
      </c>
      <c r="Q1583" s="3">
        <v>500</v>
      </c>
      <c r="R1583" s="3">
        <v>500</v>
      </c>
      <c r="S1583" s="3">
        <v>0</v>
      </c>
      <c r="T1583" s="3">
        <v>0</v>
      </c>
      <c r="U1583" s="3">
        <v>0</v>
      </c>
    </row>
    <row r="1584" spans="1:21" x14ac:dyDescent="0.2">
      <c r="A1584" t="s">
        <v>860</v>
      </c>
      <c r="B1584">
        <v>656</v>
      </c>
      <c r="C1584">
        <v>1</v>
      </c>
      <c r="D1584" t="s">
        <v>263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</row>
    <row r="1585" spans="1:21" x14ac:dyDescent="0.2">
      <c r="A1585" t="s">
        <v>860</v>
      </c>
      <c r="B1585">
        <v>659</v>
      </c>
      <c r="C1585">
        <v>1</v>
      </c>
      <c r="D1585" t="s">
        <v>264</v>
      </c>
      <c r="E1585" s="3">
        <v>0</v>
      </c>
      <c r="F1585" s="3">
        <v>0</v>
      </c>
      <c r="G1585" s="3">
        <v>0</v>
      </c>
      <c r="H1585" s="3">
        <v>0</v>
      </c>
      <c r="I1585" s="3">
        <v>685</v>
      </c>
      <c r="J1585" s="3">
        <v>685</v>
      </c>
      <c r="K1585" s="3">
        <v>685</v>
      </c>
      <c r="L1585" s="3">
        <v>685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</row>
    <row r="1586" spans="1:21" x14ac:dyDescent="0.2">
      <c r="A1586" t="s">
        <v>860</v>
      </c>
      <c r="B1586">
        <v>671</v>
      </c>
      <c r="C1586">
        <v>1</v>
      </c>
      <c r="D1586" t="s">
        <v>265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</row>
    <row r="1587" spans="1:21" x14ac:dyDescent="0.2">
      <c r="A1587" t="s">
        <v>860</v>
      </c>
      <c r="B1587">
        <v>676</v>
      </c>
      <c r="C1587">
        <v>1</v>
      </c>
      <c r="D1587" t="s">
        <v>266</v>
      </c>
      <c r="E1587" s="3">
        <v>0</v>
      </c>
      <c r="F1587" s="3">
        <v>0</v>
      </c>
      <c r="G1587" s="3">
        <v>0</v>
      </c>
      <c r="H1587" s="3">
        <v>0</v>
      </c>
      <c r="I1587" s="3">
        <v>1500</v>
      </c>
      <c r="J1587" s="3">
        <v>1500</v>
      </c>
      <c r="K1587" s="3">
        <v>1500</v>
      </c>
      <c r="L1587" s="3">
        <v>1500</v>
      </c>
      <c r="M1587" s="3">
        <v>1500</v>
      </c>
      <c r="N1587" s="3">
        <v>1500</v>
      </c>
      <c r="O1587" s="3">
        <v>1500</v>
      </c>
      <c r="P1587" s="3">
        <v>1500</v>
      </c>
      <c r="Q1587" s="3">
        <v>1500</v>
      </c>
      <c r="R1587" s="3">
        <v>1500</v>
      </c>
      <c r="S1587" s="3">
        <v>0</v>
      </c>
      <c r="T1587" s="3">
        <v>0</v>
      </c>
      <c r="U1587" s="3">
        <v>0</v>
      </c>
    </row>
    <row r="1588" spans="1:21" x14ac:dyDescent="0.2">
      <c r="A1588" t="s">
        <v>860</v>
      </c>
      <c r="B1588">
        <v>682</v>
      </c>
      <c r="C1588">
        <v>1</v>
      </c>
      <c r="D1588" t="s">
        <v>267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</row>
    <row r="1589" spans="1:21" x14ac:dyDescent="0.2">
      <c r="A1589" t="s">
        <v>860</v>
      </c>
      <c r="B1589">
        <v>690</v>
      </c>
      <c r="C1589">
        <v>1</v>
      </c>
      <c r="D1589" t="s">
        <v>268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</row>
    <row r="1590" spans="1:21" x14ac:dyDescent="0.2">
      <c r="A1590" t="s">
        <v>860</v>
      </c>
      <c r="B1590">
        <v>695</v>
      </c>
      <c r="C1590">
        <v>1</v>
      </c>
      <c r="D1590" t="s">
        <v>269</v>
      </c>
      <c r="E1590" s="3">
        <v>0</v>
      </c>
      <c r="F1590" s="3">
        <v>0</v>
      </c>
      <c r="G1590" s="3">
        <v>0</v>
      </c>
      <c r="H1590" s="3">
        <v>0</v>
      </c>
      <c r="I1590" s="3">
        <v>873.36</v>
      </c>
      <c r="J1590" s="3">
        <v>873.36</v>
      </c>
      <c r="K1590" s="3">
        <v>873.36</v>
      </c>
      <c r="L1590" s="3">
        <v>873.36</v>
      </c>
      <c r="M1590" s="3">
        <v>873.36</v>
      </c>
      <c r="N1590" s="3">
        <v>873.36</v>
      </c>
      <c r="O1590" s="3">
        <v>873.36</v>
      </c>
      <c r="P1590" s="3">
        <v>873.36</v>
      </c>
      <c r="Q1590" s="3">
        <v>873.36</v>
      </c>
      <c r="R1590" s="3">
        <v>873.36</v>
      </c>
      <c r="S1590" s="3">
        <v>0</v>
      </c>
      <c r="T1590" s="3">
        <v>0</v>
      </c>
      <c r="U1590" s="3">
        <v>0</v>
      </c>
    </row>
    <row r="1591" spans="1:21" x14ac:dyDescent="0.2">
      <c r="A1591" t="s">
        <v>860</v>
      </c>
      <c r="B1591">
        <v>696</v>
      </c>
      <c r="C1591">
        <v>1</v>
      </c>
      <c r="D1591" t="s">
        <v>270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</row>
    <row r="1592" spans="1:21" x14ac:dyDescent="0.2">
      <c r="A1592" t="s">
        <v>860</v>
      </c>
      <c r="B1592">
        <v>698</v>
      </c>
      <c r="C1592">
        <v>1</v>
      </c>
      <c r="D1592" t="s">
        <v>271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</row>
    <row r="1593" spans="1:21" x14ac:dyDescent="0.2">
      <c r="A1593" t="s">
        <v>860</v>
      </c>
      <c r="B1593">
        <v>700</v>
      </c>
      <c r="C1593">
        <v>1</v>
      </c>
      <c r="D1593" t="s">
        <v>272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</row>
    <row r="1594" spans="1:21" x14ac:dyDescent="0.2">
      <c r="A1594" t="s">
        <v>860</v>
      </c>
      <c r="B1594">
        <v>701</v>
      </c>
      <c r="C1594">
        <v>1</v>
      </c>
      <c r="D1594" t="s">
        <v>273</v>
      </c>
      <c r="E1594" s="3">
        <v>0</v>
      </c>
      <c r="F1594" s="3">
        <v>0</v>
      </c>
      <c r="G1594" s="3">
        <v>0</v>
      </c>
      <c r="H1594" s="3">
        <v>0</v>
      </c>
      <c r="I1594" s="3">
        <v>550</v>
      </c>
      <c r="J1594" s="3">
        <v>550</v>
      </c>
      <c r="K1594" s="3">
        <v>550</v>
      </c>
      <c r="L1594" s="3">
        <v>550</v>
      </c>
      <c r="M1594" s="3">
        <v>550</v>
      </c>
      <c r="N1594" s="3">
        <v>550</v>
      </c>
      <c r="O1594" s="3">
        <v>550</v>
      </c>
      <c r="P1594" s="3">
        <v>550</v>
      </c>
      <c r="Q1594" s="3">
        <v>550</v>
      </c>
      <c r="R1594" s="3">
        <v>550</v>
      </c>
      <c r="S1594" s="3">
        <v>0</v>
      </c>
      <c r="T1594" s="3">
        <v>0</v>
      </c>
      <c r="U1594" s="3">
        <v>0</v>
      </c>
    </row>
    <row r="1595" spans="1:21" x14ac:dyDescent="0.2">
      <c r="A1595" t="s">
        <v>860</v>
      </c>
      <c r="B1595">
        <v>704</v>
      </c>
      <c r="C1595">
        <v>1</v>
      </c>
      <c r="D1595" t="s">
        <v>274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</row>
    <row r="1596" spans="1:21" x14ac:dyDescent="0.2">
      <c r="A1596" t="s">
        <v>860</v>
      </c>
      <c r="B1596">
        <v>706</v>
      </c>
      <c r="C1596">
        <v>1</v>
      </c>
      <c r="D1596" t="s">
        <v>275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</row>
    <row r="1597" spans="1:21" x14ac:dyDescent="0.2">
      <c r="A1597" t="s">
        <v>860</v>
      </c>
      <c r="B1597">
        <v>707</v>
      </c>
      <c r="C1597">
        <v>1</v>
      </c>
      <c r="D1597" t="s">
        <v>276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</row>
    <row r="1598" spans="1:21" x14ac:dyDescent="0.2">
      <c r="A1598" t="s">
        <v>860</v>
      </c>
      <c r="B1598">
        <v>709</v>
      </c>
      <c r="C1598">
        <v>1</v>
      </c>
      <c r="D1598" t="s">
        <v>277</v>
      </c>
      <c r="E1598" s="3">
        <v>0</v>
      </c>
      <c r="F1598" s="3">
        <v>0</v>
      </c>
      <c r="G1598" s="3">
        <v>0</v>
      </c>
      <c r="H1598" s="3">
        <v>0</v>
      </c>
      <c r="I1598" s="3">
        <v>365.6</v>
      </c>
      <c r="J1598" s="3">
        <v>365.6</v>
      </c>
      <c r="K1598" s="3">
        <v>365.6</v>
      </c>
      <c r="L1598" s="3">
        <v>365.6</v>
      </c>
      <c r="M1598" s="3">
        <v>365.6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</row>
    <row r="1599" spans="1:21" x14ac:dyDescent="0.2">
      <c r="A1599" t="s">
        <v>860</v>
      </c>
      <c r="B1599">
        <v>712</v>
      </c>
      <c r="C1599">
        <v>1</v>
      </c>
      <c r="D1599" t="s">
        <v>278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</row>
    <row r="1600" spans="1:21" x14ac:dyDescent="0.2">
      <c r="A1600" t="s">
        <v>860</v>
      </c>
      <c r="B1600">
        <v>716</v>
      </c>
      <c r="C1600">
        <v>1</v>
      </c>
      <c r="D1600" t="s">
        <v>279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</row>
    <row r="1601" spans="1:21" x14ac:dyDescent="0.2">
      <c r="A1601" t="s">
        <v>860</v>
      </c>
      <c r="B1601">
        <v>717</v>
      </c>
      <c r="C1601">
        <v>1</v>
      </c>
      <c r="D1601" t="s">
        <v>280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</row>
    <row r="1602" spans="1:21" x14ac:dyDescent="0.2">
      <c r="A1602" t="s">
        <v>860</v>
      </c>
      <c r="B1602">
        <v>719</v>
      </c>
      <c r="C1602">
        <v>1</v>
      </c>
      <c r="D1602" t="s">
        <v>281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</row>
    <row r="1603" spans="1:21" x14ac:dyDescent="0.2">
      <c r="A1603" t="s">
        <v>860</v>
      </c>
      <c r="B1603">
        <v>720</v>
      </c>
      <c r="C1603">
        <v>1</v>
      </c>
      <c r="D1603" t="s">
        <v>282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</row>
    <row r="1604" spans="1:21" x14ac:dyDescent="0.2">
      <c r="A1604" t="s">
        <v>860</v>
      </c>
      <c r="B1604">
        <v>721</v>
      </c>
      <c r="C1604">
        <v>1</v>
      </c>
      <c r="D1604" t="s">
        <v>283</v>
      </c>
      <c r="E1604" s="3">
        <v>0</v>
      </c>
      <c r="F1604" s="3">
        <v>0</v>
      </c>
      <c r="G1604" s="3">
        <v>0</v>
      </c>
      <c r="H1604" s="3">
        <v>0</v>
      </c>
      <c r="I1604" s="3">
        <v>453</v>
      </c>
      <c r="J1604" s="3">
        <v>453</v>
      </c>
      <c r="K1604" s="3">
        <v>453</v>
      </c>
      <c r="L1604" s="3">
        <v>453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</row>
    <row r="1605" spans="1:21" x14ac:dyDescent="0.2">
      <c r="A1605" t="s">
        <v>860</v>
      </c>
      <c r="B1605">
        <v>726</v>
      </c>
      <c r="C1605">
        <v>1</v>
      </c>
      <c r="D1605" t="s">
        <v>284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</row>
    <row r="1606" spans="1:21" x14ac:dyDescent="0.2">
      <c r="A1606" t="s">
        <v>860</v>
      </c>
      <c r="B1606">
        <v>727</v>
      </c>
      <c r="C1606">
        <v>1</v>
      </c>
      <c r="D1606" t="s">
        <v>285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</row>
    <row r="1607" spans="1:21" x14ac:dyDescent="0.2">
      <c r="A1607" t="s">
        <v>860</v>
      </c>
      <c r="B1607">
        <v>728</v>
      </c>
      <c r="C1607">
        <v>1</v>
      </c>
      <c r="D1607" t="s">
        <v>286</v>
      </c>
      <c r="E1607" s="3">
        <v>0</v>
      </c>
      <c r="F1607" s="3">
        <v>0</v>
      </c>
      <c r="G1607" s="3">
        <v>0</v>
      </c>
      <c r="H1607" s="3">
        <v>0</v>
      </c>
      <c r="I1607" s="3">
        <f>184+157</f>
        <v>341</v>
      </c>
      <c r="J1607" s="3">
        <f>229+157</f>
        <v>386</v>
      </c>
      <c r="K1607" s="3">
        <f t="shared" ref="K1607:R1607" si="4">229+157</f>
        <v>386</v>
      </c>
      <c r="L1607" s="3">
        <f t="shared" si="4"/>
        <v>386</v>
      </c>
      <c r="M1607" s="3">
        <f t="shared" si="4"/>
        <v>386</v>
      </c>
      <c r="N1607" s="3">
        <f t="shared" si="4"/>
        <v>386</v>
      </c>
      <c r="O1607" s="3">
        <f t="shared" si="4"/>
        <v>386</v>
      </c>
      <c r="P1607" s="3">
        <f t="shared" si="4"/>
        <v>386</v>
      </c>
      <c r="Q1607" s="3">
        <f t="shared" si="4"/>
        <v>386</v>
      </c>
      <c r="R1607" s="3">
        <f t="shared" si="4"/>
        <v>386</v>
      </c>
      <c r="S1607" s="3">
        <v>0</v>
      </c>
      <c r="T1607" s="3">
        <v>0</v>
      </c>
      <c r="U1607" s="3">
        <v>0</v>
      </c>
    </row>
    <row r="1608" spans="1:21" x14ac:dyDescent="0.2">
      <c r="A1608" t="s">
        <v>860</v>
      </c>
      <c r="B1608">
        <v>738</v>
      </c>
      <c r="C1608">
        <v>1</v>
      </c>
      <c r="D1608" t="s">
        <v>287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</row>
    <row r="1609" spans="1:21" x14ac:dyDescent="0.2">
      <c r="A1609" t="s">
        <v>860</v>
      </c>
      <c r="B1609">
        <v>739</v>
      </c>
      <c r="C1609">
        <v>1</v>
      </c>
      <c r="D1609" t="s">
        <v>288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</row>
    <row r="1610" spans="1:21" x14ac:dyDescent="0.2">
      <c r="A1610" t="s">
        <v>860</v>
      </c>
      <c r="B1610">
        <v>740</v>
      </c>
      <c r="C1610">
        <v>1</v>
      </c>
      <c r="D1610" t="s">
        <v>289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</row>
    <row r="1611" spans="1:21" x14ac:dyDescent="0.2">
      <c r="A1611" t="s">
        <v>860</v>
      </c>
      <c r="B1611">
        <v>741</v>
      </c>
      <c r="C1611">
        <v>1</v>
      </c>
      <c r="D1611" t="s">
        <v>290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</row>
    <row r="1612" spans="1:21" x14ac:dyDescent="0.2">
      <c r="A1612" t="s">
        <v>860</v>
      </c>
      <c r="B1612">
        <v>742</v>
      </c>
      <c r="C1612">
        <v>1</v>
      </c>
      <c r="D1612" t="s">
        <v>291</v>
      </c>
      <c r="E1612" s="3">
        <v>0</v>
      </c>
      <c r="F1612" s="3">
        <v>0</v>
      </c>
      <c r="G1612" s="3">
        <v>0</v>
      </c>
      <c r="H1612" s="3">
        <v>0</v>
      </c>
      <c r="I1612" s="3">
        <v>454</v>
      </c>
      <c r="J1612" s="3">
        <v>454</v>
      </c>
      <c r="K1612" s="3">
        <v>454</v>
      </c>
      <c r="L1612" s="3">
        <v>454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</row>
    <row r="1613" spans="1:21" x14ac:dyDescent="0.2">
      <c r="A1613" t="s">
        <v>860</v>
      </c>
      <c r="B1613">
        <v>743</v>
      </c>
      <c r="C1613">
        <v>1</v>
      </c>
      <c r="D1613" t="s">
        <v>292</v>
      </c>
      <c r="E1613" s="3">
        <v>0</v>
      </c>
      <c r="F1613" s="3">
        <v>0</v>
      </c>
      <c r="G1613" s="3">
        <v>0</v>
      </c>
      <c r="H1613" s="3">
        <v>0</v>
      </c>
      <c r="I1613" s="3">
        <v>650</v>
      </c>
      <c r="J1613" s="3">
        <v>650</v>
      </c>
      <c r="K1613" s="3">
        <v>650</v>
      </c>
      <c r="L1613" s="3">
        <v>650</v>
      </c>
      <c r="M1613" s="3">
        <v>650</v>
      </c>
      <c r="N1613" s="3">
        <v>650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</row>
    <row r="1614" spans="1:21" x14ac:dyDescent="0.2">
      <c r="A1614" t="s">
        <v>860</v>
      </c>
      <c r="B1614">
        <v>745</v>
      </c>
      <c r="C1614">
        <v>1</v>
      </c>
      <c r="D1614" t="s">
        <v>293</v>
      </c>
      <c r="E1614" s="3">
        <v>0</v>
      </c>
      <c r="F1614" s="3">
        <v>0</v>
      </c>
      <c r="G1614" s="3">
        <v>0</v>
      </c>
      <c r="H1614" s="3">
        <v>0</v>
      </c>
      <c r="I1614" s="3">
        <v>405</v>
      </c>
      <c r="J1614" s="3">
        <v>405</v>
      </c>
      <c r="K1614" s="3">
        <v>405</v>
      </c>
      <c r="L1614" s="3">
        <v>405</v>
      </c>
      <c r="M1614" s="3">
        <v>405</v>
      </c>
      <c r="N1614" s="3">
        <v>405</v>
      </c>
      <c r="O1614" s="3">
        <v>405</v>
      </c>
      <c r="P1614" s="3">
        <v>405</v>
      </c>
      <c r="Q1614" s="3">
        <v>405</v>
      </c>
      <c r="R1614" s="3">
        <v>405</v>
      </c>
      <c r="S1614" s="3">
        <v>0</v>
      </c>
      <c r="T1614" s="3">
        <v>0</v>
      </c>
      <c r="U1614" s="3">
        <v>0</v>
      </c>
    </row>
    <row r="1615" spans="1:21" x14ac:dyDescent="0.2">
      <c r="A1615" t="s">
        <v>860</v>
      </c>
      <c r="B1615">
        <v>748</v>
      </c>
      <c r="C1615">
        <v>1</v>
      </c>
      <c r="D1615" t="s">
        <v>294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</row>
    <row r="1616" spans="1:21" x14ac:dyDescent="0.2">
      <c r="A1616" t="s">
        <v>860</v>
      </c>
      <c r="B1616">
        <v>750</v>
      </c>
      <c r="C1616">
        <v>1</v>
      </c>
      <c r="D1616" t="s">
        <v>295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</row>
    <row r="1617" spans="1:21" x14ac:dyDescent="0.2">
      <c r="A1617" t="s">
        <v>860</v>
      </c>
      <c r="B1617">
        <v>756</v>
      </c>
      <c r="C1617">
        <v>1</v>
      </c>
      <c r="D1617" t="s">
        <v>296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</row>
    <row r="1618" spans="1:21" x14ac:dyDescent="0.2">
      <c r="A1618" t="s">
        <v>860</v>
      </c>
      <c r="B1618">
        <v>761</v>
      </c>
      <c r="C1618">
        <v>1</v>
      </c>
      <c r="D1618" t="s">
        <v>297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</row>
    <row r="1619" spans="1:21" x14ac:dyDescent="0.2">
      <c r="A1619" t="s">
        <v>860</v>
      </c>
      <c r="B1619">
        <v>763</v>
      </c>
      <c r="C1619">
        <v>1</v>
      </c>
      <c r="D1619" t="s">
        <v>298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</row>
    <row r="1620" spans="1:21" x14ac:dyDescent="0.2">
      <c r="A1620" t="s">
        <v>860</v>
      </c>
      <c r="B1620">
        <v>768</v>
      </c>
      <c r="C1620">
        <v>1</v>
      </c>
      <c r="D1620" t="s">
        <v>299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</row>
    <row r="1621" spans="1:21" x14ac:dyDescent="0.2">
      <c r="A1621" t="s">
        <v>860</v>
      </c>
      <c r="B1621">
        <v>769</v>
      </c>
      <c r="C1621">
        <v>1</v>
      </c>
      <c r="D1621" t="s">
        <v>300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</row>
    <row r="1622" spans="1:21" x14ac:dyDescent="0.2">
      <c r="A1622" t="s">
        <v>860</v>
      </c>
      <c r="B1622">
        <v>771</v>
      </c>
      <c r="C1622">
        <v>1</v>
      </c>
      <c r="D1622" t="s">
        <v>301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</row>
    <row r="1623" spans="1:21" x14ac:dyDescent="0.2">
      <c r="A1623" t="s">
        <v>860</v>
      </c>
      <c r="B1623">
        <v>775</v>
      </c>
      <c r="C1623">
        <v>1</v>
      </c>
      <c r="D1623" t="s">
        <v>302</v>
      </c>
      <c r="E1623" s="3">
        <v>0</v>
      </c>
      <c r="F1623" s="3">
        <v>0</v>
      </c>
      <c r="G1623" s="3">
        <v>0</v>
      </c>
      <c r="H1623" s="3">
        <v>0</v>
      </c>
      <c r="I1623" s="3">
        <v>400</v>
      </c>
      <c r="J1623" s="3">
        <v>400</v>
      </c>
      <c r="K1623" s="3">
        <v>400</v>
      </c>
      <c r="L1623" s="3">
        <v>400</v>
      </c>
      <c r="M1623" s="3">
        <v>400</v>
      </c>
      <c r="N1623" s="3">
        <v>400</v>
      </c>
      <c r="O1623" s="3">
        <v>400</v>
      </c>
      <c r="P1623" s="3">
        <v>400</v>
      </c>
      <c r="Q1623" s="3">
        <v>400</v>
      </c>
      <c r="R1623" s="3">
        <v>400</v>
      </c>
      <c r="S1623" s="3">
        <v>0</v>
      </c>
      <c r="T1623" s="3">
        <v>0</v>
      </c>
      <c r="U1623" s="3">
        <v>0</v>
      </c>
    </row>
    <row r="1624" spans="1:21" x14ac:dyDescent="0.2">
      <c r="A1624" t="s">
        <v>860</v>
      </c>
      <c r="B1624">
        <v>777</v>
      </c>
      <c r="C1624">
        <v>1</v>
      </c>
      <c r="D1624" t="s">
        <v>303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</row>
    <row r="1625" spans="1:21" x14ac:dyDescent="0.2">
      <c r="A1625" t="s">
        <v>860</v>
      </c>
      <c r="B1625">
        <v>786</v>
      </c>
      <c r="C1625">
        <v>1</v>
      </c>
      <c r="D1625" t="s">
        <v>304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</row>
    <row r="1626" spans="1:21" x14ac:dyDescent="0.2">
      <c r="A1626" t="s">
        <v>860</v>
      </c>
      <c r="B1626">
        <v>787</v>
      </c>
      <c r="C1626">
        <v>1</v>
      </c>
      <c r="D1626" t="s">
        <v>305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</row>
    <row r="1627" spans="1:21" x14ac:dyDescent="0.2">
      <c r="A1627" t="s">
        <v>860</v>
      </c>
      <c r="B1627">
        <v>801</v>
      </c>
      <c r="C1627">
        <v>1</v>
      </c>
      <c r="D1627" t="s">
        <v>306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</row>
    <row r="1628" spans="1:21" x14ac:dyDescent="0.2">
      <c r="A1628" t="s">
        <v>860</v>
      </c>
      <c r="B1628">
        <v>803</v>
      </c>
      <c r="C1628">
        <v>1</v>
      </c>
      <c r="D1628" t="s">
        <v>307</v>
      </c>
      <c r="E1628" s="3">
        <v>0</v>
      </c>
      <c r="F1628" s="3">
        <v>0</v>
      </c>
      <c r="G1628" s="3">
        <v>0</v>
      </c>
      <c r="H1628" s="3">
        <v>0</v>
      </c>
      <c r="I1628" s="3">
        <v>600</v>
      </c>
      <c r="J1628" s="3">
        <v>600</v>
      </c>
      <c r="K1628" s="3">
        <v>844.34</v>
      </c>
      <c r="L1628" s="3">
        <v>844.34</v>
      </c>
      <c r="M1628" s="3">
        <v>844.34</v>
      </c>
      <c r="N1628" s="3">
        <v>844.34</v>
      </c>
      <c r="O1628" s="3">
        <v>844.34</v>
      </c>
      <c r="P1628" s="3">
        <v>844.34</v>
      </c>
      <c r="Q1628" s="3">
        <v>844.34</v>
      </c>
      <c r="R1628" s="3">
        <v>844.34</v>
      </c>
      <c r="S1628" s="3">
        <v>0</v>
      </c>
      <c r="T1628" s="3">
        <v>0</v>
      </c>
      <c r="U1628" s="3">
        <v>0</v>
      </c>
    </row>
    <row r="1629" spans="1:21" x14ac:dyDescent="0.2">
      <c r="A1629" t="s">
        <v>860</v>
      </c>
      <c r="B1629">
        <v>806</v>
      </c>
      <c r="C1629">
        <v>1</v>
      </c>
      <c r="D1629" t="s">
        <v>308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</row>
    <row r="1630" spans="1:21" x14ac:dyDescent="0.2">
      <c r="A1630" t="s">
        <v>860</v>
      </c>
      <c r="B1630">
        <v>810</v>
      </c>
      <c r="C1630">
        <v>1</v>
      </c>
      <c r="D1630" t="s">
        <v>309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</row>
    <row r="1631" spans="1:21" x14ac:dyDescent="0.2">
      <c r="A1631" t="s">
        <v>860</v>
      </c>
      <c r="B1631">
        <v>811</v>
      </c>
      <c r="C1631">
        <v>1</v>
      </c>
      <c r="D1631" t="s">
        <v>310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</row>
    <row r="1632" spans="1:21" x14ac:dyDescent="0.2">
      <c r="A1632" t="s">
        <v>860</v>
      </c>
      <c r="B1632">
        <v>813</v>
      </c>
      <c r="C1632">
        <v>1</v>
      </c>
      <c r="D1632" t="s">
        <v>311</v>
      </c>
      <c r="E1632" s="3">
        <v>0</v>
      </c>
      <c r="F1632" s="3">
        <v>0</v>
      </c>
      <c r="G1632" s="3">
        <v>0</v>
      </c>
      <c r="H1632" s="3">
        <v>0</v>
      </c>
      <c r="I1632" s="3">
        <v>600</v>
      </c>
      <c r="J1632" s="3">
        <v>600</v>
      </c>
      <c r="K1632" s="3">
        <v>600</v>
      </c>
      <c r="L1632" s="3">
        <v>600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</row>
    <row r="1633" spans="1:21" x14ac:dyDescent="0.2">
      <c r="A1633" t="s">
        <v>860</v>
      </c>
      <c r="B1633">
        <v>815</v>
      </c>
      <c r="C1633">
        <v>2</v>
      </c>
      <c r="D1633" t="s">
        <v>312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</row>
    <row r="1634" spans="1:21" x14ac:dyDescent="0.2">
      <c r="A1634" t="s">
        <v>860</v>
      </c>
      <c r="B1634">
        <v>818</v>
      </c>
      <c r="C1634">
        <v>1</v>
      </c>
      <c r="D1634" t="s">
        <v>313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</row>
    <row r="1635" spans="1:21" x14ac:dyDescent="0.2">
      <c r="A1635" t="s">
        <v>860</v>
      </c>
      <c r="B1635">
        <v>820</v>
      </c>
      <c r="C1635">
        <v>1</v>
      </c>
      <c r="D1635" t="s">
        <v>314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</row>
    <row r="1636" spans="1:21" x14ac:dyDescent="0.2">
      <c r="A1636" t="s">
        <v>860</v>
      </c>
      <c r="B1636">
        <v>821</v>
      </c>
      <c r="C1636">
        <v>1</v>
      </c>
      <c r="D1636" t="s">
        <v>315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</row>
    <row r="1637" spans="1:21" x14ac:dyDescent="0.2">
      <c r="A1637" t="s">
        <v>860</v>
      </c>
      <c r="B1637">
        <v>829</v>
      </c>
      <c r="C1637">
        <v>1</v>
      </c>
      <c r="D1637" t="s">
        <v>316</v>
      </c>
      <c r="E1637" s="3">
        <v>0</v>
      </c>
      <c r="F1637" s="3">
        <v>0</v>
      </c>
      <c r="G1637" s="3">
        <v>0</v>
      </c>
      <c r="H1637" s="3">
        <v>0</v>
      </c>
      <c r="I1637" s="3">
        <v>610</v>
      </c>
      <c r="J1637" s="3">
        <v>610</v>
      </c>
      <c r="K1637" s="3">
        <v>610</v>
      </c>
      <c r="L1637" s="3">
        <v>610</v>
      </c>
      <c r="M1637" s="3">
        <v>610</v>
      </c>
      <c r="N1637" s="3">
        <v>610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</row>
    <row r="1638" spans="1:21" x14ac:dyDescent="0.2">
      <c r="A1638" t="s">
        <v>860</v>
      </c>
      <c r="B1638">
        <v>831</v>
      </c>
      <c r="C1638">
        <v>1</v>
      </c>
      <c r="D1638" t="s">
        <v>317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</row>
    <row r="1639" spans="1:21" x14ac:dyDescent="0.2">
      <c r="A1639" t="s">
        <v>860</v>
      </c>
      <c r="B1639">
        <v>832</v>
      </c>
      <c r="C1639">
        <v>1</v>
      </c>
      <c r="D1639" t="s">
        <v>318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</row>
    <row r="1640" spans="1:21" x14ac:dyDescent="0.2">
      <c r="A1640" t="s">
        <v>860</v>
      </c>
      <c r="B1640">
        <v>833</v>
      </c>
      <c r="C1640">
        <v>1</v>
      </c>
      <c r="D1640" t="s">
        <v>319</v>
      </c>
      <c r="E1640" s="3">
        <v>0</v>
      </c>
      <c r="F1640" s="3">
        <v>0</v>
      </c>
      <c r="G1640" s="3">
        <v>0</v>
      </c>
      <c r="H1640" s="3">
        <v>0</v>
      </c>
      <c r="I1640" s="3">
        <v>164.38</v>
      </c>
      <c r="J1640" s="3">
        <f>164.38+57</f>
        <v>221.38</v>
      </c>
      <c r="K1640" s="3">
        <f t="shared" ref="K1640:R1640" si="5">164.38+57</f>
        <v>221.38</v>
      </c>
      <c r="L1640" s="3">
        <f t="shared" si="5"/>
        <v>221.38</v>
      </c>
      <c r="M1640" s="3">
        <f t="shared" si="5"/>
        <v>221.38</v>
      </c>
      <c r="N1640" s="3">
        <f t="shared" si="5"/>
        <v>221.38</v>
      </c>
      <c r="O1640" s="3">
        <f t="shared" si="5"/>
        <v>221.38</v>
      </c>
      <c r="P1640" s="3">
        <f t="shared" si="5"/>
        <v>221.38</v>
      </c>
      <c r="Q1640" s="3">
        <f t="shared" si="5"/>
        <v>221.38</v>
      </c>
      <c r="R1640" s="3">
        <f t="shared" si="5"/>
        <v>221.38</v>
      </c>
      <c r="S1640" s="3">
        <v>57</v>
      </c>
      <c r="T1640" s="3">
        <v>0</v>
      </c>
      <c r="U1640" s="3">
        <v>0</v>
      </c>
    </row>
    <row r="1641" spans="1:21" x14ac:dyDescent="0.2">
      <c r="A1641" t="s">
        <v>860</v>
      </c>
      <c r="B1641">
        <v>834</v>
      </c>
      <c r="C1641">
        <v>1</v>
      </c>
      <c r="D1641" t="s">
        <v>320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</row>
    <row r="1642" spans="1:21" x14ac:dyDescent="0.2">
      <c r="A1642" t="s">
        <v>860</v>
      </c>
      <c r="B1642">
        <v>836</v>
      </c>
      <c r="C1642">
        <v>1</v>
      </c>
      <c r="D1642" t="s">
        <v>321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</row>
    <row r="1643" spans="1:21" x14ac:dyDescent="0.2">
      <c r="A1643" t="s">
        <v>860</v>
      </c>
      <c r="B1643">
        <v>837</v>
      </c>
      <c r="C1643">
        <v>1</v>
      </c>
      <c r="D1643" t="s">
        <v>322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</row>
    <row r="1644" spans="1:21" x14ac:dyDescent="0.2">
      <c r="A1644" t="s">
        <v>860</v>
      </c>
      <c r="B1644">
        <v>840</v>
      </c>
      <c r="C1644">
        <v>1</v>
      </c>
      <c r="D1644" t="s">
        <v>323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</row>
    <row r="1645" spans="1:21" x14ac:dyDescent="0.2">
      <c r="A1645" t="s">
        <v>860</v>
      </c>
      <c r="B1645">
        <v>846</v>
      </c>
      <c r="C1645">
        <v>1</v>
      </c>
      <c r="D1645" t="s">
        <v>324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</row>
    <row r="1646" spans="1:21" x14ac:dyDescent="0.2">
      <c r="A1646" t="s">
        <v>860</v>
      </c>
      <c r="B1646">
        <v>850</v>
      </c>
      <c r="C1646">
        <v>1</v>
      </c>
      <c r="D1646" t="s">
        <v>325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</row>
    <row r="1647" spans="1:21" x14ac:dyDescent="0.2">
      <c r="A1647" t="s">
        <v>860</v>
      </c>
      <c r="B1647">
        <v>852</v>
      </c>
      <c r="C1647">
        <v>1</v>
      </c>
      <c r="D1647" t="s">
        <v>326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</row>
    <row r="1648" spans="1:21" x14ac:dyDescent="0.2">
      <c r="A1648" t="s">
        <v>860</v>
      </c>
      <c r="B1648">
        <v>857</v>
      </c>
      <c r="C1648">
        <v>1</v>
      </c>
      <c r="D1648" t="s">
        <v>327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</row>
    <row r="1649" spans="1:21" x14ac:dyDescent="0.2">
      <c r="A1649" t="s">
        <v>860</v>
      </c>
      <c r="B1649">
        <v>858</v>
      </c>
      <c r="C1649">
        <v>1</v>
      </c>
      <c r="D1649" t="s">
        <v>328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</row>
    <row r="1650" spans="1:21" x14ac:dyDescent="0.2">
      <c r="A1650" t="s">
        <v>860</v>
      </c>
      <c r="B1650">
        <v>861</v>
      </c>
      <c r="C1650">
        <v>1</v>
      </c>
      <c r="D1650" t="s">
        <v>329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</row>
    <row r="1651" spans="1:21" x14ac:dyDescent="0.2">
      <c r="A1651" t="s">
        <v>860</v>
      </c>
      <c r="B1651">
        <v>876</v>
      </c>
      <c r="C1651">
        <v>1</v>
      </c>
      <c r="D1651" t="s">
        <v>330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</row>
    <row r="1652" spans="1:21" x14ac:dyDescent="0.2">
      <c r="A1652" t="s">
        <v>860</v>
      </c>
      <c r="B1652">
        <v>877</v>
      </c>
      <c r="C1652">
        <v>1</v>
      </c>
      <c r="D1652" t="s">
        <v>331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</row>
    <row r="1653" spans="1:21" x14ac:dyDescent="0.2">
      <c r="A1653" t="s">
        <v>860</v>
      </c>
      <c r="B1653">
        <v>879</v>
      </c>
      <c r="C1653">
        <v>1</v>
      </c>
      <c r="D1653" t="s">
        <v>332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</row>
    <row r="1654" spans="1:21" x14ac:dyDescent="0.2">
      <c r="A1654" t="s">
        <v>860</v>
      </c>
      <c r="B1654">
        <v>881</v>
      </c>
      <c r="C1654">
        <v>1</v>
      </c>
      <c r="D1654" t="s">
        <v>333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</row>
    <row r="1655" spans="1:21" x14ac:dyDescent="0.2">
      <c r="A1655" t="s">
        <v>860</v>
      </c>
      <c r="B1655">
        <v>882</v>
      </c>
      <c r="C1655">
        <v>1</v>
      </c>
      <c r="D1655" t="s">
        <v>334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</row>
    <row r="1656" spans="1:21" x14ac:dyDescent="0.2">
      <c r="A1656" t="s">
        <v>860</v>
      </c>
      <c r="B1656">
        <v>883</v>
      </c>
      <c r="C1656">
        <v>1</v>
      </c>
      <c r="D1656" t="s">
        <v>335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</row>
    <row r="1657" spans="1:21" x14ac:dyDescent="0.2">
      <c r="A1657" t="s">
        <v>860</v>
      </c>
      <c r="B1657">
        <v>885</v>
      </c>
      <c r="C1657">
        <v>1</v>
      </c>
      <c r="D1657" t="s">
        <v>336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</row>
    <row r="1658" spans="1:21" x14ac:dyDescent="0.2">
      <c r="A1658" t="s">
        <v>860</v>
      </c>
      <c r="B1658">
        <v>891</v>
      </c>
      <c r="C1658">
        <v>1</v>
      </c>
      <c r="D1658" t="s">
        <v>337</v>
      </c>
      <c r="E1658" s="3">
        <v>0</v>
      </c>
      <c r="F1658" s="3">
        <v>0</v>
      </c>
      <c r="G1658" s="3">
        <v>0</v>
      </c>
      <c r="H1658" s="3">
        <v>0</v>
      </c>
      <c r="I1658" s="3">
        <v>279</v>
      </c>
      <c r="J1658" s="3">
        <v>374</v>
      </c>
      <c r="K1658" s="3">
        <v>374</v>
      </c>
      <c r="L1658" s="3">
        <v>374</v>
      </c>
      <c r="M1658" s="3">
        <v>374</v>
      </c>
      <c r="N1658" s="3">
        <v>374</v>
      </c>
      <c r="O1658" s="3">
        <v>374</v>
      </c>
      <c r="P1658" s="3">
        <v>374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</row>
    <row r="1659" spans="1:21" x14ac:dyDescent="0.2">
      <c r="A1659" t="s">
        <v>860</v>
      </c>
      <c r="B1659">
        <v>911</v>
      </c>
      <c r="C1659">
        <v>1</v>
      </c>
      <c r="D1659" t="s">
        <v>338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</row>
    <row r="1660" spans="1:21" x14ac:dyDescent="0.2">
      <c r="A1660" t="s">
        <v>860</v>
      </c>
      <c r="B1660">
        <v>912</v>
      </c>
      <c r="C1660">
        <v>1</v>
      </c>
      <c r="D1660" t="s">
        <v>339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</row>
    <row r="1661" spans="1:21" x14ac:dyDescent="0.2">
      <c r="A1661" t="s">
        <v>860</v>
      </c>
      <c r="B1661">
        <v>914</v>
      </c>
      <c r="C1661">
        <v>1</v>
      </c>
      <c r="D1661" t="s">
        <v>340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</row>
    <row r="1662" spans="1:21" x14ac:dyDescent="0.2">
      <c r="A1662" t="s">
        <v>860</v>
      </c>
      <c r="B1662">
        <v>2071</v>
      </c>
      <c r="C1662">
        <v>1</v>
      </c>
      <c r="D1662" t="s">
        <v>341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</row>
    <row r="1663" spans="1:21" x14ac:dyDescent="0.2">
      <c r="A1663" t="s">
        <v>860</v>
      </c>
      <c r="B1663">
        <v>2125</v>
      </c>
      <c r="C1663">
        <v>1</v>
      </c>
      <c r="D1663" t="s">
        <v>342</v>
      </c>
      <c r="E1663" s="3">
        <v>0</v>
      </c>
      <c r="F1663" s="3">
        <v>0</v>
      </c>
      <c r="G1663" s="3">
        <v>0</v>
      </c>
      <c r="H1663" s="3">
        <v>0</v>
      </c>
      <c r="I1663" s="3">
        <v>350</v>
      </c>
      <c r="J1663" s="3">
        <v>350</v>
      </c>
      <c r="K1663" s="3">
        <v>350</v>
      </c>
      <c r="L1663" s="3">
        <v>350</v>
      </c>
      <c r="M1663" s="3">
        <v>350</v>
      </c>
      <c r="N1663" s="3">
        <v>350</v>
      </c>
      <c r="O1663" s="3">
        <v>350</v>
      </c>
      <c r="P1663" s="3">
        <v>350</v>
      </c>
      <c r="Q1663" s="3">
        <v>350</v>
      </c>
      <c r="R1663" s="3">
        <v>350</v>
      </c>
      <c r="S1663" s="3">
        <v>0</v>
      </c>
      <c r="T1663" s="3">
        <v>0</v>
      </c>
      <c r="U1663" s="3">
        <v>0</v>
      </c>
    </row>
    <row r="1664" spans="1:21" x14ac:dyDescent="0.2">
      <c r="A1664" t="s">
        <v>860</v>
      </c>
      <c r="B1664">
        <v>2134</v>
      </c>
      <c r="C1664">
        <v>1</v>
      </c>
      <c r="D1664" t="s">
        <v>343</v>
      </c>
      <c r="E1664" s="3">
        <v>0</v>
      </c>
      <c r="F1664" s="3">
        <v>0</v>
      </c>
      <c r="G1664" s="3">
        <v>0</v>
      </c>
      <c r="H1664" s="3">
        <v>0</v>
      </c>
      <c r="I1664" s="3">
        <v>300</v>
      </c>
      <c r="J1664" s="3">
        <v>300</v>
      </c>
      <c r="K1664" s="3">
        <v>300</v>
      </c>
      <c r="L1664" s="3">
        <v>300</v>
      </c>
      <c r="M1664" s="3">
        <v>300</v>
      </c>
      <c r="N1664" s="3">
        <v>300</v>
      </c>
      <c r="O1664" s="3">
        <v>300</v>
      </c>
      <c r="P1664" s="3">
        <v>300</v>
      </c>
      <c r="Q1664" s="3">
        <v>300</v>
      </c>
      <c r="R1664" s="3">
        <v>300</v>
      </c>
      <c r="S1664" s="3">
        <v>0</v>
      </c>
      <c r="T1664" s="3">
        <v>0</v>
      </c>
      <c r="U1664" s="3">
        <v>0</v>
      </c>
    </row>
    <row r="1665" spans="1:21" x14ac:dyDescent="0.2">
      <c r="A1665" t="s">
        <v>860</v>
      </c>
      <c r="B1665">
        <v>2135</v>
      </c>
      <c r="C1665">
        <v>1</v>
      </c>
      <c r="D1665" t="s">
        <v>344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</row>
    <row r="1666" spans="1:21" x14ac:dyDescent="0.2">
      <c r="A1666" t="s">
        <v>860</v>
      </c>
      <c r="B1666">
        <v>2137</v>
      </c>
      <c r="C1666">
        <v>1</v>
      </c>
      <c r="D1666" t="s">
        <v>345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</row>
    <row r="1667" spans="1:21" x14ac:dyDescent="0.2">
      <c r="A1667" t="s">
        <v>860</v>
      </c>
      <c r="B1667">
        <v>2142</v>
      </c>
      <c r="C1667">
        <v>1</v>
      </c>
      <c r="D1667" t="s">
        <v>346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</row>
    <row r="1668" spans="1:21" x14ac:dyDescent="0.2">
      <c r="A1668" t="s">
        <v>860</v>
      </c>
      <c r="B1668">
        <v>2143</v>
      </c>
      <c r="C1668">
        <v>1</v>
      </c>
      <c r="D1668" t="s">
        <v>347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</row>
    <row r="1669" spans="1:21" x14ac:dyDescent="0.2">
      <c r="A1669" t="s">
        <v>860</v>
      </c>
      <c r="B1669">
        <v>2144</v>
      </c>
      <c r="C1669">
        <v>1</v>
      </c>
      <c r="D1669" t="s">
        <v>348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</row>
    <row r="1670" spans="1:21" x14ac:dyDescent="0.2">
      <c r="A1670" t="s">
        <v>860</v>
      </c>
      <c r="B1670">
        <v>2149</v>
      </c>
      <c r="C1670">
        <v>1</v>
      </c>
      <c r="D1670" t="s">
        <v>349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</row>
    <row r="1671" spans="1:21" x14ac:dyDescent="0.2">
      <c r="A1671" t="s">
        <v>860</v>
      </c>
      <c r="B1671">
        <v>2154</v>
      </c>
      <c r="C1671">
        <v>1</v>
      </c>
      <c r="D1671" t="s">
        <v>350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</row>
    <row r="1672" spans="1:21" x14ac:dyDescent="0.2">
      <c r="A1672" t="s">
        <v>860</v>
      </c>
      <c r="B1672">
        <v>2155</v>
      </c>
      <c r="C1672">
        <v>1</v>
      </c>
      <c r="D1672" t="s">
        <v>351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</row>
    <row r="1673" spans="1:21" x14ac:dyDescent="0.2">
      <c r="A1673" t="s">
        <v>860</v>
      </c>
      <c r="B1673">
        <v>2159</v>
      </c>
      <c r="C1673">
        <v>1</v>
      </c>
      <c r="D1673" t="s">
        <v>352</v>
      </c>
      <c r="E1673" s="3">
        <v>0</v>
      </c>
      <c r="F1673" s="3">
        <v>0</v>
      </c>
      <c r="G1673" s="3">
        <v>0</v>
      </c>
      <c r="H1673" s="3">
        <v>0</v>
      </c>
      <c r="I1673" s="3">
        <v>800</v>
      </c>
      <c r="J1673" s="3">
        <v>800</v>
      </c>
      <c r="K1673" s="3">
        <v>800</v>
      </c>
      <c r="L1673" s="3">
        <v>800</v>
      </c>
      <c r="M1673" s="3">
        <v>800</v>
      </c>
      <c r="N1673" s="3">
        <v>800</v>
      </c>
      <c r="O1673" s="3">
        <v>800</v>
      </c>
      <c r="P1673" s="3">
        <v>800</v>
      </c>
      <c r="Q1673" s="3">
        <v>800</v>
      </c>
      <c r="R1673" s="3">
        <v>800</v>
      </c>
      <c r="S1673" s="3">
        <v>0</v>
      </c>
      <c r="T1673" s="3">
        <v>0</v>
      </c>
      <c r="U1673" s="3">
        <v>0</v>
      </c>
    </row>
    <row r="1674" spans="1:21" x14ac:dyDescent="0.2">
      <c r="A1674" t="s">
        <v>860</v>
      </c>
      <c r="B1674">
        <v>2164</v>
      </c>
      <c r="C1674">
        <v>1</v>
      </c>
      <c r="D1674" t="s">
        <v>353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</row>
    <row r="1675" spans="1:21" x14ac:dyDescent="0.2">
      <c r="A1675" t="s">
        <v>860</v>
      </c>
      <c r="B1675">
        <v>2165</v>
      </c>
      <c r="C1675">
        <v>1</v>
      </c>
      <c r="D1675" t="s">
        <v>354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</row>
    <row r="1676" spans="1:21" x14ac:dyDescent="0.2">
      <c r="A1676" t="s">
        <v>860</v>
      </c>
      <c r="B1676">
        <v>2167</v>
      </c>
      <c r="C1676">
        <v>1</v>
      </c>
      <c r="D1676" t="s">
        <v>355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</row>
    <row r="1677" spans="1:21" x14ac:dyDescent="0.2">
      <c r="A1677" t="s">
        <v>860</v>
      </c>
      <c r="B1677">
        <v>2168</v>
      </c>
      <c r="C1677">
        <v>1</v>
      </c>
      <c r="D1677" t="s">
        <v>356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</row>
    <row r="1678" spans="1:21" x14ac:dyDescent="0.2">
      <c r="A1678" t="s">
        <v>860</v>
      </c>
      <c r="B1678">
        <v>2169</v>
      </c>
      <c r="C1678">
        <v>1</v>
      </c>
      <c r="D1678" t="s">
        <v>357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</row>
    <row r="1679" spans="1:21" x14ac:dyDescent="0.2">
      <c r="A1679" t="s">
        <v>860</v>
      </c>
      <c r="B1679">
        <v>2170</v>
      </c>
      <c r="C1679">
        <v>1</v>
      </c>
      <c r="D1679" t="s">
        <v>358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</row>
    <row r="1680" spans="1:21" x14ac:dyDescent="0.2">
      <c r="A1680" t="s">
        <v>860</v>
      </c>
      <c r="B1680">
        <v>2171</v>
      </c>
      <c r="C1680">
        <v>1</v>
      </c>
      <c r="D1680" t="s">
        <v>359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</row>
    <row r="1681" spans="1:21" x14ac:dyDescent="0.2">
      <c r="A1681" t="s">
        <v>860</v>
      </c>
      <c r="B1681">
        <v>2172</v>
      </c>
      <c r="C1681">
        <v>1</v>
      </c>
      <c r="D1681" t="s">
        <v>360</v>
      </c>
      <c r="E1681" s="3">
        <v>0</v>
      </c>
      <c r="F1681" s="3">
        <v>0</v>
      </c>
      <c r="G1681" s="3">
        <v>0</v>
      </c>
      <c r="H1681" s="3">
        <v>0</v>
      </c>
      <c r="I1681" s="3">
        <v>278.95999999999998</v>
      </c>
      <c r="J1681" s="3">
        <v>278.95999999999998</v>
      </c>
      <c r="K1681" s="3">
        <v>278.95999999999998</v>
      </c>
      <c r="L1681" s="3">
        <v>278.95999999999998</v>
      </c>
      <c r="M1681" s="3">
        <v>278.95999999999998</v>
      </c>
      <c r="N1681" s="3">
        <v>278.95999999999998</v>
      </c>
      <c r="O1681" s="3">
        <v>278.95999999999998</v>
      </c>
      <c r="P1681" s="3">
        <v>278.95999999999998</v>
      </c>
      <c r="Q1681" s="3">
        <v>278.95999999999998</v>
      </c>
      <c r="R1681" s="3">
        <v>278.95999999999998</v>
      </c>
      <c r="S1681" s="3">
        <v>0</v>
      </c>
      <c r="T1681" s="3">
        <v>0</v>
      </c>
      <c r="U1681" s="3">
        <v>0</v>
      </c>
    </row>
    <row r="1682" spans="1:21" x14ac:dyDescent="0.2">
      <c r="A1682" t="s">
        <v>860</v>
      </c>
      <c r="B1682">
        <v>2174</v>
      </c>
      <c r="C1682">
        <v>1</v>
      </c>
      <c r="D1682" t="s">
        <v>361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</row>
    <row r="1683" spans="1:21" x14ac:dyDescent="0.2">
      <c r="A1683" t="s">
        <v>860</v>
      </c>
      <c r="B1683">
        <v>2176</v>
      </c>
      <c r="C1683">
        <v>1</v>
      </c>
      <c r="D1683" t="s">
        <v>362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</row>
    <row r="1684" spans="1:21" x14ac:dyDescent="0.2">
      <c r="A1684" t="s">
        <v>860</v>
      </c>
      <c r="B1684">
        <v>2180</v>
      </c>
      <c r="C1684">
        <v>1</v>
      </c>
      <c r="D1684" t="s">
        <v>363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</row>
    <row r="1685" spans="1:21" x14ac:dyDescent="0.2">
      <c r="A1685" t="s">
        <v>860</v>
      </c>
      <c r="B1685">
        <v>2184</v>
      </c>
      <c r="C1685">
        <v>1</v>
      </c>
      <c r="D1685" t="s">
        <v>364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</row>
    <row r="1686" spans="1:21" x14ac:dyDescent="0.2">
      <c r="A1686" t="s">
        <v>860</v>
      </c>
      <c r="B1686">
        <v>2190</v>
      </c>
      <c r="C1686">
        <v>1</v>
      </c>
      <c r="D1686" t="s">
        <v>365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</row>
    <row r="1687" spans="1:21" x14ac:dyDescent="0.2">
      <c r="A1687" t="s">
        <v>860</v>
      </c>
      <c r="B1687">
        <v>2198</v>
      </c>
      <c r="C1687">
        <v>1</v>
      </c>
      <c r="D1687" t="s">
        <v>366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</row>
    <row r="1688" spans="1:21" x14ac:dyDescent="0.2">
      <c r="A1688" t="s">
        <v>860</v>
      </c>
      <c r="B1688">
        <v>2215</v>
      </c>
      <c r="C1688">
        <v>1</v>
      </c>
      <c r="D1688" t="s">
        <v>367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</row>
    <row r="1689" spans="1:21" x14ac:dyDescent="0.2">
      <c r="A1689" t="s">
        <v>860</v>
      </c>
      <c r="B1689">
        <v>2310</v>
      </c>
      <c r="C1689">
        <v>1</v>
      </c>
      <c r="D1689" t="s">
        <v>368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</row>
    <row r="1690" spans="1:21" x14ac:dyDescent="0.2">
      <c r="A1690" t="s">
        <v>860</v>
      </c>
      <c r="B1690">
        <v>2311</v>
      </c>
      <c r="C1690">
        <v>1</v>
      </c>
      <c r="D1690" t="s">
        <v>369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</row>
    <row r="1691" spans="1:21" x14ac:dyDescent="0.2">
      <c r="A1691" t="s">
        <v>860</v>
      </c>
      <c r="B1691">
        <v>2342</v>
      </c>
      <c r="C1691">
        <v>1</v>
      </c>
      <c r="D1691" t="s">
        <v>370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</row>
    <row r="1692" spans="1:21" x14ac:dyDescent="0.2">
      <c r="A1692" t="s">
        <v>860</v>
      </c>
      <c r="B1692">
        <v>2358</v>
      </c>
      <c r="C1692">
        <v>1</v>
      </c>
      <c r="D1692" t="s">
        <v>371</v>
      </c>
      <c r="E1692" s="3">
        <v>0</v>
      </c>
      <c r="F1692" s="3">
        <v>0</v>
      </c>
      <c r="G1692" s="3">
        <v>0</v>
      </c>
      <c r="H1692" s="3">
        <v>0</v>
      </c>
      <c r="I1692" s="3">
        <v>800</v>
      </c>
      <c r="J1692" s="3">
        <v>800</v>
      </c>
      <c r="K1692" s="3">
        <v>800</v>
      </c>
      <c r="L1692" s="3">
        <v>800</v>
      </c>
      <c r="M1692" s="3">
        <v>800</v>
      </c>
      <c r="N1692" s="3">
        <v>800</v>
      </c>
      <c r="O1692" s="3">
        <v>800</v>
      </c>
      <c r="P1692" s="3">
        <v>800</v>
      </c>
      <c r="Q1692" s="3">
        <v>800</v>
      </c>
      <c r="R1692" s="3">
        <v>800</v>
      </c>
      <c r="S1692" s="3">
        <v>0</v>
      </c>
      <c r="T1692" s="3">
        <v>0</v>
      </c>
      <c r="U1692" s="3">
        <v>0</v>
      </c>
    </row>
    <row r="1693" spans="1:21" x14ac:dyDescent="0.2">
      <c r="A1693" t="s">
        <v>860</v>
      </c>
      <c r="B1693">
        <v>2364</v>
      </c>
      <c r="C1693">
        <v>1</v>
      </c>
      <c r="D1693" t="s">
        <v>372</v>
      </c>
      <c r="E1693" s="3">
        <v>0</v>
      </c>
      <c r="F1693" s="3">
        <v>0</v>
      </c>
      <c r="G1693" s="3">
        <v>0</v>
      </c>
      <c r="H1693" s="3">
        <v>0</v>
      </c>
      <c r="I1693" s="3">
        <v>294</v>
      </c>
      <c r="J1693" s="3">
        <v>294</v>
      </c>
      <c r="K1693" s="3">
        <v>294</v>
      </c>
      <c r="L1693" s="3">
        <v>294</v>
      </c>
      <c r="M1693" s="3">
        <v>294</v>
      </c>
      <c r="N1693" s="3">
        <v>294</v>
      </c>
      <c r="O1693" s="3">
        <v>294</v>
      </c>
      <c r="P1693" s="3">
        <v>294</v>
      </c>
      <c r="Q1693" s="3">
        <v>294</v>
      </c>
      <c r="R1693" s="3">
        <v>294</v>
      </c>
      <c r="S1693" s="3">
        <v>0</v>
      </c>
      <c r="T1693" s="3">
        <v>0</v>
      </c>
      <c r="U1693" s="3">
        <v>0</v>
      </c>
    </row>
    <row r="1694" spans="1:21" x14ac:dyDescent="0.2">
      <c r="A1694" t="s">
        <v>860</v>
      </c>
      <c r="B1694">
        <v>2365</v>
      </c>
      <c r="C1694">
        <v>1</v>
      </c>
      <c r="D1694" t="s">
        <v>373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</row>
    <row r="1695" spans="1:21" x14ac:dyDescent="0.2">
      <c r="A1695" t="s">
        <v>860</v>
      </c>
      <c r="B1695">
        <v>2396</v>
      </c>
      <c r="C1695">
        <v>1</v>
      </c>
      <c r="D1695" t="s">
        <v>374</v>
      </c>
      <c r="E1695" s="3">
        <v>0</v>
      </c>
      <c r="F1695" s="3">
        <v>0</v>
      </c>
      <c r="G1695" s="3">
        <v>0</v>
      </c>
      <c r="H1695" s="3">
        <v>0</v>
      </c>
      <c r="I1695" s="3">
        <v>650</v>
      </c>
      <c r="J1695" s="3">
        <v>650</v>
      </c>
      <c r="K1695" s="3">
        <v>650</v>
      </c>
      <c r="L1695" s="3">
        <v>650</v>
      </c>
      <c r="M1695" s="3">
        <v>650</v>
      </c>
      <c r="N1695" s="3">
        <v>650</v>
      </c>
      <c r="O1695" s="3">
        <v>650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</row>
    <row r="1696" spans="1:21" x14ac:dyDescent="0.2">
      <c r="A1696" t="s">
        <v>860</v>
      </c>
      <c r="B1696">
        <v>2397</v>
      </c>
      <c r="C1696">
        <v>1</v>
      </c>
      <c r="D1696" t="s">
        <v>375</v>
      </c>
      <c r="E1696" s="3">
        <v>0</v>
      </c>
      <c r="F1696" s="3">
        <v>0</v>
      </c>
      <c r="G1696" s="3">
        <v>0</v>
      </c>
      <c r="H1696" s="3">
        <v>0</v>
      </c>
      <c r="I1696" s="3">
        <v>300</v>
      </c>
      <c r="J1696" s="3">
        <v>300</v>
      </c>
      <c r="K1696" s="3">
        <v>300</v>
      </c>
      <c r="L1696" s="3">
        <v>300</v>
      </c>
      <c r="M1696" s="3">
        <v>300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</row>
    <row r="1697" spans="1:21" x14ac:dyDescent="0.2">
      <c r="A1697" t="s">
        <v>860</v>
      </c>
      <c r="B1697">
        <v>2448</v>
      </c>
      <c r="C1697">
        <v>1</v>
      </c>
      <c r="D1697" t="s">
        <v>376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</row>
    <row r="1698" spans="1:21" x14ac:dyDescent="0.2">
      <c r="A1698" t="s">
        <v>860</v>
      </c>
      <c r="B1698">
        <v>2527</v>
      </c>
      <c r="C1698">
        <v>1</v>
      </c>
      <c r="D1698" t="s">
        <v>377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</row>
    <row r="1699" spans="1:21" x14ac:dyDescent="0.2">
      <c r="A1699" t="s">
        <v>860</v>
      </c>
      <c r="B1699">
        <v>2534</v>
      </c>
      <c r="C1699">
        <v>1</v>
      </c>
      <c r="D1699" t="s">
        <v>378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</row>
    <row r="1700" spans="1:21" x14ac:dyDescent="0.2">
      <c r="A1700" t="s">
        <v>860</v>
      </c>
      <c r="B1700">
        <v>2536</v>
      </c>
      <c r="C1700">
        <v>1</v>
      </c>
      <c r="D1700" t="s">
        <v>379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</row>
    <row r="1701" spans="1:21" x14ac:dyDescent="0.2">
      <c r="A1701" t="s">
        <v>860</v>
      </c>
      <c r="B1701">
        <v>2580</v>
      </c>
      <c r="C1701">
        <v>1</v>
      </c>
      <c r="D1701" t="s">
        <v>380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</row>
    <row r="1702" spans="1:21" x14ac:dyDescent="0.2">
      <c r="A1702" t="s">
        <v>860</v>
      </c>
      <c r="B1702">
        <v>2609</v>
      </c>
      <c r="C1702">
        <v>1</v>
      </c>
      <c r="D1702" t="s">
        <v>381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</row>
    <row r="1703" spans="1:21" x14ac:dyDescent="0.2">
      <c r="A1703" t="s">
        <v>860</v>
      </c>
      <c r="B1703">
        <v>2683</v>
      </c>
      <c r="C1703">
        <v>1</v>
      </c>
      <c r="D1703" t="s">
        <v>382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</row>
    <row r="1704" spans="1:21" x14ac:dyDescent="0.2">
      <c r="A1704" t="s">
        <v>860</v>
      </c>
      <c r="B1704">
        <v>2687</v>
      </c>
      <c r="C1704">
        <v>1</v>
      </c>
      <c r="D1704" t="s">
        <v>383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</row>
    <row r="1705" spans="1:21" x14ac:dyDescent="0.2">
      <c r="A1705" t="s">
        <v>860</v>
      </c>
      <c r="B1705">
        <v>2689</v>
      </c>
      <c r="C1705">
        <v>1</v>
      </c>
      <c r="D1705" t="s">
        <v>384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</row>
    <row r="1706" spans="1:21" x14ac:dyDescent="0.2">
      <c r="A1706" t="s">
        <v>860</v>
      </c>
      <c r="B1706">
        <v>2711</v>
      </c>
      <c r="C1706">
        <v>1</v>
      </c>
      <c r="D1706" t="s">
        <v>385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</row>
    <row r="1707" spans="1:21" x14ac:dyDescent="0.2">
      <c r="A1707" t="s">
        <v>860</v>
      </c>
      <c r="B1707">
        <v>2752</v>
      </c>
      <c r="C1707">
        <v>1</v>
      </c>
      <c r="D1707" t="s">
        <v>386</v>
      </c>
      <c r="E1707" s="3">
        <v>0</v>
      </c>
      <c r="F1707" s="3">
        <v>0</v>
      </c>
      <c r="G1707" s="3">
        <v>0</v>
      </c>
      <c r="H1707" s="3">
        <v>0</v>
      </c>
      <c r="I1707" s="3">
        <v>500</v>
      </c>
      <c r="J1707" s="3">
        <v>500</v>
      </c>
      <c r="K1707" s="3">
        <v>500</v>
      </c>
      <c r="L1707" s="3">
        <v>500</v>
      </c>
      <c r="M1707" s="3">
        <v>500</v>
      </c>
      <c r="N1707" s="3">
        <v>500</v>
      </c>
      <c r="O1707" s="3">
        <v>500</v>
      </c>
      <c r="P1707" s="3">
        <v>500</v>
      </c>
      <c r="Q1707" s="3">
        <v>500</v>
      </c>
      <c r="R1707" s="3">
        <v>500</v>
      </c>
      <c r="S1707" s="3">
        <v>0</v>
      </c>
      <c r="T1707" s="3">
        <v>0</v>
      </c>
      <c r="U1707" s="3">
        <v>0</v>
      </c>
    </row>
    <row r="1708" spans="1:21" x14ac:dyDescent="0.2">
      <c r="A1708" t="s">
        <v>860</v>
      </c>
      <c r="B1708">
        <v>2753</v>
      </c>
      <c r="C1708">
        <v>1</v>
      </c>
      <c r="D1708" t="s">
        <v>387</v>
      </c>
      <c r="E1708" s="3">
        <v>0</v>
      </c>
      <c r="F1708" s="3">
        <v>0</v>
      </c>
      <c r="G1708" s="3">
        <v>0</v>
      </c>
      <c r="H1708" s="3">
        <v>0</v>
      </c>
      <c r="I1708" s="3">
        <v>405</v>
      </c>
      <c r="J1708" s="3">
        <v>405</v>
      </c>
      <c r="K1708" s="3">
        <v>405</v>
      </c>
      <c r="L1708" s="3">
        <v>405</v>
      </c>
      <c r="M1708" s="3">
        <v>405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</row>
    <row r="1709" spans="1:21" x14ac:dyDescent="0.2">
      <c r="A1709" t="s">
        <v>860</v>
      </c>
      <c r="B1709">
        <v>2754</v>
      </c>
      <c r="C1709">
        <v>1</v>
      </c>
      <c r="D1709" t="s">
        <v>388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</row>
    <row r="1710" spans="1:21" x14ac:dyDescent="0.2">
      <c r="A1710" t="s">
        <v>860</v>
      </c>
      <c r="B1710">
        <v>2759</v>
      </c>
      <c r="C1710">
        <v>1</v>
      </c>
      <c r="D1710" t="s">
        <v>389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</row>
    <row r="1711" spans="1:21" x14ac:dyDescent="0.2">
      <c r="A1711" t="s">
        <v>860</v>
      </c>
      <c r="B1711">
        <v>2805</v>
      </c>
      <c r="C1711">
        <v>1</v>
      </c>
      <c r="D1711" t="s">
        <v>390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</row>
    <row r="1712" spans="1:21" x14ac:dyDescent="0.2">
      <c r="A1712" t="s">
        <v>860</v>
      </c>
      <c r="B1712">
        <v>2835</v>
      </c>
      <c r="C1712">
        <v>1</v>
      </c>
      <c r="D1712" t="s">
        <v>391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</row>
    <row r="1713" spans="1:21" x14ac:dyDescent="0.2">
      <c r="A1713" t="s">
        <v>860</v>
      </c>
      <c r="B1713">
        <v>2853</v>
      </c>
      <c r="C1713">
        <v>1</v>
      </c>
      <c r="D1713" t="s">
        <v>392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0</v>
      </c>
    </row>
    <row r="1714" spans="1:21" x14ac:dyDescent="0.2">
      <c r="A1714" t="s">
        <v>860</v>
      </c>
      <c r="B1714">
        <v>2854</v>
      </c>
      <c r="C1714">
        <v>1</v>
      </c>
      <c r="D1714" t="s">
        <v>393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</row>
    <row r="1715" spans="1:21" x14ac:dyDescent="0.2">
      <c r="A1715" t="s">
        <v>860</v>
      </c>
      <c r="B1715">
        <v>2856</v>
      </c>
      <c r="C1715">
        <v>1</v>
      </c>
      <c r="D1715" t="s">
        <v>394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1000</v>
      </c>
      <c r="K1715" s="3">
        <v>1000</v>
      </c>
      <c r="L1715" s="3">
        <v>1000</v>
      </c>
      <c r="M1715" s="3">
        <v>1000</v>
      </c>
      <c r="N1715" s="3">
        <v>1000</v>
      </c>
      <c r="O1715" s="3">
        <v>1000</v>
      </c>
      <c r="P1715" s="3">
        <v>1000</v>
      </c>
      <c r="Q1715" s="3">
        <v>1000</v>
      </c>
      <c r="R1715" s="3">
        <v>1000</v>
      </c>
      <c r="S1715" s="3">
        <v>1000</v>
      </c>
      <c r="T1715" s="3">
        <v>0</v>
      </c>
      <c r="U1715" s="3">
        <v>0</v>
      </c>
    </row>
    <row r="1716" spans="1:21" x14ac:dyDescent="0.2">
      <c r="A1716" t="s">
        <v>860</v>
      </c>
      <c r="B1716">
        <v>2859</v>
      </c>
      <c r="C1716">
        <v>1</v>
      </c>
      <c r="D1716" t="s">
        <v>395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</row>
    <row r="1717" spans="1:21" x14ac:dyDescent="0.2">
      <c r="A1717" t="s">
        <v>860</v>
      </c>
      <c r="B1717">
        <v>2860</v>
      </c>
      <c r="C1717">
        <v>1</v>
      </c>
      <c r="D1717" t="s">
        <v>396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</row>
    <row r="1718" spans="1:21" x14ac:dyDescent="0.2">
      <c r="A1718" t="s">
        <v>860</v>
      </c>
      <c r="B1718">
        <v>2884</v>
      </c>
      <c r="C1718">
        <v>1</v>
      </c>
      <c r="D1718" t="s">
        <v>397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</row>
    <row r="1719" spans="1:21" x14ac:dyDescent="0.2">
      <c r="A1719" t="s">
        <v>860</v>
      </c>
      <c r="B1719">
        <v>2886</v>
      </c>
      <c r="C1719">
        <v>1</v>
      </c>
      <c r="D1719" t="s">
        <v>398</v>
      </c>
      <c r="E1719" s="3">
        <v>0</v>
      </c>
      <c r="F1719" s="3">
        <v>0</v>
      </c>
      <c r="G1719" s="3">
        <v>0</v>
      </c>
      <c r="H1719" s="3">
        <v>0</v>
      </c>
      <c r="I1719" s="3">
        <v>448.5</v>
      </c>
      <c r="J1719" s="3">
        <v>448.5</v>
      </c>
      <c r="K1719" s="3">
        <v>448.5</v>
      </c>
      <c r="L1719" s="3">
        <v>448.5</v>
      </c>
      <c r="M1719" s="3">
        <v>448.5</v>
      </c>
      <c r="N1719" s="3">
        <v>448.5</v>
      </c>
      <c r="O1719" s="3">
        <v>448.5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</row>
    <row r="1720" spans="1:21" x14ac:dyDescent="0.2">
      <c r="A1720" t="s">
        <v>860</v>
      </c>
      <c r="B1720">
        <v>2887</v>
      </c>
      <c r="C1720">
        <v>1</v>
      </c>
      <c r="D1720" t="s">
        <v>399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</row>
    <row r="1721" spans="1:21" x14ac:dyDescent="0.2">
      <c r="A1721" t="s">
        <v>860</v>
      </c>
      <c r="B1721">
        <v>2888</v>
      </c>
      <c r="C1721">
        <v>1</v>
      </c>
      <c r="D1721" t="s">
        <v>400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</row>
    <row r="1722" spans="1:21" x14ac:dyDescent="0.2">
      <c r="A1722" t="s">
        <v>860</v>
      </c>
      <c r="B1722">
        <v>2889</v>
      </c>
      <c r="C1722">
        <v>1</v>
      </c>
      <c r="D1722" t="s">
        <v>401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</row>
    <row r="1723" spans="1:21" x14ac:dyDescent="0.2">
      <c r="A1723" t="s">
        <v>860</v>
      </c>
      <c r="B1723">
        <v>2890</v>
      </c>
      <c r="C1723">
        <v>1</v>
      </c>
      <c r="D1723" t="s">
        <v>402</v>
      </c>
      <c r="E1723" s="3">
        <v>0</v>
      </c>
      <c r="F1723" s="3">
        <v>0</v>
      </c>
      <c r="G1723" s="3">
        <v>0</v>
      </c>
      <c r="H1723" s="3">
        <v>0</v>
      </c>
      <c r="I1723" s="3">
        <v>415</v>
      </c>
      <c r="J1723" s="3">
        <v>415</v>
      </c>
      <c r="K1723" s="3">
        <v>415</v>
      </c>
      <c r="L1723" s="3">
        <v>415</v>
      </c>
      <c r="M1723" s="3">
        <v>415</v>
      </c>
      <c r="N1723" s="3">
        <v>415</v>
      </c>
      <c r="O1723" s="3">
        <v>415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</row>
    <row r="1724" spans="1:21" x14ac:dyDescent="0.2">
      <c r="A1724" t="s">
        <v>860</v>
      </c>
      <c r="B1724">
        <v>2895</v>
      </c>
      <c r="C1724">
        <v>1</v>
      </c>
      <c r="D1724" t="s">
        <v>403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</row>
    <row r="1725" spans="1:21" x14ac:dyDescent="0.2">
      <c r="A1725" t="s">
        <v>860</v>
      </c>
      <c r="B1725">
        <v>2897</v>
      </c>
      <c r="C1725">
        <v>1</v>
      </c>
      <c r="D1725" t="s">
        <v>404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</row>
    <row r="1726" spans="1:21" x14ac:dyDescent="0.2">
      <c r="A1726" t="s">
        <v>860</v>
      </c>
      <c r="B1726">
        <v>2898</v>
      </c>
      <c r="C1726">
        <v>1</v>
      </c>
      <c r="D1726" t="s">
        <v>405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</row>
    <row r="1727" spans="1:21" x14ac:dyDescent="0.2">
      <c r="E1727" s="3"/>
    </row>
    <row r="1728" spans="1:21" x14ac:dyDescent="0.2">
      <c r="A1728" t="s">
        <v>862</v>
      </c>
      <c r="B1728">
        <v>1</v>
      </c>
      <c r="C1728">
        <v>1</v>
      </c>
      <c r="D1728" t="s">
        <v>63</v>
      </c>
      <c r="E1728" s="9">
        <v>0</v>
      </c>
      <c r="F1728" s="9">
        <v>0</v>
      </c>
      <c r="G1728" s="9">
        <v>0</v>
      </c>
      <c r="H1728" s="9">
        <v>0</v>
      </c>
      <c r="I1728" s="9">
        <v>0</v>
      </c>
      <c r="J1728" s="9">
        <v>0</v>
      </c>
      <c r="K1728" s="9">
        <v>0</v>
      </c>
      <c r="L1728" s="9">
        <v>0</v>
      </c>
      <c r="M1728" s="9">
        <v>0</v>
      </c>
      <c r="N1728" s="9">
        <v>0</v>
      </c>
      <c r="O1728" s="9">
        <v>0</v>
      </c>
      <c r="P1728" s="9">
        <v>0</v>
      </c>
      <c r="Q1728" s="9">
        <v>0</v>
      </c>
      <c r="R1728" s="9">
        <v>0</v>
      </c>
      <c r="S1728" s="9">
        <v>0</v>
      </c>
      <c r="T1728" s="9">
        <v>0</v>
      </c>
      <c r="U1728" s="9">
        <v>0</v>
      </c>
    </row>
    <row r="1729" spans="1:21" x14ac:dyDescent="0.2">
      <c r="A1729" t="s">
        <v>862</v>
      </c>
      <c r="B1729">
        <v>1.2</v>
      </c>
      <c r="C1729">
        <v>3</v>
      </c>
      <c r="D1729" t="s">
        <v>64</v>
      </c>
      <c r="E1729" s="9">
        <v>0</v>
      </c>
      <c r="F1729" s="9">
        <v>0</v>
      </c>
      <c r="G1729" s="9">
        <v>0</v>
      </c>
      <c r="H1729" s="9">
        <v>0</v>
      </c>
      <c r="I1729" s="9">
        <v>0</v>
      </c>
      <c r="J1729" s="9">
        <v>0</v>
      </c>
      <c r="K1729" s="9">
        <v>0</v>
      </c>
      <c r="L1729" s="9">
        <v>0</v>
      </c>
      <c r="M1729" s="9">
        <v>0</v>
      </c>
      <c r="N1729" s="9">
        <v>0</v>
      </c>
      <c r="O1729" s="9">
        <v>0</v>
      </c>
      <c r="P1729" s="9">
        <v>0</v>
      </c>
      <c r="Q1729" s="9">
        <v>0</v>
      </c>
      <c r="R1729" s="9">
        <v>0</v>
      </c>
      <c r="S1729" s="9">
        <v>0</v>
      </c>
      <c r="T1729" s="9">
        <v>0</v>
      </c>
      <c r="U1729" s="9">
        <v>0</v>
      </c>
    </row>
    <row r="1730" spans="1:21" x14ac:dyDescent="0.2">
      <c r="A1730" t="s">
        <v>862</v>
      </c>
      <c r="B1730">
        <v>2</v>
      </c>
      <c r="C1730">
        <v>1</v>
      </c>
      <c r="D1730" t="s">
        <v>65</v>
      </c>
      <c r="E1730" s="9">
        <v>0</v>
      </c>
      <c r="F1730" s="9">
        <v>0</v>
      </c>
      <c r="G1730" s="9">
        <v>0</v>
      </c>
      <c r="H1730" s="9">
        <v>0</v>
      </c>
      <c r="I1730" s="9">
        <v>0</v>
      </c>
      <c r="J1730" s="9">
        <v>0</v>
      </c>
      <c r="K1730" s="9">
        <v>0</v>
      </c>
      <c r="L1730" s="9">
        <v>0</v>
      </c>
      <c r="M1730" s="9">
        <v>0</v>
      </c>
      <c r="N1730" s="9">
        <v>0</v>
      </c>
      <c r="O1730" s="9">
        <v>0</v>
      </c>
      <c r="P1730" s="9">
        <v>0</v>
      </c>
      <c r="Q1730" s="9">
        <v>0</v>
      </c>
      <c r="R1730" s="9">
        <v>0</v>
      </c>
      <c r="S1730" s="9">
        <v>0</v>
      </c>
      <c r="T1730" s="9">
        <v>0</v>
      </c>
      <c r="U1730" s="9">
        <v>0</v>
      </c>
    </row>
    <row r="1731" spans="1:21" x14ac:dyDescent="0.2">
      <c r="A1731" t="s">
        <v>862</v>
      </c>
      <c r="B1731">
        <v>4</v>
      </c>
      <c r="C1731">
        <v>1</v>
      </c>
      <c r="D1731" t="s">
        <v>66</v>
      </c>
      <c r="E1731" s="9">
        <v>0</v>
      </c>
      <c r="F1731" s="9">
        <v>0</v>
      </c>
      <c r="G1731" s="9">
        <v>0</v>
      </c>
      <c r="H1731" s="9">
        <v>0</v>
      </c>
      <c r="I1731" s="9">
        <v>0</v>
      </c>
      <c r="J1731" s="9">
        <v>0</v>
      </c>
      <c r="K1731" s="9">
        <v>0</v>
      </c>
      <c r="L1731" s="9">
        <v>0</v>
      </c>
      <c r="M1731" s="9">
        <v>0</v>
      </c>
      <c r="N1731" s="9">
        <v>0</v>
      </c>
      <c r="O1731" s="9">
        <v>0</v>
      </c>
      <c r="P1731" s="9">
        <v>0</v>
      </c>
      <c r="Q1731" s="9">
        <v>0</v>
      </c>
      <c r="R1731" s="9">
        <v>0</v>
      </c>
      <c r="S1731" s="9">
        <v>0</v>
      </c>
      <c r="T1731" s="9">
        <v>0</v>
      </c>
      <c r="U1731" s="9">
        <v>0</v>
      </c>
    </row>
    <row r="1732" spans="1:21" x14ac:dyDescent="0.2">
      <c r="A1732" t="s">
        <v>862</v>
      </c>
      <c r="B1732">
        <v>6</v>
      </c>
      <c r="C1732">
        <v>3</v>
      </c>
      <c r="D1732" t="s">
        <v>67</v>
      </c>
      <c r="E1732" s="9">
        <v>0</v>
      </c>
      <c r="F1732" s="9">
        <v>0</v>
      </c>
      <c r="G1732" s="9">
        <v>0</v>
      </c>
      <c r="H1732" s="9">
        <v>0</v>
      </c>
      <c r="I1732" s="9">
        <v>0</v>
      </c>
      <c r="J1732" s="9">
        <v>0</v>
      </c>
      <c r="K1732" s="9">
        <v>0</v>
      </c>
      <c r="L1732" s="9">
        <v>0</v>
      </c>
      <c r="M1732" s="9">
        <v>0</v>
      </c>
      <c r="N1732" s="9">
        <v>0</v>
      </c>
      <c r="O1732" s="9">
        <v>0</v>
      </c>
      <c r="P1732" s="9">
        <v>0</v>
      </c>
      <c r="Q1732" s="9">
        <v>0</v>
      </c>
      <c r="R1732" s="9">
        <v>0</v>
      </c>
      <c r="S1732" s="9">
        <v>0</v>
      </c>
      <c r="T1732" s="9">
        <v>0</v>
      </c>
      <c r="U1732" s="9">
        <v>0</v>
      </c>
    </row>
    <row r="1733" spans="1:21" x14ac:dyDescent="0.2">
      <c r="A1733" t="s">
        <v>862</v>
      </c>
      <c r="B1733">
        <v>11</v>
      </c>
      <c r="C1733">
        <v>1</v>
      </c>
      <c r="D1733" t="s">
        <v>68</v>
      </c>
      <c r="E1733" s="9">
        <v>0</v>
      </c>
      <c r="F1733" s="9">
        <v>0</v>
      </c>
      <c r="G1733" s="9">
        <v>0</v>
      </c>
      <c r="H1733" s="9">
        <v>0</v>
      </c>
      <c r="I1733" s="9">
        <v>0</v>
      </c>
      <c r="J1733" s="9">
        <v>0</v>
      </c>
      <c r="K1733" s="9">
        <v>0</v>
      </c>
      <c r="L1733" s="9">
        <v>0</v>
      </c>
      <c r="M1733" s="9">
        <v>0</v>
      </c>
      <c r="N1733" s="9">
        <v>0</v>
      </c>
      <c r="O1733" s="9">
        <v>0</v>
      </c>
      <c r="P1733" s="9">
        <v>0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</row>
    <row r="1734" spans="1:21" x14ac:dyDescent="0.2">
      <c r="A1734" t="s">
        <v>862</v>
      </c>
      <c r="B1734">
        <v>12</v>
      </c>
      <c r="C1734">
        <v>1</v>
      </c>
      <c r="D1734" t="s">
        <v>69</v>
      </c>
      <c r="E1734" s="9">
        <v>0</v>
      </c>
      <c r="F1734" s="9">
        <v>0</v>
      </c>
      <c r="G1734" s="9">
        <v>0</v>
      </c>
      <c r="H1734" s="9">
        <v>0</v>
      </c>
      <c r="I1734" s="9">
        <v>0</v>
      </c>
      <c r="J1734" s="9">
        <v>0</v>
      </c>
      <c r="K1734" s="9">
        <v>0</v>
      </c>
      <c r="L1734" s="9">
        <v>0</v>
      </c>
      <c r="M1734" s="9">
        <v>0</v>
      </c>
      <c r="N1734" s="9">
        <v>0</v>
      </c>
      <c r="O1734" s="9">
        <v>0</v>
      </c>
      <c r="P1734" s="9">
        <v>0</v>
      </c>
      <c r="Q1734" s="9">
        <v>0</v>
      </c>
      <c r="R1734" s="9">
        <v>0</v>
      </c>
      <c r="S1734" s="9">
        <v>0</v>
      </c>
      <c r="T1734" s="9">
        <v>0</v>
      </c>
      <c r="U1734" s="9">
        <v>0</v>
      </c>
    </row>
    <row r="1735" spans="1:21" x14ac:dyDescent="0.2">
      <c r="A1735" t="s">
        <v>862</v>
      </c>
      <c r="B1735">
        <v>13</v>
      </c>
      <c r="C1735">
        <v>1</v>
      </c>
      <c r="D1735" t="s">
        <v>70</v>
      </c>
      <c r="E1735" s="9">
        <v>0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9">
        <v>0</v>
      </c>
      <c r="L1735" s="9">
        <v>0</v>
      </c>
      <c r="M1735" s="9">
        <v>0</v>
      </c>
      <c r="N1735" s="9">
        <v>0</v>
      </c>
      <c r="O1735" s="9">
        <v>0</v>
      </c>
      <c r="P1735" s="9">
        <v>0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</row>
    <row r="1736" spans="1:21" x14ac:dyDescent="0.2">
      <c r="A1736" t="s">
        <v>862</v>
      </c>
      <c r="B1736">
        <v>14</v>
      </c>
      <c r="C1736">
        <v>1</v>
      </c>
      <c r="D1736" t="s">
        <v>71</v>
      </c>
      <c r="E1736" s="9">
        <v>0</v>
      </c>
      <c r="F1736" s="9">
        <v>0</v>
      </c>
      <c r="G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0</v>
      </c>
      <c r="M1736" s="9">
        <v>0</v>
      </c>
      <c r="N1736" s="9">
        <v>0</v>
      </c>
      <c r="O1736" s="9">
        <v>0</v>
      </c>
      <c r="P1736" s="9">
        <v>0</v>
      </c>
      <c r="Q1736" s="9">
        <v>0</v>
      </c>
      <c r="R1736" s="9">
        <v>0</v>
      </c>
      <c r="S1736" s="9">
        <v>0</v>
      </c>
      <c r="T1736" s="9">
        <v>0</v>
      </c>
      <c r="U1736" s="9">
        <v>0</v>
      </c>
    </row>
    <row r="1737" spans="1:21" x14ac:dyDescent="0.2">
      <c r="A1737" t="s">
        <v>862</v>
      </c>
      <c r="B1737">
        <v>15</v>
      </c>
      <c r="C1737">
        <v>1</v>
      </c>
      <c r="D1737" t="s">
        <v>72</v>
      </c>
      <c r="E1737" s="9">
        <v>0</v>
      </c>
      <c r="F1737" s="9">
        <v>0</v>
      </c>
      <c r="G1737" s="9">
        <v>0</v>
      </c>
      <c r="H1737" s="9">
        <v>0</v>
      </c>
      <c r="I1737" s="9">
        <v>0</v>
      </c>
      <c r="J1737" s="9">
        <v>0</v>
      </c>
      <c r="K1737" s="9">
        <v>0</v>
      </c>
      <c r="L1737" s="9">
        <v>0</v>
      </c>
      <c r="M1737" s="9">
        <v>0</v>
      </c>
      <c r="N1737" s="9">
        <v>0</v>
      </c>
      <c r="O1737" s="9">
        <v>0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</row>
    <row r="1738" spans="1:21" x14ac:dyDescent="0.2">
      <c r="A1738" t="s">
        <v>862</v>
      </c>
      <c r="B1738">
        <v>16</v>
      </c>
      <c r="C1738">
        <v>1</v>
      </c>
      <c r="D1738" t="s">
        <v>73</v>
      </c>
      <c r="E1738" s="9">
        <v>0</v>
      </c>
      <c r="F1738" s="9">
        <v>0</v>
      </c>
      <c r="G1738" s="9">
        <v>0</v>
      </c>
      <c r="H1738" s="9">
        <v>0</v>
      </c>
      <c r="I1738" s="9">
        <v>0</v>
      </c>
      <c r="J1738" s="9">
        <v>0</v>
      </c>
      <c r="K1738" s="9">
        <v>0</v>
      </c>
      <c r="L1738" s="9">
        <v>0</v>
      </c>
      <c r="M1738" s="9">
        <v>0</v>
      </c>
      <c r="N1738" s="9">
        <v>0</v>
      </c>
      <c r="O1738" s="9">
        <v>0</v>
      </c>
      <c r="P1738" s="9">
        <v>0</v>
      </c>
      <c r="Q1738" s="9">
        <v>0</v>
      </c>
      <c r="R1738" s="9">
        <v>0</v>
      </c>
      <c r="S1738" s="9">
        <v>0</v>
      </c>
      <c r="T1738" s="9">
        <v>0</v>
      </c>
      <c r="U1738" s="9">
        <v>0</v>
      </c>
    </row>
    <row r="1739" spans="1:21" x14ac:dyDescent="0.2">
      <c r="A1739" t="s">
        <v>862</v>
      </c>
      <c r="B1739">
        <v>22</v>
      </c>
      <c r="C1739">
        <v>1</v>
      </c>
      <c r="D1739" t="s">
        <v>74</v>
      </c>
      <c r="E1739" s="9">
        <v>0</v>
      </c>
      <c r="F1739" s="9">
        <v>0</v>
      </c>
      <c r="G1739" s="9">
        <v>0</v>
      </c>
      <c r="H1739" s="9">
        <v>0</v>
      </c>
      <c r="I1739" s="9">
        <v>0</v>
      </c>
      <c r="J1739" s="9">
        <v>0</v>
      </c>
      <c r="K1739" s="9">
        <v>0</v>
      </c>
      <c r="L1739" s="9">
        <v>0</v>
      </c>
      <c r="M1739" s="9">
        <v>0</v>
      </c>
      <c r="N1739" s="9">
        <v>0</v>
      </c>
      <c r="O1739" s="9">
        <v>0</v>
      </c>
      <c r="P1739" s="9">
        <v>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</row>
    <row r="1740" spans="1:21" x14ac:dyDescent="0.2">
      <c r="A1740" t="s">
        <v>862</v>
      </c>
      <c r="B1740">
        <v>23</v>
      </c>
      <c r="C1740">
        <v>1</v>
      </c>
      <c r="D1740" t="s">
        <v>75</v>
      </c>
      <c r="E1740" s="9">
        <v>0</v>
      </c>
      <c r="F1740" s="9">
        <v>0</v>
      </c>
      <c r="G1740" s="9">
        <v>0</v>
      </c>
      <c r="H1740" s="9">
        <v>0</v>
      </c>
      <c r="I1740" s="9">
        <v>0</v>
      </c>
      <c r="J1740" s="9">
        <v>0</v>
      </c>
      <c r="K1740" s="9">
        <v>0</v>
      </c>
      <c r="L1740" s="9">
        <v>0</v>
      </c>
      <c r="M1740" s="9">
        <v>0</v>
      </c>
      <c r="N1740" s="9">
        <v>0</v>
      </c>
      <c r="O1740" s="9">
        <v>0</v>
      </c>
      <c r="P1740" s="9">
        <v>0</v>
      </c>
      <c r="Q1740" s="9">
        <v>0</v>
      </c>
      <c r="R1740" s="9">
        <v>0</v>
      </c>
      <c r="S1740" s="9">
        <v>0</v>
      </c>
      <c r="T1740" s="9">
        <v>0</v>
      </c>
      <c r="U1740" s="9">
        <v>0</v>
      </c>
    </row>
    <row r="1741" spans="1:21" x14ac:dyDescent="0.2">
      <c r="A1741" t="s">
        <v>862</v>
      </c>
      <c r="B1741">
        <v>25</v>
      </c>
      <c r="C1741">
        <v>1</v>
      </c>
      <c r="D1741" t="s">
        <v>76</v>
      </c>
      <c r="E1741" s="9">
        <v>0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0</v>
      </c>
      <c r="M1741" s="9">
        <v>0</v>
      </c>
      <c r="N1741" s="9">
        <v>0</v>
      </c>
      <c r="O1741" s="9">
        <v>0</v>
      </c>
      <c r="P1741" s="9">
        <v>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</row>
    <row r="1742" spans="1:21" x14ac:dyDescent="0.2">
      <c r="A1742" t="s">
        <v>862</v>
      </c>
      <c r="B1742">
        <v>31</v>
      </c>
      <c r="C1742">
        <v>1</v>
      </c>
      <c r="D1742" t="s">
        <v>77</v>
      </c>
      <c r="E1742" s="9">
        <v>0</v>
      </c>
      <c r="F1742" s="9">
        <v>0</v>
      </c>
      <c r="G1742" s="9">
        <v>0</v>
      </c>
      <c r="H1742" s="9">
        <v>0</v>
      </c>
      <c r="I1742" s="9">
        <v>0</v>
      </c>
      <c r="J1742" s="9">
        <v>0</v>
      </c>
      <c r="K1742" s="9">
        <v>0</v>
      </c>
      <c r="L1742" s="9">
        <v>0</v>
      </c>
      <c r="M1742" s="9">
        <v>0</v>
      </c>
      <c r="N1742" s="9">
        <v>0</v>
      </c>
      <c r="O1742" s="9">
        <v>0</v>
      </c>
      <c r="P1742" s="9">
        <v>0</v>
      </c>
      <c r="Q1742" s="9">
        <v>0</v>
      </c>
      <c r="R1742" s="9">
        <v>0</v>
      </c>
      <c r="S1742" s="9">
        <v>0</v>
      </c>
      <c r="T1742" s="9">
        <v>0</v>
      </c>
      <c r="U1742" s="9">
        <v>0</v>
      </c>
    </row>
    <row r="1743" spans="1:21" x14ac:dyDescent="0.2">
      <c r="A1743" t="s">
        <v>862</v>
      </c>
      <c r="B1743">
        <v>32</v>
      </c>
      <c r="C1743">
        <v>1</v>
      </c>
      <c r="D1743" t="s">
        <v>78</v>
      </c>
      <c r="E1743" s="9">
        <v>0</v>
      </c>
      <c r="F1743" s="9">
        <v>0</v>
      </c>
      <c r="G1743" s="9">
        <v>0</v>
      </c>
      <c r="H1743" s="9">
        <v>0</v>
      </c>
      <c r="I1743" s="9">
        <v>0</v>
      </c>
      <c r="J1743" s="9">
        <v>0</v>
      </c>
      <c r="K1743" s="9">
        <v>0</v>
      </c>
      <c r="L1743" s="9">
        <v>0</v>
      </c>
      <c r="M1743" s="9">
        <v>0</v>
      </c>
      <c r="N1743" s="9">
        <v>0</v>
      </c>
      <c r="O1743" s="9">
        <v>0</v>
      </c>
      <c r="P1743" s="9">
        <v>0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</row>
    <row r="1744" spans="1:21" x14ac:dyDescent="0.2">
      <c r="A1744" t="s">
        <v>862</v>
      </c>
      <c r="B1744">
        <v>36</v>
      </c>
      <c r="C1744">
        <v>1</v>
      </c>
      <c r="D1744" t="s">
        <v>79</v>
      </c>
      <c r="E1744" s="9">
        <v>0</v>
      </c>
      <c r="F1744" s="9">
        <v>0</v>
      </c>
      <c r="G1744" s="9">
        <v>0</v>
      </c>
      <c r="H1744" s="9">
        <v>0</v>
      </c>
      <c r="I1744" s="9">
        <v>0</v>
      </c>
      <c r="J1744" s="9">
        <v>0</v>
      </c>
      <c r="K1744" s="9">
        <v>0</v>
      </c>
      <c r="L1744" s="9">
        <v>0</v>
      </c>
      <c r="M1744" s="9">
        <v>0</v>
      </c>
      <c r="N1744" s="9">
        <v>0</v>
      </c>
      <c r="O1744" s="9">
        <v>0</v>
      </c>
      <c r="P1744" s="9">
        <v>0</v>
      </c>
      <c r="Q1744" s="9">
        <v>0</v>
      </c>
      <c r="R1744" s="9">
        <v>0</v>
      </c>
      <c r="S1744" s="9">
        <v>0</v>
      </c>
      <c r="T1744" s="9">
        <v>0</v>
      </c>
      <c r="U1744" s="9">
        <v>0</v>
      </c>
    </row>
    <row r="1745" spans="1:21" x14ac:dyDescent="0.2">
      <c r="A1745" t="s">
        <v>862</v>
      </c>
      <c r="B1745">
        <v>38</v>
      </c>
      <c r="C1745">
        <v>1</v>
      </c>
      <c r="D1745" t="s">
        <v>80</v>
      </c>
      <c r="E1745" s="9">
        <v>0</v>
      </c>
      <c r="F1745" s="9">
        <v>0</v>
      </c>
      <c r="G1745" s="9">
        <v>0</v>
      </c>
      <c r="H1745" s="9">
        <v>0</v>
      </c>
      <c r="I1745" s="9">
        <v>0</v>
      </c>
      <c r="J1745" s="9">
        <v>0</v>
      </c>
      <c r="K1745" s="9">
        <v>0</v>
      </c>
      <c r="L1745" s="9">
        <v>0</v>
      </c>
      <c r="M1745" s="9">
        <v>0</v>
      </c>
      <c r="N1745" s="9">
        <v>0</v>
      </c>
      <c r="O1745" s="9">
        <v>0</v>
      </c>
      <c r="P1745" s="9">
        <v>0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</row>
    <row r="1746" spans="1:21" x14ac:dyDescent="0.2">
      <c r="A1746" t="s">
        <v>862</v>
      </c>
      <c r="B1746">
        <v>47</v>
      </c>
      <c r="C1746">
        <v>1</v>
      </c>
      <c r="D1746" t="s">
        <v>81</v>
      </c>
      <c r="E1746" s="9">
        <v>0</v>
      </c>
      <c r="F1746" s="9">
        <v>0</v>
      </c>
      <c r="G1746" s="9">
        <v>0</v>
      </c>
      <c r="H1746" s="9">
        <v>0</v>
      </c>
      <c r="I1746" s="9">
        <v>0</v>
      </c>
      <c r="J1746" s="9">
        <v>0</v>
      </c>
      <c r="K1746" s="9">
        <v>0</v>
      </c>
      <c r="L1746" s="9">
        <v>0</v>
      </c>
      <c r="M1746" s="9">
        <v>0</v>
      </c>
      <c r="N1746" s="9">
        <v>0</v>
      </c>
      <c r="O1746" s="9">
        <v>0</v>
      </c>
      <c r="P1746" s="9">
        <v>0</v>
      </c>
      <c r="Q1746" s="9">
        <v>0</v>
      </c>
      <c r="R1746" s="9">
        <v>0</v>
      </c>
      <c r="S1746" s="9">
        <v>0</v>
      </c>
      <c r="T1746" s="9">
        <v>0</v>
      </c>
      <c r="U1746" s="9">
        <v>0</v>
      </c>
    </row>
    <row r="1747" spans="1:21" x14ac:dyDescent="0.2">
      <c r="A1747" t="s">
        <v>862</v>
      </c>
      <c r="B1747">
        <v>51</v>
      </c>
      <c r="C1747">
        <v>1</v>
      </c>
      <c r="D1747" t="s">
        <v>82</v>
      </c>
      <c r="E1747" s="9">
        <v>0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0</v>
      </c>
      <c r="M1747" s="9">
        <v>0</v>
      </c>
      <c r="N1747" s="9">
        <v>0</v>
      </c>
      <c r="O1747" s="9">
        <v>0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</row>
    <row r="1748" spans="1:21" x14ac:dyDescent="0.2">
      <c r="A1748" t="s">
        <v>862</v>
      </c>
      <c r="B1748">
        <v>62</v>
      </c>
      <c r="C1748">
        <v>1</v>
      </c>
      <c r="D1748" t="s">
        <v>83</v>
      </c>
      <c r="E1748" s="9">
        <v>0</v>
      </c>
      <c r="F1748" s="9">
        <v>0</v>
      </c>
      <c r="G1748" s="9">
        <v>0</v>
      </c>
      <c r="H1748" s="9">
        <v>0</v>
      </c>
      <c r="I1748" s="9">
        <v>0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9">
        <v>0</v>
      </c>
      <c r="Q1748" s="9">
        <v>0</v>
      </c>
      <c r="R1748" s="9">
        <v>0</v>
      </c>
      <c r="S1748" s="9">
        <v>0</v>
      </c>
      <c r="T1748" s="9">
        <v>0</v>
      </c>
      <c r="U1748" s="9">
        <v>0</v>
      </c>
    </row>
    <row r="1749" spans="1:21" x14ac:dyDescent="0.2">
      <c r="A1749" t="s">
        <v>862</v>
      </c>
      <c r="B1749">
        <v>75</v>
      </c>
      <c r="C1749">
        <v>1</v>
      </c>
      <c r="D1749" t="s">
        <v>84</v>
      </c>
      <c r="E1749" s="9">
        <v>0</v>
      </c>
      <c r="F1749" s="9">
        <v>0</v>
      </c>
      <c r="G1749" s="9">
        <v>0</v>
      </c>
      <c r="H1749" s="9">
        <v>0</v>
      </c>
      <c r="I1749" s="9">
        <v>0</v>
      </c>
      <c r="J1749" s="9">
        <v>0</v>
      </c>
      <c r="K1749" s="9">
        <v>0</v>
      </c>
      <c r="L1749" s="9">
        <v>0</v>
      </c>
      <c r="M1749" s="9">
        <v>0</v>
      </c>
      <c r="N1749" s="9">
        <v>0</v>
      </c>
      <c r="O1749" s="9">
        <v>0</v>
      </c>
      <c r="P1749" s="9">
        <v>0</v>
      </c>
      <c r="Q1749" s="9">
        <v>0</v>
      </c>
      <c r="R1749" s="9">
        <v>0</v>
      </c>
      <c r="S1749" s="9">
        <v>0</v>
      </c>
      <c r="T1749" s="9">
        <v>0</v>
      </c>
      <c r="U1749" s="9">
        <v>0</v>
      </c>
    </row>
    <row r="1750" spans="1:21" x14ac:dyDescent="0.2">
      <c r="A1750" t="s">
        <v>862</v>
      </c>
      <c r="B1750">
        <v>77</v>
      </c>
      <c r="C1750">
        <v>1</v>
      </c>
      <c r="D1750" t="s">
        <v>85</v>
      </c>
      <c r="E1750" s="9">
        <v>0</v>
      </c>
      <c r="F1750" s="9">
        <v>0</v>
      </c>
      <c r="G1750" s="9">
        <v>0</v>
      </c>
      <c r="H1750" s="9">
        <v>0</v>
      </c>
      <c r="I1750" s="9">
        <v>0</v>
      </c>
      <c r="J1750" s="9">
        <v>0</v>
      </c>
      <c r="K1750" s="9">
        <v>0</v>
      </c>
      <c r="L1750" s="9">
        <v>0</v>
      </c>
      <c r="M1750" s="9">
        <v>0</v>
      </c>
      <c r="N1750" s="9">
        <v>0</v>
      </c>
      <c r="O1750" s="9">
        <v>0</v>
      </c>
      <c r="P1750" s="9">
        <v>0</v>
      </c>
      <c r="Q1750" s="9">
        <v>0</v>
      </c>
      <c r="R1750" s="9">
        <v>0</v>
      </c>
      <c r="S1750" s="9">
        <v>0</v>
      </c>
      <c r="T1750" s="9">
        <v>0</v>
      </c>
      <c r="U1750" s="9">
        <v>0</v>
      </c>
    </row>
    <row r="1751" spans="1:21" x14ac:dyDescent="0.2">
      <c r="A1751" t="s">
        <v>862</v>
      </c>
      <c r="B1751">
        <v>81</v>
      </c>
      <c r="C1751">
        <v>1</v>
      </c>
      <c r="D1751" t="s">
        <v>86</v>
      </c>
      <c r="E1751" s="9">
        <v>0</v>
      </c>
      <c r="F1751" s="9">
        <v>0</v>
      </c>
      <c r="G1751" s="9">
        <v>0</v>
      </c>
      <c r="H1751" s="9">
        <v>0</v>
      </c>
      <c r="I1751" s="9">
        <v>0</v>
      </c>
      <c r="J1751" s="9">
        <v>0</v>
      </c>
      <c r="K1751" s="9">
        <v>0</v>
      </c>
      <c r="L1751" s="9">
        <v>0</v>
      </c>
      <c r="M1751" s="9">
        <v>0</v>
      </c>
      <c r="N1751" s="9">
        <v>0</v>
      </c>
      <c r="O1751" s="9">
        <v>0</v>
      </c>
      <c r="P1751" s="9">
        <v>0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</row>
    <row r="1752" spans="1:21" x14ac:dyDescent="0.2">
      <c r="A1752" t="s">
        <v>862</v>
      </c>
      <c r="B1752">
        <v>84</v>
      </c>
      <c r="C1752">
        <v>1</v>
      </c>
      <c r="D1752" t="s">
        <v>87</v>
      </c>
      <c r="E1752" s="9">
        <v>0</v>
      </c>
      <c r="F1752" s="9">
        <v>0</v>
      </c>
      <c r="G1752" s="9">
        <v>0</v>
      </c>
      <c r="H1752" s="9">
        <v>0</v>
      </c>
      <c r="I1752" s="9">
        <v>0</v>
      </c>
      <c r="J1752" s="9">
        <v>0</v>
      </c>
      <c r="K1752" s="9">
        <v>0</v>
      </c>
      <c r="L1752" s="9">
        <v>0</v>
      </c>
      <c r="M1752" s="9">
        <v>0</v>
      </c>
      <c r="N1752" s="9">
        <v>0</v>
      </c>
      <c r="O1752" s="9">
        <v>0</v>
      </c>
      <c r="P1752" s="9">
        <v>0</v>
      </c>
      <c r="Q1752" s="9">
        <v>0</v>
      </c>
      <c r="R1752" s="9">
        <v>0</v>
      </c>
      <c r="S1752" s="9">
        <v>0</v>
      </c>
      <c r="T1752" s="9">
        <v>0</v>
      </c>
      <c r="U1752" s="9">
        <v>0</v>
      </c>
    </row>
    <row r="1753" spans="1:21" x14ac:dyDescent="0.2">
      <c r="A1753" t="s">
        <v>862</v>
      </c>
      <c r="B1753">
        <v>85</v>
      </c>
      <c r="C1753">
        <v>1</v>
      </c>
      <c r="D1753" t="s">
        <v>88</v>
      </c>
      <c r="E1753" s="9">
        <v>0</v>
      </c>
      <c r="F1753" s="9">
        <v>0</v>
      </c>
      <c r="G1753" s="9">
        <v>0</v>
      </c>
      <c r="H1753" s="9">
        <v>0</v>
      </c>
      <c r="I1753" s="9">
        <v>0</v>
      </c>
      <c r="J1753" s="9">
        <v>0</v>
      </c>
      <c r="K1753" s="9">
        <v>0</v>
      </c>
      <c r="L1753" s="9">
        <v>0</v>
      </c>
      <c r="M1753" s="9">
        <v>0</v>
      </c>
      <c r="N1753" s="9">
        <v>0</v>
      </c>
      <c r="O1753" s="9">
        <v>0</v>
      </c>
      <c r="P1753" s="9">
        <v>0</v>
      </c>
      <c r="Q1753" s="9">
        <v>0</v>
      </c>
      <c r="R1753" s="9">
        <v>0</v>
      </c>
      <c r="S1753" s="9">
        <v>0</v>
      </c>
      <c r="T1753" s="9">
        <v>0</v>
      </c>
      <c r="U1753" s="9">
        <v>0</v>
      </c>
    </row>
    <row r="1754" spans="1:21" x14ac:dyDescent="0.2">
      <c r="A1754" t="s">
        <v>862</v>
      </c>
      <c r="B1754">
        <v>88</v>
      </c>
      <c r="C1754">
        <v>1</v>
      </c>
      <c r="D1754" t="s">
        <v>89</v>
      </c>
      <c r="E1754" s="9">
        <v>0</v>
      </c>
      <c r="F1754" s="9">
        <v>0</v>
      </c>
      <c r="G1754" s="9">
        <v>0</v>
      </c>
      <c r="H1754" s="9">
        <v>0</v>
      </c>
      <c r="I1754" s="9">
        <v>0</v>
      </c>
      <c r="J1754" s="9">
        <v>0</v>
      </c>
      <c r="K1754" s="9">
        <v>0</v>
      </c>
      <c r="L1754" s="9">
        <v>0</v>
      </c>
      <c r="M1754" s="9">
        <v>0</v>
      </c>
      <c r="N1754" s="9">
        <v>0</v>
      </c>
      <c r="O1754" s="9">
        <v>0</v>
      </c>
      <c r="P1754" s="9">
        <v>0</v>
      </c>
      <c r="Q1754" s="9">
        <v>0</v>
      </c>
      <c r="R1754" s="9">
        <v>0</v>
      </c>
      <c r="S1754" s="9">
        <v>0</v>
      </c>
      <c r="T1754" s="9">
        <v>0</v>
      </c>
      <c r="U1754" s="9">
        <v>0</v>
      </c>
    </row>
    <row r="1755" spans="1:21" x14ac:dyDescent="0.2">
      <c r="A1755" t="s">
        <v>862</v>
      </c>
      <c r="B1755">
        <v>91</v>
      </c>
      <c r="C1755">
        <v>1</v>
      </c>
      <c r="D1755" t="s">
        <v>90</v>
      </c>
      <c r="E1755" s="9">
        <v>0</v>
      </c>
      <c r="F1755" s="9">
        <v>0</v>
      </c>
      <c r="G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  <c r="M1755" s="9">
        <v>0</v>
      </c>
      <c r="N1755" s="9">
        <v>0</v>
      </c>
      <c r="O1755" s="9">
        <v>0</v>
      </c>
      <c r="P1755" s="9">
        <v>0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</row>
    <row r="1756" spans="1:21" x14ac:dyDescent="0.2">
      <c r="A1756" t="s">
        <v>862</v>
      </c>
      <c r="B1756">
        <v>93</v>
      </c>
      <c r="C1756">
        <v>1</v>
      </c>
      <c r="D1756" t="s">
        <v>91</v>
      </c>
      <c r="E1756" s="9">
        <v>0</v>
      </c>
      <c r="F1756" s="9">
        <v>0</v>
      </c>
      <c r="G1756" s="9">
        <v>0</v>
      </c>
      <c r="H1756" s="9">
        <v>0</v>
      </c>
      <c r="I1756" s="9">
        <v>0</v>
      </c>
      <c r="J1756" s="9">
        <v>0</v>
      </c>
      <c r="K1756" s="9">
        <v>0</v>
      </c>
      <c r="L1756" s="9">
        <v>0</v>
      </c>
      <c r="M1756" s="9">
        <v>0</v>
      </c>
      <c r="N1756" s="9">
        <v>0</v>
      </c>
      <c r="O1756" s="9">
        <v>0</v>
      </c>
      <c r="P1756" s="9">
        <v>0</v>
      </c>
      <c r="Q1756" s="9">
        <v>0</v>
      </c>
      <c r="R1756" s="9">
        <v>0</v>
      </c>
      <c r="S1756" s="9">
        <v>0</v>
      </c>
      <c r="T1756" s="9">
        <v>0</v>
      </c>
      <c r="U1756" s="9">
        <v>0</v>
      </c>
    </row>
    <row r="1757" spans="1:21" x14ac:dyDescent="0.2">
      <c r="A1757" t="s">
        <v>862</v>
      </c>
      <c r="B1757">
        <v>94</v>
      </c>
      <c r="C1757">
        <v>1</v>
      </c>
      <c r="D1757" t="s">
        <v>92</v>
      </c>
      <c r="E1757" s="9">
        <v>0</v>
      </c>
      <c r="F1757" s="9">
        <v>0</v>
      </c>
      <c r="G1757" s="9">
        <v>0</v>
      </c>
      <c r="H1757" s="9">
        <v>0</v>
      </c>
      <c r="I1757" s="9">
        <v>0</v>
      </c>
      <c r="J1757" s="9">
        <v>0</v>
      </c>
      <c r="K1757" s="9">
        <v>0</v>
      </c>
      <c r="L1757" s="9">
        <v>0</v>
      </c>
      <c r="M1757" s="9">
        <v>0</v>
      </c>
      <c r="N1757" s="9">
        <v>0</v>
      </c>
      <c r="O1757" s="9">
        <v>0</v>
      </c>
      <c r="P1757" s="9">
        <v>0</v>
      </c>
      <c r="Q1757" s="9">
        <v>0</v>
      </c>
      <c r="R1757" s="9">
        <v>0</v>
      </c>
      <c r="S1757" s="9">
        <v>0</v>
      </c>
      <c r="T1757" s="9">
        <v>0</v>
      </c>
      <c r="U1757" s="9">
        <v>0</v>
      </c>
    </row>
    <row r="1758" spans="1:21" x14ac:dyDescent="0.2">
      <c r="A1758" t="s">
        <v>862</v>
      </c>
      <c r="B1758">
        <v>95</v>
      </c>
      <c r="C1758">
        <v>1</v>
      </c>
      <c r="D1758" t="s">
        <v>93</v>
      </c>
      <c r="E1758" s="9">
        <v>0</v>
      </c>
      <c r="F1758" s="9">
        <v>0</v>
      </c>
      <c r="G1758" s="9">
        <v>0</v>
      </c>
      <c r="H1758" s="9">
        <v>0</v>
      </c>
      <c r="I1758" s="9">
        <v>0</v>
      </c>
      <c r="J1758" s="9">
        <v>0</v>
      </c>
      <c r="K1758" s="9">
        <v>0</v>
      </c>
      <c r="L1758" s="9">
        <v>0</v>
      </c>
      <c r="M1758" s="9">
        <v>0</v>
      </c>
      <c r="N1758" s="9">
        <v>0</v>
      </c>
      <c r="O1758" s="9">
        <v>0</v>
      </c>
      <c r="P1758" s="9">
        <v>0</v>
      </c>
      <c r="Q1758" s="9">
        <v>0</v>
      </c>
      <c r="R1758" s="9">
        <v>0</v>
      </c>
      <c r="S1758" s="9">
        <v>0</v>
      </c>
      <c r="T1758" s="9">
        <v>0</v>
      </c>
      <c r="U1758" s="9">
        <v>0</v>
      </c>
    </row>
    <row r="1759" spans="1:21" x14ac:dyDescent="0.2">
      <c r="A1759" t="s">
        <v>862</v>
      </c>
      <c r="B1759">
        <v>97</v>
      </c>
      <c r="C1759">
        <v>1</v>
      </c>
      <c r="D1759" t="s">
        <v>94</v>
      </c>
      <c r="E1759" s="9">
        <v>0</v>
      </c>
      <c r="F1759" s="9">
        <v>0</v>
      </c>
      <c r="G1759" s="9">
        <v>0</v>
      </c>
      <c r="H1759" s="9">
        <v>0</v>
      </c>
      <c r="I1759" s="9">
        <v>0</v>
      </c>
      <c r="J1759" s="9">
        <v>0</v>
      </c>
      <c r="K1759" s="9">
        <v>0</v>
      </c>
      <c r="L1759" s="9">
        <v>0</v>
      </c>
      <c r="M1759" s="9">
        <v>0</v>
      </c>
      <c r="N1759" s="9">
        <v>0</v>
      </c>
      <c r="O1759" s="9">
        <v>0</v>
      </c>
      <c r="P1759" s="9">
        <v>0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</row>
    <row r="1760" spans="1:21" x14ac:dyDescent="0.2">
      <c r="A1760" t="s">
        <v>862</v>
      </c>
      <c r="B1760">
        <v>99</v>
      </c>
      <c r="C1760">
        <v>1</v>
      </c>
      <c r="D1760" t="s">
        <v>95</v>
      </c>
      <c r="E1760" s="9">
        <v>0</v>
      </c>
      <c r="F1760" s="9">
        <v>0</v>
      </c>
      <c r="G1760" s="9">
        <v>0</v>
      </c>
      <c r="H1760" s="9">
        <v>0</v>
      </c>
      <c r="I1760" s="9">
        <v>0</v>
      </c>
      <c r="J1760" s="9">
        <v>0</v>
      </c>
      <c r="K1760" s="9">
        <v>0</v>
      </c>
      <c r="L1760" s="9">
        <v>0</v>
      </c>
      <c r="M1760" s="9">
        <v>0</v>
      </c>
      <c r="N1760" s="9">
        <v>0</v>
      </c>
      <c r="O1760" s="9">
        <v>0</v>
      </c>
      <c r="P1760" s="9">
        <v>0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</row>
    <row r="1761" spans="1:21" x14ac:dyDescent="0.2">
      <c r="A1761" t="s">
        <v>862</v>
      </c>
      <c r="B1761">
        <v>100</v>
      </c>
      <c r="C1761">
        <v>1</v>
      </c>
      <c r="D1761" t="s">
        <v>96</v>
      </c>
      <c r="E1761" s="9">
        <v>0</v>
      </c>
      <c r="F1761" s="9">
        <v>0</v>
      </c>
      <c r="G1761" s="9">
        <v>0</v>
      </c>
      <c r="H1761" s="9">
        <v>0</v>
      </c>
      <c r="I1761" s="9">
        <v>0</v>
      </c>
      <c r="J1761" s="9">
        <v>0</v>
      </c>
      <c r="K1761" s="9">
        <v>0</v>
      </c>
      <c r="L1761" s="9">
        <v>0</v>
      </c>
      <c r="M1761" s="9">
        <v>0</v>
      </c>
      <c r="N1761" s="9">
        <v>0</v>
      </c>
      <c r="O1761" s="9">
        <v>0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</row>
    <row r="1762" spans="1:21" x14ac:dyDescent="0.2">
      <c r="A1762" t="s">
        <v>862</v>
      </c>
      <c r="B1762">
        <v>108</v>
      </c>
      <c r="C1762">
        <v>1</v>
      </c>
      <c r="D1762" t="s">
        <v>97</v>
      </c>
      <c r="E1762" s="9">
        <v>0</v>
      </c>
      <c r="F1762" s="9">
        <v>0</v>
      </c>
      <c r="G1762" s="9">
        <v>0</v>
      </c>
      <c r="H1762" s="9">
        <v>0</v>
      </c>
      <c r="I1762" s="9">
        <v>0</v>
      </c>
      <c r="J1762" s="9">
        <v>0</v>
      </c>
      <c r="K1762" s="9">
        <v>0</v>
      </c>
      <c r="L1762" s="9">
        <v>0</v>
      </c>
      <c r="M1762" s="9">
        <v>0</v>
      </c>
      <c r="N1762" s="9">
        <v>0</v>
      </c>
      <c r="O1762" s="9">
        <v>0</v>
      </c>
      <c r="P1762" s="9">
        <v>0</v>
      </c>
      <c r="Q1762" s="9">
        <v>0</v>
      </c>
      <c r="R1762" s="9">
        <v>0</v>
      </c>
      <c r="S1762" s="9">
        <v>0</v>
      </c>
      <c r="T1762" s="9">
        <v>0</v>
      </c>
      <c r="U1762" s="9">
        <v>0</v>
      </c>
    </row>
    <row r="1763" spans="1:21" x14ac:dyDescent="0.2">
      <c r="A1763" t="s">
        <v>862</v>
      </c>
      <c r="B1763">
        <v>110</v>
      </c>
      <c r="C1763">
        <v>1</v>
      </c>
      <c r="D1763" t="s">
        <v>98</v>
      </c>
      <c r="E1763" s="9">
        <v>0</v>
      </c>
      <c r="F1763" s="9">
        <v>0</v>
      </c>
      <c r="G1763" s="9">
        <v>0</v>
      </c>
      <c r="H1763" s="9">
        <v>0</v>
      </c>
      <c r="I1763" s="9">
        <v>0</v>
      </c>
      <c r="J1763" s="9">
        <v>0</v>
      </c>
      <c r="K1763" s="9">
        <v>0</v>
      </c>
      <c r="L1763" s="9">
        <v>0</v>
      </c>
      <c r="M1763" s="9">
        <v>0</v>
      </c>
      <c r="N1763" s="9">
        <v>0</v>
      </c>
      <c r="O1763" s="9">
        <v>0</v>
      </c>
      <c r="P1763" s="9">
        <v>0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</row>
    <row r="1764" spans="1:21" x14ac:dyDescent="0.2">
      <c r="A1764" t="s">
        <v>862</v>
      </c>
      <c r="B1764">
        <v>111</v>
      </c>
      <c r="C1764">
        <v>1</v>
      </c>
      <c r="D1764" t="s">
        <v>99</v>
      </c>
      <c r="E1764" s="9">
        <v>0</v>
      </c>
      <c r="F1764" s="9">
        <v>0</v>
      </c>
      <c r="G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0</v>
      </c>
      <c r="M1764" s="9">
        <v>0</v>
      </c>
      <c r="N1764" s="9">
        <v>0</v>
      </c>
      <c r="O1764" s="9">
        <v>0</v>
      </c>
      <c r="P1764" s="9">
        <v>0</v>
      </c>
      <c r="Q1764" s="9">
        <v>0</v>
      </c>
      <c r="R1764" s="9">
        <v>0</v>
      </c>
      <c r="S1764" s="9">
        <v>0</v>
      </c>
      <c r="T1764" s="9">
        <v>0</v>
      </c>
      <c r="U1764" s="9">
        <v>0</v>
      </c>
    </row>
    <row r="1765" spans="1:21" x14ac:dyDescent="0.2">
      <c r="A1765" t="s">
        <v>862</v>
      </c>
      <c r="B1765">
        <v>112</v>
      </c>
      <c r="C1765">
        <v>1</v>
      </c>
      <c r="D1765" t="s">
        <v>100</v>
      </c>
      <c r="E1765" s="9">
        <v>0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0</v>
      </c>
      <c r="M1765" s="9">
        <v>0</v>
      </c>
      <c r="N1765" s="9">
        <v>0</v>
      </c>
      <c r="O1765" s="9">
        <v>0</v>
      </c>
      <c r="P1765" s="9">
        <v>0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</row>
    <row r="1766" spans="1:21" x14ac:dyDescent="0.2">
      <c r="A1766" t="s">
        <v>862</v>
      </c>
      <c r="B1766">
        <v>113</v>
      </c>
      <c r="C1766">
        <v>1</v>
      </c>
      <c r="D1766" t="s">
        <v>101</v>
      </c>
      <c r="E1766" s="9">
        <v>0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  <c r="M1766" s="9">
        <v>0</v>
      </c>
      <c r="N1766" s="9">
        <v>0</v>
      </c>
      <c r="O1766" s="9">
        <v>0</v>
      </c>
      <c r="P1766" s="9">
        <v>0</v>
      </c>
      <c r="Q1766" s="9">
        <v>0</v>
      </c>
      <c r="R1766" s="9">
        <v>0</v>
      </c>
      <c r="S1766" s="9">
        <v>0</v>
      </c>
      <c r="T1766" s="9">
        <v>0</v>
      </c>
      <c r="U1766" s="9">
        <v>0</v>
      </c>
    </row>
    <row r="1767" spans="1:21" x14ac:dyDescent="0.2">
      <c r="A1767" t="s">
        <v>862</v>
      </c>
      <c r="B1767">
        <v>115</v>
      </c>
      <c r="C1767">
        <v>1</v>
      </c>
      <c r="D1767" t="s">
        <v>102</v>
      </c>
      <c r="E1767" s="9">
        <v>0</v>
      </c>
      <c r="F1767" s="9">
        <v>0</v>
      </c>
      <c r="G1767" s="9">
        <v>0</v>
      </c>
      <c r="H1767" s="9">
        <v>0</v>
      </c>
      <c r="I1767" s="9">
        <v>0</v>
      </c>
      <c r="J1767" s="9">
        <v>0</v>
      </c>
      <c r="K1767" s="9">
        <v>0</v>
      </c>
      <c r="L1767" s="9">
        <v>0</v>
      </c>
      <c r="M1767" s="9">
        <v>0</v>
      </c>
      <c r="N1767" s="9">
        <v>0</v>
      </c>
      <c r="O1767" s="9">
        <v>0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</row>
    <row r="1768" spans="1:21" x14ac:dyDescent="0.2">
      <c r="A1768" t="s">
        <v>862</v>
      </c>
      <c r="B1768">
        <v>116</v>
      </c>
      <c r="C1768">
        <v>1</v>
      </c>
      <c r="D1768" t="s">
        <v>103</v>
      </c>
      <c r="E1768" s="9">
        <v>0</v>
      </c>
      <c r="F1768" s="9">
        <v>0</v>
      </c>
      <c r="G1768" s="9">
        <v>0</v>
      </c>
      <c r="H1768" s="9">
        <v>0</v>
      </c>
      <c r="I1768" s="9">
        <v>0</v>
      </c>
      <c r="J1768" s="9">
        <v>0</v>
      </c>
      <c r="K1768" s="9">
        <v>0</v>
      </c>
      <c r="L1768" s="9">
        <v>0</v>
      </c>
      <c r="M1768" s="9">
        <v>0</v>
      </c>
      <c r="N1768" s="9">
        <v>0</v>
      </c>
      <c r="O1768" s="9">
        <v>0</v>
      </c>
      <c r="P1768" s="9">
        <v>0</v>
      </c>
      <c r="Q1768" s="9">
        <v>0</v>
      </c>
      <c r="R1768" s="9">
        <v>0</v>
      </c>
      <c r="S1768" s="9">
        <v>0</v>
      </c>
      <c r="T1768" s="9">
        <v>0</v>
      </c>
      <c r="U1768" s="9">
        <v>0</v>
      </c>
    </row>
    <row r="1769" spans="1:21" x14ac:dyDescent="0.2">
      <c r="A1769" t="s">
        <v>862</v>
      </c>
      <c r="B1769">
        <v>118</v>
      </c>
      <c r="C1769">
        <v>1</v>
      </c>
      <c r="D1769" t="s">
        <v>104</v>
      </c>
      <c r="E1769" s="9">
        <v>0</v>
      </c>
      <c r="F1769" s="9">
        <v>0</v>
      </c>
      <c r="G1769" s="9">
        <v>0</v>
      </c>
      <c r="H1769" s="9">
        <v>0</v>
      </c>
      <c r="I1769" s="9">
        <v>0</v>
      </c>
      <c r="J1769" s="9">
        <v>0</v>
      </c>
      <c r="K1769" s="9">
        <v>0</v>
      </c>
      <c r="L1769" s="9">
        <v>0</v>
      </c>
      <c r="M1769" s="9">
        <v>0</v>
      </c>
      <c r="N1769" s="9">
        <v>0</v>
      </c>
      <c r="O1769" s="9">
        <v>0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</row>
    <row r="1770" spans="1:21" x14ac:dyDescent="0.2">
      <c r="A1770" t="s">
        <v>862</v>
      </c>
      <c r="B1770">
        <v>129</v>
      </c>
      <c r="C1770">
        <v>1</v>
      </c>
      <c r="D1770" t="s">
        <v>105</v>
      </c>
      <c r="E1770" s="9">
        <v>0</v>
      </c>
      <c r="F1770" s="9">
        <v>0</v>
      </c>
      <c r="G1770" s="9">
        <v>0</v>
      </c>
      <c r="H1770" s="9">
        <v>0</v>
      </c>
      <c r="I1770" s="9">
        <v>0</v>
      </c>
      <c r="J1770" s="9">
        <v>0</v>
      </c>
      <c r="K1770" s="9">
        <v>0</v>
      </c>
      <c r="L1770" s="9">
        <v>0</v>
      </c>
      <c r="M1770" s="9">
        <v>0</v>
      </c>
      <c r="N1770" s="9">
        <v>0</v>
      </c>
      <c r="O1770" s="9">
        <v>0</v>
      </c>
      <c r="P1770" s="9">
        <v>0</v>
      </c>
      <c r="Q1770" s="9">
        <v>0</v>
      </c>
      <c r="R1770" s="9">
        <v>0</v>
      </c>
      <c r="S1770" s="9">
        <v>0</v>
      </c>
      <c r="T1770" s="9">
        <v>0</v>
      </c>
      <c r="U1770" s="9">
        <v>0</v>
      </c>
    </row>
    <row r="1771" spans="1:21" x14ac:dyDescent="0.2">
      <c r="A1771" t="s">
        <v>862</v>
      </c>
      <c r="B1771">
        <v>138</v>
      </c>
      <c r="C1771">
        <v>1</v>
      </c>
      <c r="D1771" t="s">
        <v>106</v>
      </c>
      <c r="E1771" s="9">
        <v>0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0</v>
      </c>
      <c r="M1771" s="9">
        <v>0</v>
      </c>
      <c r="N1771" s="9">
        <v>0</v>
      </c>
      <c r="O1771" s="9">
        <v>0</v>
      </c>
      <c r="P1771" s="9">
        <v>0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</row>
    <row r="1772" spans="1:21" x14ac:dyDescent="0.2">
      <c r="A1772" t="s">
        <v>862</v>
      </c>
      <c r="B1772">
        <v>139</v>
      </c>
      <c r="C1772">
        <v>1</v>
      </c>
      <c r="D1772" t="s">
        <v>107</v>
      </c>
      <c r="E1772" s="9">
        <v>0</v>
      </c>
      <c r="F1772" s="9">
        <v>0</v>
      </c>
      <c r="G1772" s="9">
        <v>0</v>
      </c>
      <c r="H1772" s="9">
        <v>0</v>
      </c>
      <c r="I1772" s="9">
        <v>0</v>
      </c>
      <c r="J1772" s="9">
        <v>0</v>
      </c>
      <c r="K1772" s="9">
        <v>0</v>
      </c>
      <c r="L1772" s="9">
        <v>0</v>
      </c>
      <c r="M1772" s="9">
        <v>0</v>
      </c>
      <c r="N1772" s="9">
        <v>0</v>
      </c>
      <c r="O1772" s="9">
        <v>0</v>
      </c>
      <c r="P1772" s="9">
        <v>0</v>
      </c>
      <c r="Q1772" s="9">
        <v>0</v>
      </c>
      <c r="R1772" s="9">
        <v>0</v>
      </c>
      <c r="S1772" s="9">
        <v>0</v>
      </c>
      <c r="T1772" s="9">
        <v>0</v>
      </c>
      <c r="U1772" s="9">
        <v>0</v>
      </c>
    </row>
    <row r="1773" spans="1:21" x14ac:dyDescent="0.2">
      <c r="A1773" t="s">
        <v>862</v>
      </c>
      <c r="B1773">
        <v>146</v>
      </c>
      <c r="C1773">
        <v>1</v>
      </c>
      <c r="D1773" t="s">
        <v>108</v>
      </c>
      <c r="E1773" s="9">
        <v>0</v>
      </c>
      <c r="F1773" s="9">
        <v>0</v>
      </c>
      <c r="G1773" s="9">
        <v>0</v>
      </c>
      <c r="H1773" s="9">
        <v>0</v>
      </c>
      <c r="I1773" s="9">
        <v>0</v>
      </c>
      <c r="J1773" s="9">
        <v>0</v>
      </c>
      <c r="K1773" s="9">
        <v>0</v>
      </c>
      <c r="L1773" s="9">
        <v>0</v>
      </c>
      <c r="M1773" s="9">
        <v>0</v>
      </c>
      <c r="N1773" s="9">
        <v>0</v>
      </c>
      <c r="O1773" s="9">
        <v>0</v>
      </c>
      <c r="P1773" s="9">
        <v>0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</row>
    <row r="1774" spans="1:21" x14ac:dyDescent="0.2">
      <c r="A1774" t="s">
        <v>862</v>
      </c>
      <c r="B1774">
        <v>150</v>
      </c>
      <c r="C1774">
        <v>1</v>
      </c>
      <c r="D1774" t="s">
        <v>109</v>
      </c>
      <c r="E1774" s="9">
        <v>0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  <c r="K1774" s="9">
        <v>0</v>
      </c>
      <c r="L1774" s="9">
        <v>0</v>
      </c>
      <c r="M1774" s="9">
        <v>0</v>
      </c>
      <c r="N1774" s="9">
        <v>0</v>
      </c>
      <c r="O1774" s="9">
        <v>0</v>
      </c>
      <c r="P1774" s="9">
        <v>0</v>
      </c>
      <c r="Q1774" s="9">
        <v>0</v>
      </c>
      <c r="R1774" s="9">
        <v>0</v>
      </c>
      <c r="S1774" s="9">
        <v>0</v>
      </c>
      <c r="T1774" s="9">
        <v>0</v>
      </c>
      <c r="U1774" s="9">
        <v>0</v>
      </c>
    </row>
    <row r="1775" spans="1:21" x14ac:dyDescent="0.2">
      <c r="A1775" t="s">
        <v>862</v>
      </c>
      <c r="B1775">
        <v>152</v>
      </c>
      <c r="C1775">
        <v>1</v>
      </c>
      <c r="D1775" t="s">
        <v>110</v>
      </c>
      <c r="E1775" s="9">
        <v>0</v>
      </c>
      <c r="F1775" s="9">
        <v>0</v>
      </c>
      <c r="G1775" s="9">
        <v>0</v>
      </c>
      <c r="H1775" s="9">
        <v>0</v>
      </c>
      <c r="I1775" s="9">
        <v>0</v>
      </c>
      <c r="J1775" s="9">
        <v>0</v>
      </c>
      <c r="K1775" s="9">
        <v>0</v>
      </c>
      <c r="L1775" s="9">
        <v>0</v>
      </c>
      <c r="M1775" s="9">
        <v>0</v>
      </c>
      <c r="N1775" s="9">
        <v>0</v>
      </c>
      <c r="O1775" s="9">
        <v>0</v>
      </c>
      <c r="P1775" s="9">
        <v>0</v>
      </c>
      <c r="Q1775" s="9">
        <v>0</v>
      </c>
      <c r="R1775" s="9">
        <v>0</v>
      </c>
      <c r="S1775" s="9">
        <v>0</v>
      </c>
      <c r="T1775" s="9">
        <v>0</v>
      </c>
      <c r="U1775" s="9">
        <v>0</v>
      </c>
    </row>
    <row r="1776" spans="1:21" x14ac:dyDescent="0.2">
      <c r="A1776" t="s">
        <v>862</v>
      </c>
      <c r="B1776">
        <v>162</v>
      </c>
      <c r="C1776">
        <v>1</v>
      </c>
      <c r="D1776" t="s">
        <v>111</v>
      </c>
      <c r="E1776" s="9">
        <v>0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  <c r="K1776" s="9">
        <v>0</v>
      </c>
      <c r="L1776" s="9">
        <v>0</v>
      </c>
      <c r="M1776" s="9">
        <v>0</v>
      </c>
      <c r="N1776" s="9">
        <v>0</v>
      </c>
      <c r="O1776" s="9">
        <v>0</v>
      </c>
      <c r="P1776" s="9">
        <v>0</v>
      </c>
      <c r="Q1776" s="9">
        <v>0</v>
      </c>
      <c r="R1776" s="9">
        <v>0</v>
      </c>
      <c r="S1776" s="9">
        <v>0</v>
      </c>
      <c r="T1776" s="9">
        <v>0</v>
      </c>
      <c r="U1776" s="9">
        <v>0</v>
      </c>
    </row>
    <row r="1777" spans="1:21" x14ac:dyDescent="0.2">
      <c r="A1777" t="s">
        <v>862</v>
      </c>
      <c r="B1777">
        <v>166</v>
      </c>
      <c r="C1777">
        <v>1</v>
      </c>
      <c r="D1777" t="s">
        <v>112</v>
      </c>
      <c r="E1777" s="9">
        <v>0</v>
      </c>
      <c r="F1777" s="9">
        <v>0</v>
      </c>
      <c r="G1777" s="9">
        <v>0</v>
      </c>
      <c r="H1777" s="9">
        <v>0</v>
      </c>
      <c r="I1777" s="9">
        <v>0</v>
      </c>
      <c r="J1777" s="9">
        <v>0</v>
      </c>
      <c r="K1777" s="9">
        <v>0</v>
      </c>
      <c r="L1777" s="9">
        <v>0</v>
      </c>
      <c r="M1777" s="9">
        <v>0</v>
      </c>
      <c r="N1777" s="9">
        <v>0</v>
      </c>
      <c r="O1777" s="9">
        <v>0</v>
      </c>
      <c r="P1777" s="9">
        <v>0</v>
      </c>
      <c r="Q1777" s="9">
        <v>0</v>
      </c>
      <c r="R1777" s="9">
        <v>0</v>
      </c>
      <c r="S1777" s="9">
        <v>0</v>
      </c>
      <c r="T1777" s="9">
        <v>0</v>
      </c>
      <c r="U1777" s="9">
        <v>0</v>
      </c>
    </row>
    <row r="1778" spans="1:21" x14ac:dyDescent="0.2">
      <c r="A1778" t="s">
        <v>862</v>
      </c>
      <c r="B1778">
        <v>173</v>
      </c>
      <c r="C1778">
        <v>1</v>
      </c>
      <c r="D1778" t="s">
        <v>113</v>
      </c>
      <c r="E1778" s="9">
        <v>0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  <c r="M1778" s="9">
        <v>0</v>
      </c>
      <c r="N1778" s="9">
        <v>0</v>
      </c>
      <c r="O1778" s="9">
        <v>0</v>
      </c>
      <c r="P1778" s="9">
        <v>0</v>
      </c>
      <c r="Q1778" s="9">
        <v>0</v>
      </c>
      <c r="R1778" s="9">
        <v>0</v>
      </c>
      <c r="S1778" s="9">
        <v>0</v>
      </c>
      <c r="T1778" s="9">
        <v>0</v>
      </c>
      <c r="U1778" s="9">
        <v>0</v>
      </c>
    </row>
    <row r="1779" spans="1:21" x14ac:dyDescent="0.2">
      <c r="A1779" t="s">
        <v>862</v>
      </c>
      <c r="B1779">
        <v>177</v>
      </c>
      <c r="C1779">
        <v>1</v>
      </c>
      <c r="D1779" t="s">
        <v>114</v>
      </c>
      <c r="E1779" s="9">
        <v>0</v>
      </c>
      <c r="F1779" s="9">
        <v>0</v>
      </c>
      <c r="G1779" s="9">
        <v>0</v>
      </c>
      <c r="H1779" s="9">
        <v>0</v>
      </c>
      <c r="I1779" s="9">
        <v>0</v>
      </c>
      <c r="J1779" s="9">
        <v>0</v>
      </c>
      <c r="K1779" s="9">
        <v>0</v>
      </c>
      <c r="L1779" s="9">
        <v>0</v>
      </c>
      <c r="M1779" s="9">
        <v>0</v>
      </c>
      <c r="N1779" s="9">
        <v>0</v>
      </c>
      <c r="O1779" s="9">
        <v>0</v>
      </c>
      <c r="P1779" s="9">
        <v>0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</row>
    <row r="1780" spans="1:21" x14ac:dyDescent="0.2">
      <c r="A1780" t="s">
        <v>862</v>
      </c>
      <c r="B1780">
        <v>181</v>
      </c>
      <c r="C1780">
        <v>1</v>
      </c>
      <c r="D1780" t="s">
        <v>115</v>
      </c>
      <c r="E1780" s="9">
        <v>0</v>
      </c>
      <c r="F1780" s="9">
        <v>0</v>
      </c>
      <c r="G1780" s="9">
        <v>0</v>
      </c>
      <c r="H1780" s="9">
        <v>0</v>
      </c>
      <c r="I1780" s="9">
        <v>0</v>
      </c>
      <c r="J1780" s="9">
        <v>0</v>
      </c>
      <c r="K1780" s="9">
        <v>0</v>
      </c>
      <c r="L1780" s="9">
        <v>0</v>
      </c>
      <c r="M1780" s="9">
        <v>0</v>
      </c>
      <c r="N1780" s="9">
        <v>0</v>
      </c>
      <c r="O1780" s="9">
        <v>0</v>
      </c>
      <c r="P1780" s="9">
        <v>0</v>
      </c>
      <c r="Q1780" s="9">
        <v>0</v>
      </c>
      <c r="R1780" s="9">
        <v>0</v>
      </c>
      <c r="S1780" s="9">
        <v>0</v>
      </c>
      <c r="T1780" s="9">
        <v>0</v>
      </c>
      <c r="U1780" s="9">
        <v>0</v>
      </c>
    </row>
    <row r="1781" spans="1:21" x14ac:dyDescent="0.2">
      <c r="A1781" t="s">
        <v>862</v>
      </c>
      <c r="B1781">
        <v>182</v>
      </c>
      <c r="C1781">
        <v>1</v>
      </c>
      <c r="D1781" t="s">
        <v>116</v>
      </c>
      <c r="E1781" s="9">
        <v>0</v>
      </c>
      <c r="F1781" s="9">
        <v>0</v>
      </c>
      <c r="G1781" s="9">
        <v>0</v>
      </c>
      <c r="H1781" s="9">
        <v>0</v>
      </c>
      <c r="I1781" s="9">
        <v>0</v>
      </c>
      <c r="J1781" s="9">
        <v>0</v>
      </c>
      <c r="K1781" s="9">
        <v>0</v>
      </c>
      <c r="L1781" s="9">
        <v>0</v>
      </c>
      <c r="M1781" s="9">
        <v>0</v>
      </c>
      <c r="N1781" s="9">
        <v>0</v>
      </c>
      <c r="O1781" s="9">
        <v>0</v>
      </c>
      <c r="P1781" s="9">
        <v>0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</row>
    <row r="1782" spans="1:21" x14ac:dyDescent="0.2">
      <c r="A1782" t="s">
        <v>862</v>
      </c>
      <c r="B1782">
        <v>186</v>
      </c>
      <c r="C1782">
        <v>1</v>
      </c>
      <c r="D1782" t="s">
        <v>117</v>
      </c>
      <c r="E1782" s="9">
        <v>0</v>
      </c>
      <c r="F1782" s="9">
        <v>0</v>
      </c>
      <c r="G1782" s="9">
        <v>0</v>
      </c>
      <c r="H1782" s="9">
        <v>0</v>
      </c>
      <c r="I1782" s="9">
        <v>0</v>
      </c>
      <c r="J1782" s="9">
        <v>0</v>
      </c>
      <c r="K1782" s="9">
        <v>0</v>
      </c>
      <c r="L1782" s="9">
        <v>0</v>
      </c>
      <c r="M1782" s="9">
        <v>0</v>
      </c>
      <c r="N1782" s="9">
        <v>0</v>
      </c>
      <c r="O1782" s="9">
        <v>0</v>
      </c>
      <c r="P1782" s="9">
        <v>0</v>
      </c>
      <c r="Q1782" s="9">
        <v>0</v>
      </c>
      <c r="R1782" s="9">
        <v>0</v>
      </c>
      <c r="S1782" s="9">
        <v>0</v>
      </c>
      <c r="T1782" s="9">
        <v>0</v>
      </c>
      <c r="U1782" s="9">
        <v>0</v>
      </c>
    </row>
    <row r="1783" spans="1:21" x14ac:dyDescent="0.2">
      <c r="A1783" t="s">
        <v>862</v>
      </c>
      <c r="B1783">
        <v>191</v>
      </c>
      <c r="C1783">
        <v>1</v>
      </c>
      <c r="D1783" t="s">
        <v>118</v>
      </c>
      <c r="E1783" s="9">
        <v>0</v>
      </c>
      <c r="F1783" s="9">
        <v>0</v>
      </c>
      <c r="G1783" s="9">
        <v>0</v>
      </c>
      <c r="H1783" s="9">
        <v>0</v>
      </c>
      <c r="I1783" s="9">
        <v>0</v>
      </c>
      <c r="J1783" s="9">
        <v>0</v>
      </c>
      <c r="K1783" s="9">
        <v>0</v>
      </c>
      <c r="L1783" s="9">
        <v>0</v>
      </c>
      <c r="M1783" s="9">
        <v>0</v>
      </c>
      <c r="N1783" s="9">
        <v>0</v>
      </c>
      <c r="O1783" s="9">
        <v>0</v>
      </c>
      <c r="P1783" s="9">
        <v>0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</row>
    <row r="1784" spans="1:21" x14ac:dyDescent="0.2">
      <c r="A1784" t="s">
        <v>862</v>
      </c>
      <c r="B1784">
        <v>192</v>
      </c>
      <c r="C1784">
        <v>1</v>
      </c>
      <c r="D1784" t="s">
        <v>119</v>
      </c>
      <c r="E1784" s="9">
        <v>0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  <c r="M1784" s="9">
        <v>0</v>
      </c>
      <c r="N1784" s="9">
        <v>0</v>
      </c>
      <c r="O1784" s="9">
        <v>0</v>
      </c>
      <c r="P1784" s="9">
        <v>0</v>
      </c>
      <c r="Q1784" s="9">
        <v>0</v>
      </c>
      <c r="R1784" s="9">
        <v>0</v>
      </c>
      <c r="S1784" s="9">
        <v>0</v>
      </c>
      <c r="T1784" s="9">
        <v>0</v>
      </c>
      <c r="U1784" s="9">
        <v>0</v>
      </c>
    </row>
    <row r="1785" spans="1:21" x14ac:dyDescent="0.2">
      <c r="A1785" t="s">
        <v>862</v>
      </c>
      <c r="B1785">
        <v>194</v>
      </c>
      <c r="C1785">
        <v>1</v>
      </c>
      <c r="D1785" t="s">
        <v>120</v>
      </c>
      <c r="E1785" s="9">
        <v>0</v>
      </c>
      <c r="F1785" s="9">
        <v>0</v>
      </c>
      <c r="G1785" s="9">
        <v>0</v>
      </c>
      <c r="H1785" s="9">
        <v>0</v>
      </c>
      <c r="I1785" s="9">
        <v>0</v>
      </c>
      <c r="J1785" s="9">
        <v>0</v>
      </c>
      <c r="K1785" s="9">
        <v>0</v>
      </c>
      <c r="L1785" s="9">
        <v>0</v>
      </c>
      <c r="M1785" s="9">
        <v>0</v>
      </c>
      <c r="N1785" s="9">
        <v>0</v>
      </c>
      <c r="O1785" s="9">
        <v>0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</row>
    <row r="1786" spans="1:21" x14ac:dyDescent="0.2">
      <c r="A1786" t="s">
        <v>862</v>
      </c>
      <c r="B1786">
        <v>195</v>
      </c>
      <c r="C1786">
        <v>1</v>
      </c>
      <c r="D1786" t="s">
        <v>121</v>
      </c>
      <c r="E1786" s="9">
        <v>0</v>
      </c>
      <c r="F1786" s="9">
        <v>0</v>
      </c>
      <c r="G1786" s="9">
        <v>0</v>
      </c>
      <c r="H1786" s="9">
        <v>0</v>
      </c>
      <c r="I1786" s="9">
        <v>0</v>
      </c>
      <c r="J1786" s="9">
        <v>0</v>
      </c>
      <c r="K1786" s="9">
        <v>0</v>
      </c>
      <c r="L1786" s="9">
        <v>0</v>
      </c>
      <c r="M1786" s="9">
        <v>0</v>
      </c>
      <c r="N1786" s="9">
        <v>0</v>
      </c>
      <c r="O1786" s="9">
        <v>0</v>
      </c>
      <c r="P1786" s="9">
        <v>0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</row>
    <row r="1787" spans="1:21" x14ac:dyDescent="0.2">
      <c r="A1787" t="s">
        <v>862</v>
      </c>
      <c r="B1787">
        <v>196</v>
      </c>
      <c r="C1787">
        <v>1</v>
      </c>
      <c r="D1787" t="s">
        <v>122</v>
      </c>
      <c r="E1787" s="9">
        <v>0</v>
      </c>
      <c r="F1787" s="9">
        <v>0</v>
      </c>
      <c r="G1787" s="9">
        <v>0</v>
      </c>
      <c r="H1787" s="9">
        <v>0</v>
      </c>
      <c r="I1787" s="9">
        <v>0</v>
      </c>
      <c r="J1787" s="9">
        <v>0</v>
      </c>
      <c r="K1787" s="9">
        <v>0</v>
      </c>
      <c r="L1787" s="9">
        <v>0</v>
      </c>
      <c r="M1787" s="9">
        <v>0</v>
      </c>
      <c r="N1787" s="9">
        <v>0</v>
      </c>
      <c r="O1787" s="9">
        <v>0</v>
      </c>
      <c r="P1787" s="9">
        <v>0</v>
      </c>
      <c r="Q1787" s="9">
        <v>0</v>
      </c>
      <c r="R1787" s="9">
        <v>0</v>
      </c>
      <c r="S1787" s="9">
        <v>0</v>
      </c>
      <c r="T1787" s="9">
        <v>0</v>
      </c>
      <c r="U1787" s="9">
        <v>0</v>
      </c>
    </row>
    <row r="1788" spans="1:21" x14ac:dyDescent="0.2">
      <c r="A1788" t="s">
        <v>862</v>
      </c>
      <c r="B1788">
        <v>197</v>
      </c>
      <c r="C1788">
        <v>1</v>
      </c>
      <c r="D1788" t="s">
        <v>123</v>
      </c>
      <c r="E1788" s="9">
        <v>0</v>
      </c>
      <c r="F1788" s="9">
        <v>0</v>
      </c>
      <c r="G1788" s="9">
        <v>0</v>
      </c>
      <c r="H1788" s="9">
        <v>0</v>
      </c>
      <c r="I1788" s="9">
        <v>0</v>
      </c>
      <c r="J1788" s="9">
        <v>0</v>
      </c>
      <c r="K1788" s="9">
        <v>0</v>
      </c>
      <c r="L1788" s="9">
        <v>0</v>
      </c>
      <c r="M1788" s="9">
        <v>0</v>
      </c>
      <c r="N1788" s="9">
        <v>0</v>
      </c>
      <c r="O1788" s="9">
        <v>0</v>
      </c>
      <c r="P1788" s="9">
        <v>0</v>
      </c>
      <c r="Q1788" s="9">
        <v>0</v>
      </c>
      <c r="R1788" s="9">
        <v>0</v>
      </c>
      <c r="S1788" s="9">
        <v>0</v>
      </c>
      <c r="T1788" s="9">
        <v>0</v>
      </c>
      <c r="U1788" s="9">
        <v>0</v>
      </c>
    </row>
    <row r="1789" spans="1:21" x14ac:dyDescent="0.2">
      <c r="A1789" t="s">
        <v>862</v>
      </c>
      <c r="B1789">
        <v>199</v>
      </c>
      <c r="C1789">
        <v>1</v>
      </c>
      <c r="D1789" t="s">
        <v>124</v>
      </c>
      <c r="E1789" s="9">
        <v>0</v>
      </c>
      <c r="F1789" s="9">
        <v>0</v>
      </c>
      <c r="G1789" s="9">
        <v>0</v>
      </c>
      <c r="H1789" s="9">
        <v>0</v>
      </c>
      <c r="I1789" s="9">
        <v>0</v>
      </c>
      <c r="J1789" s="9">
        <v>0</v>
      </c>
      <c r="K1789" s="9">
        <v>0</v>
      </c>
      <c r="L1789" s="9">
        <v>0</v>
      </c>
      <c r="M1789" s="9">
        <v>0</v>
      </c>
      <c r="N1789" s="9">
        <v>0</v>
      </c>
      <c r="O1789" s="9">
        <v>0</v>
      </c>
      <c r="P1789" s="9">
        <v>0</v>
      </c>
      <c r="Q1789" s="9">
        <v>0</v>
      </c>
      <c r="R1789" s="9">
        <v>0</v>
      </c>
      <c r="S1789" s="9">
        <v>0</v>
      </c>
      <c r="T1789" s="9">
        <v>0</v>
      </c>
      <c r="U1789" s="9">
        <v>0</v>
      </c>
    </row>
    <row r="1790" spans="1:21" x14ac:dyDescent="0.2">
      <c r="A1790" t="s">
        <v>862</v>
      </c>
      <c r="B1790">
        <v>200</v>
      </c>
      <c r="C1790">
        <v>1</v>
      </c>
      <c r="D1790" t="s">
        <v>125</v>
      </c>
      <c r="E1790" s="9">
        <v>0</v>
      </c>
      <c r="F1790" s="9">
        <v>0</v>
      </c>
      <c r="G1790" s="9">
        <v>0</v>
      </c>
      <c r="H1790" s="9">
        <v>0</v>
      </c>
      <c r="I1790" s="9">
        <v>0</v>
      </c>
      <c r="J1790" s="9">
        <v>0</v>
      </c>
      <c r="K1790" s="9">
        <v>0</v>
      </c>
      <c r="L1790" s="9">
        <v>0</v>
      </c>
      <c r="M1790" s="9">
        <v>0</v>
      </c>
      <c r="N1790" s="9">
        <v>0</v>
      </c>
      <c r="O1790" s="9">
        <v>0</v>
      </c>
      <c r="P1790" s="9">
        <v>0</v>
      </c>
      <c r="Q1790" s="9">
        <v>0</v>
      </c>
      <c r="R1790" s="9">
        <v>0</v>
      </c>
      <c r="S1790" s="9">
        <v>0</v>
      </c>
      <c r="T1790" s="9">
        <v>0</v>
      </c>
      <c r="U1790" s="9">
        <v>0</v>
      </c>
    </row>
    <row r="1791" spans="1:21" x14ac:dyDescent="0.2">
      <c r="A1791" t="s">
        <v>862</v>
      </c>
      <c r="B1791">
        <v>203</v>
      </c>
      <c r="C1791">
        <v>1</v>
      </c>
      <c r="D1791" t="s">
        <v>126</v>
      </c>
      <c r="E1791" s="9">
        <v>0</v>
      </c>
      <c r="F1791" s="9">
        <v>0</v>
      </c>
      <c r="G1791" s="9">
        <v>0</v>
      </c>
      <c r="H1791" s="9">
        <v>0</v>
      </c>
      <c r="I1791" s="9">
        <v>0</v>
      </c>
      <c r="J1791" s="9">
        <v>0</v>
      </c>
      <c r="K1791" s="9">
        <v>0</v>
      </c>
      <c r="L1791" s="9">
        <v>0</v>
      </c>
      <c r="M1791" s="9">
        <v>0</v>
      </c>
      <c r="N1791" s="9">
        <v>0</v>
      </c>
      <c r="O1791" s="9">
        <v>0</v>
      </c>
      <c r="P1791" s="9">
        <v>0</v>
      </c>
      <c r="Q1791" s="9">
        <v>0</v>
      </c>
      <c r="R1791" s="9">
        <v>0</v>
      </c>
      <c r="S1791" s="9">
        <v>0</v>
      </c>
      <c r="T1791" s="9">
        <v>0</v>
      </c>
      <c r="U1791" s="9">
        <v>0</v>
      </c>
    </row>
    <row r="1792" spans="1:21" x14ac:dyDescent="0.2">
      <c r="A1792" t="s">
        <v>862</v>
      </c>
      <c r="B1792">
        <v>204</v>
      </c>
      <c r="C1792">
        <v>1</v>
      </c>
      <c r="D1792" t="s">
        <v>127</v>
      </c>
      <c r="E1792" s="9">
        <v>0</v>
      </c>
      <c r="F1792" s="9">
        <v>0</v>
      </c>
      <c r="G1792" s="9">
        <v>0</v>
      </c>
      <c r="H1792" s="9">
        <v>0</v>
      </c>
      <c r="I1792" s="9">
        <v>0</v>
      </c>
      <c r="J1792" s="9">
        <v>0</v>
      </c>
      <c r="K1792" s="9">
        <v>0</v>
      </c>
      <c r="L1792" s="9">
        <v>0</v>
      </c>
      <c r="M1792" s="9">
        <v>0</v>
      </c>
      <c r="N1792" s="9">
        <v>0</v>
      </c>
      <c r="O1792" s="9">
        <v>0</v>
      </c>
      <c r="P1792" s="9">
        <v>0</v>
      </c>
      <c r="Q1792" s="9">
        <v>0</v>
      </c>
      <c r="R1792" s="9">
        <v>0</v>
      </c>
      <c r="S1792" s="9">
        <v>0</v>
      </c>
      <c r="T1792" s="9">
        <v>0</v>
      </c>
      <c r="U1792" s="9">
        <v>0</v>
      </c>
    </row>
    <row r="1793" spans="1:21" x14ac:dyDescent="0.2">
      <c r="A1793" t="s">
        <v>862</v>
      </c>
      <c r="B1793">
        <v>206</v>
      </c>
      <c r="C1793">
        <v>1</v>
      </c>
      <c r="D1793" t="s">
        <v>128</v>
      </c>
      <c r="E1793" s="9">
        <v>0</v>
      </c>
      <c r="F1793" s="9">
        <v>0</v>
      </c>
      <c r="G1793" s="9">
        <v>0</v>
      </c>
      <c r="H1793" s="9">
        <v>0</v>
      </c>
      <c r="I1793" s="9">
        <v>0</v>
      </c>
      <c r="J1793" s="9">
        <v>0</v>
      </c>
      <c r="K1793" s="9">
        <v>0</v>
      </c>
      <c r="L1793" s="9">
        <v>0</v>
      </c>
      <c r="M1793" s="9">
        <v>0</v>
      </c>
      <c r="N1793" s="9">
        <v>0</v>
      </c>
      <c r="O1793" s="9">
        <v>0</v>
      </c>
      <c r="P1793" s="9">
        <v>0</v>
      </c>
      <c r="Q1793" s="9">
        <v>0</v>
      </c>
      <c r="R1793" s="9">
        <v>0</v>
      </c>
      <c r="S1793" s="9">
        <v>0</v>
      </c>
      <c r="T1793" s="9">
        <v>0</v>
      </c>
      <c r="U1793" s="9">
        <v>0</v>
      </c>
    </row>
    <row r="1794" spans="1:21" x14ac:dyDescent="0.2">
      <c r="A1794" t="s">
        <v>862</v>
      </c>
      <c r="B1794">
        <v>207</v>
      </c>
      <c r="C1794">
        <v>1</v>
      </c>
      <c r="D1794" t="s">
        <v>129</v>
      </c>
      <c r="E1794" s="9">
        <v>0</v>
      </c>
      <c r="F1794" s="9">
        <v>0</v>
      </c>
      <c r="G1794" s="9">
        <v>0</v>
      </c>
      <c r="H1794" s="9">
        <v>0</v>
      </c>
      <c r="I1794" s="9">
        <v>0</v>
      </c>
      <c r="J1794" s="9">
        <v>0</v>
      </c>
      <c r="K1794" s="9">
        <v>0</v>
      </c>
      <c r="L1794" s="9">
        <v>0</v>
      </c>
      <c r="M1794" s="9">
        <v>0</v>
      </c>
      <c r="N1794" s="9">
        <v>0</v>
      </c>
      <c r="O1794" s="9">
        <v>0</v>
      </c>
      <c r="P1794" s="9">
        <v>0</v>
      </c>
      <c r="Q1794" s="9">
        <v>0</v>
      </c>
      <c r="R1794" s="9">
        <v>0</v>
      </c>
      <c r="S1794" s="9">
        <v>0</v>
      </c>
      <c r="T1794" s="9">
        <v>0</v>
      </c>
      <c r="U1794" s="9">
        <v>0</v>
      </c>
    </row>
    <row r="1795" spans="1:21" x14ac:dyDescent="0.2">
      <c r="A1795" t="s">
        <v>862</v>
      </c>
      <c r="B1795">
        <v>208</v>
      </c>
      <c r="C1795">
        <v>1</v>
      </c>
      <c r="D1795" t="s">
        <v>130</v>
      </c>
      <c r="E1795" s="9">
        <v>0</v>
      </c>
      <c r="F1795" s="9">
        <v>0</v>
      </c>
      <c r="G1795" s="9">
        <v>0</v>
      </c>
      <c r="H1795" s="9">
        <v>0</v>
      </c>
      <c r="I1795" s="9">
        <v>0</v>
      </c>
      <c r="J1795" s="9">
        <v>0</v>
      </c>
      <c r="K1795" s="9">
        <v>0</v>
      </c>
      <c r="L1795" s="9">
        <v>0</v>
      </c>
      <c r="M1795" s="9">
        <v>0</v>
      </c>
      <c r="N1795" s="9">
        <v>0</v>
      </c>
      <c r="O1795" s="9">
        <v>0</v>
      </c>
      <c r="P1795" s="9">
        <v>0</v>
      </c>
      <c r="Q1795" s="9">
        <v>0</v>
      </c>
      <c r="R1795" s="9">
        <v>0</v>
      </c>
      <c r="S1795" s="9">
        <v>0</v>
      </c>
      <c r="T1795" s="9">
        <v>0</v>
      </c>
      <c r="U1795" s="9">
        <v>0</v>
      </c>
    </row>
    <row r="1796" spans="1:21" x14ac:dyDescent="0.2">
      <c r="A1796" t="s">
        <v>862</v>
      </c>
      <c r="B1796">
        <v>213</v>
      </c>
      <c r="C1796">
        <v>1</v>
      </c>
      <c r="D1796" t="s">
        <v>131</v>
      </c>
      <c r="E1796" s="9">
        <v>0</v>
      </c>
      <c r="F1796" s="9">
        <v>0</v>
      </c>
      <c r="G1796" s="9">
        <v>0</v>
      </c>
      <c r="H1796" s="9">
        <v>0</v>
      </c>
      <c r="I1796" s="9">
        <v>0</v>
      </c>
      <c r="J1796" s="9">
        <v>0</v>
      </c>
      <c r="K1796" s="9">
        <v>0</v>
      </c>
      <c r="L1796" s="9">
        <v>0</v>
      </c>
      <c r="M1796" s="9">
        <v>0</v>
      </c>
      <c r="N1796" s="9">
        <v>0</v>
      </c>
      <c r="O1796" s="9">
        <v>0</v>
      </c>
      <c r="P1796" s="9">
        <v>0</v>
      </c>
      <c r="Q1796" s="9">
        <v>0</v>
      </c>
      <c r="R1796" s="9">
        <v>0</v>
      </c>
      <c r="S1796" s="9">
        <v>0</v>
      </c>
      <c r="T1796" s="9">
        <v>0</v>
      </c>
      <c r="U1796" s="9">
        <v>0</v>
      </c>
    </row>
    <row r="1797" spans="1:21" x14ac:dyDescent="0.2">
      <c r="A1797" t="s">
        <v>862</v>
      </c>
      <c r="B1797">
        <v>227</v>
      </c>
      <c r="C1797">
        <v>1</v>
      </c>
      <c r="D1797" t="s">
        <v>132</v>
      </c>
      <c r="E1797" s="9">
        <v>0</v>
      </c>
      <c r="F1797" s="9">
        <v>0</v>
      </c>
      <c r="G1797" s="9">
        <v>0</v>
      </c>
      <c r="H1797" s="9">
        <v>0</v>
      </c>
      <c r="I1797" s="9">
        <v>0</v>
      </c>
      <c r="J1797" s="9">
        <v>0</v>
      </c>
      <c r="K1797" s="9">
        <v>0</v>
      </c>
      <c r="L1797" s="9">
        <v>0</v>
      </c>
      <c r="M1797" s="9">
        <v>0</v>
      </c>
      <c r="N1797" s="9">
        <v>0</v>
      </c>
      <c r="O1797" s="9">
        <v>0</v>
      </c>
      <c r="P1797" s="9">
        <v>0</v>
      </c>
      <c r="Q1797" s="9">
        <v>0</v>
      </c>
      <c r="R1797" s="9">
        <v>0</v>
      </c>
      <c r="S1797" s="9">
        <v>0</v>
      </c>
      <c r="T1797" s="9">
        <v>0</v>
      </c>
      <c r="U1797" s="9">
        <v>0</v>
      </c>
    </row>
    <row r="1798" spans="1:21" x14ac:dyDescent="0.2">
      <c r="A1798" t="s">
        <v>862</v>
      </c>
      <c r="B1798">
        <v>229</v>
      </c>
      <c r="C1798">
        <v>1</v>
      </c>
      <c r="D1798" t="s">
        <v>133</v>
      </c>
      <c r="E1798" s="9">
        <v>0</v>
      </c>
      <c r="F1798" s="9">
        <v>0</v>
      </c>
      <c r="G1798" s="9">
        <v>0</v>
      </c>
      <c r="H1798" s="9">
        <v>0</v>
      </c>
      <c r="I1798" s="9">
        <v>0</v>
      </c>
      <c r="J1798" s="9">
        <v>0</v>
      </c>
      <c r="K1798" s="9">
        <v>0</v>
      </c>
      <c r="L1798" s="9">
        <v>0</v>
      </c>
      <c r="M1798" s="9">
        <v>0</v>
      </c>
      <c r="N1798" s="9">
        <v>0</v>
      </c>
      <c r="O1798" s="9">
        <v>0</v>
      </c>
      <c r="P1798" s="9">
        <v>0</v>
      </c>
      <c r="Q1798" s="9">
        <v>0</v>
      </c>
      <c r="R1798" s="9">
        <v>0</v>
      </c>
      <c r="S1798" s="9">
        <v>0</v>
      </c>
      <c r="T1798" s="9">
        <v>0</v>
      </c>
      <c r="U1798" s="9">
        <v>0</v>
      </c>
    </row>
    <row r="1799" spans="1:21" x14ac:dyDescent="0.2">
      <c r="A1799" t="s">
        <v>862</v>
      </c>
      <c r="B1799">
        <v>238</v>
      </c>
      <c r="C1799">
        <v>1</v>
      </c>
      <c r="D1799" t="s">
        <v>134</v>
      </c>
      <c r="E1799" s="9">
        <v>0</v>
      </c>
      <c r="F1799" s="9">
        <v>0</v>
      </c>
      <c r="G1799" s="9">
        <v>0</v>
      </c>
      <c r="H1799" s="9">
        <v>0</v>
      </c>
      <c r="I1799" s="9">
        <v>0</v>
      </c>
      <c r="J1799" s="9">
        <v>0</v>
      </c>
      <c r="K1799" s="9">
        <v>0</v>
      </c>
      <c r="L1799" s="9">
        <v>0</v>
      </c>
      <c r="M1799" s="9">
        <v>0</v>
      </c>
      <c r="N1799" s="9">
        <v>0</v>
      </c>
      <c r="O1799" s="9">
        <v>0</v>
      </c>
      <c r="P1799" s="9">
        <v>0</v>
      </c>
      <c r="Q1799" s="9">
        <v>0</v>
      </c>
      <c r="R1799" s="9">
        <v>0</v>
      </c>
      <c r="S1799" s="9">
        <v>0</v>
      </c>
      <c r="T1799" s="9">
        <v>0</v>
      </c>
      <c r="U1799" s="9">
        <v>0</v>
      </c>
    </row>
    <row r="1800" spans="1:21" x14ac:dyDescent="0.2">
      <c r="A1800" t="s">
        <v>862</v>
      </c>
      <c r="B1800">
        <v>239</v>
      </c>
      <c r="C1800">
        <v>1</v>
      </c>
      <c r="D1800" t="s">
        <v>135</v>
      </c>
      <c r="E1800" s="9">
        <v>0</v>
      </c>
      <c r="F1800" s="9">
        <v>0</v>
      </c>
      <c r="G1800" s="9">
        <v>0</v>
      </c>
      <c r="H1800" s="9">
        <v>0</v>
      </c>
      <c r="I1800" s="9">
        <v>0</v>
      </c>
      <c r="J1800" s="9">
        <v>0</v>
      </c>
      <c r="K1800" s="9">
        <v>0</v>
      </c>
      <c r="L1800" s="9">
        <v>0</v>
      </c>
      <c r="M1800" s="9">
        <v>0</v>
      </c>
      <c r="N1800" s="9">
        <v>0</v>
      </c>
      <c r="O1800" s="9">
        <v>0</v>
      </c>
      <c r="P1800" s="9">
        <v>0</v>
      </c>
      <c r="Q1800" s="9">
        <v>0</v>
      </c>
      <c r="R1800" s="9">
        <v>0</v>
      </c>
      <c r="S1800" s="9">
        <v>0</v>
      </c>
      <c r="T1800" s="9">
        <v>0</v>
      </c>
      <c r="U1800" s="9">
        <v>0</v>
      </c>
    </row>
    <row r="1801" spans="1:21" x14ac:dyDescent="0.2">
      <c r="A1801" t="s">
        <v>862</v>
      </c>
      <c r="B1801">
        <v>241</v>
      </c>
      <c r="C1801">
        <v>1</v>
      </c>
      <c r="D1801" t="s">
        <v>136</v>
      </c>
      <c r="E1801" s="9">
        <v>0</v>
      </c>
      <c r="F1801" s="9">
        <v>0</v>
      </c>
      <c r="G1801" s="9">
        <v>0</v>
      </c>
      <c r="H1801" s="9">
        <v>0</v>
      </c>
      <c r="I1801" s="9">
        <v>0</v>
      </c>
      <c r="J1801" s="9">
        <v>0</v>
      </c>
      <c r="K1801" s="9">
        <v>0</v>
      </c>
      <c r="L1801" s="9">
        <v>0</v>
      </c>
      <c r="M1801" s="9">
        <v>0</v>
      </c>
      <c r="N1801" s="9">
        <v>0</v>
      </c>
      <c r="O1801" s="9">
        <v>0</v>
      </c>
      <c r="P1801" s="9">
        <v>0</v>
      </c>
      <c r="Q1801" s="9">
        <v>0</v>
      </c>
      <c r="R1801" s="9">
        <v>0</v>
      </c>
      <c r="S1801" s="9">
        <v>0</v>
      </c>
      <c r="T1801" s="9">
        <v>0</v>
      </c>
      <c r="U1801" s="9">
        <v>0</v>
      </c>
    </row>
    <row r="1802" spans="1:21" x14ac:dyDescent="0.2">
      <c r="A1802" t="s">
        <v>862</v>
      </c>
      <c r="B1802">
        <v>242</v>
      </c>
      <c r="C1802">
        <v>1</v>
      </c>
      <c r="D1802" t="s">
        <v>137</v>
      </c>
      <c r="E1802" s="9">
        <v>0</v>
      </c>
      <c r="F1802" s="9">
        <v>0</v>
      </c>
      <c r="G1802" s="9">
        <v>0</v>
      </c>
      <c r="H1802" s="9">
        <v>0</v>
      </c>
      <c r="I1802" s="9">
        <v>0</v>
      </c>
      <c r="J1802" s="9">
        <v>0</v>
      </c>
      <c r="K1802" s="9">
        <v>0</v>
      </c>
      <c r="L1802" s="9">
        <v>0</v>
      </c>
      <c r="M1802" s="9">
        <v>0</v>
      </c>
      <c r="N1802" s="9">
        <v>0</v>
      </c>
      <c r="O1802" s="9">
        <v>0</v>
      </c>
      <c r="P1802" s="9">
        <v>0</v>
      </c>
      <c r="Q1802" s="9">
        <v>0</v>
      </c>
      <c r="R1802" s="9">
        <v>0</v>
      </c>
      <c r="S1802" s="9">
        <v>0</v>
      </c>
      <c r="T1802" s="9">
        <v>0</v>
      </c>
      <c r="U1802" s="9">
        <v>0</v>
      </c>
    </row>
    <row r="1803" spans="1:21" x14ac:dyDescent="0.2">
      <c r="A1803" t="s">
        <v>862</v>
      </c>
      <c r="B1803">
        <v>252</v>
      </c>
      <c r="C1803">
        <v>1</v>
      </c>
      <c r="D1803" t="s">
        <v>138</v>
      </c>
      <c r="E1803" s="9">
        <v>0</v>
      </c>
      <c r="F1803" s="9">
        <v>0</v>
      </c>
      <c r="G1803" s="9">
        <v>0</v>
      </c>
      <c r="H1803" s="9">
        <v>0</v>
      </c>
      <c r="I1803" s="9">
        <v>0</v>
      </c>
      <c r="J1803" s="9">
        <v>0</v>
      </c>
      <c r="K1803" s="9">
        <v>0</v>
      </c>
      <c r="L1803" s="9">
        <v>0</v>
      </c>
      <c r="M1803" s="9">
        <v>0</v>
      </c>
      <c r="N1803" s="9">
        <v>0</v>
      </c>
      <c r="O1803" s="9">
        <v>0</v>
      </c>
      <c r="P1803" s="9">
        <v>0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</row>
    <row r="1804" spans="1:21" x14ac:dyDescent="0.2">
      <c r="A1804" t="s">
        <v>862</v>
      </c>
      <c r="B1804">
        <v>253</v>
      </c>
      <c r="C1804">
        <v>1</v>
      </c>
      <c r="D1804" t="s">
        <v>139</v>
      </c>
      <c r="E1804" s="9">
        <v>0</v>
      </c>
      <c r="F1804" s="9">
        <v>0</v>
      </c>
      <c r="G1804" s="9">
        <v>0</v>
      </c>
      <c r="H1804" s="9">
        <v>0</v>
      </c>
      <c r="I1804" s="9">
        <v>0</v>
      </c>
      <c r="J1804" s="9">
        <v>0</v>
      </c>
      <c r="K1804" s="9">
        <v>0</v>
      </c>
      <c r="L1804" s="9">
        <v>0</v>
      </c>
      <c r="M1804" s="9">
        <v>0</v>
      </c>
      <c r="N1804" s="9">
        <v>0</v>
      </c>
      <c r="O1804" s="9">
        <v>0</v>
      </c>
      <c r="P1804" s="9">
        <v>0</v>
      </c>
      <c r="Q1804" s="9">
        <v>0</v>
      </c>
      <c r="R1804" s="9">
        <v>0</v>
      </c>
      <c r="S1804" s="9">
        <v>0</v>
      </c>
      <c r="T1804" s="9">
        <v>0</v>
      </c>
      <c r="U1804" s="9">
        <v>0</v>
      </c>
    </row>
    <row r="1805" spans="1:21" x14ac:dyDescent="0.2">
      <c r="A1805" t="s">
        <v>862</v>
      </c>
      <c r="B1805">
        <v>255</v>
      </c>
      <c r="C1805">
        <v>1</v>
      </c>
      <c r="D1805" t="s">
        <v>140</v>
      </c>
      <c r="E1805" s="9">
        <v>0</v>
      </c>
      <c r="F1805" s="9">
        <v>0</v>
      </c>
      <c r="G1805" s="9">
        <v>0</v>
      </c>
      <c r="H1805" s="9">
        <v>0</v>
      </c>
      <c r="I1805" s="9">
        <v>0</v>
      </c>
      <c r="J1805" s="9">
        <v>0</v>
      </c>
      <c r="K1805" s="9">
        <v>0</v>
      </c>
      <c r="L1805" s="9">
        <v>0</v>
      </c>
      <c r="M1805" s="9">
        <v>0</v>
      </c>
      <c r="N1805" s="9">
        <v>0</v>
      </c>
      <c r="O1805" s="9">
        <v>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</row>
    <row r="1806" spans="1:21" x14ac:dyDescent="0.2">
      <c r="A1806" t="s">
        <v>862</v>
      </c>
      <c r="B1806">
        <v>256</v>
      </c>
      <c r="C1806">
        <v>1</v>
      </c>
      <c r="D1806" t="s">
        <v>141</v>
      </c>
      <c r="E1806" s="9">
        <v>0</v>
      </c>
      <c r="F1806" s="9">
        <v>0</v>
      </c>
      <c r="G1806" s="9">
        <v>0</v>
      </c>
      <c r="H1806" s="9">
        <v>0</v>
      </c>
      <c r="I1806" s="9">
        <v>0</v>
      </c>
      <c r="J1806" s="9">
        <v>0</v>
      </c>
      <c r="K1806" s="9">
        <v>0</v>
      </c>
      <c r="L1806" s="9">
        <v>0</v>
      </c>
      <c r="M1806" s="9">
        <v>0</v>
      </c>
      <c r="N1806" s="9">
        <v>0</v>
      </c>
      <c r="O1806" s="9">
        <v>0</v>
      </c>
      <c r="P1806" s="9">
        <v>0</v>
      </c>
      <c r="Q1806" s="9">
        <v>0</v>
      </c>
      <c r="R1806" s="9">
        <v>0</v>
      </c>
      <c r="S1806" s="9">
        <v>0</v>
      </c>
      <c r="T1806" s="9">
        <v>0</v>
      </c>
      <c r="U1806" s="9">
        <v>0</v>
      </c>
    </row>
    <row r="1807" spans="1:21" x14ac:dyDescent="0.2">
      <c r="A1807" t="s">
        <v>862</v>
      </c>
      <c r="B1807">
        <v>261</v>
      </c>
      <c r="C1807">
        <v>1</v>
      </c>
      <c r="D1807" t="s">
        <v>142</v>
      </c>
      <c r="E1807" s="9">
        <v>0</v>
      </c>
      <c r="F1807" s="9">
        <v>0</v>
      </c>
      <c r="G1807" s="9">
        <v>0</v>
      </c>
      <c r="H1807" s="9">
        <v>0</v>
      </c>
      <c r="I1807" s="9">
        <v>0</v>
      </c>
      <c r="J1807" s="9">
        <v>0</v>
      </c>
      <c r="K1807" s="9">
        <v>0</v>
      </c>
      <c r="L1807" s="9">
        <v>0</v>
      </c>
      <c r="M1807" s="9">
        <v>0</v>
      </c>
      <c r="N1807" s="9">
        <v>0</v>
      </c>
      <c r="O1807" s="9">
        <v>0</v>
      </c>
      <c r="P1807" s="9">
        <v>0</v>
      </c>
      <c r="Q1807" s="9">
        <v>0</v>
      </c>
      <c r="R1807" s="9">
        <v>0</v>
      </c>
      <c r="S1807" s="9">
        <v>0</v>
      </c>
      <c r="T1807" s="9">
        <v>0</v>
      </c>
      <c r="U1807" s="9">
        <v>0</v>
      </c>
    </row>
    <row r="1808" spans="1:21" x14ac:dyDescent="0.2">
      <c r="A1808" t="s">
        <v>862</v>
      </c>
      <c r="B1808">
        <v>264</v>
      </c>
      <c r="C1808">
        <v>1</v>
      </c>
      <c r="D1808" t="s">
        <v>143</v>
      </c>
      <c r="E1808" s="9">
        <v>0</v>
      </c>
      <c r="F1808" s="9">
        <v>0</v>
      </c>
      <c r="G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0</v>
      </c>
      <c r="M1808" s="9">
        <v>0</v>
      </c>
      <c r="N1808" s="9">
        <v>0</v>
      </c>
      <c r="O1808" s="9">
        <v>0</v>
      </c>
      <c r="P1808" s="9">
        <v>0</v>
      </c>
      <c r="Q1808" s="9">
        <v>0</v>
      </c>
      <c r="R1808" s="9">
        <v>0</v>
      </c>
      <c r="S1808" s="9">
        <v>0</v>
      </c>
      <c r="T1808" s="9">
        <v>0</v>
      </c>
      <c r="U1808" s="9">
        <v>0</v>
      </c>
    </row>
    <row r="1809" spans="1:21" x14ac:dyDescent="0.2">
      <c r="A1809" t="s">
        <v>862</v>
      </c>
      <c r="B1809">
        <v>270</v>
      </c>
      <c r="C1809">
        <v>1</v>
      </c>
      <c r="D1809" t="s">
        <v>144</v>
      </c>
      <c r="E1809" s="9">
        <v>0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0</v>
      </c>
      <c r="M1809" s="9">
        <v>0</v>
      </c>
      <c r="N1809" s="9">
        <v>0</v>
      </c>
      <c r="O1809" s="9">
        <v>0</v>
      </c>
      <c r="P1809" s="9">
        <v>0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</row>
    <row r="1810" spans="1:21" x14ac:dyDescent="0.2">
      <c r="A1810" t="s">
        <v>862</v>
      </c>
      <c r="B1810">
        <v>271</v>
      </c>
      <c r="C1810">
        <v>1</v>
      </c>
      <c r="D1810" t="s">
        <v>145</v>
      </c>
      <c r="E1810" s="9">
        <v>0</v>
      </c>
      <c r="F1810" s="9">
        <v>0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0</v>
      </c>
      <c r="M1810" s="9">
        <v>0</v>
      </c>
      <c r="N1810" s="9">
        <v>0</v>
      </c>
      <c r="O1810" s="9">
        <v>0</v>
      </c>
      <c r="P1810" s="9">
        <v>0</v>
      </c>
      <c r="Q1810" s="9">
        <v>0</v>
      </c>
      <c r="R1810" s="9">
        <v>0</v>
      </c>
      <c r="S1810" s="9">
        <v>0</v>
      </c>
      <c r="T1810" s="9">
        <v>0</v>
      </c>
      <c r="U1810" s="9">
        <v>0</v>
      </c>
    </row>
    <row r="1811" spans="1:21" x14ac:dyDescent="0.2">
      <c r="A1811" t="s">
        <v>862</v>
      </c>
      <c r="B1811">
        <v>272</v>
      </c>
      <c r="C1811">
        <v>1</v>
      </c>
      <c r="D1811" t="s">
        <v>146</v>
      </c>
      <c r="E1811" s="9">
        <v>0</v>
      </c>
      <c r="F1811" s="9">
        <v>0</v>
      </c>
      <c r="G1811" s="9">
        <v>0</v>
      </c>
      <c r="H1811" s="9">
        <v>0</v>
      </c>
      <c r="I1811" s="9">
        <v>0</v>
      </c>
      <c r="J1811" s="9">
        <v>1</v>
      </c>
      <c r="K1811" s="9">
        <v>1</v>
      </c>
      <c r="L1811" s="9">
        <v>1</v>
      </c>
      <c r="M1811" s="9">
        <v>1</v>
      </c>
      <c r="N1811" s="9">
        <v>1</v>
      </c>
      <c r="O1811" s="9">
        <v>1</v>
      </c>
      <c r="P1811" s="9">
        <v>1</v>
      </c>
      <c r="Q1811" s="9">
        <v>1</v>
      </c>
      <c r="R1811" s="9">
        <v>1</v>
      </c>
      <c r="S1811" s="9">
        <v>1</v>
      </c>
      <c r="T1811" s="9">
        <v>1</v>
      </c>
      <c r="U1811" s="9">
        <v>1</v>
      </c>
    </row>
    <row r="1812" spans="1:21" x14ac:dyDescent="0.2">
      <c r="A1812" t="s">
        <v>862</v>
      </c>
      <c r="B1812">
        <v>273</v>
      </c>
      <c r="C1812">
        <v>1</v>
      </c>
      <c r="D1812" t="s">
        <v>147</v>
      </c>
      <c r="E1812" s="9">
        <v>0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L1812" s="9">
        <v>0</v>
      </c>
      <c r="M1812" s="9">
        <v>0</v>
      </c>
      <c r="N1812" s="9">
        <v>0</v>
      </c>
      <c r="O1812" s="9">
        <v>0</v>
      </c>
      <c r="P1812" s="9">
        <v>0</v>
      </c>
      <c r="Q1812" s="9">
        <v>0</v>
      </c>
      <c r="R1812" s="9">
        <v>0</v>
      </c>
      <c r="S1812" s="9">
        <v>0</v>
      </c>
      <c r="T1812" s="9">
        <v>0</v>
      </c>
      <c r="U1812" s="9">
        <v>0</v>
      </c>
    </row>
    <row r="1813" spans="1:21" x14ac:dyDescent="0.2">
      <c r="A1813" t="s">
        <v>862</v>
      </c>
      <c r="B1813">
        <v>276</v>
      </c>
      <c r="C1813">
        <v>1</v>
      </c>
      <c r="D1813" t="s">
        <v>148</v>
      </c>
      <c r="E1813" s="9">
        <v>0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9">
        <v>0</v>
      </c>
      <c r="L1813" s="9">
        <v>0</v>
      </c>
      <c r="M1813" s="9">
        <v>0</v>
      </c>
      <c r="N1813" s="9">
        <v>0</v>
      </c>
      <c r="O1813" s="9">
        <v>0</v>
      </c>
      <c r="P1813" s="9">
        <v>0</v>
      </c>
      <c r="Q1813" s="9">
        <v>0</v>
      </c>
      <c r="R1813" s="9">
        <v>0</v>
      </c>
      <c r="S1813" s="9">
        <v>0</v>
      </c>
      <c r="T1813" s="9">
        <v>0</v>
      </c>
      <c r="U1813" s="9">
        <v>0</v>
      </c>
    </row>
    <row r="1814" spans="1:21" x14ac:dyDescent="0.2">
      <c r="A1814" t="s">
        <v>862</v>
      </c>
      <c r="B1814">
        <v>277</v>
      </c>
      <c r="C1814">
        <v>1</v>
      </c>
      <c r="D1814" t="s">
        <v>149</v>
      </c>
      <c r="E1814" s="9">
        <v>0</v>
      </c>
      <c r="F1814" s="9">
        <v>0</v>
      </c>
      <c r="G1814" s="9">
        <v>0</v>
      </c>
      <c r="H1814" s="9">
        <v>0</v>
      </c>
      <c r="I1814" s="9">
        <v>0</v>
      </c>
      <c r="J1814" s="9">
        <v>0</v>
      </c>
      <c r="K1814" s="9">
        <v>0</v>
      </c>
      <c r="L1814" s="9">
        <v>0</v>
      </c>
      <c r="M1814" s="9">
        <v>0</v>
      </c>
      <c r="N1814" s="9">
        <v>0</v>
      </c>
      <c r="O1814" s="9">
        <v>0</v>
      </c>
      <c r="P1814" s="9">
        <v>0</v>
      </c>
      <c r="Q1814" s="9">
        <v>0</v>
      </c>
      <c r="R1814" s="9">
        <v>0</v>
      </c>
      <c r="S1814" s="9">
        <v>0</v>
      </c>
      <c r="T1814" s="9">
        <v>0</v>
      </c>
      <c r="U1814" s="9">
        <v>0</v>
      </c>
    </row>
    <row r="1815" spans="1:21" x14ac:dyDescent="0.2">
      <c r="A1815" t="s">
        <v>862</v>
      </c>
      <c r="B1815">
        <v>278</v>
      </c>
      <c r="C1815">
        <v>1</v>
      </c>
      <c r="D1815" t="s">
        <v>150</v>
      </c>
      <c r="E1815" s="9">
        <v>0</v>
      </c>
      <c r="F1815" s="9">
        <v>0</v>
      </c>
      <c r="G1815" s="9">
        <v>0</v>
      </c>
      <c r="H1815" s="9">
        <v>0</v>
      </c>
      <c r="I1815" s="9">
        <v>0</v>
      </c>
      <c r="J1815" s="9">
        <v>1</v>
      </c>
      <c r="K1815" s="9">
        <v>1</v>
      </c>
      <c r="L1815" s="9">
        <v>1</v>
      </c>
      <c r="M1815" s="9">
        <v>1</v>
      </c>
      <c r="N1815" s="9">
        <v>1</v>
      </c>
      <c r="O1815" s="9">
        <v>1</v>
      </c>
      <c r="P1815" s="9">
        <v>1</v>
      </c>
      <c r="Q1815" s="9">
        <v>1</v>
      </c>
      <c r="R1815" s="9">
        <v>1</v>
      </c>
      <c r="S1815" s="9">
        <v>1</v>
      </c>
      <c r="T1815" s="9">
        <v>1</v>
      </c>
      <c r="U1815" s="9">
        <v>1</v>
      </c>
    </row>
    <row r="1816" spans="1:21" x14ac:dyDescent="0.2">
      <c r="A1816" t="s">
        <v>862</v>
      </c>
      <c r="B1816">
        <v>279</v>
      </c>
      <c r="C1816">
        <v>1</v>
      </c>
      <c r="D1816" t="s">
        <v>151</v>
      </c>
      <c r="E1816" s="9">
        <v>0</v>
      </c>
      <c r="F1816" s="9">
        <v>0</v>
      </c>
      <c r="G1816" s="9">
        <v>0</v>
      </c>
      <c r="H1816" s="9">
        <v>0</v>
      </c>
      <c r="I1816" s="9">
        <v>0</v>
      </c>
      <c r="J1816" s="9">
        <v>0</v>
      </c>
      <c r="K1816" s="9">
        <v>0</v>
      </c>
      <c r="L1816" s="9">
        <v>0</v>
      </c>
      <c r="M1816" s="9">
        <v>0</v>
      </c>
      <c r="N1816" s="9">
        <v>0</v>
      </c>
      <c r="O1816" s="9">
        <v>0</v>
      </c>
      <c r="P1816" s="9">
        <v>0</v>
      </c>
      <c r="Q1816" s="9">
        <v>0</v>
      </c>
      <c r="R1816" s="9">
        <v>0</v>
      </c>
      <c r="S1816" s="9">
        <v>0</v>
      </c>
      <c r="T1816" s="9">
        <v>0</v>
      </c>
      <c r="U1816" s="9">
        <v>0</v>
      </c>
    </row>
    <row r="1817" spans="1:21" x14ac:dyDescent="0.2">
      <c r="A1817" t="s">
        <v>862</v>
      </c>
      <c r="B1817">
        <v>280</v>
      </c>
      <c r="C1817">
        <v>1</v>
      </c>
      <c r="D1817" t="s">
        <v>152</v>
      </c>
      <c r="E1817" s="9">
        <v>0</v>
      </c>
      <c r="F1817" s="9">
        <v>0</v>
      </c>
      <c r="G1817" s="9">
        <v>0</v>
      </c>
      <c r="H1817" s="9">
        <v>0</v>
      </c>
      <c r="I1817" s="9">
        <v>0</v>
      </c>
      <c r="J1817" s="9">
        <v>0</v>
      </c>
      <c r="K1817" s="9">
        <v>0</v>
      </c>
      <c r="L1817" s="9">
        <v>0</v>
      </c>
      <c r="M1817" s="9">
        <v>0</v>
      </c>
      <c r="N1817" s="9">
        <v>0</v>
      </c>
      <c r="O1817" s="9">
        <v>0</v>
      </c>
      <c r="P1817" s="9">
        <v>0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</row>
    <row r="1818" spans="1:21" x14ac:dyDescent="0.2">
      <c r="A1818" t="s">
        <v>862</v>
      </c>
      <c r="B1818">
        <v>281</v>
      </c>
      <c r="C1818">
        <v>1</v>
      </c>
      <c r="D1818" t="s">
        <v>153</v>
      </c>
      <c r="E1818" s="9">
        <v>0</v>
      </c>
      <c r="F1818" s="9">
        <v>0</v>
      </c>
      <c r="G1818" s="9">
        <v>0</v>
      </c>
      <c r="H1818" s="9">
        <v>0</v>
      </c>
      <c r="I1818" s="9">
        <v>0</v>
      </c>
      <c r="J1818" s="9">
        <v>0</v>
      </c>
      <c r="K1818" s="9">
        <v>0</v>
      </c>
      <c r="L1818" s="9">
        <v>0</v>
      </c>
      <c r="M1818" s="9">
        <v>0</v>
      </c>
      <c r="N1818" s="9">
        <v>0</v>
      </c>
      <c r="O1818" s="9">
        <v>0</v>
      </c>
      <c r="P1818" s="9">
        <v>0</v>
      </c>
      <c r="Q1818" s="9">
        <v>0</v>
      </c>
      <c r="R1818" s="9">
        <v>0</v>
      </c>
      <c r="S1818" s="9">
        <v>0</v>
      </c>
      <c r="T1818" s="9">
        <v>0</v>
      </c>
      <c r="U1818" s="9">
        <v>0</v>
      </c>
    </row>
    <row r="1819" spans="1:21" x14ac:dyDescent="0.2">
      <c r="A1819" t="s">
        <v>862</v>
      </c>
      <c r="B1819">
        <v>282</v>
      </c>
      <c r="C1819">
        <v>1</v>
      </c>
      <c r="D1819" t="s">
        <v>154</v>
      </c>
      <c r="E1819" s="9">
        <v>0</v>
      </c>
      <c r="F1819" s="9">
        <v>0</v>
      </c>
      <c r="G1819" s="9">
        <v>0</v>
      </c>
      <c r="H1819" s="9">
        <v>0</v>
      </c>
      <c r="I1819" s="9">
        <v>0</v>
      </c>
      <c r="J1819" s="9">
        <v>0</v>
      </c>
      <c r="K1819" s="9">
        <v>0</v>
      </c>
      <c r="L1819" s="9">
        <v>0</v>
      </c>
      <c r="M1819" s="9">
        <v>0</v>
      </c>
      <c r="N1819" s="9">
        <v>0</v>
      </c>
      <c r="O1819" s="9">
        <v>0</v>
      </c>
      <c r="P1819" s="9">
        <v>0</v>
      </c>
      <c r="Q1819" s="9">
        <v>0</v>
      </c>
      <c r="R1819" s="9">
        <v>0</v>
      </c>
      <c r="S1819" s="9">
        <v>0</v>
      </c>
      <c r="T1819" s="9">
        <v>0</v>
      </c>
      <c r="U1819" s="9">
        <v>0</v>
      </c>
    </row>
    <row r="1820" spans="1:21" x14ac:dyDescent="0.2">
      <c r="A1820" t="s">
        <v>862</v>
      </c>
      <c r="B1820">
        <v>283</v>
      </c>
      <c r="C1820">
        <v>1</v>
      </c>
      <c r="D1820" t="s">
        <v>155</v>
      </c>
      <c r="E1820" s="9">
        <v>0</v>
      </c>
      <c r="F1820" s="9">
        <v>0</v>
      </c>
      <c r="G1820" s="9">
        <v>0</v>
      </c>
      <c r="H1820" s="9">
        <v>0</v>
      </c>
      <c r="I1820" s="9">
        <v>0</v>
      </c>
      <c r="J1820" s="9">
        <v>1</v>
      </c>
      <c r="K1820" s="9">
        <v>1</v>
      </c>
      <c r="L1820" s="9">
        <v>1</v>
      </c>
      <c r="M1820" s="9">
        <v>1</v>
      </c>
      <c r="N1820" s="9">
        <v>1</v>
      </c>
      <c r="O1820" s="9">
        <v>1</v>
      </c>
      <c r="P1820" s="9">
        <v>1</v>
      </c>
      <c r="Q1820" s="9">
        <v>1</v>
      </c>
      <c r="R1820" s="9">
        <v>1</v>
      </c>
      <c r="S1820" s="9">
        <v>1</v>
      </c>
      <c r="T1820" s="9">
        <v>1</v>
      </c>
      <c r="U1820" s="9">
        <v>1</v>
      </c>
    </row>
    <row r="1821" spans="1:21" x14ac:dyDescent="0.2">
      <c r="A1821" t="s">
        <v>862</v>
      </c>
      <c r="B1821">
        <v>284</v>
      </c>
      <c r="C1821">
        <v>1</v>
      </c>
      <c r="D1821" t="s">
        <v>156</v>
      </c>
      <c r="E1821" s="9">
        <v>0</v>
      </c>
      <c r="F1821" s="9">
        <v>0</v>
      </c>
      <c r="G1821" s="9">
        <v>0</v>
      </c>
      <c r="H1821" s="9">
        <v>0</v>
      </c>
      <c r="I1821" s="9">
        <v>0</v>
      </c>
      <c r="J1821" s="9">
        <v>0</v>
      </c>
      <c r="K1821" s="9">
        <v>0</v>
      </c>
      <c r="L1821" s="9">
        <v>0</v>
      </c>
      <c r="M1821" s="9">
        <v>0</v>
      </c>
      <c r="N1821" s="9">
        <v>0</v>
      </c>
      <c r="O1821" s="9">
        <v>0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</row>
    <row r="1822" spans="1:21" x14ac:dyDescent="0.2">
      <c r="A1822" t="s">
        <v>862</v>
      </c>
      <c r="B1822">
        <v>286</v>
      </c>
      <c r="C1822">
        <v>1</v>
      </c>
      <c r="D1822" t="s">
        <v>157</v>
      </c>
      <c r="E1822" s="9">
        <v>0</v>
      </c>
      <c r="F1822" s="9">
        <v>0</v>
      </c>
      <c r="G1822" s="9">
        <v>0</v>
      </c>
      <c r="H1822" s="9">
        <v>0</v>
      </c>
      <c r="I1822" s="9">
        <v>0</v>
      </c>
      <c r="J1822" s="9">
        <v>0</v>
      </c>
      <c r="K1822" s="9">
        <v>0</v>
      </c>
      <c r="L1822" s="9">
        <v>0</v>
      </c>
      <c r="M1822" s="9">
        <v>0</v>
      </c>
      <c r="N1822" s="9">
        <v>0</v>
      </c>
      <c r="O1822" s="9">
        <v>0</v>
      </c>
      <c r="P1822" s="9">
        <v>0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</row>
    <row r="1823" spans="1:21" x14ac:dyDescent="0.2">
      <c r="A1823" t="s">
        <v>862</v>
      </c>
      <c r="B1823">
        <v>294</v>
      </c>
      <c r="C1823">
        <v>1</v>
      </c>
      <c r="D1823" t="s">
        <v>158</v>
      </c>
      <c r="E1823" s="9">
        <v>0</v>
      </c>
      <c r="F1823" s="9">
        <v>0</v>
      </c>
      <c r="G1823" s="9">
        <v>0</v>
      </c>
      <c r="H1823" s="9">
        <v>0</v>
      </c>
      <c r="I1823" s="9">
        <v>0</v>
      </c>
      <c r="J1823" s="9">
        <v>0</v>
      </c>
      <c r="K1823" s="9">
        <v>0</v>
      </c>
      <c r="L1823" s="9">
        <v>0</v>
      </c>
      <c r="M1823" s="9">
        <v>0</v>
      </c>
      <c r="N1823" s="9">
        <v>0</v>
      </c>
      <c r="O1823" s="9">
        <v>0</v>
      </c>
      <c r="P1823" s="9">
        <v>0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</row>
    <row r="1824" spans="1:21" x14ac:dyDescent="0.2">
      <c r="A1824" t="s">
        <v>862</v>
      </c>
      <c r="B1824">
        <v>297</v>
      </c>
      <c r="C1824">
        <v>1</v>
      </c>
      <c r="D1824" t="s">
        <v>159</v>
      </c>
      <c r="E1824" s="9">
        <v>0</v>
      </c>
      <c r="F1824" s="9">
        <v>0</v>
      </c>
      <c r="G1824" s="9">
        <v>0</v>
      </c>
      <c r="H1824" s="9">
        <v>0</v>
      </c>
      <c r="I1824" s="9">
        <v>0</v>
      </c>
      <c r="J1824" s="9">
        <v>0</v>
      </c>
      <c r="K1824" s="9">
        <v>0</v>
      </c>
      <c r="L1824" s="9">
        <v>0</v>
      </c>
      <c r="M1824" s="9">
        <v>0</v>
      </c>
      <c r="N1824" s="9">
        <v>0</v>
      </c>
      <c r="O1824" s="9">
        <v>0</v>
      </c>
      <c r="P1824" s="9">
        <v>0</v>
      </c>
      <c r="Q1824" s="9">
        <v>0</v>
      </c>
      <c r="R1824" s="9">
        <v>0</v>
      </c>
      <c r="S1824" s="9">
        <v>0</v>
      </c>
      <c r="T1824" s="9">
        <v>0</v>
      </c>
      <c r="U1824" s="9">
        <v>0</v>
      </c>
    </row>
    <row r="1825" spans="1:21" x14ac:dyDescent="0.2">
      <c r="A1825" t="s">
        <v>862</v>
      </c>
      <c r="B1825">
        <v>299</v>
      </c>
      <c r="C1825">
        <v>1</v>
      </c>
      <c r="D1825" t="s">
        <v>160</v>
      </c>
      <c r="E1825" s="9">
        <v>0</v>
      </c>
      <c r="F1825" s="9">
        <v>0</v>
      </c>
      <c r="G1825" s="9">
        <v>0</v>
      </c>
      <c r="H1825" s="9">
        <v>0</v>
      </c>
      <c r="I1825" s="9">
        <v>0</v>
      </c>
      <c r="J1825" s="9">
        <v>0</v>
      </c>
      <c r="K1825" s="9">
        <v>0</v>
      </c>
      <c r="L1825" s="9">
        <v>0</v>
      </c>
      <c r="M1825" s="9">
        <v>0</v>
      </c>
      <c r="N1825" s="9">
        <v>0</v>
      </c>
      <c r="O1825" s="9">
        <v>0</v>
      </c>
      <c r="P1825" s="9">
        <v>0</v>
      </c>
      <c r="Q1825" s="9">
        <v>0</v>
      </c>
      <c r="R1825" s="9">
        <v>0</v>
      </c>
      <c r="S1825" s="9">
        <v>0</v>
      </c>
      <c r="T1825" s="9">
        <v>0</v>
      </c>
      <c r="U1825" s="9">
        <v>0</v>
      </c>
    </row>
    <row r="1826" spans="1:21" x14ac:dyDescent="0.2">
      <c r="A1826" t="s">
        <v>862</v>
      </c>
      <c r="B1826">
        <v>300</v>
      </c>
      <c r="C1826">
        <v>1</v>
      </c>
      <c r="D1826" t="s">
        <v>161</v>
      </c>
      <c r="E1826" s="9">
        <v>0</v>
      </c>
      <c r="F1826" s="9">
        <v>0</v>
      </c>
      <c r="G1826" s="9">
        <v>0</v>
      </c>
      <c r="H1826" s="9">
        <v>0</v>
      </c>
      <c r="I1826" s="9">
        <v>0</v>
      </c>
      <c r="J1826" s="9">
        <v>0</v>
      </c>
      <c r="K1826" s="9">
        <v>0</v>
      </c>
      <c r="L1826" s="9">
        <v>0</v>
      </c>
      <c r="M1826" s="9">
        <v>0</v>
      </c>
      <c r="N1826" s="9">
        <v>0</v>
      </c>
      <c r="O1826" s="9">
        <v>0</v>
      </c>
      <c r="P1826" s="9">
        <v>0</v>
      </c>
      <c r="Q1826" s="9">
        <v>0</v>
      </c>
      <c r="R1826" s="9">
        <v>0</v>
      </c>
      <c r="S1826" s="9">
        <v>0</v>
      </c>
      <c r="T1826" s="9">
        <v>0</v>
      </c>
      <c r="U1826" s="9">
        <v>0</v>
      </c>
    </row>
    <row r="1827" spans="1:21" x14ac:dyDescent="0.2">
      <c r="A1827" t="s">
        <v>862</v>
      </c>
      <c r="B1827">
        <v>306</v>
      </c>
      <c r="C1827">
        <v>1</v>
      </c>
      <c r="D1827" t="s">
        <v>162</v>
      </c>
      <c r="E1827" s="9">
        <v>0</v>
      </c>
      <c r="F1827" s="9">
        <v>0</v>
      </c>
      <c r="G1827" s="9">
        <v>0</v>
      </c>
      <c r="H1827" s="9">
        <v>0</v>
      </c>
      <c r="I1827" s="9">
        <v>0</v>
      </c>
      <c r="J1827" s="9">
        <v>0</v>
      </c>
      <c r="K1827" s="9">
        <v>0</v>
      </c>
      <c r="L1827" s="9">
        <v>0</v>
      </c>
      <c r="M1827" s="9">
        <v>0</v>
      </c>
      <c r="N1827" s="9">
        <v>0</v>
      </c>
      <c r="O1827" s="9">
        <v>0</v>
      </c>
      <c r="P1827" s="9">
        <v>0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</row>
    <row r="1828" spans="1:21" x14ac:dyDescent="0.2">
      <c r="A1828" t="s">
        <v>862</v>
      </c>
      <c r="B1828">
        <v>308</v>
      </c>
      <c r="C1828">
        <v>1</v>
      </c>
      <c r="D1828" t="s">
        <v>163</v>
      </c>
      <c r="E1828" s="9">
        <v>0</v>
      </c>
      <c r="F1828" s="9">
        <v>0</v>
      </c>
      <c r="G1828" s="9">
        <v>0</v>
      </c>
      <c r="H1828" s="9">
        <v>0</v>
      </c>
      <c r="I1828" s="9">
        <v>0</v>
      </c>
      <c r="J1828" s="9">
        <v>0</v>
      </c>
      <c r="K1828" s="9">
        <v>0</v>
      </c>
      <c r="L1828" s="9">
        <v>0</v>
      </c>
      <c r="M1828" s="9">
        <v>0</v>
      </c>
      <c r="N1828" s="9">
        <v>0</v>
      </c>
      <c r="O1828" s="9">
        <v>0</v>
      </c>
      <c r="P1828" s="9">
        <v>0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</row>
    <row r="1829" spans="1:21" x14ac:dyDescent="0.2">
      <c r="A1829" t="s">
        <v>862</v>
      </c>
      <c r="B1829">
        <v>309</v>
      </c>
      <c r="C1829">
        <v>1</v>
      </c>
      <c r="D1829" t="s">
        <v>164</v>
      </c>
      <c r="E1829" s="9">
        <v>0</v>
      </c>
      <c r="F1829" s="9">
        <v>0</v>
      </c>
      <c r="G1829" s="9">
        <v>0</v>
      </c>
      <c r="H1829" s="9">
        <v>0</v>
      </c>
      <c r="I1829" s="9">
        <v>0</v>
      </c>
      <c r="J1829" s="9">
        <v>0</v>
      </c>
      <c r="K1829" s="9">
        <v>0</v>
      </c>
      <c r="L1829" s="9">
        <v>0</v>
      </c>
      <c r="M1829" s="9">
        <v>0</v>
      </c>
      <c r="N1829" s="9">
        <v>0</v>
      </c>
      <c r="O1829" s="9">
        <v>0</v>
      </c>
      <c r="P1829" s="9">
        <v>0</v>
      </c>
      <c r="Q1829" s="9">
        <v>0</v>
      </c>
      <c r="R1829" s="9">
        <v>0</v>
      </c>
      <c r="S1829" s="9">
        <v>0</v>
      </c>
      <c r="T1829" s="9">
        <v>0</v>
      </c>
      <c r="U1829" s="9">
        <v>0</v>
      </c>
    </row>
    <row r="1830" spans="1:21" x14ac:dyDescent="0.2">
      <c r="A1830" t="s">
        <v>862</v>
      </c>
      <c r="B1830">
        <v>314</v>
      </c>
      <c r="C1830">
        <v>1</v>
      </c>
      <c r="D1830" t="s">
        <v>165</v>
      </c>
      <c r="E1830" s="9">
        <v>0</v>
      </c>
      <c r="F1830" s="9">
        <v>0</v>
      </c>
      <c r="G1830" s="9">
        <v>0</v>
      </c>
      <c r="H1830" s="9">
        <v>0</v>
      </c>
      <c r="I1830" s="9">
        <v>0</v>
      </c>
      <c r="J1830" s="9">
        <v>0</v>
      </c>
      <c r="K1830" s="9">
        <v>0</v>
      </c>
      <c r="L1830" s="9">
        <v>0</v>
      </c>
      <c r="M1830" s="9">
        <v>0</v>
      </c>
      <c r="N1830" s="9">
        <v>0</v>
      </c>
      <c r="O1830" s="9">
        <v>0</v>
      </c>
      <c r="P1830" s="9">
        <v>0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</row>
    <row r="1831" spans="1:21" x14ac:dyDescent="0.2">
      <c r="A1831" t="s">
        <v>862</v>
      </c>
      <c r="B1831">
        <v>316</v>
      </c>
      <c r="C1831">
        <v>1</v>
      </c>
      <c r="D1831" t="s">
        <v>166</v>
      </c>
      <c r="E1831" s="9">
        <v>0</v>
      </c>
      <c r="F1831" s="9">
        <v>0</v>
      </c>
      <c r="G1831" s="9">
        <v>0</v>
      </c>
      <c r="H1831" s="9">
        <v>0</v>
      </c>
      <c r="I1831" s="9">
        <v>0</v>
      </c>
      <c r="J1831" s="9">
        <v>0</v>
      </c>
      <c r="K1831" s="9">
        <v>0</v>
      </c>
      <c r="L1831" s="9">
        <v>0</v>
      </c>
      <c r="M1831" s="9">
        <v>0</v>
      </c>
      <c r="N1831" s="9">
        <v>0</v>
      </c>
      <c r="O1831" s="9">
        <v>0</v>
      </c>
      <c r="P1831" s="9">
        <v>0</v>
      </c>
      <c r="Q1831" s="9">
        <v>0</v>
      </c>
      <c r="R1831" s="9">
        <v>0</v>
      </c>
      <c r="S1831" s="9">
        <v>0</v>
      </c>
      <c r="T1831" s="9">
        <v>0</v>
      </c>
      <c r="U1831" s="9">
        <v>0</v>
      </c>
    </row>
    <row r="1832" spans="1:21" x14ac:dyDescent="0.2">
      <c r="A1832" t="s">
        <v>862</v>
      </c>
      <c r="B1832">
        <v>317</v>
      </c>
      <c r="C1832">
        <v>1</v>
      </c>
      <c r="D1832" t="s">
        <v>167</v>
      </c>
      <c r="E1832" s="9">
        <v>0</v>
      </c>
      <c r="F1832" s="9">
        <v>0</v>
      </c>
      <c r="G1832" s="9">
        <v>0</v>
      </c>
      <c r="H1832" s="9">
        <v>0</v>
      </c>
      <c r="I1832" s="9">
        <v>0</v>
      </c>
      <c r="J1832" s="9">
        <v>0</v>
      </c>
      <c r="K1832" s="9">
        <v>0</v>
      </c>
      <c r="L1832" s="9">
        <v>0</v>
      </c>
      <c r="M1832" s="9">
        <v>0</v>
      </c>
      <c r="N1832" s="9">
        <v>0</v>
      </c>
      <c r="O1832" s="9">
        <v>0</v>
      </c>
      <c r="P1832" s="9">
        <v>0</v>
      </c>
      <c r="Q1832" s="9">
        <v>0</v>
      </c>
      <c r="R1832" s="9">
        <v>0</v>
      </c>
      <c r="S1832" s="9">
        <v>0</v>
      </c>
      <c r="T1832" s="9">
        <v>0</v>
      </c>
      <c r="U1832" s="9">
        <v>0</v>
      </c>
    </row>
    <row r="1833" spans="1:21" x14ac:dyDescent="0.2">
      <c r="A1833" t="s">
        <v>862</v>
      </c>
      <c r="B1833">
        <v>318</v>
      </c>
      <c r="C1833">
        <v>1</v>
      </c>
      <c r="D1833" t="s">
        <v>168</v>
      </c>
      <c r="E1833" s="9">
        <v>0</v>
      </c>
      <c r="F1833" s="9">
        <v>0</v>
      </c>
      <c r="G1833" s="9">
        <v>0</v>
      </c>
      <c r="H1833" s="9">
        <v>0</v>
      </c>
      <c r="I1833" s="9">
        <v>0</v>
      </c>
      <c r="J1833" s="9">
        <v>0</v>
      </c>
      <c r="K1833" s="9">
        <v>0</v>
      </c>
      <c r="L1833" s="9">
        <v>0</v>
      </c>
      <c r="M1833" s="9">
        <v>0</v>
      </c>
      <c r="N1833" s="9">
        <v>0</v>
      </c>
      <c r="O1833" s="9">
        <v>0</v>
      </c>
      <c r="P1833" s="9">
        <v>0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</row>
    <row r="1834" spans="1:21" x14ac:dyDescent="0.2">
      <c r="A1834" t="s">
        <v>862</v>
      </c>
      <c r="B1834">
        <v>319</v>
      </c>
      <c r="C1834">
        <v>1</v>
      </c>
      <c r="D1834" t="s">
        <v>169</v>
      </c>
      <c r="E1834" s="9">
        <v>0</v>
      </c>
      <c r="F1834" s="9">
        <v>0</v>
      </c>
      <c r="G1834" s="9">
        <v>0</v>
      </c>
      <c r="H1834" s="9">
        <v>0</v>
      </c>
      <c r="I1834" s="9">
        <v>0</v>
      </c>
      <c r="J1834" s="9">
        <v>0</v>
      </c>
      <c r="K1834" s="9">
        <v>0</v>
      </c>
      <c r="L1834" s="9">
        <v>0</v>
      </c>
      <c r="M1834" s="9">
        <v>0</v>
      </c>
      <c r="N1834" s="9">
        <v>0</v>
      </c>
      <c r="O1834" s="9">
        <v>0</v>
      </c>
      <c r="P1834" s="9">
        <v>0</v>
      </c>
      <c r="Q1834" s="9">
        <v>0</v>
      </c>
      <c r="R1834" s="9">
        <v>0</v>
      </c>
      <c r="S1834" s="9">
        <v>0</v>
      </c>
      <c r="T1834" s="9">
        <v>0</v>
      </c>
      <c r="U1834" s="9">
        <v>0</v>
      </c>
    </row>
    <row r="1835" spans="1:21" x14ac:dyDescent="0.2">
      <c r="A1835" t="s">
        <v>862</v>
      </c>
      <c r="B1835">
        <v>323</v>
      </c>
      <c r="C1835">
        <v>2</v>
      </c>
      <c r="D1835" t="s">
        <v>170</v>
      </c>
      <c r="E1835" s="9">
        <v>0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  <c r="K1835" s="9">
        <v>0</v>
      </c>
      <c r="L1835" s="9">
        <v>0</v>
      </c>
      <c r="M1835" s="9">
        <v>0</v>
      </c>
      <c r="N1835" s="9">
        <v>0</v>
      </c>
      <c r="O1835" s="9">
        <v>0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</row>
    <row r="1836" spans="1:21" x14ac:dyDescent="0.2">
      <c r="A1836" t="s">
        <v>862</v>
      </c>
      <c r="B1836">
        <v>330</v>
      </c>
      <c r="C1836">
        <v>1</v>
      </c>
      <c r="D1836" t="s">
        <v>171</v>
      </c>
      <c r="E1836" s="9">
        <v>0</v>
      </c>
      <c r="F1836" s="9">
        <v>0</v>
      </c>
      <c r="G1836" s="9">
        <v>0</v>
      </c>
      <c r="H1836" s="9">
        <v>0</v>
      </c>
      <c r="I1836" s="9">
        <v>0</v>
      </c>
      <c r="J1836" s="9">
        <v>0</v>
      </c>
      <c r="K1836" s="9">
        <v>0</v>
      </c>
      <c r="L1836" s="9">
        <v>0</v>
      </c>
      <c r="M1836" s="9">
        <v>0</v>
      </c>
      <c r="N1836" s="9">
        <v>0</v>
      </c>
      <c r="O1836" s="9">
        <v>0</v>
      </c>
      <c r="P1836" s="9">
        <v>0</v>
      </c>
      <c r="Q1836" s="9">
        <v>0</v>
      </c>
      <c r="R1836" s="9">
        <v>0</v>
      </c>
      <c r="S1836" s="9">
        <v>0</v>
      </c>
      <c r="T1836" s="9">
        <v>0</v>
      </c>
      <c r="U1836" s="9">
        <v>0</v>
      </c>
    </row>
    <row r="1837" spans="1:21" x14ac:dyDescent="0.2">
      <c r="A1837" t="s">
        <v>862</v>
      </c>
      <c r="B1837">
        <v>332</v>
      </c>
      <c r="C1837">
        <v>1</v>
      </c>
      <c r="D1837" t="s">
        <v>172</v>
      </c>
      <c r="E1837" s="9">
        <v>0</v>
      </c>
      <c r="F1837" s="9">
        <v>0</v>
      </c>
      <c r="G1837" s="9">
        <v>0</v>
      </c>
      <c r="H1837" s="9">
        <v>0</v>
      </c>
      <c r="I1837" s="9">
        <v>0</v>
      </c>
      <c r="J1837" s="9">
        <v>0</v>
      </c>
      <c r="K1837" s="9">
        <v>0</v>
      </c>
      <c r="L1837" s="9">
        <v>0</v>
      </c>
      <c r="M1837" s="9">
        <v>0</v>
      </c>
      <c r="N1837" s="9">
        <v>0</v>
      </c>
      <c r="O1837" s="9">
        <v>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</row>
    <row r="1838" spans="1:21" x14ac:dyDescent="0.2">
      <c r="A1838" t="s">
        <v>862</v>
      </c>
      <c r="B1838">
        <v>333</v>
      </c>
      <c r="C1838">
        <v>1</v>
      </c>
      <c r="D1838" t="s">
        <v>173</v>
      </c>
      <c r="E1838" s="9">
        <v>0</v>
      </c>
      <c r="F1838" s="9">
        <v>0</v>
      </c>
      <c r="G1838" s="9">
        <v>0</v>
      </c>
      <c r="H1838" s="9">
        <v>0</v>
      </c>
      <c r="I1838" s="9">
        <v>0</v>
      </c>
      <c r="J1838" s="9">
        <v>0</v>
      </c>
      <c r="K1838" s="9">
        <v>0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0</v>
      </c>
      <c r="R1838" s="9">
        <v>0</v>
      </c>
      <c r="S1838" s="9">
        <v>0</v>
      </c>
      <c r="T1838" s="9">
        <v>0</v>
      </c>
      <c r="U1838" s="9">
        <v>0</v>
      </c>
    </row>
    <row r="1839" spans="1:21" x14ac:dyDescent="0.2">
      <c r="A1839" t="s">
        <v>862</v>
      </c>
      <c r="B1839">
        <v>345</v>
      </c>
      <c r="C1839">
        <v>1</v>
      </c>
      <c r="D1839" t="s">
        <v>174</v>
      </c>
      <c r="E1839" s="9">
        <v>0</v>
      </c>
      <c r="F1839" s="9">
        <v>0</v>
      </c>
      <c r="G1839" s="9">
        <v>0</v>
      </c>
      <c r="H1839" s="9">
        <v>0</v>
      </c>
      <c r="I1839" s="9">
        <v>0</v>
      </c>
      <c r="J1839" s="9">
        <v>0</v>
      </c>
      <c r="K1839" s="9">
        <v>0</v>
      </c>
      <c r="L1839" s="9">
        <v>0</v>
      </c>
      <c r="M1839" s="9">
        <v>0</v>
      </c>
      <c r="N1839" s="9">
        <v>0</v>
      </c>
      <c r="O1839" s="9">
        <v>0</v>
      </c>
      <c r="P1839" s="9">
        <v>0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</row>
    <row r="1840" spans="1:21" x14ac:dyDescent="0.2">
      <c r="A1840" t="s">
        <v>862</v>
      </c>
      <c r="B1840">
        <v>347</v>
      </c>
      <c r="C1840">
        <v>1</v>
      </c>
      <c r="D1840" t="s">
        <v>175</v>
      </c>
      <c r="E1840" s="9">
        <v>0</v>
      </c>
      <c r="F1840" s="9">
        <v>0</v>
      </c>
      <c r="G1840" s="9">
        <v>0</v>
      </c>
      <c r="H1840" s="9">
        <v>0</v>
      </c>
      <c r="I1840" s="9">
        <v>0</v>
      </c>
      <c r="J1840" s="9">
        <v>0</v>
      </c>
      <c r="K1840" s="9">
        <v>0</v>
      </c>
      <c r="L1840" s="9">
        <v>0</v>
      </c>
      <c r="M1840" s="9">
        <v>0</v>
      </c>
      <c r="N1840" s="9">
        <v>0</v>
      </c>
      <c r="O1840" s="9">
        <v>0</v>
      </c>
      <c r="P1840" s="9">
        <v>0</v>
      </c>
      <c r="Q1840" s="9">
        <v>0</v>
      </c>
      <c r="R1840" s="9">
        <v>0</v>
      </c>
      <c r="S1840" s="9">
        <v>0</v>
      </c>
      <c r="T1840" s="9">
        <v>0</v>
      </c>
      <c r="U1840" s="9">
        <v>0</v>
      </c>
    </row>
    <row r="1841" spans="1:21" x14ac:dyDescent="0.2">
      <c r="A1841" t="s">
        <v>862</v>
      </c>
      <c r="B1841">
        <v>356</v>
      </c>
      <c r="C1841">
        <v>1</v>
      </c>
      <c r="D1841" t="s">
        <v>176</v>
      </c>
      <c r="E1841" s="9">
        <v>0</v>
      </c>
      <c r="F1841" s="9">
        <v>0</v>
      </c>
      <c r="G1841" s="9">
        <v>0</v>
      </c>
      <c r="H1841" s="9">
        <v>0</v>
      </c>
      <c r="I1841" s="9">
        <v>0</v>
      </c>
      <c r="J1841" s="9">
        <v>0</v>
      </c>
      <c r="K1841" s="9">
        <v>0</v>
      </c>
      <c r="L1841" s="9">
        <v>0</v>
      </c>
      <c r="M1841" s="9">
        <v>0</v>
      </c>
      <c r="N1841" s="9">
        <v>0</v>
      </c>
      <c r="O1841" s="9">
        <v>0</v>
      </c>
      <c r="P1841" s="9">
        <v>0</v>
      </c>
      <c r="Q1841" s="9">
        <v>0</v>
      </c>
      <c r="R1841" s="9">
        <v>0</v>
      </c>
      <c r="S1841" s="9">
        <v>0</v>
      </c>
      <c r="T1841" s="9">
        <v>0</v>
      </c>
      <c r="U1841" s="9">
        <v>0</v>
      </c>
    </row>
    <row r="1842" spans="1:21" x14ac:dyDescent="0.2">
      <c r="A1842" t="s">
        <v>862</v>
      </c>
      <c r="B1842">
        <v>361</v>
      </c>
      <c r="C1842">
        <v>1</v>
      </c>
      <c r="D1842" t="s">
        <v>177</v>
      </c>
      <c r="E1842" s="9">
        <v>0</v>
      </c>
      <c r="F1842" s="9">
        <v>0</v>
      </c>
      <c r="G1842" s="9">
        <v>0</v>
      </c>
      <c r="H1842" s="9">
        <v>0</v>
      </c>
      <c r="I1842" s="9">
        <v>0</v>
      </c>
      <c r="J1842" s="9">
        <v>0</v>
      </c>
      <c r="K1842" s="9">
        <v>0</v>
      </c>
      <c r="L1842" s="9">
        <v>0</v>
      </c>
      <c r="M1842" s="9">
        <v>0</v>
      </c>
      <c r="N1842" s="9">
        <v>0</v>
      </c>
      <c r="O1842" s="9">
        <v>0</v>
      </c>
      <c r="P1842" s="9">
        <v>0</v>
      </c>
      <c r="Q1842" s="9">
        <v>0</v>
      </c>
      <c r="R1842" s="9">
        <v>0</v>
      </c>
      <c r="S1842" s="9">
        <v>0</v>
      </c>
      <c r="T1842" s="9">
        <v>0</v>
      </c>
      <c r="U1842" s="9">
        <v>0</v>
      </c>
    </row>
    <row r="1843" spans="1:21" x14ac:dyDescent="0.2">
      <c r="A1843" t="s">
        <v>862</v>
      </c>
      <c r="B1843">
        <v>362</v>
      </c>
      <c r="C1843">
        <v>1</v>
      </c>
      <c r="D1843" t="s">
        <v>178</v>
      </c>
      <c r="E1843" s="9">
        <v>0</v>
      </c>
      <c r="F1843" s="9">
        <v>0</v>
      </c>
      <c r="G1843" s="9">
        <v>0</v>
      </c>
      <c r="H1843" s="9">
        <v>0</v>
      </c>
      <c r="I1843" s="9">
        <v>0</v>
      </c>
      <c r="J1843" s="9">
        <v>0</v>
      </c>
      <c r="K1843" s="9">
        <v>0</v>
      </c>
      <c r="L1843" s="9">
        <v>0</v>
      </c>
      <c r="M1843" s="9">
        <v>0</v>
      </c>
      <c r="N1843" s="9">
        <v>0</v>
      </c>
      <c r="O1843" s="9">
        <v>0</v>
      </c>
      <c r="P1843" s="9">
        <v>0</v>
      </c>
      <c r="Q1843" s="9">
        <v>0</v>
      </c>
      <c r="R1843" s="9">
        <v>0</v>
      </c>
      <c r="S1843" s="9">
        <v>0</v>
      </c>
      <c r="T1843" s="9">
        <v>0</v>
      </c>
      <c r="U1843" s="9">
        <v>0</v>
      </c>
    </row>
    <row r="1844" spans="1:21" x14ac:dyDescent="0.2">
      <c r="A1844" t="s">
        <v>862</v>
      </c>
      <c r="B1844">
        <v>363</v>
      </c>
      <c r="C1844">
        <v>1</v>
      </c>
      <c r="D1844" t="s">
        <v>179</v>
      </c>
      <c r="E1844" s="9">
        <v>0</v>
      </c>
      <c r="F1844" s="9">
        <v>0</v>
      </c>
      <c r="G1844" s="9">
        <v>0</v>
      </c>
      <c r="H1844" s="9">
        <v>0</v>
      </c>
      <c r="I1844" s="9">
        <v>0</v>
      </c>
      <c r="J1844" s="9">
        <v>0</v>
      </c>
      <c r="K1844" s="9">
        <v>0</v>
      </c>
      <c r="L1844" s="9">
        <v>0</v>
      </c>
      <c r="M1844" s="9">
        <v>0</v>
      </c>
      <c r="N1844" s="9">
        <v>0</v>
      </c>
      <c r="O1844" s="9">
        <v>0</v>
      </c>
      <c r="P1844" s="9">
        <v>0</v>
      </c>
      <c r="Q1844" s="9">
        <v>0</v>
      </c>
      <c r="R1844" s="9">
        <v>0</v>
      </c>
      <c r="S1844" s="9">
        <v>0</v>
      </c>
      <c r="T1844" s="9">
        <v>0</v>
      </c>
      <c r="U1844" s="9">
        <v>0</v>
      </c>
    </row>
    <row r="1845" spans="1:21" x14ac:dyDescent="0.2">
      <c r="A1845" t="s">
        <v>862</v>
      </c>
      <c r="B1845">
        <v>371</v>
      </c>
      <c r="C1845">
        <v>1</v>
      </c>
      <c r="D1845" t="s">
        <v>180</v>
      </c>
      <c r="E1845" s="9">
        <v>0</v>
      </c>
      <c r="F1845" s="9">
        <v>0</v>
      </c>
      <c r="G1845" s="9">
        <v>0</v>
      </c>
      <c r="H1845" s="9">
        <v>0</v>
      </c>
      <c r="I1845" s="9">
        <v>0</v>
      </c>
      <c r="J1845" s="9">
        <v>0</v>
      </c>
      <c r="K1845" s="9">
        <v>0</v>
      </c>
      <c r="L1845" s="9">
        <v>0</v>
      </c>
      <c r="M1845" s="9">
        <v>0</v>
      </c>
      <c r="N1845" s="9">
        <v>0</v>
      </c>
      <c r="O1845" s="9">
        <v>0</v>
      </c>
      <c r="P1845" s="9">
        <v>0</v>
      </c>
      <c r="Q1845" s="9">
        <v>0</v>
      </c>
      <c r="R1845" s="9">
        <v>0</v>
      </c>
      <c r="S1845" s="9">
        <v>0</v>
      </c>
      <c r="T1845" s="9">
        <v>0</v>
      </c>
      <c r="U1845" s="9">
        <v>0</v>
      </c>
    </row>
    <row r="1846" spans="1:21" x14ac:dyDescent="0.2">
      <c r="A1846" t="s">
        <v>862</v>
      </c>
      <c r="B1846">
        <v>378</v>
      </c>
      <c r="C1846">
        <v>1</v>
      </c>
      <c r="D1846" t="s">
        <v>181</v>
      </c>
      <c r="E1846" s="9">
        <v>0</v>
      </c>
      <c r="F1846" s="9">
        <v>0</v>
      </c>
      <c r="G1846" s="9">
        <v>0</v>
      </c>
      <c r="H1846" s="9">
        <v>0</v>
      </c>
      <c r="I1846" s="9">
        <v>0</v>
      </c>
      <c r="J1846" s="9">
        <v>0</v>
      </c>
      <c r="K1846" s="9">
        <v>0</v>
      </c>
      <c r="L1846" s="9">
        <v>0</v>
      </c>
      <c r="M1846" s="9">
        <v>0</v>
      </c>
      <c r="N1846" s="9">
        <v>0</v>
      </c>
      <c r="O1846" s="9">
        <v>0</v>
      </c>
      <c r="P1846" s="9">
        <v>0</v>
      </c>
      <c r="Q1846" s="9">
        <v>0</v>
      </c>
      <c r="R1846" s="9">
        <v>0</v>
      </c>
      <c r="S1846" s="9">
        <v>0</v>
      </c>
      <c r="T1846" s="9">
        <v>0</v>
      </c>
      <c r="U1846" s="9">
        <v>0</v>
      </c>
    </row>
    <row r="1847" spans="1:21" x14ac:dyDescent="0.2">
      <c r="A1847" t="s">
        <v>862</v>
      </c>
      <c r="B1847">
        <v>381</v>
      </c>
      <c r="C1847">
        <v>1</v>
      </c>
      <c r="D1847" t="s">
        <v>182</v>
      </c>
      <c r="E1847" s="9">
        <v>0</v>
      </c>
      <c r="F1847" s="9">
        <v>0</v>
      </c>
      <c r="G1847" s="9">
        <v>0</v>
      </c>
      <c r="H1847" s="9">
        <v>0</v>
      </c>
      <c r="I1847" s="9">
        <v>0</v>
      </c>
      <c r="J1847" s="9">
        <v>0</v>
      </c>
      <c r="K1847" s="9">
        <v>0</v>
      </c>
      <c r="L1847" s="9">
        <v>0</v>
      </c>
      <c r="M1847" s="9">
        <v>0</v>
      </c>
      <c r="N1847" s="9">
        <v>0</v>
      </c>
      <c r="O1847" s="9">
        <v>0</v>
      </c>
      <c r="P1847" s="9">
        <v>0</v>
      </c>
      <c r="Q1847" s="9">
        <v>0</v>
      </c>
      <c r="R1847" s="9">
        <v>0</v>
      </c>
      <c r="S1847" s="9">
        <v>0</v>
      </c>
      <c r="T1847" s="9">
        <v>0</v>
      </c>
      <c r="U1847" s="9">
        <v>0</v>
      </c>
    </row>
    <row r="1848" spans="1:21" x14ac:dyDescent="0.2">
      <c r="A1848" t="s">
        <v>862</v>
      </c>
      <c r="B1848">
        <v>390</v>
      </c>
      <c r="C1848">
        <v>1</v>
      </c>
      <c r="D1848" t="s">
        <v>183</v>
      </c>
      <c r="E1848" s="9">
        <v>0</v>
      </c>
      <c r="F1848" s="9">
        <v>0</v>
      </c>
      <c r="G1848" s="9">
        <v>0</v>
      </c>
      <c r="H1848" s="9">
        <v>0</v>
      </c>
      <c r="I1848" s="9">
        <v>0</v>
      </c>
      <c r="J1848" s="9">
        <v>0</v>
      </c>
      <c r="K1848" s="9">
        <v>0</v>
      </c>
      <c r="L1848" s="9">
        <v>0</v>
      </c>
      <c r="M1848" s="9">
        <v>0</v>
      </c>
      <c r="N1848" s="9">
        <v>0</v>
      </c>
      <c r="O1848" s="9">
        <v>0</v>
      </c>
      <c r="P1848" s="9">
        <v>0</v>
      </c>
      <c r="Q1848" s="9">
        <v>0</v>
      </c>
      <c r="R1848" s="9">
        <v>0</v>
      </c>
      <c r="S1848" s="9">
        <v>0</v>
      </c>
      <c r="T1848" s="9">
        <v>0</v>
      </c>
      <c r="U1848" s="9">
        <v>0</v>
      </c>
    </row>
    <row r="1849" spans="1:21" x14ac:dyDescent="0.2">
      <c r="A1849" t="s">
        <v>862</v>
      </c>
      <c r="B1849">
        <v>391</v>
      </c>
      <c r="C1849">
        <v>1</v>
      </c>
      <c r="D1849" t="s">
        <v>184</v>
      </c>
      <c r="E1849" s="9">
        <v>0</v>
      </c>
      <c r="F1849" s="9">
        <v>0</v>
      </c>
      <c r="G1849" s="9">
        <v>0</v>
      </c>
      <c r="H1849" s="9">
        <v>0</v>
      </c>
      <c r="I1849" s="9">
        <v>0</v>
      </c>
      <c r="J1849" s="9">
        <v>0</v>
      </c>
      <c r="K1849" s="9">
        <v>0</v>
      </c>
      <c r="L1849" s="9">
        <v>0</v>
      </c>
      <c r="M1849" s="9">
        <v>0</v>
      </c>
      <c r="N1849" s="9">
        <v>0</v>
      </c>
      <c r="O1849" s="9">
        <v>0</v>
      </c>
      <c r="P1849" s="9">
        <v>0</v>
      </c>
      <c r="Q1849" s="9">
        <v>0</v>
      </c>
      <c r="R1849" s="9">
        <v>0</v>
      </c>
      <c r="S1849" s="9">
        <v>0</v>
      </c>
      <c r="T1849" s="9">
        <v>0</v>
      </c>
      <c r="U1849" s="9">
        <v>0</v>
      </c>
    </row>
    <row r="1850" spans="1:21" x14ac:dyDescent="0.2">
      <c r="A1850" t="s">
        <v>862</v>
      </c>
      <c r="B1850">
        <v>392</v>
      </c>
      <c r="C1850">
        <v>1</v>
      </c>
      <c r="D1850" t="s">
        <v>185</v>
      </c>
      <c r="E1850" s="9">
        <v>0</v>
      </c>
      <c r="F1850" s="9">
        <v>0</v>
      </c>
      <c r="G1850" s="9">
        <v>0</v>
      </c>
      <c r="H1850" s="9">
        <v>0</v>
      </c>
      <c r="I1850" s="9">
        <v>0</v>
      </c>
      <c r="J1850" s="9">
        <v>0</v>
      </c>
      <c r="K1850" s="9">
        <v>0</v>
      </c>
      <c r="L1850" s="9">
        <v>0</v>
      </c>
      <c r="M1850" s="9">
        <v>0</v>
      </c>
      <c r="N1850" s="9">
        <v>0</v>
      </c>
      <c r="O1850" s="9">
        <v>0</v>
      </c>
      <c r="P1850" s="9">
        <v>0</v>
      </c>
      <c r="Q1850" s="9">
        <v>0</v>
      </c>
      <c r="R1850" s="9">
        <v>0</v>
      </c>
      <c r="S1850" s="9">
        <v>0</v>
      </c>
      <c r="T1850" s="9">
        <v>0</v>
      </c>
      <c r="U1850" s="9">
        <v>0</v>
      </c>
    </row>
    <row r="1851" spans="1:21" x14ac:dyDescent="0.2">
      <c r="A1851" t="s">
        <v>862</v>
      </c>
      <c r="B1851">
        <v>394</v>
      </c>
      <c r="C1851">
        <v>1</v>
      </c>
      <c r="D1851" t="s">
        <v>186</v>
      </c>
      <c r="E1851" s="9">
        <v>0</v>
      </c>
      <c r="F1851" s="9">
        <v>0</v>
      </c>
      <c r="G1851" s="9">
        <v>0</v>
      </c>
      <c r="H1851" s="9">
        <v>0</v>
      </c>
      <c r="I1851" s="9">
        <v>0</v>
      </c>
      <c r="J1851" s="9">
        <v>0</v>
      </c>
      <c r="K1851" s="9">
        <v>0</v>
      </c>
      <c r="L1851" s="9">
        <v>0</v>
      </c>
      <c r="M1851" s="9">
        <v>0</v>
      </c>
      <c r="N1851" s="9">
        <v>0</v>
      </c>
      <c r="O1851" s="9">
        <v>0</v>
      </c>
      <c r="P1851" s="9">
        <v>0</v>
      </c>
      <c r="Q1851" s="9">
        <v>0</v>
      </c>
      <c r="R1851" s="9">
        <v>0</v>
      </c>
      <c r="S1851" s="9">
        <v>0</v>
      </c>
      <c r="T1851" s="9">
        <v>0</v>
      </c>
      <c r="U1851" s="9">
        <v>0</v>
      </c>
    </row>
    <row r="1852" spans="1:21" x14ac:dyDescent="0.2">
      <c r="A1852" t="s">
        <v>862</v>
      </c>
      <c r="B1852">
        <v>402</v>
      </c>
      <c r="C1852">
        <v>1</v>
      </c>
      <c r="D1852" t="s">
        <v>187</v>
      </c>
      <c r="E1852" s="9">
        <v>0</v>
      </c>
      <c r="F1852" s="9">
        <v>0</v>
      </c>
      <c r="G1852" s="9">
        <v>0</v>
      </c>
      <c r="H1852" s="9">
        <v>0</v>
      </c>
      <c r="I1852" s="9">
        <v>0</v>
      </c>
      <c r="J1852" s="9">
        <v>0</v>
      </c>
      <c r="K1852" s="9">
        <v>0</v>
      </c>
      <c r="L1852" s="9">
        <v>0</v>
      </c>
      <c r="M1852" s="9">
        <v>0</v>
      </c>
      <c r="N1852" s="9">
        <v>0</v>
      </c>
      <c r="O1852" s="9">
        <v>0</v>
      </c>
      <c r="P1852" s="9">
        <v>0</v>
      </c>
      <c r="Q1852" s="9">
        <v>0</v>
      </c>
      <c r="R1852" s="9">
        <v>0</v>
      </c>
      <c r="S1852" s="9">
        <v>0</v>
      </c>
      <c r="T1852" s="9">
        <v>0</v>
      </c>
      <c r="U1852" s="9">
        <v>0</v>
      </c>
    </row>
    <row r="1853" spans="1:21" x14ac:dyDescent="0.2">
      <c r="A1853" t="s">
        <v>862</v>
      </c>
      <c r="B1853">
        <v>403</v>
      </c>
      <c r="C1853">
        <v>1</v>
      </c>
      <c r="D1853" t="s">
        <v>188</v>
      </c>
      <c r="E1853" s="9">
        <v>0</v>
      </c>
      <c r="F1853" s="9">
        <v>0</v>
      </c>
      <c r="G1853" s="9">
        <v>0</v>
      </c>
      <c r="H1853" s="9">
        <v>0</v>
      </c>
      <c r="I1853" s="9">
        <v>0</v>
      </c>
      <c r="J1853" s="9">
        <v>0</v>
      </c>
      <c r="K1853" s="9">
        <v>0</v>
      </c>
      <c r="L1853" s="9">
        <v>0</v>
      </c>
      <c r="M1853" s="9">
        <v>0</v>
      </c>
      <c r="N1853" s="9">
        <v>0</v>
      </c>
      <c r="O1853" s="9">
        <v>0</v>
      </c>
      <c r="P1853" s="9">
        <v>0</v>
      </c>
      <c r="Q1853" s="9">
        <v>0</v>
      </c>
      <c r="R1853" s="9">
        <v>0</v>
      </c>
      <c r="S1853" s="9">
        <v>0</v>
      </c>
      <c r="T1853" s="9">
        <v>0</v>
      </c>
      <c r="U1853" s="9">
        <v>0</v>
      </c>
    </row>
    <row r="1854" spans="1:21" x14ac:dyDescent="0.2">
      <c r="A1854" t="s">
        <v>862</v>
      </c>
      <c r="B1854">
        <v>404</v>
      </c>
      <c r="C1854">
        <v>1</v>
      </c>
      <c r="D1854" t="s">
        <v>189</v>
      </c>
      <c r="E1854" s="9">
        <v>0</v>
      </c>
      <c r="F1854" s="9">
        <v>0</v>
      </c>
      <c r="G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0</v>
      </c>
      <c r="M1854" s="9">
        <v>0</v>
      </c>
      <c r="N1854" s="9">
        <v>0</v>
      </c>
      <c r="O1854" s="9">
        <v>0</v>
      </c>
      <c r="P1854" s="9">
        <v>0</v>
      </c>
      <c r="Q1854" s="9">
        <v>0</v>
      </c>
      <c r="R1854" s="9">
        <v>0</v>
      </c>
      <c r="S1854" s="9">
        <v>0</v>
      </c>
      <c r="T1854" s="9">
        <v>0</v>
      </c>
      <c r="U1854" s="9">
        <v>0</v>
      </c>
    </row>
    <row r="1855" spans="1:21" x14ac:dyDescent="0.2">
      <c r="A1855" t="s">
        <v>862</v>
      </c>
      <c r="B1855">
        <v>409</v>
      </c>
      <c r="C1855">
        <v>1</v>
      </c>
      <c r="D1855" t="s">
        <v>190</v>
      </c>
      <c r="E1855" s="9">
        <v>0</v>
      </c>
      <c r="F1855" s="9">
        <v>0</v>
      </c>
      <c r="G1855" s="9">
        <v>0</v>
      </c>
      <c r="H1855" s="9">
        <v>0</v>
      </c>
      <c r="I1855" s="9">
        <v>0</v>
      </c>
      <c r="J1855" s="9">
        <v>0</v>
      </c>
      <c r="K1855" s="9">
        <v>0</v>
      </c>
      <c r="L1855" s="9">
        <v>0</v>
      </c>
      <c r="M1855" s="9">
        <v>0</v>
      </c>
      <c r="N1855" s="9">
        <v>0</v>
      </c>
      <c r="O1855" s="9">
        <v>0</v>
      </c>
      <c r="P1855" s="9">
        <v>0</v>
      </c>
      <c r="Q1855" s="9">
        <v>0</v>
      </c>
      <c r="R1855" s="9">
        <v>0</v>
      </c>
      <c r="S1855" s="9">
        <v>0</v>
      </c>
      <c r="T1855" s="9">
        <v>0</v>
      </c>
      <c r="U1855" s="9">
        <v>0</v>
      </c>
    </row>
    <row r="1856" spans="1:21" x14ac:dyDescent="0.2">
      <c r="A1856" t="s">
        <v>862</v>
      </c>
      <c r="B1856">
        <v>411</v>
      </c>
      <c r="C1856">
        <v>1</v>
      </c>
      <c r="D1856" t="s">
        <v>191</v>
      </c>
      <c r="E1856" s="9">
        <v>0</v>
      </c>
      <c r="F1856" s="9">
        <v>0</v>
      </c>
      <c r="G1856" s="9">
        <v>0</v>
      </c>
      <c r="H1856" s="9">
        <v>0</v>
      </c>
      <c r="I1856" s="9">
        <v>0</v>
      </c>
      <c r="J1856" s="9">
        <v>0</v>
      </c>
      <c r="K1856" s="9">
        <v>0</v>
      </c>
      <c r="L1856" s="9">
        <v>0</v>
      </c>
      <c r="M1856" s="9">
        <v>0</v>
      </c>
      <c r="N1856" s="9">
        <v>0</v>
      </c>
      <c r="O1856" s="9">
        <v>0</v>
      </c>
      <c r="P1856" s="9">
        <v>0</v>
      </c>
      <c r="Q1856" s="9">
        <v>0</v>
      </c>
      <c r="R1856" s="9">
        <v>0</v>
      </c>
      <c r="S1856" s="9">
        <v>0</v>
      </c>
      <c r="T1856" s="9">
        <v>0</v>
      </c>
      <c r="U1856" s="9">
        <v>0</v>
      </c>
    </row>
    <row r="1857" spans="1:21" x14ac:dyDescent="0.2">
      <c r="A1857" t="s">
        <v>862</v>
      </c>
      <c r="B1857">
        <v>413</v>
      </c>
      <c r="C1857">
        <v>1</v>
      </c>
      <c r="D1857" t="s">
        <v>192</v>
      </c>
      <c r="E1857" s="9">
        <v>0</v>
      </c>
      <c r="F1857" s="9">
        <v>0</v>
      </c>
      <c r="G1857" s="9">
        <v>0</v>
      </c>
      <c r="H1857" s="9">
        <v>0</v>
      </c>
      <c r="I1857" s="9">
        <v>0</v>
      </c>
      <c r="J1857" s="9">
        <v>0</v>
      </c>
      <c r="K1857" s="9">
        <v>0</v>
      </c>
      <c r="L1857" s="9">
        <v>0</v>
      </c>
      <c r="M1857" s="9">
        <v>0</v>
      </c>
      <c r="N1857" s="9">
        <v>0</v>
      </c>
      <c r="O1857" s="9">
        <v>0</v>
      </c>
      <c r="P1857" s="9">
        <v>0</v>
      </c>
      <c r="Q1857" s="9">
        <v>0</v>
      </c>
      <c r="R1857" s="9">
        <v>0</v>
      </c>
      <c r="S1857" s="9">
        <v>0</v>
      </c>
      <c r="T1857" s="9">
        <v>0</v>
      </c>
      <c r="U1857" s="9">
        <v>0</v>
      </c>
    </row>
    <row r="1858" spans="1:21" x14ac:dyDescent="0.2">
      <c r="A1858" t="s">
        <v>862</v>
      </c>
      <c r="B1858">
        <v>414</v>
      </c>
      <c r="C1858">
        <v>1</v>
      </c>
      <c r="D1858" t="s">
        <v>193</v>
      </c>
      <c r="E1858" s="9">
        <v>0</v>
      </c>
      <c r="F1858" s="9">
        <v>0</v>
      </c>
      <c r="G1858" s="9">
        <v>0</v>
      </c>
      <c r="H1858" s="9">
        <v>0</v>
      </c>
      <c r="I1858" s="9">
        <v>0</v>
      </c>
      <c r="J1858" s="9">
        <v>0</v>
      </c>
      <c r="K1858" s="9">
        <v>0</v>
      </c>
      <c r="L1858" s="9">
        <v>0</v>
      </c>
      <c r="M1858" s="9">
        <v>0</v>
      </c>
      <c r="N1858" s="9">
        <v>0</v>
      </c>
      <c r="O1858" s="9">
        <v>0</v>
      </c>
      <c r="P1858" s="9">
        <v>0</v>
      </c>
      <c r="Q1858" s="9">
        <v>0</v>
      </c>
      <c r="R1858" s="9">
        <v>0</v>
      </c>
      <c r="S1858" s="9">
        <v>0</v>
      </c>
      <c r="T1858" s="9">
        <v>0</v>
      </c>
      <c r="U1858" s="9">
        <v>0</v>
      </c>
    </row>
    <row r="1859" spans="1:21" x14ac:dyDescent="0.2">
      <c r="A1859" t="s">
        <v>862</v>
      </c>
      <c r="B1859">
        <v>415</v>
      </c>
      <c r="C1859">
        <v>1</v>
      </c>
      <c r="D1859" t="s">
        <v>194</v>
      </c>
      <c r="E1859" s="9">
        <v>0</v>
      </c>
      <c r="F1859" s="9">
        <v>0</v>
      </c>
      <c r="G1859" s="9">
        <v>0</v>
      </c>
      <c r="H1859" s="9">
        <v>0</v>
      </c>
      <c r="I1859" s="9">
        <v>0</v>
      </c>
      <c r="J1859" s="9">
        <v>0</v>
      </c>
      <c r="K1859" s="9">
        <v>0</v>
      </c>
      <c r="L1859" s="9">
        <v>0</v>
      </c>
      <c r="M1859" s="9">
        <v>0</v>
      </c>
      <c r="N1859" s="9">
        <v>0</v>
      </c>
      <c r="O1859" s="9">
        <v>0</v>
      </c>
      <c r="P1859" s="9">
        <v>0</v>
      </c>
      <c r="Q1859" s="9">
        <v>0</v>
      </c>
      <c r="R1859" s="9">
        <v>0</v>
      </c>
      <c r="S1859" s="9">
        <v>0</v>
      </c>
      <c r="T1859" s="9">
        <v>0</v>
      </c>
      <c r="U1859" s="9">
        <v>0</v>
      </c>
    </row>
    <row r="1860" spans="1:21" x14ac:dyDescent="0.2">
      <c r="A1860" t="s">
        <v>862</v>
      </c>
      <c r="B1860">
        <v>417</v>
      </c>
      <c r="C1860">
        <v>1</v>
      </c>
      <c r="D1860" t="s">
        <v>195</v>
      </c>
      <c r="E1860" s="9">
        <v>0</v>
      </c>
      <c r="F1860" s="9">
        <v>0</v>
      </c>
      <c r="G1860" s="9">
        <v>0</v>
      </c>
      <c r="H1860" s="9">
        <v>0</v>
      </c>
      <c r="I1860" s="9">
        <v>0</v>
      </c>
      <c r="J1860" s="9">
        <v>0</v>
      </c>
      <c r="K1860" s="9">
        <v>0</v>
      </c>
      <c r="L1860" s="9">
        <v>0</v>
      </c>
      <c r="M1860" s="9">
        <v>0</v>
      </c>
      <c r="N1860" s="9">
        <v>0</v>
      </c>
      <c r="O1860" s="9">
        <v>0</v>
      </c>
      <c r="P1860" s="9">
        <v>0</v>
      </c>
      <c r="Q1860" s="9">
        <v>0</v>
      </c>
      <c r="R1860" s="9">
        <v>0</v>
      </c>
      <c r="S1860" s="9">
        <v>0</v>
      </c>
      <c r="T1860" s="9">
        <v>0</v>
      </c>
      <c r="U1860" s="9">
        <v>0</v>
      </c>
    </row>
    <row r="1861" spans="1:21" x14ac:dyDescent="0.2">
      <c r="A1861" t="s">
        <v>862</v>
      </c>
      <c r="B1861">
        <v>418</v>
      </c>
      <c r="C1861">
        <v>1</v>
      </c>
      <c r="D1861" t="s">
        <v>196</v>
      </c>
      <c r="E1861" s="9">
        <v>0</v>
      </c>
      <c r="F1861" s="9">
        <v>0</v>
      </c>
      <c r="G1861" s="9">
        <v>0</v>
      </c>
      <c r="H1861" s="9">
        <v>0</v>
      </c>
      <c r="I1861" s="9">
        <v>0</v>
      </c>
      <c r="J1861" s="9">
        <v>0</v>
      </c>
      <c r="K1861" s="9">
        <v>0</v>
      </c>
      <c r="L1861" s="9">
        <v>0</v>
      </c>
      <c r="M1861" s="9">
        <v>0</v>
      </c>
      <c r="N1861" s="9">
        <v>0</v>
      </c>
      <c r="O1861" s="9">
        <v>0</v>
      </c>
      <c r="P1861" s="9">
        <v>0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</row>
    <row r="1862" spans="1:21" x14ac:dyDescent="0.2">
      <c r="A1862" t="s">
        <v>862</v>
      </c>
      <c r="B1862">
        <v>423</v>
      </c>
      <c r="C1862">
        <v>1</v>
      </c>
      <c r="D1862" t="s">
        <v>197</v>
      </c>
      <c r="E1862" s="9">
        <v>0</v>
      </c>
      <c r="F1862" s="9">
        <v>0</v>
      </c>
      <c r="G1862" s="9">
        <v>0</v>
      </c>
      <c r="H1862" s="9">
        <v>0</v>
      </c>
      <c r="I1862" s="9">
        <v>0</v>
      </c>
      <c r="J1862" s="9">
        <v>0</v>
      </c>
      <c r="K1862" s="9">
        <v>0</v>
      </c>
      <c r="L1862" s="9">
        <v>0</v>
      </c>
      <c r="M1862" s="9">
        <v>0</v>
      </c>
      <c r="N1862" s="9">
        <v>0</v>
      </c>
      <c r="O1862" s="9">
        <v>0</v>
      </c>
      <c r="P1862" s="9">
        <v>0</v>
      </c>
      <c r="Q1862" s="9">
        <v>0</v>
      </c>
      <c r="R1862" s="9">
        <v>0</v>
      </c>
      <c r="S1862" s="9">
        <v>0</v>
      </c>
      <c r="T1862" s="9">
        <v>0</v>
      </c>
      <c r="U1862" s="9">
        <v>0</v>
      </c>
    </row>
    <row r="1863" spans="1:21" x14ac:dyDescent="0.2">
      <c r="A1863" t="s">
        <v>862</v>
      </c>
      <c r="B1863">
        <v>424</v>
      </c>
      <c r="C1863">
        <v>1</v>
      </c>
      <c r="D1863" t="s">
        <v>198</v>
      </c>
      <c r="E1863" s="9">
        <v>0</v>
      </c>
      <c r="F1863" s="9">
        <v>0</v>
      </c>
      <c r="G1863" s="9">
        <v>0</v>
      </c>
      <c r="H1863" s="9">
        <v>0</v>
      </c>
      <c r="I1863" s="9">
        <v>0</v>
      </c>
      <c r="J1863" s="9">
        <v>0</v>
      </c>
      <c r="K1863" s="9">
        <v>0</v>
      </c>
      <c r="L1863" s="9">
        <v>0</v>
      </c>
      <c r="M1863" s="9">
        <v>0</v>
      </c>
      <c r="N1863" s="9">
        <v>0</v>
      </c>
      <c r="O1863" s="9">
        <v>0</v>
      </c>
      <c r="P1863" s="9">
        <v>0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</row>
    <row r="1864" spans="1:21" x14ac:dyDescent="0.2">
      <c r="A1864" t="s">
        <v>862</v>
      </c>
      <c r="B1864">
        <v>432</v>
      </c>
      <c r="C1864">
        <v>1</v>
      </c>
      <c r="D1864" t="s">
        <v>199</v>
      </c>
      <c r="E1864" s="9">
        <v>0</v>
      </c>
      <c r="F1864" s="9">
        <v>0</v>
      </c>
      <c r="G1864" s="9">
        <v>0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  <c r="M1864" s="9">
        <v>0</v>
      </c>
      <c r="N1864" s="9">
        <v>0</v>
      </c>
      <c r="O1864" s="9">
        <v>0</v>
      </c>
      <c r="P1864" s="9">
        <v>0</v>
      </c>
      <c r="Q1864" s="9">
        <v>0</v>
      </c>
      <c r="R1864" s="9">
        <v>0</v>
      </c>
      <c r="S1864" s="9">
        <v>0</v>
      </c>
      <c r="T1864" s="9">
        <v>0</v>
      </c>
      <c r="U1864" s="9">
        <v>0</v>
      </c>
    </row>
    <row r="1865" spans="1:21" x14ac:dyDescent="0.2">
      <c r="A1865" t="s">
        <v>862</v>
      </c>
      <c r="B1865">
        <v>435</v>
      </c>
      <c r="C1865">
        <v>1</v>
      </c>
      <c r="D1865" t="s">
        <v>200</v>
      </c>
      <c r="E1865" s="9">
        <v>0</v>
      </c>
      <c r="F1865" s="9">
        <v>0</v>
      </c>
      <c r="G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  <c r="M1865" s="9">
        <v>0</v>
      </c>
      <c r="N1865" s="9">
        <v>0</v>
      </c>
      <c r="O1865" s="9">
        <v>0</v>
      </c>
      <c r="P1865" s="9">
        <v>0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</row>
    <row r="1866" spans="1:21" x14ac:dyDescent="0.2">
      <c r="A1866" t="s">
        <v>862</v>
      </c>
      <c r="B1866">
        <v>441</v>
      </c>
      <c r="C1866">
        <v>1</v>
      </c>
      <c r="D1866" t="s">
        <v>201</v>
      </c>
      <c r="E1866" s="9">
        <v>0</v>
      </c>
      <c r="F1866" s="9">
        <v>0</v>
      </c>
      <c r="G1866" s="9">
        <v>0</v>
      </c>
      <c r="H1866" s="9">
        <v>0</v>
      </c>
      <c r="I1866" s="9">
        <v>0</v>
      </c>
      <c r="J1866" s="9">
        <v>0</v>
      </c>
      <c r="K1866" s="9">
        <v>0</v>
      </c>
      <c r="L1866" s="9">
        <v>0</v>
      </c>
      <c r="M1866" s="9">
        <v>0</v>
      </c>
      <c r="N1866" s="9">
        <v>0</v>
      </c>
      <c r="O1866" s="9">
        <v>0</v>
      </c>
      <c r="P1866" s="9">
        <v>0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</row>
    <row r="1867" spans="1:21" x14ac:dyDescent="0.2">
      <c r="A1867" t="s">
        <v>862</v>
      </c>
      <c r="B1867">
        <v>447</v>
      </c>
      <c r="C1867">
        <v>1</v>
      </c>
      <c r="D1867" t="s">
        <v>202</v>
      </c>
      <c r="E1867" s="9">
        <v>0</v>
      </c>
      <c r="F1867" s="9">
        <v>0</v>
      </c>
      <c r="G1867" s="9">
        <v>0</v>
      </c>
      <c r="H1867" s="9">
        <v>0</v>
      </c>
      <c r="I1867" s="9">
        <v>0</v>
      </c>
      <c r="J1867" s="9">
        <v>0</v>
      </c>
      <c r="K1867" s="9">
        <v>0</v>
      </c>
      <c r="L1867" s="9">
        <v>0</v>
      </c>
      <c r="M1867" s="9">
        <v>0</v>
      </c>
      <c r="N1867" s="9">
        <v>0</v>
      </c>
      <c r="O1867" s="9">
        <v>0</v>
      </c>
      <c r="P1867" s="9">
        <v>0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</row>
    <row r="1868" spans="1:21" x14ac:dyDescent="0.2">
      <c r="A1868" t="s">
        <v>862</v>
      </c>
      <c r="B1868">
        <v>458</v>
      </c>
      <c r="C1868">
        <v>1</v>
      </c>
      <c r="D1868" t="s">
        <v>203</v>
      </c>
      <c r="E1868" s="9">
        <v>0</v>
      </c>
      <c r="F1868" s="9">
        <v>0</v>
      </c>
      <c r="G1868" s="9">
        <v>0</v>
      </c>
      <c r="H1868" s="9">
        <v>0</v>
      </c>
      <c r="I1868" s="9">
        <v>0</v>
      </c>
      <c r="J1868" s="9">
        <v>0</v>
      </c>
      <c r="K1868" s="9">
        <v>0</v>
      </c>
      <c r="L1868" s="9">
        <v>0</v>
      </c>
      <c r="M1868" s="9">
        <v>0</v>
      </c>
      <c r="N1868" s="9">
        <v>0</v>
      </c>
      <c r="O1868" s="9">
        <v>0</v>
      </c>
      <c r="P1868" s="9">
        <v>0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</row>
    <row r="1869" spans="1:21" x14ac:dyDescent="0.2">
      <c r="A1869" t="s">
        <v>862</v>
      </c>
      <c r="B1869">
        <v>463</v>
      </c>
      <c r="C1869">
        <v>1</v>
      </c>
      <c r="D1869" t="s">
        <v>204</v>
      </c>
      <c r="E1869" s="9">
        <v>0</v>
      </c>
      <c r="F1869" s="9">
        <v>0</v>
      </c>
      <c r="G1869" s="9">
        <v>0</v>
      </c>
      <c r="H1869" s="9">
        <v>0</v>
      </c>
      <c r="I1869" s="9">
        <v>0</v>
      </c>
      <c r="J1869" s="9">
        <v>0</v>
      </c>
      <c r="K1869" s="9">
        <v>0</v>
      </c>
      <c r="L1869" s="9">
        <v>0</v>
      </c>
      <c r="M1869" s="9">
        <v>0</v>
      </c>
      <c r="N1869" s="9">
        <v>0</v>
      </c>
      <c r="O1869" s="9">
        <v>0</v>
      </c>
      <c r="P1869" s="9">
        <v>0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</row>
    <row r="1870" spans="1:21" x14ac:dyDescent="0.2">
      <c r="A1870" t="s">
        <v>862</v>
      </c>
      <c r="B1870">
        <v>465</v>
      </c>
      <c r="C1870">
        <v>1</v>
      </c>
      <c r="D1870" t="s">
        <v>205</v>
      </c>
      <c r="E1870" s="9">
        <v>0</v>
      </c>
      <c r="F1870" s="9">
        <v>0</v>
      </c>
      <c r="G1870" s="9">
        <v>0</v>
      </c>
      <c r="H1870" s="9">
        <v>0</v>
      </c>
      <c r="I1870" s="9">
        <v>0</v>
      </c>
      <c r="J1870" s="9">
        <v>0</v>
      </c>
      <c r="K1870" s="9">
        <v>0</v>
      </c>
      <c r="L1870" s="9">
        <v>0</v>
      </c>
      <c r="M1870" s="9">
        <v>0</v>
      </c>
      <c r="N1870" s="9">
        <v>0</v>
      </c>
      <c r="O1870" s="9">
        <v>0</v>
      </c>
      <c r="P1870" s="9">
        <v>0</v>
      </c>
      <c r="Q1870" s="9">
        <v>0</v>
      </c>
      <c r="R1870" s="9">
        <v>0</v>
      </c>
      <c r="S1870" s="9">
        <v>0</v>
      </c>
      <c r="T1870" s="9">
        <v>0</v>
      </c>
      <c r="U1870" s="9">
        <v>0</v>
      </c>
    </row>
    <row r="1871" spans="1:21" x14ac:dyDescent="0.2">
      <c r="A1871" t="s">
        <v>862</v>
      </c>
      <c r="B1871">
        <v>466</v>
      </c>
      <c r="C1871">
        <v>1</v>
      </c>
      <c r="D1871" t="s">
        <v>206</v>
      </c>
      <c r="E1871" s="9">
        <v>0</v>
      </c>
      <c r="F1871" s="9">
        <v>0</v>
      </c>
      <c r="G1871" s="9">
        <v>0</v>
      </c>
      <c r="H1871" s="9">
        <v>0</v>
      </c>
      <c r="I1871" s="9">
        <v>0</v>
      </c>
      <c r="J1871" s="9">
        <v>0</v>
      </c>
      <c r="K1871" s="9">
        <v>0</v>
      </c>
      <c r="L1871" s="9">
        <v>0</v>
      </c>
      <c r="M1871" s="9">
        <v>0</v>
      </c>
      <c r="N1871" s="9">
        <v>0</v>
      </c>
      <c r="O1871" s="9">
        <v>0</v>
      </c>
      <c r="P1871" s="9">
        <v>0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</row>
    <row r="1872" spans="1:21" x14ac:dyDescent="0.2">
      <c r="A1872" t="s">
        <v>862</v>
      </c>
      <c r="B1872">
        <v>473</v>
      </c>
      <c r="C1872">
        <v>1</v>
      </c>
      <c r="D1872" t="s">
        <v>207</v>
      </c>
      <c r="E1872" s="9">
        <v>0</v>
      </c>
      <c r="F1872" s="9">
        <v>0</v>
      </c>
      <c r="G1872" s="9">
        <v>0</v>
      </c>
      <c r="H1872" s="9">
        <v>0</v>
      </c>
      <c r="I1872" s="9">
        <v>0</v>
      </c>
      <c r="J1872" s="9">
        <v>0</v>
      </c>
      <c r="K1872" s="9">
        <v>0</v>
      </c>
      <c r="L1872" s="9">
        <v>0</v>
      </c>
      <c r="M1872" s="9">
        <v>0</v>
      </c>
      <c r="N1872" s="9">
        <v>0</v>
      </c>
      <c r="O1872" s="9">
        <v>0</v>
      </c>
      <c r="P1872" s="9">
        <v>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</row>
    <row r="1873" spans="1:21" x14ac:dyDescent="0.2">
      <c r="A1873" t="s">
        <v>862</v>
      </c>
      <c r="B1873">
        <v>477</v>
      </c>
      <c r="C1873">
        <v>1</v>
      </c>
      <c r="D1873" t="s">
        <v>208</v>
      </c>
      <c r="E1873" s="9">
        <v>0</v>
      </c>
      <c r="F1873" s="9">
        <v>0</v>
      </c>
      <c r="G1873" s="9">
        <v>0</v>
      </c>
      <c r="H1873" s="9">
        <v>0</v>
      </c>
      <c r="I1873" s="9">
        <v>0</v>
      </c>
      <c r="J1873" s="9">
        <v>0</v>
      </c>
      <c r="K1873" s="9">
        <v>0</v>
      </c>
      <c r="L1873" s="9">
        <v>0</v>
      </c>
      <c r="M1873" s="9">
        <v>0</v>
      </c>
      <c r="N1873" s="9">
        <v>0</v>
      </c>
      <c r="O1873" s="9">
        <v>0</v>
      </c>
      <c r="P1873" s="9">
        <v>0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</row>
    <row r="1874" spans="1:21" x14ac:dyDescent="0.2">
      <c r="A1874" t="s">
        <v>862</v>
      </c>
      <c r="B1874">
        <v>480</v>
      </c>
      <c r="C1874">
        <v>1</v>
      </c>
      <c r="D1874" t="s">
        <v>209</v>
      </c>
      <c r="E1874" s="9">
        <v>0</v>
      </c>
      <c r="F1874" s="9">
        <v>0</v>
      </c>
      <c r="G1874" s="9">
        <v>0</v>
      </c>
      <c r="H1874" s="9">
        <v>0</v>
      </c>
      <c r="I1874" s="9">
        <v>0</v>
      </c>
      <c r="J1874" s="9">
        <v>0</v>
      </c>
      <c r="K1874" s="9">
        <v>0</v>
      </c>
      <c r="L1874" s="9">
        <v>0</v>
      </c>
      <c r="M1874" s="9">
        <v>0</v>
      </c>
      <c r="N1874" s="9">
        <v>0</v>
      </c>
      <c r="O1874" s="9">
        <v>0</v>
      </c>
      <c r="P1874" s="9">
        <v>0</v>
      </c>
      <c r="Q1874" s="9">
        <v>0</v>
      </c>
      <c r="R1874" s="9">
        <v>0</v>
      </c>
      <c r="S1874" s="9">
        <v>0</v>
      </c>
      <c r="T1874" s="9">
        <v>0</v>
      </c>
      <c r="U1874" s="9">
        <v>0</v>
      </c>
    </row>
    <row r="1875" spans="1:21" x14ac:dyDescent="0.2">
      <c r="A1875" t="s">
        <v>862</v>
      </c>
      <c r="B1875">
        <v>482</v>
      </c>
      <c r="C1875">
        <v>1</v>
      </c>
      <c r="D1875" t="s">
        <v>210</v>
      </c>
      <c r="E1875" s="9">
        <v>0</v>
      </c>
      <c r="F1875" s="9">
        <v>0</v>
      </c>
      <c r="G1875" s="9">
        <v>0</v>
      </c>
      <c r="H1875" s="9">
        <v>0</v>
      </c>
      <c r="I1875" s="9">
        <v>0</v>
      </c>
      <c r="J1875" s="9">
        <v>0</v>
      </c>
      <c r="K1875" s="9">
        <v>0</v>
      </c>
      <c r="L1875" s="9">
        <v>0</v>
      </c>
      <c r="M1875" s="9">
        <v>0</v>
      </c>
      <c r="N1875" s="9">
        <v>0</v>
      </c>
      <c r="O1875" s="9">
        <v>0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</row>
    <row r="1876" spans="1:21" x14ac:dyDescent="0.2">
      <c r="A1876" t="s">
        <v>862</v>
      </c>
      <c r="B1876">
        <v>484</v>
      </c>
      <c r="C1876">
        <v>1</v>
      </c>
      <c r="D1876" t="s">
        <v>211</v>
      </c>
      <c r="E1876" s="9">
        <v>0</v>
      </c>
      <c r="F1876" s="9">
        <v>0</v>
      </c>
      <c r="G1876" s="9">
        <v>0</v>
      </c>
      <c r="H1876" s="9">
        <v>0</v>
      </c>
      <c r="I1876" s="9">
        <v>0</v>
      </c>
      <c r="J1876" s="9">
        <v>0</v>
      </c>
      <c r="K1876" s="9">
        <v>0</v>
      </c>
      <c r="L1876" s="9">
        <v>0</v>
      </c>
      <c r="M1876" s="9">
        <v>0</v>
      </c>
      <c r="N1876" s="9">
        <v>0</v>
      </c>
      <c r="O1876" s="9">
        <v>0</v>
      </c>
      <c r="P1876" s="9">
        <v>0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</row>
    <row r="1877" spans="1:21" x14ac:dyDescent="0.2">
      <c r="A1877" t="s">
        <v>862</v>
      </c>
      <c r="B1877">
        <v>485</v>
      </c>
      <c r="C1877">
        <v>1</v>
      </c>
      <c r="D1877" t="s">
        <v>212</v>
      </c>
      <c r="E1877" s="9">
        <v>0</v>
      </c>
      <c r="F1877" s="9">
        <v>0</v>
      </c>
      <c r="G1877" s="9">
        <v>0</v>
      </c>
      <c r="H1877" s="9">
        <v>0</v>
      </c>
      <c r="I1877" s="9">
        <v>0</v>
      </c>
      <c r="J1877" s="9">
        <v>0</v>
      </c>
      <c r="K1877" s="9">
        <v>0</v>
      </c>
      <c r="L1877" s="9">
        <v>0</v>
      </c>
      <c r="M1877" s="9">
        <v>0</v>
      </c>
      <c r="N1877" s="9">
        <v>0</v>
      </c>
      <c r="O1877" s="9">
        <v>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</row>
    <row r="1878" spans="1:21" x14ac:dyDescent="0.2">
      <c r="A1878" t="s">
        <v>862</v>
      </c>
      <c r="B1878">
        <v>486</v>
      </c>
      <c r="C1878">
        <v>1</v>
      </c>
      <c r="D1878" t="s">
        <v>213</v>
      </c>
      <c r="E1878" s="9">
        <v>0</v>
      </c>
      <c r="F1878" s="9">
        <v>0</v>
      </c>
      <c r="G1878" s="9">
        <v>0</v>
      </c>
      <c r="H1878" s="9">
        <v>0</v>
      </c>
      <c r="I1878" s="9">
        <v>0</v>
      </c>
      <c r="J1878" s="9">
        <v>0</v>
      </c>
      <c r="K1878" s="9">
        <v>0</v>
      </c>
      <c r="L1878" s="9">
        <v>0</v>
      </c>
      <c r="M1878" s="9">
        <v>0</v>
      </c>
      <c r="N1878" s="9">
        <v>0</v>
      </c>
      <c r="O1878" s="9">
        <v>0</v>
      </c>
      <c r="P1878" s="9">
        <v>0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</row>
    <row r="1879" spans="1:21" x14ac:dyDescent="0.2">
      <c r="A1879" t="s">
        <v>862</v>
      </c>
      <c r="B1879">
        <v>487</v>
      </c>
      <c r="C1879">
        <v>1</v>
      </c>
      <c r="D1879" t="s">
        <v>214</v>
      </c>
      <c r="E1879" s="9">
        <v>0</v>
      </c>
      <c r="F1879" s="9">
        <v>0</v>
      </c>
      <c r="G1879" s="9">
        <v>0</v>
      </c>
      <c r="H1879" s="9">
        <v>0</v>
      </c>
      <c r="I1879" s="9">
        <v>0</v>
      </c>
      <c r="J1879" s="9">
        <v>0</v>
      </c>
      <c r="K1879" s="9">
        <v>0</v>
      </c>
      <c r="L1879" s="9">
        <v>0</v>
      </c>
      <c r="M1879" s="9">
        <v>0</v>
      </c>
      <c r="N1879" s="9">
        <v>0</v>
      </c>
      <c r="O1879" s="9">
        <v>0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</row>
    <row r="1880" spans="1:21" x14ac:dyDescent="0.2">
      <c r="A1880" t="s">
        <v>862</v>
      </c>
      <c r="B1880">
        <v>492</v>
      </c>
      <c r="C1880">
        <v>1</v>
      </c>
      <c r="D1880" t="s">
        <v>215</v>
      </c>
      <c r="E1880" s="9">
        <v>0</v>
      </c>
      <c r="F1880" s="9">
        <v>0</v>
      </c>
      <c r="G1880" s="9">
        <v>0</v>
      </c>
      <c r="H1880" s="9">
        <v>0</v>
      </c>
      <c r="I1880" s="9">
        <v>0</v>
      </c>
      <c r="J1880" s="9">
        <v>0</v>
      </c>
      <c r="K1880" s="9">
        <v>0</v>
      </c>
      <c r="L1880" s="9">
        <v>0</v>
      </c>
      <c r="M1880" s="9">
        <v>0</v>
      </c>
      <c r="N1880" s="9">
        <v>0</v>
      </c>
      <c r="O1880" s="9">
        <v>0</v>
      </c>
      <c r="P1880" s="9">
        <v>0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</row>
    <row r="1881" spans="1:21" x14ac:dyDescent="0.2">
      <c r="A1881" t="s">
        <v>862</v>
      </c>
      <c r="B1881">
        <v>495</v>
      </c>
      <c r="C1881">
        <v>1</v>
      </c>
      <c r="D1881" t="s">
        <v>216</v>
      </c>
      <c r="E1881" s="9">
        <v>0</v>
      </c>
      <c r="F1881" s="9">
        <v>0</v>
      </c>
      <c r="G1881" s="9">
        <v>0</v>
      </c>
      <c r="H1881" s="9">
        <v>0</v>
      </c>
      <c r="I1881" s="9">
        <v>0</v>
      </c>
      <c r="J1881" s="9">
        <v>0</v>
      </c>
      <c r="K1881" s="9">
        <v>0</v>
      </c>
      <c r="L1881" s="9">
        <v>0</v>
      </c>
      <c r="M1881" s="9">
        <v>0</v>
      </c>
      <c r="N1881" s="9">
        <v>0</v>
      </c>
      <c r="O1881" s="9">
        <v>0</v>
      </c>
      <c r="P1881" s="9">
        <v>0</v>
      </c>
      <c r="Q1881" s="9">
        <v>0</v>
      </c>
      <c r="R1881" s="9">
        <v>0</v>
      </c>
      <c r="S1881" s="9">
        <v>0</v>
      </c>
      <c r="T1881" s="9">
        <v>0</v>
      </c>
      <c r="U1881" s="9">
        <v>0</v>
      </c>
    </row>
    <row r="1882" spans="1:21" x14ac:dyDescent="0.2">
      <c r="A1882" t="s">
        <v>862</v>
      </c>
      <c r="B1882">
        <v>497</v>
      </c>
      <c r="C1882">
        <v>1</v>
      </c>
      <c r="D1882" t="s">
        <v>217</v>
      </c>
      <c r="E1882" s="9">
        <v>0</v>
      </c>
      <c r="F1882" s="9">
        <v>0</v>
      </c>
      <c r="G1882" s="9">
        <v>0</v>
      </c>
      <c r="H1882" s="9">
        <v>0</v>
      </c>
      <c r="I1882" s="9">
        <v>0</v>
      </c>
      <c r="J1882" s="9">
        <v>0</v>
      </c>
      <c r="K1882" s="9">
        <v>0</v>
      </c>
      <c r="L1882" s="9">
        <v>0</v>
      </c>
      <c r="M1882" s="9">
        <v>0</v>
      </c>
      <c r="N1882" s="9">
        <v>0</v>
      </c>
      <c r="O1882" s="9">
        <v>0</v>
      </c>
      <c r="P1882" s="9">
        <v>0</v>
      </c>
      <c r="Q1882" s="9">
        <v>0</v>
      </c>
      <c r="R1882" s="9">
        <v>0</v>
      </c>
      <c r="S1882" s="9">
        <v>0</v>
      </c>
      <c r="T1882" s="9">
        <v>0</v>
      </c>
      <c r="U1882" s="9">
        <v>0</v>
      </c>
    </row>
    <row r="1883" spans="1:21" x14ac:dyDescent="0.2">
      <c r="A1883" t="s">
        <v>862</v>
      </c>
      <c r="B1883">
        <v>499</v>
      </c>
      <c r="C1883">
        <v>1</v>
      </c>
      <c r="D1883" t="s">
        <v>218</v>
      </c>
      <c r="E1883" s="9">
        <v>0</v>
      </c>
      <c r="F1883" s="9">
        <v>0</v>
      </c>
      <c r="G1883" s="9">
        <v>0</v>
      </c>
      <c r="H1883" s="9">
        <v>0</v>
      </c>
      <c r="I1883" s="9">
        <v>0</v>
      </c>
      <c r="J1883" s="9">
        <v>0</v>
      </c>
      <c r="K1883" s="9">
        <v>0</v>
      </c>
      <c r="L1883" s="9">
        <v>0</v>
      </c>
      <c r="M1883" s="9">
        <v>0</v>
      </c>
      <c r="N1883" s="9">
        <v>0</v>
      </c>
      <c r="O1883" s="9">
        <v>0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</row>
    <row r="1884" spans="1:21" x14ac:dyDescent="0.2">
      <c r="A1884" t="s">
        <v>862</v>
      </c>
      <c r="B1884">
        <v>500</v>
      </c>
      <c r="C1884">
        <v>1</v>
      </c>
      <c r="D1884" t="s">
        <v>219</v>
      </c>
      <c r="E1884" s="9">
        <v>0</v>
      </c>
      <c r="F1884" s="9">
        <v>0</v>
      </c>
      <c r="G1884" s="9">
        <v>0</v>
      </c>
      <c r="H1884" s="9">
        <v>0</v>
      </c>
      <c r="I1884" s="9">
        <v>0</v>
      </c>
      <c r="J1884" s="9">
        <v>0</v>
      </c>
      <c r="K1884" s="9">
        <v>0</v>
      </c>
      <c r="L1884" s="9">
        <v>0</v>
      </c>
      <c r="M1884" s="9">
        <v>0</v>
      </c>
      <c r="N1884" s="9">
        <v>0</v>
      </c>
      <c r="O1884" s="9">
        <v>0</v>
      </c>
      <c r="P1884" s="9">
        <v>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</row>
    <row r="1885" spans="1:21" x14ac:dyDescent="0.2">
      <c r="A1885" t="s">
        <v>862</v>
      </c>
      <c r="B1885">
        <v>505</v>
      </c>
      <c r="C1885">
        <v>1</v>
      </c>
      <c r="D1885" t="s">
        <v>220</v>
      </c>
      <c r="E1885" s="9">
        <v>0</v>
      </c>
      <c r="F1885" s="9">
        <v>0</v>
      </c>
      <c r="G1885" s="9">
        <v>0</v>
      </c>
      <c r="H1885" s="9">
        <v>0</v>
      </c>
      <c r="I1885" s="9">
        <v>0</v>
      </c>
      <c r="J1885" s="9">
        <v>0</v>
      </c>
      <c r="K1885" s="9">
        <v>0</v>
      </c>
      <c r="L1885" s="9">
        <v>0</v>
      </c>
      <c r="M1885" s="9">
        <v>0</v>
      </c>
      <c r="N1885" s="9">
        <v>0</v>
      </c>
      <c r="O1885" s="9">
        <v>0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</row>
    <row r="1886" spans="1:21" x14ac:dyDescent="0.2">
      <c r="A1886" t="s">
        <v>862</v>
      </c>
      <c r="B1886">
        <v>507</v>
      </c>
      <c r="C1886">
        <v>1</v>
      </c>
      <c r="D1886" t="s">
        <v>221</v>
      </c>
      <c r="E1886" s="9">
        <v>0</v>
      </c>
      <c r="F1886" s="9">
        <v>0</v>
      </c>
      <c r="G1886" s="9">
        <v>0</v>
      </c>
      <c r="H1886" s="9">
        <v>0</v>
      </c>
      <c r="I1886" s="9">
        <v>0</v>
      </c>
      <c r="J1886" s="9">
        <v>0</v>
      </c>
      <c r="K1886" s="9">
        <v>0</v>
      </c>
      <c r="L1886" s="9">
        <v>0</v>
      </c>
      <c r="M1886" s="9">
        <v>0</v>
      </c>
      <c r="N1886" s="9">
        <v>0</v>
      </c>
      <c r="O1886" s="9">
        <v>0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0</v>
      </c>
    </row>
    <row r="1887" spans="1:21" x14ac:dyDescent="0.2">
      <c r="A1887" t="s">
        <v>862</v>
      </c>
      <c r="B1887">
        <v>508</v>
      </c>
      <c r="C1887">
        <v>1</v>
      </c>
      <c r="D1887" t="s">
        <v>222</v>
      </c>
      <c r="E1887" s="9">
        <v>0</v>
      </c>
      <c r="F1887" s="9">
        <v>0</v>
      </c>
      <c r="G1887" s="9">
        <v>0</v>
      </c>
      <c r="H1887" s="9">
        <v>0</v>
      </c>
      <c r="I1887" s="9">
        <v>0</v>
      </c>
      <c r="J1887" s="9">
        <v>0</v>
      </c>
      <c r="K1887" s="9">
        <v>0</v>
      </c>
      <c r="L1887" s="9">
        <v>0</v>
      </c>
      <c r="M1887" s="9">
        <v>0</v>
      </c>
      <c r="N1887" s="9">
        <v>0</v>
      </c>
      <c r="O1887" s="9">
        <v>0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</row>
    <row r="1888" spans="1:21" x14ac:dyDescent="0.2">
      <c r="A1888" t="s">
        <v>862</v>
      </c>
      <c r="B1888">
        <v>511</v>
      </c>
      <c r="C1888">
        <v>1</v>
      </c>
      <c r="D1888" t="s">
        <v>223</v>
      </c>
      <c r="E1888" s="9">
        <v>0</v>
      </c>
      <c r="F1888" s="9">
        <v>0</v>
      </c>
      <c r="G1888" s="9">
        <v>0</v>
      </c>
      <c r="H1888" s="9">
        <v>0</v>
      </c>
      <c r="I1888" s="9">
        <v>0</v>
      </c>
      <c r="J1888" s="9">
        <v>0</v>
      </c>
      <c r="K1888" s="9">
        <v>0</v>
      </c>
      <c r="L1888" s="9">
        <v>0</v>
      </c>
      <c r="M1888" s="9">
        <v>0</v>
      </c>
      <c r="N1888" s="9">
        <v>0</v>
      </c>
      <c r="O1888" s="9">
        <v>0</v>
      </c>
      <c r="P1888" s="9">
        <v>0</v>
      </c>
      <c r="Q1888" s="9">
        <v>0</v>
      </c>
      <c r="R1888" s="9">
        <v>0</v>
      </c>
      <c r="S1888" s="9">
        <v>0</v>
      </c>
      <c r="T1888" s="9">
        <v>0</v>
      </c>
      <c r="U1888" s="9">
        <v>0</v>
      </c>
    </row>
    <row r="1889" spans="1:21" x14ac:dyDescent="0.2">
      <c r="A1889" t="s">
        <v>862</v>
      </c>
      <c r="B1889">
        <v>513</v>
      </c>
      <c r="C1889">
        <v>1</v>
      </c>
      <c r="D1889" t="s">
        <v>224</v>
      </c>
      <c r="E1889" s="9">
        <v>0</v>
      </c>
      <c r="F1889" s="9">
        <v>0</v>
      </c>
      <c r="G1889" s="9">
        <v>0</v>
      </c>
      <c r="H1889" s="9">
        <v>0</v>
      </c>
      <c r="I1889" s="9">
        <v>0</v>
      </c>
      <c r="J1889" s="9">
        <v>0</v>
      </c>
      <c r="K1889" s="9">
        <v>0</v>
      </c>
      <c r="L1889" s="9">
        <v>0</v>
      </c>
      <c r="M1889" s="9">
        <v>0</v>
      </c>
      <c r="N1889" s="9">
        <v>0</v>
      </c>
      <c r="O1889" s="9">
        <v>0</v>
      </c>
      <c r="P1889" s="9">
        <v>0</v>
      </c>
      <c r="Q1889" s="9">
        <v>0</v>
      </c>
      <c r="R1889" s="9">
        <v>0</v>
      </c>
      <c r="S1889" s="9">
        <v>0</v>
      </c>
      <c r="T1889" s="9">
        <v>0</v>
      </c>
      <c r="U1889" s="9">
        <v>0</v>
      </c>
    </row>
    <row r="1890" spans="1:21" x14ac:dyDescent="0.2">
      <c r="A1890" t="s">
        <v>862</v>
      </c>
      <c r="B1890">
        <v>514</v>
      </c>
      <c r="C1890">
        <v>1</v>
      </c>
      <c r="D1890" t="s">
        <v>225</v>
      </c>
      <c r="E1890" s="9">
        <v>0</v>
      </c>
      <c r="F1890" s="9">
        <v>0</v>
      </c>
      <c r="G1890" s="9">
        <v>0</v>
      </c>
      <c r="H1890" s="9">
        <v>0</v>
      </c>
      <c r="I1890" s="9">
        <v>0</v>
      </c>
      <c r="J1890" s="9">
        <v>0</v>
      </c>
      <c r="K1890" s="9">
        <v>0</v>
      </c>
      <c r="L1890" s="9">
        <v>0</v>
      </c>
      <c r="M1890" s="9">
        <v>0</v>
      </c>
      <c r="N1890" s="9">
        <v>0</v>
      </c>
      <c r="O1890" s="9">
        <v>0</v>
      </c>
      <c r="P1890" s="9">
        <v>0</v>
      </c>
      <c r="Q1890" s="9">
        <v>0</v>
      </c>
      <c r="R1890" s="9">
        <v>0</v>
      </c>
      <c r="S1890" s="9">
        <v>0</v>
      </c>
      <c r="T1890" s="9">
        <v>0</v>
      </c>
      <c r="U1890" s="9">
        <v>0</v>
      </c>
    </row>
    <row r="1891" spans="1:21" x14ac:dyDescent="0.2">
      <c r="A1891" t="s">
        <v>862</v>
      </c>
      <c r="B1891">
        <v>516</v>
      </c>
      <c r="C1891">
        <v>1</v>
      </c>
      <c r="D1891" t="s">
        <v>226</v>
      </c>
      <c r="E1891" s="9">
        <v>0</v>
      </c>
      <c r="F1891" s="9">
        <v>0</v>
      </c>
      <c r="G1891" s="9">
        <v>0</v>
      </c>
      <c r="H1891" s="9">
        <v>0</v>
      </c>
      <c r="I1891" s="9">
        <v>0</v>
      </c>
      <c r="J1891" s="9">
        <v>0</v>
      </c>
      <c r="K1891" s="9">
        <v>0</v>
      </c>
      <c r="L1891" s="9">
        <v>0</v>
      </c>
      <c r="M1891" s="9">
        <v>0</v>
      </c>
      <c r="N1891" s="9">
        <v>0</v>
      </c>
      <c r="O1891" s="9">
        <v>0</v>
      </c>
      <c r="P1891" s="9">
        <v>0</v>
      </c>
      <c r="Q1891" s="9">
        <v>0</v>
      </c>
      <c r="R1891" s="9">
        <v>0</v>
      </c>
      <c r="S1891" s="9">
        <v>0</v>
      </c>
      <c r="T1891" s="9">
        <v>0</v>
      </c>
      <c r="U1891" s="9">
        <v>0</v>
      </c>
    </row>
    <row r="1892" spans="1:21" x14ac:dyDescent="0.2">
      <c r="A1892" t="s">
        <v>862</v>
      </c>
      <c r="B1892">
        <v>518</v>
      </c>
      <c r="C1892">
        <v>1</v>
      </c>
      <c r="D1892" t="s">
        <v>227</v>
      </c>
      <c r="E1892" s="9">
        <v>0</v>
      </c>
      <c r="F1892" s="9">
        <v>0</v>
      </c>
      <c r="G1892" s="9">
        <v>0</v>
      </c>
      <c r="H1892" s="9">
        <v>0</v>
      </c>
      <c r="I1892" s="9">
        <v>0</v>
      </c>
      <c r="J1892" s="9">
        <v>0</v>
      </c>
      <c r="K1892" s="9">
        <v>0</v>
      </c>
      <c r="L1892" s="9">
        <v>0</v>
      </c>
      <c r="M1892" s="9">
        <v>0</v>
      </c>
      <c r="N1892" s="9">
        <v>0</v>
      </c>
      <c r="O1892" s="9">
        <v>0</v>
      </c>
      <c r="P1892" s="9">
        <v>0</v>
      </c>
      <c r="Q1892" s="9">
        <v>0</v>
      </c>
      <c r="R1892" s="9">
        <v>0</v>
      </c>
      <c r="S1892" s="9">
        <v>0</v>
      </c>
      <c r="T1892" s="9">
        <v>0</v>
      </c>
      <c r="U1892" s="9">
        <v>0</v>
      </c>
    </row>
    <row r="1893" spans="1:21" x14ac:dyDescent="0.2">
      <c r="A1893" t="s">
        <v>862</v>
      </c>
      <c r="B1893">
        <v>531</v>
      </c>
      <c r="C1893">
        <v>1</v>
      </c>
      <c r="D1893" t="s">
        <v>228</v>
      </c>
      <c r="E1893" s="9">
        <v>0</v>
      </c>
      <c r="F1893" s="9">
        <v>0</v>
      </c>
      <c r="G1893" s="9">
        <v>0</v>
      </c>
      <c r="H1893" s="9">
        <v>0</v>
      </c>
      <c r="I1893" s="9">
        <v>0</v>
      </c>
      <c r="J1893" s="9">
        <v>0</v>
      </c>
      <c r="K1893" s="9">
        <v>0</v>
      </c>
      <c r="L1893" s="9">
        <v>0</v>
      </c>
      <c r="M1893" s="9">
        <v>0</v>
      </c>
      <c r="N1893" s="9">
        <v>0</v>
      </c>
      <c r="O1893" s="9">
        <v>0</v>
      </c>
      <c r="P1893" s="9">
        <v>0</v>
      </c>
      <c r="Q1893" s="9">
        <v>0</v>
      </c>
      <c r="R1893" s="9">
        <v>0</v>
      </c>
      <c r="S1893" s="9">
        <v>0</v>
      </c>
      <c r="T1893" s="9">
        <v>0</v>
      </c>
      <c r="U1893" s="9">
        <v>0</v>
      </c>
    </row>
    <row r="1894" spans="1:21" x14ac:dyDescent="0.2">
      <c r="A1894" t="s">
        <v>862</v>
      </c>
      <c r="B1894">
        <v>533</v>
      </c>
      <c r="C1894">
        <v>1</v>
      </c>
      <c r="D1894" t="s">
        <v>229</v>
      </c>
      <c r="E1894" s="9">
        <v>0</v>
      </c>
      <c r="F1894" s="9">
        <v>0</v>
      </c>
      <c r="G1894" s="9">
        <v>0</v>
      </c>
      <c r="H1894" s="9">
        <v>0</v>
      </c>
      <c r="I1894" s="9">
        <v>0</v>
      </c>
      <c r="J1894" s="9">
        <v>0</v>
      </c>
      <c r="K1894" s="9">
        <v>0</v>
      </c>
      <c r="L1894" s="9">
        <v>0</v>
      </c>
      <c r="M1894" s="9">
        <v>0</v>
      </c>
      <c r="N1894" s="9">
        <v>0</v>
      </c>
      <c r="O1894" s="9">
        <v>0</v>
      </c>
      <c r="P1894" s="9">
        <v>0</v>
      </c>
      <c r="Q1894" s="9">
        <v>0</v>
      </c>
      <c r="R1894" s="9">
        <v>0</v>
      </c>
      <c r="S1894" s="9">
        <v>0</v>
      </c>
      <c r="T1894" s="9">
        <v>0</v>
      </c>
      <c r="U1894" s="9">
        <v>0</v>
      </c>
    </row>
    <row r="1895" spans="1:21" x14ac:dyDescent="0.2">
      <c r="A1895" t="s">
        <v>862</v>
      </c>
      <c r="B1895">
        <v>534</v>
      </c>
      <c r="C1895">
        <v>1</v>
      </c>
      <c r="D1895" t="s">
        <v>230</v>
      </c>
      <c r="E1895" s="9">
        <v>0</v>
      </c>
      <c r="F1895" s="9">
        <v>0</v>
      </c>
      <c r="G1895" s="9">
        <v>0</v>
      </c>
      <c r="H1895" s="9">
        <v>0</v>
      </c>
      <c r="I1895" s="9">
        <v>0</v>
      </c>
      <c r="J1895" s="9">
        <v>0</v>
      </c>
      <c r="K1895" s="9">
        <v>0</v>
      </c>
      <c r="L1895" s="9">
        <v>0</v>
      </c>
      <c r="M1895" s="9">
        <v>0</v>
      </c>
      <c r="N1895" s="9">
        <v>0</v>
      </c>
      <c r="O1895" s="9">
        <v>0</v>
      </c>
      <c r="P1895" s="9">
        <v>0</v>
      </c>
      <c r="Q1895" s="9">
        <v>0</v>
      </c>
      <c r="R1895" s="9">
        <v>0</v>
      </c>
      <c r="S1895" s="9">
        <v>0</v>
      </c>
      <c r="T1895" s="9">
        <v>0</v>
      </c>
      <c r="U1895" s="9">
        <v>0</v>
      </c>
    </row>
    <row r="1896" spans="1:21" x14ac:dyDescent="0.2">
      <c r="A1896" t="s">
        <v>862</v>
      </c>
      <c r="B1896">
        <v>535</v>
      </c>
      <c r="C1896">
        <v>1</v>
      </c>
      <c r="D1896" t="s">
        <v>231</v>
      </c>
      <c r="E1896" s="9">
        <v>0</v>
      </c>
      <c r="F1896" s="9">
        <v>0</v>
      </c>
      <c r="G1896" s="9">
        <v>0</v>
      </c>
      <c r="H1896" s="9">
        <v>0</v>
      </c>
      <c r="I1896" s="9">
        <v>0</v>
      </c>
      <c r="J1896" s="9">
        <v>0</v>
      </c>
      <c r="K1896" s="9">
        <v>0</v>
      </c>
      <c r="L1896" s="9">
        <v>0</v>
      </c>
      <c r="M1896" s="9">
        <v>0</v>
      </c>
      <c r="N1896" s="9">
        <v>0</v>
      </c>
      <c r="O1896" s="9">
        <v>0</v>
      </c>
      <c r="P1896" s="9">
        <v>0</v>
      </c>
      <c r="Q1896" s="9">
        <v>0</v>
      </c>
      <c r="R1896" s="9">
        <v>0</v>
      </c>
      <c r="S1896" s="9">
        <v>0</v>
      </c>
      <c r="T1896" s="9">
        <v>0</v>
      </c>
      <c r="U1896" s="9">
        <v>0</v>
      </c>
    </row>
    <row r="1897" spans="1:21" x14ac:dyDescent="0.2">
      <c r="A1897" t="s">
        <v>862</v>
      </c>
      <c r="B1897">
        <v>542</v>
      </c>
      <c r="C1897">
        <v>1</v>
      </c>
      <c r="D1897" t="s">
        <v>232</v>
      </c>
      <c r="E1897" s="9">
        <v>0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0</v>
      </c>
      <c r="M1897" s="9">
        <v>0</v>
      </c>
      <c r="N1897" s="9">
        <v>0</v>
      </c>
      <c r="O1897" s="9">
        <v>0</v>
      </c>
      <c r="P1897" s="9">
        <v>0</v>
      </c>
      <c r="Q1897" s="9">
        <v>0</v>
      </c>
      <c r="R1897" s="9">
        <v>0</v>
      </c>
      <c r="S1897" s="9">
        <v>0</v>
      </c>
      <c r="T1897" s="9">
        <v>0</v>
      </c>
      <c r="U1897" s="9">
        <v>0</v>
      </c>
    </row>
    <row r="1898" spans="1:21" x14ac:dyDescent="0.2">
      <c r="A1898" t="s">
        <v>862</v>
      </c>
      <c r="B1898">
        <v>544</v>
      </c>
      <c r="C1898">
        <v>1</v>
      </c>
      <c r="D1898" t="s">
        <v>233</v>
      </c>
      <c r="E1898" s="9">
        <v>0</v>
      </c>
      <c r="F1898" s="9">
        <v>0</v>
      </c>
      <c r="G1898" s="9">
        <v>0</v>
      </c>
      <c r="H1898" s="9">
        <v>0</v>
      </c>
      <c r="I1898" s="9">
        <v>0</v>
      </c>
      <c r="J1898" s="9">
        <v>0</v>
      </c>
      <c r="K1898" s="9">
        <v>0</v>
      </c>
      <c r="L1898" s="9">
        <v>0</v>
      </c>
      <c r="M1898" s="9">
        <v>0</v>
      </c>
      <c r="N1898" s="9">
        <v>0</v>
      </c>
      <c r="O1898" s="9">
        <v>0</v>
      </c>
      <c r="P1898" s="9">
        <v>0</v>
      </c>
      <c r="Q1898" s="9">
        <v>0</v>
      </c>
      <c r="R1898" s="9">
        <v>0</v>
      </c>
      <c r="S1898" s="9">
        <v>0</v>
      </c>
      <c r="T1898" s="9">
        <v>0</v>
      </c>
      <c r="U1898" s="9">
        <v>0</v>
      </c>
    </row>
    <row r="1899" spans="1:21" x14ac:dyDescent="0.2">
      <c r="A1899" t="s">
        <v>862</v>
      </c>
      <c r="B1899">
        <v>545</v>
      </c>
      <c r="C1899">
        <v>1</v>
      </c>
      <c r="D1899" t="s">
        <v>234</v>
      </c>
      <c r="E1899" s="9">
        <v>0</v>
      </c>
      <c r="F1899" s="9">
        <v>0</v>
      </c>
      <c r="G1899" s="9">
        <v>0</v>
      </c>
      <c r="H1899" s="9">
        <v>0</v>
      </c>
      <c r="I1899" s="9">
        <v>0</v>
      </c>
      <c r="J1899" s="9">
        <v>0</v>
      </c>
      <c r="K1899" s="9">
        <v>0</v>
      </c>
      <c r="L1899" s="9">
        <v>0</v>
      </c>
      <c r="M1899" s="9">
        <v>0</v>
      </c>
      <c r="N1899" s="9">
        <v>0</v>
      </c>
      <c r="O1899" s="9">
        <v>0</v>
      </c>
      <c r="P1899" s="9">
        <v>0</v>
      </c>
      <c r="Q1899" s="9">
        <v>0</v>
      </c>
      <c r="R1899" s="9">
        <v>0</v>
      </c>
      <c r="S1899" s="9">
        <v>0</v>
      </c>
      <c r="T1899" s="9">
        <v>0</v>
      </c>
      <c r="U1899" s="9">
        <v>0</v>
      </c>
    </row>
    <row r="1900" spans="1:21" x14ac:dyDescent="0.2">
      <c r="A1900" t="s">
        <v>862</v>
      </c>
      <c r="B1900">
        <v>547</v>
      </c>
      <c r="C1900">
        <v>1</v>
      </c>
      <c r="D1900" t="s">
        <v>235</v>
      </c>
      <c r="E1900" s="9">
        <v>0</v>
      </c>
      <c r="F1900" s="9">
        <v>0</v>
      </c>
      <c r="G1900" s="9">
        <v>0</v>
      </c>
      <c r="H1900" s="9">
        <v>0</v>
      </c>
      <c r="I1900" s="9">
        <v>0</v>
      </c>
      <c r="J1900" s="9">
        <v>0</v>
      </c>
      <c r="K1900" s="9">
        <v>0</v>
      </c>
      <c r="L1900" s="9">
        <v>0</v>
      </c>
      <c r="M1900" s="9">
        <v>0</v>
      </c>
      <c r="N1900" s="9">
        <v>0</v>
      </c>
      <c r="O1900" s="9">
        <v>0</v>
      </c>
      <c r="P1900" s="9">
        <v>0</v>
      </c>
      <c r="Q1900" s="9">
        <v>0</v>
      </c>
      <c r="R1900" s="9">
        <v>0</v>
      </c>
      <c r="S1900" s="9">
        <v>0</v>
      </c>
      <c r="T1900" s="9">
        <v>0</v>
      </c>
      <c r="U1900" s="9">
        <v>0</v>
      </c>
    </row>
    <row r="1901" spans="1:21" x14ac:dyDescent="0.2">
      <c r="A1901" t="s">
        <v>862</v>
      </c>
      <c r="B1901">
        <v>548</v>
      </c>
      <c r="C1901">
        <v>1</v>
      </c>
      <c r="D1901" t="s">
        <v>236</v>
      </c>
      <c r="E1901" s="9">
        <v>0</v>
      </c>
      <c r="F1901" s="9">
        <v>0</v>
      </c>
      <c r="G1901" s="9">
        <v>0</v>
      </c>
      <c r="H1901" s="9">
        <v>0</v>
      </c>
      <c r="I1901" s="9">
        <v>0</v>
      </c>
      <c r="J1901" s="9">
        <v>0</v>
      </c>
      <c r="K1901" s="9">
        <v>0</v>
      </c>
      <c r="L1901" s="9">
        <v>0</v>
      </c>
      <c r="M1901" s="9">
        <v>0</v>
      </c>
      <c r="N1901" s="9">
        <v>0</v>
      </c>
      <c r="O1901" s="9">
        <v>0</v>
      </c>
      <c r="P1901" s="9">
        <v>0</v>
      </c>
      <c r="Q1901" s="9">
        <v>0</v>
      </c>
      <c r="R1901" s="9">
        <v>0</v>
      </c>
      <c r="S1901" s="9">
        <v>0</v>
      </c>
      <c r="T1901" s="9">
        <v>0</v>
      </c>
      <c r="U1901" s="9">
        <v>0</v>
      </c>
    </row>
    <row r="1902" spans="1:21" x14ac:dyDescent="0.2">
      <c r="A1902" t="s">
        <v>862</v>
      </c>
      <c r="B1902">
        <v>549</v>
      </c>
      <c r="C1902">
        <v>1</v>
      </c>
      <c r="D1902" t="s">
        <v>237</v>
      </c>
      <c r="E1902" s="9">
        <v>0</v>
      </c>
      <c r="F1902" s="9">
        <v>0</v>
      </c>
      <c r="G1902" s="9">
        <v>0</v>
      </c>
      <c r="H1902" s="9">
        <v>0</v>
      </c>
      <c r="I1902" s="9">
        <v>0</v>
      </c>
      <c r="J1902" s="9">
        <v>0</v>
      </c>
      <c r="K1902" s="9">
        <v>0</v>
      </c>
      <c r="L1902" s="9">
        <v>0</v>
      </c>
      <c r="M1902" s="9">
        <v>0</v>
      </c>
      <c r="N1902" s="9">
        <v>0</v>
      </c>
      <c r="O1902" s="9">
        <v>0</v>
      </c>
      <c r="P1902" s="9">
        <v>0</v>
      </c>
      <c r="Q1902" s="9">
        <v>0</v>
      </c>
      <c r="R1902" s="9">
        <v>0</v>
      </c>
      <c r="S1902" s="9">
        <v>0</v>
      </c>
      <c r="T1902" s="9">
        <v>0</v>
      </c>
      <c r="U1902" s="9">
        <v>0</v>
      </c>
    </row>
    <row r="1903" spans="1:21" x14ac:dyDescent="0.2">
      <c r="A1903" t="s">
        <v>862</v>
      </c>
      <c r="B1903">
        <v>550</v>
      </c>
      <c r="C1903">
        <v>1</v>
      </c>
      <c r="D1903" t="s">
        <v>238</v>
      </c>
      <c r="E1903" s="9">
        <v>0</v>
      </c>
      <c r="F1903" s="9">
        <v>0</v>
      </c>
      <c r="G1903" s="9">
        <v>0</v>
      </c>
      <c r="H1903" s="9">
        <v>0</v>
      </c>
      <c r="I1903" s="9">
        <v>0</v>
      </c>
      <c r="J1903" s="9">
        <v>0</v>
      </c>
      <c r="K1903" s="9">
        <v>0</v>
      </c>
      <c r="L1903" s="9">
        <v>0</v>
      </c>
      <c r="M1903" s="9">
        <v>0</v>
      </c>
      <c r="N1903" s="9">
        <v>0</v>
      </c>
      <c r="O1903" s="9">
        <v>0</v>
      </c>
      <c r="P1903" s="9">
        <v>0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</row>
    <row r="1904" spans="1:21" x14ac:dyDescent="0.2">
      <c r="A1904" t="s">
        <v>862</v>
      </c>
      <c r="B1904">
        <v>553</v>
      </c>
      <c r="C1904">
        <v>1</v>
      </c>
      <c r="D1904" t="s">
        <v>239</v>
      </c>
      <c r="E1904" s="9">
        <v>0</v>
      </c>
      <c r="F1904" s="9">
        <v>0</v>
      </c>
      <c r="G1904" s="9">
        <v>0</v>
      </c>
      <c r="H1904" s="9">
        <v>0</v>
      </c>
      <c r="I1904" s="9">
        <v>0</v>
      </c>
      <c r="J1904" s="9">
        <v>0</v>
      </c>
      <c r="K1904" s="9">
        <v>0</v>
      </c>
      <c r="L1904" s="9">
        <v>0</v>
      </c>
      <c r="M1904" s="9">
        <v>0</v>
      </c>
      <c r="N1904" s="9">
        <v>0</v>
      </c>
      <c r="O1904" s="9">
        <v>0</v>
      </c>
      <c r="P1904" s="9">
        <v>0</v>
      </c>
      <c r="Q1904" s="9">
        <v>0</v>
      </c>
      <c r="R1904" s="9">
        <v>0</v>
      </c>
      <c r="S1904" s="9">
        <v>0</v>
      </c>
      <c r="T1904" s="9">
        <v>0</v>
      </c>
      <c r="U1904" s="9">
        <v>0</v>
      </c>
    </row>
    <row r="1905" spans="1:21" x14ac:dyDescent="0.2">
      <c r="A1905" t="s">
        <v>862</v>
      </c>
      <c r="B1905">
        <v>561</v>
      </c>
      <c r="C1905">
        <v>1</v>
      </c>
      <c r="D1905" t="s">
        <v>240</v>
      </c>
      <c r="E1905" s="9">
        <v>0</v>
      </c>
      <c r="F1905" s="9">
        <v>0</v>
      </c>
      <c r="G1905" s="9">
        <v>0</v>
      </c>
      <c r="H1905" s="9">
        <v>0</v>
      </c>
      <c r="I1905" s="9">
        <v>0</v>
      </c>
      <c r="J1905" s="9">
        <v>0</v>
      </c>
      <c r="K1905" s="9">
        <v>0</v>
      </c>
      <c r="L1905" s="9">
        <v>0</v>
      </c>
      <c r="M1905" s="9">
        <v>0</v>
      </c>
      <c r="N1905" s="9">
        <v>0</v>
      </c>
      <c r="O1905" s="9">
        <v>0</v>
      </c>
      <c r="P1905" s="9">
        <v>0</v>
      </c>
      <c r="Q1905" s="9">
        <v>0</v>
      </c>
      <c r="R1905" s="9">
        <v>0</v>
      </c>
      <c r="S1905" s="9">
        <v>0</v>
      </c>
      <c r="T1905" s="9">
        <v>0</v>
      </c>
      <c r="U1905" s="9">
        <v>0</v>
      </c>
    </row>
    <row r="1906" spans="1:21" x14ac:dyDescent="0.2">
      <c r="A1906" t="s">
        <v>862</v>
      </c>
      <c r="B1906">
        <v>564</v>
      </c>
      <c r="C1906">
        <v>1</v>
      </c>
      <c r="D1906" t="s">
        <v>241</v>
      </c>
      <c r="E1906" s="9">
        <v>0</v>
      </c>
      <c r="F1906" s="9">
        <v>0</v>
      </c>
      <c r="G1906" s="9">
        <v>0</v>
      </c>
      <c r="H1906" s="9">
        <v>0</v>
      </c>
      <c r="I1906" s="9">
        <v>0</v>
      </c>
      <c r="J1906" s="9">
        <v>0</v>
      </c>
      <c r="K1906" s="9">
        <v>0</v>
      </c>
      <c r="L1906" s="9">
        <v>0</v>
      </c>
      <c r="M1906" s="9">
        <v>0</v>
      </c>
      <c r="N1906" s="9">
        <v>0</v>
      </c>
      <c r="O1906" s="9">
        <v>0</v>
      </c>
      <c r="P1906" s="9">
        <v>0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</row>
    <row r="1907" spans="1:21" x14ac:dyDescent="0.2">
      <c r="A1907" t="s">
        <v>862</v>
      </c>
      <c r="B1907">
        <v>577</v>
      </c>
      <c r="C1907">
        <v>1</v>
      </c>
      <c r="D1907" t="s">
        <v>242</v>
      </c>
      <c r="E1907" s="9">
        <v>0</v>
      </c>
      <c r="F1907" s="9">
        <v>0</v>
      </c>
      <c r="G1907" s="9">
        <v>0</v>
      </c>
      <c r="H1907" s="9">
        <v>0</v>
      </c>
      <c r="I1907" s="9">
        <v>0</v>
      </c>
      <c r="J1907" s="9">
        <v>0</v>
      </c>
      <c r="K1907" s="9">
        <v>0</v>
      </c>
      <c r="L1907" s="9">
        <v>0</v>
      </c>
      <c r="M1907" s="9">
        <v>0</v>
      </c>
      <c r="N1907" s="9">
        <v>0</v>
      </c>
      <c r="O1907" s="9">
        <v>0</v>
      </c>
      <c r="P1907" s="9">
        <v>0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</row>
    <row r="1908" spans="1:21" x14ac:dyDescent="0.2">
      <c r="A1908" t="s">
        <v>862</v>
      </c>
      <c r="B1908">
        <v>578</v>
      </c>
      <c r="C1908">
        <v>1</v>
      </c>
      <c r="D1908" t="s">
        <v>243</v>
      </c>
      <c r="E1908" s="9">
        <v>0</v>
      </c>
      <c r="F1908" s="9">
        <v>0</v>
      </c>
      <c r="G1908" s="9">
        <v>0</v>
      </c>
      <c r="H1908" s="9">
        <v>0</v>
      </c>
      <c r="I1908" s="9">
        <v>0</v>
      </c>
      <c r="J1908" s="9">
        <v>0</v>
      </c>
      <c r="K1908" s="9">
        <v>0</v>
      </c>
      <c r="L1908" s="9">
        <v>0</v>
      </c>
      <c r="M1908" s="9">
        <v>0</v>
      </c>
      <c r="N1908" s="9">
        <v>0</v>
      </c>
      <c r="O1908" s="9">
        <v>0</v>
      </c>
      <c r="P1908" s="9">
        <v>0</v>
      </c>
      <c r="Q1908" s="9">
        <v>0</v>
      </c>
      <c r="R1908" s="9">
        <v>0</v>
      </c>
      <c r="S1908" s="9">
        <v>0</v>
      </c>
      <c r="T1908" s="9">
        <v>0</v>
      </c>
      <c r="U1908" s="9">
        <v>0</v>
      </c>
    </row>
    <row r="1909" spans="1:21" x14ac:dyDescent="0.2">
      <c r="A1909" t="s">
        <v>862</v>
      </c>
      <c r="B1909">
        <v>581</v>
      </c>
      <c r="C1909">
        <v>1</v>
      </c>
      <c r="D1909" t="s">
        <v>244</v>
      </c>
      <c r="E1909" s="9">
        <v>0</v>
      </c>
      <c r="F1909" s="9">
        <v>0</v>
      </c>
      <c r="G1909" s="9">
        <v>0</v>
      </c>
      <c r="H1909" s="9">
        <v>0</v>
      </c>
      <c r="I1909" s="9">
        <v>0</v>
      </c>
      <c r="J1909" s="9">
        <v>0</v>
      </c>
      <c r="K1909" s="9">
        <v>0</v>
      </c>
      <c r="L1909" s="9">
        <v>0</v>
      </c>
      <c r="M1909" s="9">
        <v>0</v>
      </c>
      <c r="N1909" s="9">
        <v>0</v>
      </c>
      <c r="O1909" s="9">
        <v>0</v>
      </c>
      <c r="P1909" s="9">
        <v>0</v>
      </c>
      <c r="Q1909" s="9">
        <v>0</v>
      </c>
      <c r="R1909" s="9">
        <v>0</v>
      </c>
      <c r="S1909" s="9">
        <v>0</v>
      </c>
      <c r="T1909" s="9">
        <v>0</v>
      </c>
      <c r="U1909" s="9">
        <v>0</v>
      </c>
    </row>
    <row r="1910" spans="1:21" x14ac:dyDescent="0.2">
      <c r="A1910" t="s">
        <v>862</v>
      </c>
      <c r="B1910">
        <v>584</v>
      </c>
      <c r="C1910">
        <v>1</v>
      </c>
      <c r="D1910" t="s">
        <v>245</v>
      </c>
      <c r="E1910" s="9">
        <v>0</v>
      </c>
      <c r="F1910" s="9">
        <v>0</v>
      </c>
      <c r="G1910" s="9">
        <v>0</v>
      </c>
      <c r="H1910" s="9">
        <v>0</v>
      </c>
      <c r="I1910" s="9">
        <v>0</v>
      </c>
      <c r="J1910" s="9">
        <v>0</v>
      </c>
      <c r="K1910" s="9">
        <v>0</v>
      </c>
      <c r="L1910" s="9">
        <v>0</v>
      </c>
      <c r="M1910" s="9">
        <v>0</v>
      </c>
      <c r="N1910" s="9">
        <v>0</v>
      </c>
      <c r="O1910" s="9">
        <v>0</v>
      </c>
      <c r="P1910" s="9">
        <v>0</v>
      </c>
      <c r="Q1910" s="9">
        <v>0</v>
      </c>
      <c r="R1910" s="9">
        <v>0</v>
      </c>
      <c r="S1910" s="9">
        <v>0</v>
      </c>
      <c r="T1910" s="9">
        <v>0</v>
      </c>
      <c r="U1910" s="9">
        <v>0</v>
      </c>
    </row>
    <row r="1911" spans="1:21" x14ac:dyDescent="0.2">
      <c r="A1911" t="s">
        <v>862</v>
      </c>
      <c r="B1911">
        <v>592</v>
      </c>
      <c r="C1911">
        <v>1</v>
      </c>
      <c r="D1911" t="s">
        <v>246</v>
      </c>
      <c r="E1911" s="9">
        <v>0</v>
      </c>
      <c r="F1911" s="9">
        <v>0</v>
      </c>
      <c r="G1911" s="9">
        <v>0</v>
      </c>
      <c r="H1911" s="9">
        <v>0</v>
      </c>
      <c r="I1911" s="9">
        <v>0</v>
      </c>
      <c r="J1911" s="9">
        <v>0</v>
      </c>
      <c r="K1911" s="9">
        <v>0</v>
      </c>
      <c r="L1911" s="9">
        <v>0</v>
      </c>
      <c r="M1911" s="9">
        <v>0</v>
      </c>
      <c r="N1911" s="9">
        <v>0</v>
      </c>
      <c r="O1911" s="9">
        <v>0</v>
      </c>
      <c r="P1911" s="9">
        <v>0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</row>
    <row r="1912" spans="1:21" x14ac:dyDescent="0.2">
      <c r="A1912" t="s">
        <v>862</v>
      </c>
      <c r="B1912">
        <v>593</v>
      </c>
      <c r="C1912">
        <v>1</v>
      </c>
      <c r="D1912" t="s">
        <v>247</v>
      </c>
      <c r="E1912" s="9">
        <v>0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9">
        <v>0</v>
      </c>
      <c r="L1912" s="9">
        <v>0</v>
      </c>
      <c r="M1912" s="9">
        <v>0</v>
      </c>
      <c r="N1912" s="9">
        <v>0</v>
      </c>
      <c r="O1912" s="9">
        <v>0</v>
      </c>
      <c r="P1912" s="9">
        <v>0</v>
      </c>
      <c r="Q1912" s="9">
        <v>0</v>
      </c>
      <c r="R1912" s="9">
        <v>0</v>
      </c>
      <c r="S1912" s="9">
        <v>0</v>
      </c>
      <c r="T1912" s="9">
        <v>0</v>
      </c>
      <c r="U1912" s="9">
        <v>0</v>
      </c>
    </row>
    <row r="1913" spans="1:21" x14ac:dyDescent="0.2">
      <c r="A1913" t="s">
        <v>862</v>
      </c>
      <c r="B1913">
        <v>595</v>
      </c>
      <c r="C1913">
        <v>1</v>
      </c>
      <c r="D1913" t="s">
        <v>248</v>
      </c>
      <c r="E1913" s="9">
        <v>0</v>
      </c>
      <c r="F1913" s="9">
        <v>0</v>
      </c>
      <c r="G1913" s="9">
        <v>0</v>
      </c>
      <c r="H1913" s="9">
        <v>0</v>
      </c>
      <c r="I1913" s="9">
        <v>0</v>
      </c>
      <c r="J1913" s="9">
        <v>0</v>
      </c>
      <c r="K1913" s="9">
        <v>0</v>
      </c>
      <c r="L1913" s="9">
        <v>0</v>
      </c>
      <c r="M1913" s="9">
        <v>0</v>
      </c>
      <c r="N1913" s="9">
        <v>0</v>
      </c>
      <c r="O1913" s="9">
        <v>0</v>
      </c>
      <c r="P1913" s="9">
        <v>0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</row>
    <row r="1914" spans="1:21" x14ac:dyDescent="0.2">
      <c r="A1914" t="s">
        <v>862</v>
      </c>
      <c r="B1914">
        <v>599</v>
      </c>
      <c r="C1914">
        <v>1</v>
      </c>
      <c r="D1914" t="s">
        <v>249</v>
      </c>
      <c r="E1914" s="9">
        <v>0</v>
      </c>
      <c r="F1914" s="9">
        <v>0</v>
      </c>
      <c r="G1914" s="9">
        <v>0</v>
      </c>
      <c r="H1914" s="9">
        <v>0</v>
      </c>
      <c r="I1914" s="9">
        <v>0</v>
      </c>
      <c r="J1914" s="9">
        <v>0</v>
      </c>
      <c r="K1914" s="9">
        <v>0</v>
      </c>
      <c r="L1914" s="9">
        <v>0</v>
      </c>
      <c r="M1914" s="9">
        <v>0</v>
      </c>
      <c r="N1914" s="9">
        <v>0</v>
      </c>
      <c r="O1914" s="9">
        <v>0</v>
      </c>
      <c r="P1914" s="9">
        <v>0</v>
      </c>
      <c r="Q1914" s="9">
        <v>0</v>
      </c>
      <c r="R1914" s="9">
        <v>0</v>
      </c>
      <c r="S1914" s="9">
        <v>0</v>
      </c>
      <c r="T1914" s="9">
        <v>0</v>
      </c>
      <c r="U1914" s="9">
        <v>0</v>
      </c>
    </row>
    <row r="1915" spans="1:21" x14ac:dyDescent="0.2">
      <c r="A1915" t="s">
        <v>862</v>
      </c>
      <c r="B1915">
        <v>600</v>
      </c>
      <c r="C1915">
        <v>1</v>
      </c>
      <c r="D1915" t="s">
        <v>250</v>
      </c>
      <c r="E1915" s="9">
        <v>0</v>
      </c>
      <c r="F1915" s="9">
        <v>0</v>
      </c>
      <c r="G1915" s="9">
        <v>0</v>
      </c>
      <c r="H1915" s="9">
        <v>0</v>
      </c>
      <c r="I1915" s="9">
        <v>0</v>
      </c>
      <c r="J1915" s="9">
        <v>0</v>
      </c>
      <c r="K1915" s="9">
        <v>0</v>
      </c>
      <c r="L1915" s="9">
        <v>0</v>
      </c>
      <c r="M1915" s="9">
        <v>0</v>
      </c>
      <c r="N1915" s="9">
        <v>0</v>
      </c>
      <c r="O1915" s="9">
        <v>0</v>
      </c>
      <c r="P1915" s="9">
        <v>0</v>
      </c>
      <c r="Q1915" s="9">
        <v>0</v>
      </c>
      <c r="R1915" s="9">
        <v>0</v>
      </c>
      <c r="S1915" s="9">
        <v>0</v>
      </c>
      <c r="T1915" s="9">
        <v>0</v>
      </c>
      <c r="U1915" s="9">
        <v>0</v>
      </c>
    </row>
    <row r="1916" spans="1:21" x14ac:dyDescent="0.2">
      <c r="A1916" t="s">
        <v>862</v>
      </c>
      <c r="B1916">
        <v>601</v>
      </c>
      <c r="C1916">
        <v>1</v>
      </c>
      <c r="D1916" t="s">
        <v>251</v>
      </c>
      <c r="E1916" s="9">
        <v>0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  <c r="K1916" s="9">
        <v>0</v>
      </c>
      <c r="L1916" s="9">
        <v>0</v>
      </c>
      <c r="M1916" s="9">
        <v>0</v>
      </c>
      <c r="N1916" s="9">
        <v>0</v>
      </c>
      <c r="O1916" s="9">
        <v>0</v>
      </c>
      <c r="P1916" s="9">
        <v>0</v>
      </c>
      <c r="Q1916" s="9">
        <v>0</v>
      </c>
      <c r="R1916" s="9">
        <v>0</v>
      </c>
      <c r="S1916" s="9">
        <v>0</v>
      </c>
      <c r="T1916" s="9">
        <v>0</v>
      </c>
      <c r="U1916" s="9">
        <v>0</v>
      </c>
    </row>
    <row r="1917" spans="1:21" x14ac:dyDescent="0.2">
      <c r="A1917" t="s">
        <v>862</v>
      </c>
      <c r="B1917">
        <v>611</v>
      </c>
      <c r="C1917">
        <v>1</v>
      </c>
      <c r="D1917" t="s">
        <v>252</v>
      </c>
      <c r="E1917" s="9">
        <v>0</v>
      </c>
      <c r="F1917" s="9">
        <v>0</v>
      </c>
      <c r="G1917" s="9">
        <v>0</v>
      </c>
      <c r="H1917" s="9">
        <v>0</v>
      </c>
      <c r="I1917" s="9">
        <v>0</v>
      </c>
      <c r="J1917" s="9">
        <v>0</v>
      </c>
      <c r="K1917" s="9">
        <v>0</v>
      </c>
      <c r="L1917" s="9">
        <v>0</v>
      </c>
      <c r="M1917" s="9">
        <v>0</v>
      </c>
      <c r="N1917" s="9">
        <v>0</v>
      </c>
      <c r="O1917" s="9">
        <v>0</v>
      </c>
      <c r="P1917" s="9">
        <v>0</v>
      </c>
      <c r="Q1917" s="9">
        <v>0</v>
      </c>
      <c r="R1917" s="9">
        <v>0</v>
      </c>
      <c r="S1917" s="9">
        <v>0</v>
      </c>
      <c r="T1917" s="9">
        <v>0</v>
      </c>
      <c r="U1917" s="9">
        <v>0</v>
      </c>
    </row>
    <row r="1918" spans="1:21" x14ac:dyDescent="0.2">
      <c r="A1918" t="s">
        <v>862</v>
      </c>
      <c r="B1918">
        <v>621</v>
      </c>
      <c r="C1918">
        <v>1</v>
      </c>
      <c r="D1918" t="s">
        <v>253</v>
      </c>
      <c r="E1918" s="9">
        <v>0</v>
      </c>
      <c r="F1918" s="9">
        <v>0</v>
      </c>
      <c r="G1918" s="9">
        <v>0</v>
      </c>
      <c r="H1918" s="9">
        <v>0</v>
      </c>
      <c r="I1918" s="9">
        <v>0</v>
      </c>
      <c r="J1918" s="9">
        <v>0</v>
      </c>
      <c r="K1918" s="9">
        <v>0</v>
      </c>
      <c r="L1918" s="9">
        <v>0</v>
      </c>
      <c r="M1918" s="9">
        <v>0</v>
      </c>
      <c r="N1918" s="9">
        <v>0</v>
      </c>
      <c r="O1918" s="9">
        <v>0</v>
      </c>
      <c r="P1918" s="9">
        <v>0</v>
      </c>
      <c r="Q1918" s="9">
        <v>0</v>
      </c>
      <c r="R1918" s="9">
        <v>0</v>
      </c>
      <c r="S1918" s="9">
        <v>0</v>
      </c>
      <c r="T1918" s="9">
        <v>0</v>
      </c>
      <c r="U1918" s="9">
        <v>0</v>
      </c>
    </row>
    <row r="1919" spans="1:21" x14ac:dyDescent="0.2">
      <c r="A1919" t="s">
        <v>862</v>
      </c>
      <c r="B1919">
        <v>622</v>
      </c>
      <c r="C1919">
        <v>1</v>
      </c>
      <c r="D1919" t="s">
        <v>254</v>
      </c>
      <c r="E1919" s="9">
        <v>0</v>
      </c>
      <c r="F1919" s="9">
        <v>0</v>
      </c>
      <c r="G1919" s="9">
        <v>0</v>
      </c>
      <c r="H1919" s="9">
        <v>0</v>
      </c>
      <c r="I1919" s="9">
        <v>0</v>
      </c>
      <c r="J1919" s="9">
        <v>0</v>
      </c>
      <c r="K1919" s="9">
        <v>0</v>
      </c>
      <c r="L1919" s="9">
        <v>0</v>
      </c>
      <c r="M1919" s="9">
        <v>0</v>
      </c>
      <c r="N1919" s="9">
        <v>0</v>
      </c>
      <c r="O1919" s="9">
        <v>0</v>
      </c>
      <c r="P1919" s="9">
        <v>0</v>
      </c>
      <c r="Q1919" s="9">
        <v>0</v>
      </c>
      <c r="R1919" s="9">
        <v>0</v>
      </c>
      <c r="S1919" s="9">
        <v>0</v>
      </c>
      <c r="T1919" s="9">
        <v>0</v>
      </c>
      <c r="U1919" s="9">
        <v>0</v>
      </c>
    </row>
    <row r="1920" spans="1:21" x14ac:dyDescent="0.2">
      <c r="A1920" t="s">
        <v>862</v>
      </c>
      <c r="B1920">
        <v>623</v>
      </c>
      <c r="C1920">
        <v>1</v>
      </c>
      <c r="D1920" t="s">
        <v>255</v>
      </c>
      <c r="E1920" s="9">
        <v>0</v>
      </c>
      <c r="F1920" s="9">
        <v>0</v>
      </c>
      <c r="G1920" s="9">
        <v>0</v>
      </c>
      <c r="H1920" s="9">
        <v>0</v>
      </c>
      <c r="I1920" s="9">
        <v>0</v>
      </c>
      <c r="J1920" s="9">
        <v>0</v>
      </c>
      <c r="K1920" s="9">
        <v>0</v>
      </c>
      <c r="L1920" s="9">
        <v>0</v>
      </c>
      <c r="M1920" s="9">
        <v>0</v>
      </c>
      <c r="N1920" s="9">
        <v>0</v>
      </c>
      <c r="O1920" s="9">
        <v>0</v>
      </c>
      <c r="P1920" s="9">
        <v>0</v>
      </c>
      <c r="Q1920" s="9">
        <v>0</v>
      </c>
      <c r="R1920" s="9">
        <v>0</v>
      </c>
      <c r="S1920" s="9">
        <v>0</v>
      </c>
      <c r="T1920" s="9">
        <v>0</v>
      </c>
      <c r="U1920" s="9">
        <v>0</v>
      </c>
    </row>
    <row r="1921" spans="1:21" x14ac:dyDescent="0.2">
      <c r="A1921" t="s">
        <v>862</v>
      </c>
      <c r="B1921">
        <v>624</v>
      </c>
      <c r="C1921">
        <v>1</v>
      </c>
      <c r="D1921" t="s">
        <v>256</v>
      </c>
      <c r="E1921" s="9">
        <v>0</v>
      </c>
      <c r="F1921" s="9">
        <v>0</v>
      </c>
      <c r="G1921" s="9">
        <v>0</v>
      </c>
      <c r="H1921" s="9">
        <v>0</v>
      </c>
      <c r="I1921" s="9">
        <v>0</v>
      </c>
      <c r="J1921" s="9">
        <v>0</v>
      </c>
      <c r="K1921" s="9">
        <v>0</v>
      </c>
      <c r="L1921" s="9">
        <v>0</v>
      </c>
      <c r="M1921" s="9">
        <v>0</v>
      </c>
      <c r="N1921" s="9">
        <v>0</v>
      </c>
      <c r="O1921" s="9">
        <v>0</v>
      </c>
      <c r="P1921" s="9">
        <v>0</v>
      </c>
      <c r="Q1921" s="9">
        <v>0</v>
      </c>
      <c r="R1921" s="9">
        <v>0</v>
      </c>
      <c r="S1921" s="9">
        <v>0</v>
      </c>
      <c r="T1921" s="9">
        <v>0</v>
      </c>
      <c r="U1921" s="9">
        <v>0</v>
      </c>
    </row>
    <row r="1922" spans="1:21" x14ac:dyDescent="0.2">
      <c r="A1922" t="s">
        <v>862</v>
      </c>
      <c r="B1922">
        <v>625</v>
      </c>
      <c r="C1922">
        <v>1</v>
      </c>
      <c r="D1922" t="s">
        <v>257</v>
      </c>
      <c r="E1922" s="9">
        <v>0</v>
      </c>
      <c r="F1922" s="9">
        <v>0</v>
      </c>
      <c r="G1922" s="9">
        <v>0</v>
      </c>
      <c r="H1922" s="9">
        <v>0</v>
      </c>
      <c r="I1922" s="9">
        <v>0</v>
      </c>
      <c r="J1922" s="9">
        <v>0</v>
      </c>
      <c r="K1922" s="9">
        <v>0</v>
      </c>
      <c r="L1922" s="9">
        <v>0</v>
      </c>
      <c r="M1922" s="9">
        <v>0</v>
      </c>
      <c r="N1922" s="9">
        <v>0</v>
      </c>
      <c r="O1922" s="9">
        <v>0</v>
      </c>
      <c r="P1922" s="9">
        <v>0</v>
      </c>
      <c r="Q1922" s="9">
        <v>0</v>
      </c>
      <c r="R1922" s="9">
        <v>0</v>
      </c>
      <c r="S1922" s="9">
        <v>0</v>
      </c>
      <c r="T1922" s="9">
        <v>0</v>
      </c>
      <c r="U1922" s="9">
        <v>0</v>
      </c>
    </row>
    <row r="1923" spans="1:21" x14ac:dyDescent="0.2">
      <c r="A1923" t="s">
        <v>862</v>
      </c>
      <c r="B1923">
        <v>627</v>
      </c>
      <c r="C1923">
        <v>1</v>
      </c>
      <c r="D1923" t="s">
        <v>258</v>
      </c>
      <c r="E1923" s="9">
        <v>0</v>
      </c>
      <c r="F1923" s="9">
        <v>0</v>
      </c>
      <c r="G1923" s="9">
        <v>0</v>
      </c>
      <c r="H1923" s="9">
        <v>0</v>
      </c>
      <c r="I1923" s="9">
        <v>0</v>
      </c>
      <c r="J1923" s="9">
        <v>0</v>
      </c>
      <c r="K1923" s="9">
        <v>0</v>
      </c>
      <c r="L1923" s="9">
        <v>0</v>
      </c>
      <c r="M1923" s="9">
        <v>0</v>
      </c>
      <c r="N1923" s="9">
        <v>0</v>
      </c>
      <c r="O1923" s="9">
        <v>0</v>
      </c>
      <c r="P1923" s="9">
        <v>0</v>
      </c>
      <c r="Q1923" s="9">
        <v>0</v>
      </c>
      <c r="R1923" s="9">
        <v>0</v>
      </c>
      <c r="S1923" s="9">
        <v>0</v>
      </c>
      <c r="T1923" s="9">
        <v>0</v>
      </c>
      <c r="U1923" s="9">
        <v>0</v>
      </c>
    </row>
    <row r="1924" spans="1:21" x14ac:dyDescent="0.2">
      <c r="A1924" t="s">
        <v>862</v>
      </c>
      <c r="B1924">
        <v>628</v>
      </c>
      <c r="C1924">
        <v>1</v>
      </c>
      <c r="D1924" t="s">
        <v>259</v>
      </c>
      <c r="E1924" s="9">
        <v>0</v>
      </c>
      <c r="F1924" s="9">
        <v>0</v>
      </c>
      <c r="G1924" s="9">
        <v>0</v>
      </c>
      <c r="H1924" s="9">
        <v>0</v>
      </c>
      <c r="I1924" s="9">
        <v>0</v>
      </c>
      <c r="J1924" s="9">
        <v>0</v>
      </c>
      <c r="K1924" s="9">
        <v>0</v>
      </c>
      <c r="L1924" s="9">
        <v>0</v>
      </c>
      <c r="M1924" s="9">
        <v>0</v>
      </c>
      <c r="N1924" s="9">
        <v>0</v>
      </c>
      <c r="O1924" s="9">
        <v>0</v>
      </c>
      <c r="P1924" s="9">
        <v>0</v>
      </c>
      <c r="Q1924" s="9">
        <v>0</v>
      </c>
      <c r="R1924" s="9">
        <v>0</v>
      </c>
      <c r="S1924" s="9">
        <v>0</v>
      </c>
      <c r="T1924" s="9">
        <v>0</v>
      </c>
      <c r="U1924" s="9">
        <v>0</v>
      </c>
    </row>
    <row r="1925" spans="1:21" x14ac:dyDescent="0.2">
      <c r="A1925" t="s">
        <v>862</v>
      </c>
      <c r="B1925">
        <v>630</v>
      </c>
      <c r="C1925">
        <v>1</v>
      </c>
      <c r="D1925" t="s">
        <v>260</v>
      </c>
      <c r="E1925" s="9">
        <v>0</v>
      </c>
      <c r="F1925" s="9">
        <v>0</v>
      </c>
      <c r="G1925" s="9">
        <v>0</v>
      </c>
      <c r="H1925" s="9">
        <v>0</v>
      </c>
      <c r="I1925" s="9">
        <v>0</v>
      </c>
      <c r="J1925" s="9">
        <v>0</v>
      </c>
      <c r="K1925" s="9">
        <v>0</v>
      </c>
      <c r="L1925" s="9">
        <v>0</v>
      </c>
      <c r="M1925" s="9">
        <v>0</v>
      </c>
      <c r="N1925" s="9">
        <v>0</v>
      </c>
      <c r="O1925" s="9">
        <v>0</v>
      </c>
      <c r="P1925" s="9">
        <v>0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</row>
    <row r="1926" spans="1:21" x14ac:dyDescent="0.2">
      <c r="A1926" t="s">
        <v>862</v>
      </c>
      <c r="B1926">
        <v>635</v>
      </c>
      <c r="C1926">
        <v>1</v>
      </c>
      <c r="D1926" t="s">
        <v>261</v>
      </c>
      <c r="E1926" s="9">
        <v>0</v>
      </c>
      <c r="F1926" s="9">
        <v>0</v>
      </c>
      <c r="G1926" s="9">
        <v>0</v>
      </c>
      <c r="H1926" s="9">
        <v>0</v>
      </c>
      <c r="I1926" s="9">
        <v>0</v>
      </c>
      <c r="J1926" s="9">
        <v>0</v>
      </c>
      <c r="K1926" s="9">
        <v>0</v>
      </c>
      <c r="L1926" s="9">
        <v>0</v>
      </c>
      <c r="M1926" s="9">
        <v>0</v>
      </c>
      <c r="N1926" s="9">
        <v>0</v>
      </c>
      <c r="O1926" s="9">
        <v>0</v>
      </c>
      <c r="P1926" s="9">
        <v>0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</row>
    <row r="1927" spans="1:21" x14ac:dyDescent="0.2">
      <c r="A1927" t="s">
        <v>862</v>
      </c>
      <c r="B1927">
        <v>640</v>
      </c>
      <c r="C1927">
        <v>1</v>
      </c>
      <c r="D1927" t="s">
        <v>262</v>
      </c>
      <c r="E1927" s="9">
        <v>0</v>
      </c>
      <c r="F1927" s="9">
        <v>0</v>
      </c>
      <c r="G1927" s="9">
        <v>0</v>
      </c>
      <c r="H1927" s="9">
        <v>0</v>
      </c>
      <c r="I1927" s="9">
        <v>0</v>
      </c>
      <c r="J1927" s="9">
        <v>0</v>
      </c>
      <c r="K1927" s="9">
        <v>0</v>
      </c>
      <c r="L1927" s="9">
        <v>0</v>
      </c>
      <c r="M1927" s="9">
        <v>0</v>
      </c>
      <c r="N1927" s="9">
        <v>0</v>
      </c>
      <c r="O1927" s="9">
        <v>0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</row>
    <row r="1928" spans="1:21" x14ac:dyDescent="0.2">
      <c r="A1928" t="s">
        <v>862</v>
      </c>
      <c r="B1928">
        <v>656</v>
      </c>
      <c r="C1928">
        <v>1</v>
      </c>
      <c r="D1928" t="s">
        <v>263</v>
      </c>
      <c r="E1928" s="9">
        <v>0</v>
      </c>
      <c r="F1928" s="9">
        <v>0</v>
      </c>
      <c r="G1928" s="9">
        <v>0</v>
      </c>
      <c r="H1928" s="9">
        <v>0</v>
      </c>
      <c r="I1928" s="9">
        <v>0</v>
      </c>
      <c r="J1928" s="9">
        <v>0</v>
      </c>
      <c r="K1928" s="9">
        <v>0</v>
      </c>
      <c r="L1928" s="9">
        <v>0</v>
      </c>
      <c r="M1928" s="9">
        <v>0</v>
      </c>
      <c r="N1928" s="9">
        <v>0</v>
      </c>
      <c r="O1928" s="9">
        <v>0</v>
      </c>
      <c r="P1928" s="9">
        <v>0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</row>
    <row r="1929" spans="1:21" x14ac:dyDescent="0.2">
      <c r="A1929" t="s">
        <v>862</v>
      </c>
      <c r="B1929">
        <v>659</v>
      </c>
      <c r="C1929">
        <v>1</v>
      </c>
      <c r="D1929" t="s">
        <v>264</v>
      </c>
      <c r="E1929" s="9">
        <v>0</v>
      </c>
      <c r="F1929" s="9">
        <v>0</v>
      </c>
      <c r="G1929" s="9">
        <v>0</v>
      </c>
      <c r="H1929" s="9">
        <v>0</v>
      </c>
      <c r="I1929" s="9">
        <v>0</v>
      </c>
      <c r="J1929" s="9">
        <v>0</v>
      </c>
      <c r="K1929" s="9">
        <v>0</v>
      </c>
      <c r="L1929" s="9">
        <v>0</v>
      </c>
      <c r="M1929" s="9">
        <v>0</v>
      </c>
      <c r="N1929" s="9">
        <v>0</v>
      </c>
      <c r="O1929" s="9">
        <v>0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</row>
    <row r="1930" spans="1:21" x14ac:dyDescent="0.2">
      <c r="A1930" t="s">
        <v>862</v>
      </c>
      <c r="B1930">
        <v>671</v>
      </c>
      <c r="C1930">
        <v>1</v>
      </c>
      <c r="D1930" t="s">
        <v>265</v>
      </c>
      <c r="E1930" s="9">
        <v>0</v>
      </c>
      <c r="F1930" s="9">
        <v>0</v>
      </c>
      <c r="G1930" s="9">
        <v>0</v>
      </c>
      <c r="H1930" s="9">
        <v>0</v>
      </c>
      <c r="I1930" s="9">
        <v>0</v>
      </c>
      <c r="J1930" s="9">
        <v>1</v>
      </c>
      <c r="K1930" s="9">
        <v>1</v>
      </c>
      <c r="L1930" s="9">
        <v>1</v>
      </c>
      <c r="M1930" s="9">
        <v>1</v>
      </c>
      <c r="N1930" s="9">
        <v>1</v>
      </c>
      <c r="O1930" s="9">
        <v>1</v>
      </c>
      <c r="P1930" s="9">
        <v>1</v>
      </c>
      <c r="Q1930" s="9">
        <v>1</v>
      </c>
      <c r="R1930" s="9">
        <v>1</v>
      </c>
      <c r="S1930" s="9">
        <v>1</v>
      </c>
      <c r="T1930" s="9">
        <v>1</v>
      </c>
      <c r="U1930" s="9">
        <v>1</v>
      </c>
    </row>
    <row r="1931" spans="1:21" x14ac:dyDescent="0.2">
      <c r="A1931" t="s">
        <v>862</v>
      </c>
      <c r="B1931">
        <v>676</v>
      </c>
      <c r="C1931">
        <v>1</v>
      </c>
      <c r="D1931" t="s">
        <v>266</v>
      </c>
      <c r="E1931" s="9">
        <v>0</v>
      </c>
      <c r="F1931" s="9">
        <v>0</v>
      </c>
      <c r="G1931" s="9">
        <v>0</v>
      </c>
      <c r="H1931" s="9">
        <v>0</v>
      </c>
      <c r="I1931" s="9">
        <v>0</v>
      </c>
      <c r="J1931" s="9">
        <v>0</v>
      </c>
      <c r="K1931" s="9">
        <v>0</v>
      </c>
      <c r="L1931" s="9">
        <v>0</v>
      </c>
      <c r="M1931" s="9">
        <v>0</v>
      </c>
      <c r="N1931" s="9">
        <v>0</v>
      </c>
      <c r="O1931" s="9">
        <v>0</v>
      </c>
      <c r="P1931" s="9">
        <v>0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</row>
    <row r="1932" spans="1:21" x14ac:dyDescent="0.2">
      <c r="A1932" t="s">
        <v>862</v>
      </c>
      <c r="B1932">
        <v>682</v>
      </c>
      <c r="C1932">
        <v>1</v>
      </c>
      <c r="D1932" t="s">
        <v>267</v>
      </c>
      <c r="E1932" s="9">
        <v>0</v>
      </c>
      <c r="F1932" s="9">
        <v>0</v>
      </c>
      <c r="G1932" s="9">
        <v>0</v>
      </c>
      <c r="H1932" s="9">
        <v>0</v>
      </c>
      <c r="I1932" s="9">
        <v>0</v>
      </c>
      <c r="J1932" s="9">
        <v>0</v>
      </c>
      <c r="K1932" s="9">
        <v>0</v>
      </c>
      <c r="L1932" s="9">
        <v>0</v>
      </c>
      <c r="M1932" s="9">
        <v>0</v>
      </c>
      <c r="N1932" s="9">
        <v>0</v>
      </c>
      <c r="O1932" s="9">
        <v>0</v>
      </c>
      <c r="P1932" s="9">
        <v>0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</row>
    <row r="1933" spans="1:21" x14ac:dyDescent="0.2">
      <c r="A1933" t="s">
        <v>862</v>
      </c>
      <c r="B1933">
        <v>690</v>
      </c>
      <c r="C1933">
        <v>1</v>
      </c>
      <c r="D1933" t="s">
        <v>268</v>
      </c>
      <c r="E1933" s="9">
        <v>0</v>
      </c>
      <c r="F1933" s="9">
        <v>0</v>
      </c>
      <c r="G1933" s="9">
        <v>0</v>
      </c>
      <c r="H1933" s="9">
        <v>0</v>
      </c>
      <c r="I1933" s="9">
        <v>0</v>
      </c>
      <c r="J1933" s="9">
        <v>0</v>
      </c>
      <c r="K1933" s="9">
        <v>0</v>
      </c>
      <c r="L1933" s="9">
        <v>0</v>
      </c>
      <c r="M1933" s="9">
        <v>0</v>
      </c>
      <c r="N1933" s="9">
        <v>0</v>
      </c>
      <c r="O1933" s="9">
        <v>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</row>
    <row r="1934" spans="1:21" x14ac:dyDescent="0.2">
      <c r="A1934" t="s">
        <v>862</v>
      </c>
      <c r="B1934">
        <v>695</v>
      </c>
      <c r="C1934">
        <v>1</v>
      </c>
      <c r="D1934" t="s">
        <v>269</v>
      </c>
      <c r="E1934" s="9">
        <v>0</v>
      </c>
      <c r="F1934" s="9">
        <v>0</v>
      </c>
      <c r="G1934" s="9">
        <v>0</v>
      </c>
      <c r="H1934" s="9">
        <v>0</v>
      </c>
      <c r="I1934" s="9">
        <v>0</v>
      </c>
      <c r="J1934" s="9">
        <v>0</v>
      </c>
      <c r="K1934" s="9">
        <v>0</v>
      </c>
      <c r="L1934" s="9">
        <v>0</v>
      </c>
      <c r="M1934" s="9">
        <v>0</v>
      </c>
      <c r="N1934" s="9">
        <v>0</v>
      </c>
      <c r="O1934" s="9">
        <v>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</row>
    <row r="1935" spans="1:21" x14ac:dyDescent="0.2">
      <c r="A1935" t="s">
        <v>862</v>
      </c>
      <c r="B1935">
        <v>696</v>
      </c>
      <c r="C1935">
        <v>1</v>
      </c>
      <c r="D1935" t="s">
        <v>270</v>
      </c>
      <c r="E1935" s="9">
        <v>0</v>
      </c>
      <c r="F1935" s="9">
        <v>0</v>
      </c>
      <c r="G1935" s="9">
        <v>0</v>
      </c>
      <c r="H1935" s="9">
        <v>0</v>
      </c>
      <c r="I1935" s="9">
        <v>0</v>
      </c>
      <c r="J1935" s="9">
        <v>0</v>
      </c>
      <c r="K1935" s="9">
        <v>0</v>
      </c>
      <c r="L1935" s="9">
        <v>0</v>
      </c>
      <c r="M1935" s="9">
        <v>0</v>
      </c>
      <c r="N1935" s="9">
        <v>0</v>
      </c>
      <c r="O1935" s="9">
        <v>0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</row>
    <row r="1936" spans="1:21" x14ac:dyDescent="0.2">
      <c r="A1936" t="s">
        <v>862</v>
      </c>
      <c r="B1936">
        <v>698</v>
      </c>
      <c r="C1936">
        <v>1</v>
      </c>
      <c r="D1936" t="s">
        <v>271</v>
      </c>
      <c r="E1936" s="9">
        <v>0</v>
      </c>
      <c r="F1936" s="9">
        <v>0</v>
      </c>
      <c r="G1936" s="9">
        <v>0</v>
      </c>
      <c r="H1936" s="9">
        <v>0</v>
      </c>
      <c r="I1936" s="9">
        <v>0</v>
      </c>
      <c r="J1936" s="9">
        <v>0</v>
      </c>
      <c r="K1936" s="9">
        <v>0</v>
      </c>
      <c r="L1936" s="9">
        <v>0</v>
      </c>
      <c r="M1936" s="9">
        <v>0</v>
      </c>
      <c r="N1936" s="9">
        <v>0</v>
      </c>
      <c r="O1936" s="9">
        <v>0</v>
      </c>
      <c r="P1936" s="9">
        <v>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</row>
    <row r="1937" spans="1:21" x14ac:dyDescent="0.2">
      <c r="A1937" t="s">
        <v>862</v>
      </c>
      <c r="B1937">
        <v>700</v>
      </c>
      <c r="C1937">
        <v>1</v>
      </c>
      <c r="D1937" t="s">
        <v>272</v>
      </c>
      <c r="E1937" s="9">
        <v>0</v>
      </c>
      <c r="F1937" s="9">
        <v>0</v>
      </c>
      <c r="G1937" s="9">
        <v>0</v>
      </c>
      <c r="H1937" s="9">
        <v>0</v>
      </c>
      <c r="I1937" s="9">
        <v>0</v>
      </c>
      <c r="J1937" s="9">
        <v>0</v>
      </c>
      <c r="K1937" s="9">
        <v>0</v>
      </c>
      <c r="L1937" s="9">
        <v>0</v>
      </c>
      <c r="M1937" s="9">
        <v>0</v>
      </c>
      <c r="N1937" s="9">
        <v>0</v>
      </c>
      <c r="O1937" s="9">
        <v>0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</row>
    <row r="1938" spans="1:21" x14ac:dyDescent="0.2">
      <c r="A1938" t="s">
        <v>862</v>
      </c>
      <c r="B1938">
        <v>701</v>
      </c>
      <c r="C1938">
        <v>1</v>
      </c>
      <c r="D1938" t="s">
        <v>273</v>
      </c>
      <c r="E1938" s="9">
        <v>0</v>
      </c>
      <c r="F1938" s="9">
        <v>0</v>
      </c>
      <c r="G1938" s="9">
        <v>0</v>
      </c>
      <c r="H1938" s="9">
        <v>0</v>
      </c>
      <c r="I1938" s="9">
        <v>0</v>
      </c>
      <c r="J1938" s="9">
        <v>0</v>
      </c>
      <c r="K1938" s="9">
        <v>0</v>
      </c>
      <c r="L1938" s="9">
        <v>0</v>
      </c>
      <c r="M1938" s="9">
        <v>0</v>
      </c>
      <c r="N1938" s="9">
        <v>0</v>
      </c>
      <c r="O1938" s="9">
        <v>0</v>
      </c>
      <c r="P1938" s="9">
        <v>0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</row>
    <row r="1939" spans="1:21" x14ac:dyDescent="0.2">
      <c r="A1939" t="s">
        <v>862</v>
      </c>
      <c r="B1939">
        <v>704</v>
      </c>
      <c r="C1939">
        <v>1</v>
      </c>
      <c r="D1939" t="s">
        <v>274</v>
      </c>
      <c r="E1939" s="9">
        <v>0</v>
      </c>
      <c r="F1939" s="9">
        <v>0</v>
      </c>
      <c r="G1939" s="9">
        <v>0</v>
      </c>
      <c r="H1939" s="9">
        <v>0</v>
      </c>
      <c r="I1939" s="9">
        <v>0</v>
      </c>
      <c r="J1939" s="9">
        <v>0</v>
      </c>
      <c r="K1939" s="9">
        <v>0</v>
      </c>
      <c r="L1939" s="9">
        <v>0</v>
      </c>
      <c r="M1939" s="9">
        <v>0</v>
      </c>
      <c r="N1939" s="9">
        <v>0</v>
      </c>
      <c r="O1939" s="9">
        <v>0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</row>
    <row r="1940" spans="1:21" x14ac:dyDescent="0.2">
      <c r="A1940" t="s">
        <v>862</v>
      </c>
      <c r="B1940">
        <v>706</v>
      </c>
      <c r="C1940">
        <v>1</v>
      </c>
      <c r="D1940" t="s">
        <v>275</v>
      </c>
      <c r="E1940" s="9">
        <v>0</v>
      </c>
      <c r="F1940" s="9">
        <v>0</v>
      </c>
      <c r="G1940" s="9">
        <v>0</v>
      </c>
      <c r="H1940" s="9">
        <v>0</v>
      </c>
      <c r="I1940" s="9">
        <v>0</v>
      </c>
      <c r="J1940" s="9">
        <v>0</v>
      </c>
      <c r="K1940" s="9">
        <v>0</v>
      </c>
      <c r="L1940" s="9">
        <v>0</v>
      </c>
      <c r="M1940" s="9">
        <v>0</v>
      </c>
      <c r="N1940" s="9">
        <v>0</v>
      </c>
      <c r="O1940" s="9">
        <v>0</v>
      </c>
      <c r="P1940" s="9">
        <v>0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</row>
    <row r="1941" spans="1:21" x14ac:dyDescent="0.2">
      <c r="A1941" t="s">
        <v>862</v>
      </c>
      <c r="B1941">
        <v>707</v>
      </c>
      <c r="C1941">
        <v>1</v>
      </c>
      <c r="D1941" t="s">
        <v>276</v>
      </c>
      <c r="E1941" s="9">
        <v>0</v>
      </c>
      <c r="F1941" s="9">
        <v>0</v>
      </c>
      <c r="G1941" s="9">
        <v>0</v>
      </c>
      <c r="H1941" s="9">
        <v>0</v>
      </c>
      <c r="I1941" s="9">
        <v>0</v>
      </c>
      <c r="J1941" s="9">
        <v>0</v>
      </c>
      <c r="K1941" s="9">
        <v>0</v>
      </c>
      <c r="L1941" s="9">
        <v>0</v>
      </c>
      <c r="M1941" s="9">
        <v>0</v>
      </c>
      <c r="N1941" s="9">
        <v>0</v>
      </c>
      <c r="O1941" s="9">
        <v>0</v>
      </c>
      <c r="P1941" s="9">
        <v>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</row>
    <row r="1942" spans="1:21" x14ac:dyDescent="0.2">
      <c r="A1942" t="s">
        <v>862</v>
      </c>
      <c r="B1942">
        <v>709</v>
      </c>
      <c r="C1942">
        <v>1</v>
      </c>
      <c r="D1942" t="s">
        <v>277</v>
      </c>
      <c r="E1942" s="9">
        <v>0</v>
      </c>
      <c r="F1942" s="9">
        <v>0</v>
      </c>
      <c r="G1942" s="9">
        <v>0</v>
      </c>
      <c r="H1942" s="9">
        <v>0</v>
      </c>
      <c r="I1942" s="9">
        <v>0</v>
      </c>
      <c r="J1942" s="9">
        <v>0</v>
      </c>
      <c r="K1942" s="9">
        <v>0</v>
      </c>
      <c r="L1942" s="9">
        <v>0</v>
      </c>
      <c r="M1942" s="9">
        <v>0</v>
      </c>
      <c r="N1942" s="9">
        <v>0</v>
      </c>
      <c r="O1942" s="9">
        <v>0</v>
      </c>
      <c r="P1942" s="9">
        <v>0</v>
      </c>
      <c r="Q1942" s="9">
        <v>0</v>
      </c>
      <c r="R1942" s="9">
        <v>0</v>
      </c>
      <c r="S1942" s="9">
        <v>0</v>
      </c>
      <c r="T1942" s="9">
        <v>0</v>
      </c>
      <c r="U1942" s="9">
        <v>0</v>
      </c>
    </row>
    <row r="1943" spans="1:21" x14ac:dyDescent="0.2">
      <c r="A1943" t="s">
        <v>862</v>
      </c>
      <c r="B1943">
        <v>712</v>
      </c>
      <c r="C1943">
        <v>1</v>
      </c>
      <c r="D1943" t="s">
        <v>278</v>
      </c>
      <c r="E1943" s="9">
        <v>0</v>
      </c>
      <c r="F1943" s="9">
        <v>0</v>
      </c>
      <c r="G1943" s="9">
        <v>0</v>
      </c>
      <c r="H1943" s="9">
        <v>0</v>
      </c>
      <c r="I1943" s="9">
        <v>0</v>
      </c>
      <c r="J1943" s="9">
        <v>0</v>
      </c>
      <c r="K1943" s="9">
        <v>0</v>
      </c>
      <c r="L1943" s="9">
        <v>0</v>
      </c>
      <c r="M1943" s="9">
        <v>0</v>
      </c>
      <c r="N1943" s="9">
        <v>0</v>
      </c>
      <c r="O1943" s="9">
        <v>0</v>
      </c>
      <c r="P1943" s="9">
        <v>0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</row>
    <row r="1944" spans="1:21" x14ac:dyDescent="0.2">
      <c r="A1944" t="s">
        <v>862</v>
      </c>
      <c r="B1944">
        <v>716</v>
      </c>
      <c r="C1944">
        <v>1</v>
      </c>
      <c r="D1944" t="s">
        <v>279</v>
      </c>
      <c r="E1944" s="9">
        <v>0</v>
      </c>
      <c r="F1944" s="9">
        <v>0</v>
      </c>
      <c r="G1944" s="9">
        <v>0</v>
      </c>
      <c r="H1944" s="9">
        <v>0</v>
      </c>
      <c r="I1944" s="9">
        <v>0</v>
      </c>
      <c r="J1944" s="9">
        <v>0</v>
      </c>
      <c r="K1944" s="9">
        <v>0</v>
      </c>
      <c r="L1944" s="9">
        <v>0</v>
      </c>
      <c r="M1944" s="9">
        <v>0</v>
      </c>
      <c r="N1944" s="9">
        <v>0</v>
      </c>
      <c r="O1944" s="9">
        <v>0</v>
      </c>
      <c r="P1944" s="9">
        <v>0</v>
      </c>
      <c r="Q1944" s="9">
        <v>0</v>
      </c>
      <c r="R1944" s="9">
        <v>0</v>
      </c>
      <c r="S1944" s="9">
        <v>0</v>
      </c>
      <c r="T1944" s="9">
        <v>0</v>
      </c>
      <c r="U1944" s="9">
        <v>0</v>
      </c>
    </row>
    <row r="1945" spans="1:21" x14ac:dyDescent="0.2">
      <c r="A1945" t="s">
        <v>862</v>
      </c>
      <c r="B1945">
        <v>717</v>
      </c>
      <c r="C1945">
        <v>1</v>
      </c>
      <c r="D1945" t="s">
        <v>280</v>
      </c>
      <c r="E1945" s="9">
        <v>0</v>
      </c>
      <c r="F1945" s="9">
        <v>0</v>
      </c>
      <c r="G1945" s="9">
        <v>0</v>
      </c>
      <c r="H1945" s="9">
        <v>0</v>
      </c>
      <c r="I1945" s="9">
        <v>0</v>
      </c>
      <c r="J1945" s="9">
        <v>0</v>
      </c>
      <c r="K1945" s="9">
        <v>0</v>
      </c>
      <c r="L1945" s="9">
        <v>0</v>
      </c>
      <c r="M1945" s="9">
        <v>0</v>
      </c>
      <c r="N1945" s="9">
        <v>0</v>
      </c>
      <c r="O1945" s="9">
        <v>0</v>
      </c>
      <c r="P1945" s="9">
        <v>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</row>
    <row r="1946" spans="1:21" x14ac:dyDescent="0.2">
      <c r="A1946" t="s">
        <v>862</v>
      </c>
      <c r="B1946">
        <v>719</v>
      </c>
      <c r="C1946">
        <v>1</v>
      </c>
      <c r="D1946" t="s">
        <v>281</v>
      </c>
      <c r="E1946" s="9">
        <v>0</v>
      </c>
      <c r="F1946" s="9">
        <v>0</v>
      </c>
      <c r="G1946" s="9">
        <v>0</v>
      </c>
      <c r="H1946" s="9">
        <v>0</v>
      </c>
      <c r="I1946" s="9">
        <v>0</v>
      </c>
      <c r="J1946" s="9">
        <v>0</v>
      </c>
      <c r="K1946" s="9">
        <v>0</v>
      </c>
      <c r="L1946" s="9">
        <v>0</v>
      </c>
      <c r="M1946" s="9">
        <v>0</v>
      </c>
      <c r="N1946" s="9">
        <v>0</v>
      </c>
      <c r="O1946" s="9">
        <v>0</v>
      </c>
      <c r="P1946" s="9">
        <v>0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</row>
    <row r="1947" spans="1:21" x14ac:dyDescent="0.2">
      <c r="A1947" t="s">
        <v>862</v>
      </c>
      <c r="B1947">
        <v>720</v>
      </c>
      <c r="C1947">
        <v>1</v>
      </c>
      <c r="D1947" t="s">
        <v>282</v>
      </c>
      <c r="E1947" s="9">
        <v>0</v>
      </c>
      <c r="F1947" s="9">
        <v>0</v>
      </c>
      <c r="G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0</v>
      </c>
      <c r="M1947" s="9">
        <v>0</v>
      </c>
      <c r="N1947" s="9">
        <v>0</v>
      </c>
      <c r="O1947" s="9">
        <v>0</v>
      </c>
      <c r="P1947" s="9">
        <v>0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</row>
    <row r="1948" spans="1:21" x14ac:dyDescent="0.2">
      <c r="A1948" t="s">
        <v>862</v>
      </c>
      <c r="B1948">
        <v>721</v>
      </c>
      <c r="C1948">
        <v>1</v>
      </c>
      <c r="D1948" t="s">
        <v>283</v>
      </c>
      <c r="E1948" s="9">
        <v>0</v>
      </c>
      <c r="F1948" s="9">
        <v>0</v>
      </c>
      <c r="G1948" s="9">
        <v>0</v>
      </c>
      <c r="H1948" s="9">
        <v>0</v>
      </c>
      <c r="I1948" s="9">
        <v>0</v>
      </c>
      <c r="J1948" s="9">
        <v>0</v>
      </c>
      <c r="K1948" s="9">
        <v>0</v>
      </c>
      <c r="L1948" s="9">
        <v>0</v>
      </c>
      <c r="M1948" s="9">
        <v>0</v>
      </c>
      <c r="N1948" s="9">
        <v>0</v>
      </c>
      <c r="O1948" s="9">
        <v>0</v>
      </c>
      <c r="P1948" s="9">
        <v>0</v>
      </c>
      <c r="Q1948" s="9">
        <v>0</v>
      </c>
      <c r="R1948" s="9">
        <v>0</v>
      </c>
      <c r="S1948" s="9">
        <v>0</v>
      </c>
      <c r="T1948" s="9">
        <v>0</v>
      </c>
      <c r="U1948" s="9">
        <v>0</v>
      </c>
    </row>
    <row r="1949" spans="1:21" x14ac:dyDescent="0.2">
      <c r="A1949" t="s">
        <v>862</v>
      </c>
      <c r="B1949">
        <v>726</v>
      </c>
      <c r="C1949">
        <v>1</v>
      </c>
      <c r="D1949" t="s">
        <v>284</v>
      </c>
      <c r="E1949" s="9">
        <v>0</v>
      </c>
      <c r="F1949" s="9">
        <v>0</v>
      </c>
      <c r="G1949" s="9">
        <v>0</v>
      </c>
      <c r="H1949" s="9">
        <v>0</v>
      </c>
      <c r="I1949" s="9">
        <v>0</v>
      </c>
      <c r="J1949" s="9">
        <v>0</v>
      </c>
      <c r="K1949" s="9">
        <v>0</v>
      </c>
      <c r="L1949" s="9">
        <v>0</v>
      </c>
      <c r="M1949" s="9">
        <v>0</v>
      </c>
      <c r="N1949" s="9">
        <v>0</v>
      </c>
      <c r="O1949" s="9">
        <v>0</v>
      </c>
      <c r="P1949" s="9">
        <v>0</v>
      </c>
      <c r="Q1949" s="9">
        <v>0</v>
      </c>
      <c r="R1949" s="9">
        <v>0</v>
      </c>
      <c r="S1949" s="9">
        <v>0</v>
      </c>
      <c r="T1949" s="9">
        <v>0</v>
      </c>
      <c r="U1949" s="9">
        <v>0</v>
      </c>
    </row>
    <row r="1950" spans="1:21" x14ac:dyDescent="0.2">
      <c r="A1950" t="s">
        <v>862</v>
      </c>
      <c r="B1950">
        <v>727</v>
      </c>
      <c r="C1950">
        <v>1</v>
      </c>
      <c r="D1950" t="s">
        <v>285</v>
      </c>
      <c r="E1950" s="9">
        <v>0</v>
      </c>
      <c r="F1950" s="9">
        <v>0</v>
      </c>
      <c r="G1950" s="9">
        <v>0</v>
      </c>
      <c r="H1950" s="9">
        <v>0</v>
      </c>
      <c r="I1950" s="9">
        <v>0</v>
      </c>
      <c r="J1950" s="9">
        <v>0</v>
      </c>
      <c r="K1950" s="9">
        <v>0</v>
      </c>
      <c r="L1950" s="9">
        <v>0</v>
      </c>
      <c r="M1950" s="9">
        <v>0</v>
      </c>
      <c r="N1950" s="9">
        <v>0</v>
      </c>
      <c r="O1950" s="9">
        <v>0</v>
      </c>
      <c r="P1950" s="9">
        <v>0</v>
      </c>
      <c r="Q1950" s="9">
        <v>0</v>
      </c>
      <c r="R1950" s="9">
        <v>0</v>
      </c>
      <c r="S1950" s="9">
        <v>0</v>
      </c>
      <c r="T1950" s="9">
        <v>0</v>
      </c>
      <c r="U1950" s="9">
        <v>0</v>
      </c>
    </row>
    <row r="1951" spans="1:21" x14ac:dyDescent="0.2">
      <c r="A1951" t="s">
        <v>862</v>
      </c>
      <c r="B1951">
        <v>728</v>
      </c>
      <c r="C1951">
        <v>1</v>
      </c>
      <c r="D1951" t="s">
        <v>286</v>
      </c>
      <c r="E1951" s="9">
        <v>0</v>
      </c>
      <c r="F1951" s="9">
        <v>0</v>
      </c>
      <c r="G1951" s="9">
        <v>0</v>
      </c>
      <c r="H1951" s="9">
        <v>0</v>
      </c>
      <c r="I1951" s="9">
        <v>0</v>
      </c>
      <c r="J1951" s="9">
        <v>0</v>
      </c>
      <c r="K1951" s="9">
        <v>0</v>
      </c>
      <c r="L1951" s="9">
        <v>0</v>
      </c>
      <c r="M1951" s="9">
        <v>0</v>
      </c>
      <c r="N1951" s="9">
        <v>0</v>
      </c>
      <c r="O1951" s="9">
        <v>0</v>
      </c>
      <c r="P1951" s="9">
        <v>0</v>
      </c>
      <c r="Q1951" s="9">
        <v>0</v>
      </c>
      <c r="R1951" s="9">
        <v>0</v>
      </c>
      <c r="S1951" s="9">
        <v>0</v>
      </c>
      <c r="T1951" s="9">
        <v>0</v>
      </c>
      <c r="U1951" s="9">
        <v>0</v>
      </c>
    </row>
    <row r="1952" spans="1:21" x14ac:dyDescent="0.2">
      <c r="A1952" t="s">
        <v>862</v>
      </c>
      <c r="B1952">
        <v>738</v>
      </c>
      <c r="C1952">
        <v>1</v>
      </c>
      <c r="D1952" t="s">
        <v>287</v>
      </c>
      <c r="E1952" s="9">
        <v>0</v>
      </c>
      <c r="F1952" s="9">
        <v>0</v>
      </c>
      <c r="G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0</v>
      </c>
      <c r="M1952" s="9">
        <v>0</v>
      </c>
      <c r="N1952" s="9">
        <v>0</v>
      </c>
      <c r="O1952" s="9">
        <v>0</v>
      </c>
      <c r="P1952" s="9">
        <v>0</v>
      </c>
      <c r="Q1952" s="9">
        <v>0</v>
      </c>
      <c r="R1952" s="9">
        <v>0</v>
      </c>
      <c r="S1952" s="9">
        <v>0</v>
      </c>
      <c r="T1952" s="9">
        <v>0</v>
      </c>
      <c r="U1952" s="9">
        <v>0</v>
      </c>
    </row>
    <row r="1953" spans="1:21" x14ac:dyDescent="0.2">
      <c r="A1953" t="s">
        <v>862</v>
      </c>
      <c r="B1953">
        <v>739</v>
      </c>
      <c r="C1953">
        <v>1</v>
      </c>
      <c r="D1953" t="s">
        <v>288</v>
      </c>
      <c r="E1953" s="9">
        <v>0</v>
      </c>
      <c r="F1953" s="9">
        <v>0</v>
      </c>
      <c r="G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0</v>
      </c>
      <c r="M1953" s="9">
        <v>0</v>
      </c>
      <c r="N1953" s="9">
        <v>0</v>
      </c>
      <c r="O1953" s="9">
        <v>0</v>
      </c>
      <c r="P1953" s="9">
        <v>0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</row>
    <row r="1954" spans="1:21" x14ac:dyDescent="0.2">
      <c r="A1954" t="s">
        <v>862</v>
      </c>
      <c r="B1954">
        <v>740</v>
      </c>
      <c r="C1954">
        <v>1</v>
      </c>
      <c r="D1954" t="s">
        <v>289</v>
      </c>
      <c r="E1954" s="9">
        <v>0</v>
      </c>
      <c r="F1954" s="9">
        <v>0</v>
      </c>
      <c r="G1954" s="9">
        <v>0</v>
      </c>
      <c r="H1954" s="9">
        <v>0</v>
      </c>
      <c r="I1954" s="9">
        <v>0</v>
      </c>
      <c r="J1954" s="9">
        <v>0</v>
      </c>
      <c r="K1954" s="9">
        <v>0</v>
      </c>
      <c r="L1954" s="9">
        <v>0</v>
      </c>
      <c r="M1954" s="9">
        <v>0</v>
      </c>
      <c r="N1954" s="9">
        <v>0</v>
      </c>
      <c r="O1954" s="9">
        <v>0</v>
      </c>
      <c r="P1954" s="9">
        <v>0</v>
      </c>
      <c r="Q1954" s="9">
        <v>0</v>
      </c>
      <c r="R1954" s="9">
        <v>0</v>
      </c>
      <c r="S1954" s="9">
        <v>0</v>
      </c>
      <c r="T1954" s="9">
        <v>0</v>
      </c>
      <c r="U1954" s="9">
        <v>0</v>
      </c>
    </row>
    <row r="1955" spans="1:21" x14ac:dyDescent="0.2">
      <c r="A1955" t="s">
        <v>862</v>
      </c>
      <c r="B1955">
        <v>741</v>
      </c>
      <c r="C1955">
        <v>1</v>
      </c>
      <c r="D1955" t="s">
        <v>290</v>
      </c>
      <c r="E1955" s="9">
        <v>0</v>
      </c>
      <c r="F1955" s="9">
        <v>0</v>
      </c>
      <c r="G1955" s="9">
        <v>0</v>
      </c>
      <c r="H1955" s="9">
        <v>0</v>
      </c>
      <c r="I1955" s="9">
        <v>0</v>
      </c>
      <c r="J1955" s="9">
        <v>0</v>
      </c>
      <c r="K1955" s="9">
        <v>0</v>
      </c>
      <c r="L1955" s="9">
        <v>0</v>
      </c>
      <c r="M1955" s="9">
        <v>0</v>
      </c>
      <c r="N1955" s="9">
        <v>0</v>
      </c>
      <c r="O1955" s="9">
        <v>0</v>
      </c>
      <c r="P1955" s="9">
        <v>0</v>
      </c>
      <c r="Q1955" s="9">
        <v>0</v>
      </c>
      <c r="R1955" s="9">
        <v>0</v>
      </c>
      <c r="S1955" s="9">
        <v>0</v>
      </c>
      <c r="T1955" s="9">
        <v>0</v>
      </c>
      <c r="U1955" s="9">
        <v>0</v>
      </c>
    </row>
    <row r="1956" spans="1:21" x14ac:dyDescent="0.2">
      <c r="A1956" t="s">
        <v>862</v>
      </c>
      <c r="B1956">
        <v>742</v>
      </c>
      <c r="C1956">
        <v>1</v>
      </c>
      <c r="D1956" t="s">
        <v>291</v>
      </c>
      <c r="E1956" s="9">
        <v>0</v>
      </c>
      <c r="F1956" s="9">
        <v>0</v>
      </c>
      <c r="G1956" s="9">
        <v>0</v>
      </c>
      <c r="H1956" s="9">
        <v>0</v>
      </c>
      <c r="I1956" s="9">
        <v>0</v>
      </c>
      <c r="J1956" s="9">
        <v>0</v>
      </c>
      <c r="K1956" s="9">
        <v>0</v>
      </c>
      <c r="L1956" s="9">
        <v>0</v>
      </c>
      <c r="M1956" s="9">
        <v>0</v>
      </c>
      <c r="N1956" s="9">
        <v>0</v>
      </c>
      <c r="O1956" s="9">
        <v>0</v>
      </c>
      <c r="P1956" s="9">
        <v>0</v>
      </c>
      <c r="Q1956" s="9">
        <v>0</v>
      </c>
      <c r="R1956" s="9">
        <v>0</v>
      </c>
      <c r="S1956" s="9">
        <v>0</v>
      </c>
      <c r="T1956" s="9">
        <v>0</v>
      </c>
      <c r="U1956" s="9">
        <v>0</v>
      </c>
    </row>
    <row r="1957" spans="1:21" x14ac:dyDescent="0.2">
      <c r="A1957" t="s">
        <v>862</v>
      </c>
      <c r="B1957">
        <v>743</v>
      </c>
      <c r="C1957">
        <v>1</v>
      </c>
      <c r="D1957" t="s">
        <v>292</v>
      </c>
      <c r="E1957" s="9">
        <v>0</v>
      </c>
      <c r="F1957" s="9">
        <v>0</v>
      </c>
      <c r="G1957" s="9">
        <v>0</v>
      </c>
      <c r="H1957" s="9">
        <v>0</v>
      </c>
      <c r="I1957" s="9">
        <v>0</v>
      </c>
      <c r="J1957" s="9">
        <v>0</v>
      </c>
      <c r="K1957" s="9">
        <v>0</v>
      </c>
      <c r="L1957" s="9">
        <v>0</v>
      </c>
      <c r="M1957" s="9">
        <v>0</v>
      </c>
      <c r="N1957" s="9">
        <v>0</v>
      </c>
      <c r="O1957" s="9">
        <v>0</v>
      </c>
      <c r="P1957" s="9">
        <v>0</v>
      </c>
      <c r="Q1957" s="9">
        <v>0</v>
      </c>
      <c r="R1957" s="9">
        <v>0</v>
      </c>
      <c r="S1957" s="9">
        <v>0</v>
      </c>
      <c r="T1957" s="9">
        <v>0</v>
      </c>
      <c r="U1957" s="9">
        <v>0</v>
      </c>
    </row>
    <row r="1958" spans="1:21" x14ac:dyDescent="0.2">
      <c r="A1958" t="s">
        <v>862</v>
      </c>
      <c r="B1958">
        <v>745</v>
      </c>
      <c r="C1958">
        <v>1</v>
      </c>
      <c r="D1958" t="s">
        <v>293</v>
      </c>
      <c r="E1958" s="9">
        <v>0</v>
      </c>
      <c r="F1958" s="9">
        <v>0</v>
      </c>
      <c r="G1958" s="9">
        <v>0</v>
      </c>
      <c r="H1958" s="9">
        <v>0</v>
      </c>
      <c r="I1958" s="9">
        <v>0</v>
      </c>
      <c r="J1958" s="9">
        <v>0</v>
      </c>
      <c r="K1958" s="9">
        <v>0</v>
      </c>
      <c r="L1958" s="9">
        <v>0</v>
      </c>
      <c r="M1958" s="9">
        <v>0</v>
      </c>
      <c r="N1958" s="9">
        <v>0</v>
      </c>
      <c r="O1958" s="9">
        <v>0</v>
      </c>
      <c r="P1958" s="9">
        <v>0</v>
      </c>
      <c r="Q1958" s="9">
        <v>0</v>
      </c>
      <c r="R1958" s="9">
        <v>0</v>
      </c>
      <c r="S1958" s="9">
        <v>0</v>
      </c>
      <c r="T1958" s="9">
        <v>0</v>
      </c>
      <c r="U1958" s="9">
        <v>0</v>
      </c>
    </row>
    <row r="1959" spans="1:21" x14ac:dyDescent="0.2">
      <c r="A1959" t="s">
        <v>862</v>
      </c>
      <c r="B1959">
        <v>748</v>
      </c>
      <c r="C1959">
        <v>1</v>
      </c>
      <c r="D1959" t="s">
        <v>294</v>
      </c>
      <c r="E1959" s="9">
        <v>0</v>
      </c>
      <c r="F1959" s="9">
        <v>0</v>
      </c>
      <c r="G1959" s="9">
        <v>0</v>
      </c>
      <c r="H1959" s="9">
        <v>0</v>
      </c>
      <c r="I1959" s="9">
        <v>0</v>
      </c>
      <c r="J1959" s="9">
        <v>0</v>
      </c>
      <c r="K1959" s="9">
        <v>0</v>
      </c>
      <c r="L1959" s="9">
        <v>0</v>
      </c>
      <c r="M1959" s="9">
        <v>0</v>
      </c>
      <c r="N1959" s="9">
        <v>0</v>
      </c>
      <c r="O1959" s="9">
        <v>0</v>
      </c>
      <c r="P1959" s="9">
        <v>0</v>
      </c>
      <c r="Q1959" s="9">
        <v>0</v>
      </c>
      <c r="R1959" s="9">
        <v>0</v>
      </c>
      <c r="S1959" s="9">
        <v>0</v>
      </c>
      <c r="T1959" s="9">
        <v>0</v>
      </c>
      <c r="U1959" s="9">
        <v>0</v>
      </c>
    </row>
    <row r="1960" spans="1:21" x14ac:dyDescent="0.2">
      <c r="A1960" t="s">
        <v>862</v>
      </c>
      <c r="B1960">
        <v>750</v>
      </c>
      <c r="C1960">
        <v>1</v>
      </c>
      <c r="D1960" t="s">
        <v>295</v>
      </c>
      <c r="E1960" s="9">
        <v>0</v>
      </c>
      <c r="F1960" s="9">
        <v>0</v>
      </c>
      <c r="G1960" s="9">
        <v>0</v>
      </c>
      <c r="H1960" s="9">
        <v>0</v>
      </c>
      <c r="I1960" s="9">
        <v>0</v>
      </c>
      <c r="J1960" s="9">
        <v>0</v>
      </c>
      <c r="K1960" s="9">
        <v>0</v>
      </c>
      <c r="L1960" s="9">
        <v>0</v>
      </c>
      <c r="M1960" s="9">
        <v>0</v>
      </c>
      <c r="N1960" s="9">
        <v>0</v>
      </c>
      <c r="O1960" s="9">
        <v>0</v>
      </c>
      <c r="P1960" s="9">
        <v>0</v>
      </c>
      <c r="Q1960" s="9">
        <v>0</v>
      </c>
      <c r="R1960" s="9">
        <v>0</v>
      </c>
      <c r="S1960" s="9">
        <v>0</v>
      </c>
      <c r="T1960" s="9">
        <v>0</v>
      </c>
      <c r="U1960" s="9">
        <v>0</v>
      </c>
    </row>
    <row r="1961" spans="1:21" x14ac:dyDescent="0.2">
      <c r="A1961" t="s">
        <v>862</v>
      </c>
      <c r="B1961">
        <v>756</v>
      </c>
      <c r="C1961">
        <v>1</v>
      </c>
      <c r="D1961" t="s">
        <v>296</v>
      </c>
      <c r="E1961" s="9">
        <v>0</v>
      </c>
      <c r="F1961" s="9">
        <v>0</v>
      </c>
      <c r="G1961" s="9">
        <v>0</v>
      </c>
      <c r="H1961" s="9">
        <v>0</v>
      </c>
      <c r="I1961" s="9">
        <v>0</v>
      </c>
      <c r="J1961" s="9">
        <v>0</v>
      </c>
      <c r="K1961" s="9">
        <v>0</v>
      </c>
      <c r="L1961" s="9">
        <v>0</v>
      </c>
      <c r="M1961" s="9">
        <v>0</v>
      </c>
      <c r="N1961" s="9">
        <v>0</v>
      </c>
      <c r="O1961" s="9">
        <v>0</v>
      </c>
      <c r="P1961" s="9">
        <v>0</v>
      </c>
      <c r="Q1961" s="9">
        <v>0</v>
      </c>
      <c r="R1961" s="9">
        <v>0</v>
      </c>
      <c r="S1961" s="9">
        <v>0</v>
      </c>
      <c r="T1961" s="9">
        <v>0</v>
      </c>
      <c r="U1961" s="9">
        <v>0</v>
      </c>
    </row>
    <row r="1962" spans="1:21" x14ac:dyDescent="0.2">
      <c r="A1962" t="s">
        <v>862</v>
      </c>
      <c r="B1962">
        <v>761</v>
      </c>
      <c r="C1962">
        <v>1</v>
      </c>
      <c r="D1962" t="s">
        <v>297</v>
      </c>
      <c r="E1962" s="9">
        <v>0</v>
      </c>
      <c r="F1962" s="9">
        <v>0</v>
      </c>
      <c r="G1962" s="9">
        <v>0</v>
      </c>
      <c r="H1962" s="9">
        <v>0</v>
      </c>
      <c r="I1962" s="9">
        <v>0</v>
      </c>
      <c r="J1962" s="9">
        <v>0</v>
      </c>
      <c r="K1962" s="9">
        <v>0</v>
      </c>
      <c r="L1962" s="9">
        <v>0</v>
      </c>
      <c r="M1962" s="9">
        <v>0</v>
      </c>
      <c r="N1962" s="9">
        <v>0</v>
      </c>
      <c r="O1962" s="9">
        <v>0</v>
      </c>
      <c r="P1962" s="9">
        <v>0</v>
      </c>
      <c r="Q1962" s="9">
        <v>0</v>
      </c>
      <c r="R1962" s="9">
        <v>0</v>
      </c>
      <c r="S1962" s="9">
        <v>0</v>
      </c>
      <c r="T1962" s="9">
        <v>0</v>
      </c>
      <c r="U1962" s="9">
        <v>0</v>
      </c>
    </row>
    <row r="1963" spans="1:21" x14ac:dyDescent="0.2">
      <c r="A1963" t="s">
        <v>862</v>
      </c>
      <c r="B1963">
        <v>763</v>
      </c>
      <c r="C1963">
        <v>1</v>
      </c>
      <c r="D1963" t="s">
        <v>298</v>
      </c>
      <c r="E1963" s="9">
        <v>0</v>
      </c>
      <c r="F1963" s="9">
        <v>0</v>
      </c>
      <c r="G1963" s="9">
        <v>0</v>
      </c>
      <c r="H1963" s="9">
        <v>0</v>
      </c>
      <c r="I1963" s="9">
        <v>0</v>
      </c>
      <c r="J1963" s="9">
        <v>0</v>
      </c>
      <c r="K1963" s="9">
        <v>0</v>
      </c>
      <c r="L1963" s="9">
        <v>0</v>
      </c>
      <c r="M1963" s="9">
        <v>0</v>
      </c>
      <c r="N1963" s="9">
        <v>0</v>
      </c>
      <c r="O1963" s="9">
        <v>0</v>
      </c>
      <c r="P1963" s="9">
        <v>0</v>
      </c>
      <c r="Q1963" s="9">
        <v>0</v>
      </c>
      <c r="R1963" s="9">
        <v>0</v>
      </c>
      <c r="S1963" s="9">
        <v>0</v>
      </c>
      <c r="T1963" s="9">
        <v>0</v>
      </c>
      <c r="U1963" s="9">
        <v>0</v>
      </c>
    </row>
    <row r="1964" spans="1:21" x14ac:dyDescent="0.2">
      <c r="A1964" t="s">
        <v>862</v>
      </c>
      <c r="B1964">
        <v>768</v>
      </c>
      <c r="C1964">
        <v>1</v>
      </c>
      <c r="D1964" t="s">
        <v>299</v>
      </c>
      <c r="E1964" s="9">
        <v>0</v>
      </c>
      <c r="F1964" s="9">
        <v>0</v>
      </c>
      <c r="G1964" s="9">
        <v>0</v>
      </c>
      <c r="H1964" s="9">
        <v>0</v>
      </c>
      <c r="I1964" s="9">
        <v>0</v>
      </c>
      <c r="J1964" s="9">
        <v>0</v>
      </c>
      <c r="K1964" s="9">
        <v>0</v>
      </c>
      <c r="L1964" s="9">
        <v>0</v>
      </c>
      <c r="M1964" s="9">
        <v>0</v>
      </c>
      <c r="N1964" s="9">
        <v>0</v>
      </c>
      <c r="O1964" s="9">
        <v>0</v>
      </c>
      <c r="P1964" s="9">
        <v>0</v>
      </c>
      <c r="Q1964" s="9">
        <v>0</v>
      </c>
      <c r="R1964" s="9">
        <v>0</v>
      </c>
      <c r="S1964" s="9">
        <v>0</v>
      </c>
      <c r="T1964" s="9">
        <v>0</v>
      </c>
      <c r="U1964" s="9">
        <v>0</v>
      </c>
    </row>
    <row r="1965" spans="1:21" x14ac:dyDescent="0.2">
      <c r="A1965" t="s">
        <v>862</v>
      </c>
      <c r="B1965">
        <v>769</v>
      </c>
      <c r="C1965">
        <v>1</v>
      </c>
      <c r="D1965" t="s">
        <v>300</v>
      </c>
      <c r="E1965" s="9">
        <v>0</v>
      </c>
      <c r="F1965" s="9">
        <v>0</v>
      </c>
      <c r="G1965" s="9">
        <v>0</v>
      </c>
      <c r="H1965" s="9">
        <v>0</v>
      </c>
      <c r="I1965" s="9">
        <v>0</v>
      </c>
      <c r="J1965" s="9">
        <v>0</v>
      </c>
      <c r="K1965" s="9">
        <v>0</v>
      </c>
      <c r="L1965" s="9">
        <v>0</v>
      </c>
      <c r="M1965" s="9">
        <v>0</v>
      </c>
      <c r="N1965" s="9">
        <v>0</v>
      </c>
      <c r="O1965" s="9">
        <v>0</v>
      </c>
      <c r="P1965" s="9">
        <v>0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</row>
    <row r="1966" spans="1:21" x14ac:dyDescent="0.2">
      <c r="A1966" t="s">
        <v>862</v>
      </c>
      <c r="B1966">
        <v>771</v>
      </c>
      <c r="C1966">
        <v>1</v>
      </c>
      <c r="D1966" t="s">
        <v>301</v>
      </c>
      <c r="E1966" s="9">
        <v>0</v>
      </c>
      <c r="F1966" s="9">
        <v>0</v>
      </c>
      <c r="G1966" s="9">
        <v>0</v>
      </c>
      <c r="H1966" s="9">
        <v>0</v>
      </c>
      <c r="I1966" s="9">
        <v>0</v>
      </c>
      <c r="J1966" s="9">
        <v>0</v>
      </c>
      <c r="K1966" s="9">
        <v>0</v>
      </c>
      <c r="L1966" s="9">
        <v>0</v>
      </c>
      <c r="M1966" s="9">
        <v>0</v>
      </c>
      <c r="N1966" s="9">
        <v>0</v>
      </c>
      <c r="O1966" s="9">
        <v>0</v>
      </c>
      <c r="P1966" s="9">
        <v>0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</row>
    <row r="1967" spans="1:21" x14ac:dyDescent="0.2">
      <c r="A1967" t="s">
        <v>862</v>
      </c>
      <c r="B1967">
        <v>775</v>
      </c>
      <c r="C1967">
        <v>1</v>
      </c>
      <c r="D1967" t="s">
        <v>302</v>
      </c>
      <c r="E1967" s="9">
        <v>0</v>
      </c>
      <c r="F1967" s="9">
        <v>0</v>
      </c>
      <c r="G1967" s="9">
        <v>0</v>
      </c>
      <c r="H1967" s="9">
        <v>0</v>
      </c>
      <c r="I1967" s="9">
        <v>0</v>
      </c>
      <c r="J1967" s="9">
        <v>0</v>
      </c>
      <c r="K1967" s="9">
        <v>0</v>
      </c>
      <c r="L1967" s="9">
        <v>0</v>
      </c>
      <c r="M1967" s="9">
        <v>0</v>
      </c>
      <c r="N1967" s="9">
        <v>0</v>
      </c>
      <c r="O1967" s="9">
        <v>0</v>
      </c>
      <c r="P1967" s="9">
        <v>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</row>
    <row r="1968" spans="1:21" x14ac:dyDescent="0.2">
      <c r="A1968" t="s">
        <v>862</v>
      </c>
      <c r="B1968">
        <v>777</v>
      </c>
      <c r="C1968">
        <v>1</v>
      </c>
      <c r="D1968" t="s">
        <v>303</v>
      </c>
      <c r="E1968" s="9">
        <v>0</v>
      </c>
      <c r="F1968" s="9">
        <v>0</v>
      </c>
      <c r="G1968" s="9">
        <v>0</v>
      </c>
      <c r="H1968" s="9">
        <v>0</v>
      </c>
      <c r="I1968" s="9">
        <v>0</v>
      </c>
      <c r="J1968" s="9">
        <v>0</v>
      </c>
      <c r="K1968" s="9">
        <v>0</v>
      </c>
      <c r="L1968" s="9">
        <v>0</v>
      </c>
      <c r="M1968" s="9">
        <v>0</v>
      </c>
      <c r="N1968" s="9">
        <v>0</v>
      </c>
      <c r="O1968" s="9">
        <v>0</v>
      </c>
      <c r="P1968" s="9">
        <v>0</v>
      </c>
      <c r="Q1968" s="9">
        <v>0</v>
      </c>
      <c r="R1968" s="9">
        <v>0</v>
      </c>
      <c r="S1968" s="9">
        <v>0</v>
      </c>
      <c r="T1968" s="9">
        <v>0</v>
      </c>
      <c r="U1968" s="9">
        <v>0</v>
      </c>
    </row>
    <row r="1969" spans="1:21" x14ac:dyDescent="0.2">
      <c r="A1969" t="s">
        <v>862</v>
      </c>
      <c r="B1969">
        <v>786</v>
      </c>
      <c r="C1969">
        <v>1</v>
      </c>
      <c r="D1969" t="s">
        <v>304</v>
      </c>
      <c r="E1969" s="9">
        <v>0</v>
      </c>
      <c r="F1969" s="9">
        <v>0</v>
      </c>
      <c r="G1969" s="9">
        <v>0</v>
      </c>
      <c r="H1969" s="9">
        <v>0</v>
      </c>
      <c r="I1969" s="9">
        <v>0</v>
      </c>
      <c r="J1969" s="9">
        <v>0</v>
      </c>
      <c r="K1969" s="9">
        <v>0</v>
      </c>
      <c r="L1969" s="9">
        <v>0</v>
      </c>
      <c r="M1969" s="9">
        <v>0</v>
      </c>
      <c r="N1969" s="9">
        <v>0</v>
      </c>
      <c r="O1969" s="9">
        <v>0</v>
      </c>
      <c r="P1969" s="9">
        <v>0</v>
      </c>
      <c r="Q1969" s="9">
        <v>0</v>
      </c>
      <c r="R1969" s="9">
        <v>0</v>
      </c>
      <c r="S1969" s="9">
        <v>0</v>
      </c>
      <c r="T1969" s="9">
        <v>0</v>
      </c>
      <c r="U1969" s="9">
        <v>0</v>
      </c>
    </row>
    <row r="1970" spans="1:21" x14ac:dyDescent="0.2">
      <c r="A1970" t="s">
        <v>862</v>
      </c>
      <c r="B1970">
        <v>787</v>
      </c>
      <c r="C1970">
        <v>1</v>
      </c>
      <c r="D1970" t="s">
        <v>305</v>
      </c>
      <c r="E1970" s="9">
        <v>0</v>
      </c>
      <c r="F1970" s="9">
        <v>0</v>
      </c>
      <c r="G1970" s="9">
        <v>0</v>
      </c>
      <c r="H1970" s="9">
        <v>0</v>
      </c>
      <c r="I1970" s="9">
        <v>0</v>
      </c>
      <c r="J1970" s="9">
        <v>0</v>
      </c>
      <c r="K1970" s="9">
        <v>0</v>
      </c>
      <c r="L1970" s="9">
        <v>0</v>
      </c>
      <c r="M1970" s="9">
        <v>0</v>
      </c>
      <c r="N1970" s="9">
        <v>0</v>
      </c>
      <c r="O1970" s="9">
        <v>0</v>
      </c>
      <c r="P1970" s="9">
        <v>0</v>
      </c>
      <c r="Q1970" s="9">
        <v>0</v>
      </c>
      <c r="R1970" s="9">
        <v>0</v>
      </c>
      <c r="S1970" s="9">
        <v>0</v>
      </c>
      <c r="T1970" s="9">
        <v>0</v>
      </c>
      <c r="U1970" s="9">
        <v>0</v>
      </c>
    </row>
    <row r="1971" spans="1:21" x14ac:dyDescent="0.2">
      <c r="A1971" t="s">
        <v>862</v>
      </c>
      <c r="B1971">
        <v>801</v>
      </c>
      <c r="C1971">
        <v>1</v>
      </c>
      <c r="D1971" t="s">
        <v>306</v>
      </c>
      <c r="E1971" s="9">
        <v>0</v>
      </c>
      <c r="F1971" s="9">
        <v>0</v>
      </c>
      <c r="G1971" s="9">
        <v>0</v>
      </c>
      <c r="H1971" s="9">
        <v>0</v>
      </c>
      <c r="I1971" s="9">
        <v>0</v>
      </c>
      <c r="J1971" s="9">
        <v>0</v>
      </c>
      <c r="K1971" s="9">
        <v>0</v>
      </c>
      <c r="L1971" s="9">
        <v>0</v>
      </c>
      <c r="M1971" s="9">
        <v>0</v>
      </c>
      <c r="N1971" s="9">
        <v>0</v>
      </c>
      <c r="O1971" s="9">
        <v>0</v>
      </c>
      <c r="P1971" s="9">
        <v>0</v>
      </c>
      <c r="Q1971" s="9">
        <v>0</v>
      </c>
      <c r="R1971" s="9">
        <v>0</v>
      </c>
      <c r="S1971" s="9">
        <v>0</v>
      </c>
      <c r="T1971" s="9">
        <v>0</v>
      </c>
      <c r="U1971" s="9">
        <v>0</v>
      </c>
    </row>
    <row r="1972" spans="1:21" x14ac:dyDescent="0.2">
      <c r="A1972" t="s">
        <v>862</v>
      </c>
      <c r="B1972">
        <v>803</v>
      </c>
      <c r="C1972">
        <v>1</v>
      </c>
      <c r="D1972" t="s">
        <v>307</v>
      </c>
      <c r="E1972" s="9">
        <v>0</v>
      </c>
      <c r="F1972" s="9">
        <v>0</v>
      </c>
      <c r="G1972" s="9">
        <v>0</v>
      </c>
      <c r="H1972" s="9">
        <v>0</v>
      </c>
      <c r="I1972" s="9">
        <v>0</v>
      </c>
      <c r="J1972" s="9">
        <v>0</v>
      </c>
      <c r="K1972" s="9">
        <v>0</v>
      </c>
      <c r="L1972" s="9">
        <v>0</v>
      </c>
      <c r="M1972" s="9">
        <v>0</v>
      </c>
      <c r="N1972" s="9">
        <v>0</v>
      </c>
      <c r="O1972" s="9">
        <v>0</v>
      </c>
      <c r="P1972" s="9">
        <v>0</v>
      </c>
      <c r="Q1972" s="9">
        <v>0</v>
      </c>
      <c r="R1972" s="9">
        <v>0</v>
      </c>
      <c r="S1972" s="9">
        <v>0</v>
      </c>
      <c r="T1972" s="9">
        <v>0</v>
      </c>
      <c r="U1972" s="9">
        <v>0</v>
      </c>
    </row>
    <row r="1973" spans="1:21" x14ac:dyDescent="0.2">
      <c r="A1973" t="s">
        <v>862</v>
      </c>
      <c r="B1973">
        <v>806</v>
      </c>
      <c r="C1973">
        <v>1</v>
      </c>
      <c r="D1973" t="s">
        <v>308</v>
      </c>
      <c r="E1973" s="9">
        <v>0</v>
      </c>
      <c r="F1973" s="9">
        <v>0</v>
      </c>
      <c r="G1973" s="9">
        <v>0</v>
      </c>
      <c r="H1973" s="9">
        <v>0</v>
      </c>
      <c r="I1973" s="9">
        <v>0</v>
      </c>
      <c r="J1973" s="9">
        <v>0</v>
      </c>
      <c r="K1973" s="9">
        <v>0</v>
      </c>
      <c r="L1973" s="9">
        <v>0</v>
      </c>
      <c r="M1973" s="9">
        <v>0</v>
      </c>
      <c r="N1973" s="9">
        <v>0</v>
      </c>
      <c r="O1973" s="9">
        <v>0</v>
      </c>
      <c r="P1973" s="9">
        <v>0</v>
      </c>
      <c r="Q1973" s="9">
        <v>0</v>
      </c>
      <c r="R1973" s="9">
        <v>0</v>
      </c>
      <c r="S1973" s="9">
        <v>0</v>
      </c>
      <c r="T1973" s="9">
        <v>0</v>
      </c>
      <c r="U1973" s="9">
        <v>0</v>
      </c>
    </row>
    <row r="1974" spans="1:21" x14ac:dyDescent="0.2">
      <c r="A1974" t="s">
        <v>862</v>
      </c>
      <c r="B1974">
        <v>810</v>
      </c>
      <c r="C1974">
        <v>1</v>
      </c>
      <c r="D1974" t="s">
        <v>309</v>
      </c>
      <c r="E1974" s="9">
        <v>0</v>
      </c>
      <c r="F1974" s="9">
        <v>0</v>
      </c>
      <c r="G1974" s="9">
        <v>0</v>
      </c>
      <c r="H1974" s="9">
        <v>0</v>
      </c>
      <c r="I1974" s="9">
        <v>0</v>
      </c>
      <c r="J1974" s="9">
        <v>0</v>
      </c>
      <c r="K1974" s="9">
        <v>0</v>
      </c>
      <c r="L1974" s="9">
        <v>0</v>
      </c>
      <c r="M1974" s="9">
        <v>0</v>
      </c>
      <c r="N1974" s="9">
        <v>0</v>
      </c>
      <c r="O1974" s="9">
        <v>0</v>
      </c>
      <c r="P1974" s="9">
        <v>0</v>
      </c>
      <c r="Q1974" s="9">
        <v>0</v>
      </c>
      <c r="R1974" s="9">
        <v>0</v>
      </c>
      <c r="S1974" s="9">
        <v>0</v>
      </c>
      <c r="T1974" s="9">
        <v>0</v>
      </c>
      <c r="U1974" s="9">
        <v>0</v>
      </c>
    </row>
    <row r="1975" spans="1:21" x14ac:dyDescent="0.2">
      <c r="A1975" t="s">
        <v>862</v>
      </c>
      <c r="B1975">
        <v>811</v>
      </c>
      <c r="C1975">
        <v>1</v>
      </c>
      <c r="D1975" t="s">
        <v>310</v>
      </c>
      <c r="E1975" s="9">
        <v>0</v>
      </c>
      <c r="F1975" s="9">
        <v>0</v>
      </c>
      <c r="G1975" s="9">
        <v>0</v>
      </c>
      <c r="H1975" s="9">
        <v>0</v>
      </c>
      <c r="I1975" s="9">
        <v>0</v>
      </c>
      <c r="J1975" s="9">
        <v>0</v>
      </c>
      <c r="K1975" s="9">
        <v>0</v>
      </c>
      <c r="L1975" s="9">
        <v>0</v>
      </c>
      <c r="M1975" s="9">
        <v>0</v>
      </c>
      <c r="N1975" s="9">
        <v>0</v>
      </c>
      <c r="O1975" s="9">
        <v>0</v>
      </c>
      <c r="P1975" s="9">
        <v>0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</row>
    <row r="1976" spans="1:21" x14ac:dyDescent="0.2">
      <c r="A1976" t="s">
        <v>862</v>
      </c>
      <c r="B1976">
        <v>813</v>
      </c>
      <c r="C1976">
        <v>1</v>
      </c>
      <c r="D1976" t="s">
        <v>311</v>
      </c>
      <c r="E1976" s="9">
        <v>0</v>
      </c>
      <c r="F1976" s="9">
        <v>0</v>
      </c>
      <c r="G1976" s="9">
        <v>0</v>
      </c>
      <c r="H1976" s="9">
        <v>0</v>
      </c>
      <c r="I1976" s="9">
        <v>0</v>
      </c>
      <c r="J1976" s="9">
        <v>0</v>
      </c>
      <c r="K1976" s="9">
        <v>0</v>
      </c>
      <c r="L1976" s="9">
        <v>0</v>
      </c>
      <c r="M1976" s="9">
        <v>0</v>
      </c>
      <c r="N1976" s="9">
        <v>0</v>
      </c>
      <c r="O1976" s="9">
        <v>0</v>
      </c>
      <c r="P1976" s="9">
        <v>0</v>
      </c>
      <c r="Q1976" s="9">
        <v>0</v>
      </c>
      <c r="R1976" s="9">
        <v>0</v>
      </c>
      <c r="S1976" s="9">
        <v>0</v>
      </c>
      <c r="T1976" s="9">
        <v>0</v>
      </c>
      <c r="U1976" s="9">
        <v>0</v>
      </c>
    </row>
    <row r="1977" spans="1:21" x14ac:dyDescent="0.2">
      <c r="A1977" t="s">
        <v>862</v>
      </c>
      <c r="B1977">
        <v>815</v>
      </c>
      <c r="C1977">
        <v>2</v>
      </c>
      <c r="D1977" t="s">
        <v>312</v>
      </c>
      <c r="E1977" s="9">
        <v>0</v>
      </c>
      <c r="F1977" s="9">
        <v>0</v>
      </c>
      <c r="G1977" s="9">
        <v>0</v>
      </c>
      <c r="H1977" s="9">
        <v>0</v>
      </c>
      <c r="I1977" s="9">
        <v>0</v>
      </c>
      <c r="J1977" s="9">
        <v>0</v>
      </c>
      <c r="K1977" s="9">
        <v>0</v>
      </c>
      <c r="L1977" s="9">
        <v>0</v>
      </c>
      <c r="M1977" s="9">
        <v>0</v>
      </c>
      <c r="N1977" s="9">
        <v>0</v>
      </c>
      <c r="O1977" s="9">
        <v>0</v>
      </c>
      <c r="P1977" s="9">
        <v>0</v>
      </c>
      <c r="Q1977" s="9">
        <v>0</v>
      </c>
      <c r="R1977" s="9">
        <v>0</v>
      </c>
      <c r="S1977" s="9">
        <v>0</v>
      </c>
      <c r="T1977" s="9">
        <v>0</v>
      </c>
      <c r="U1977" s="9">
        <v>0</v>
      </c>
    </row>
    <row r="1978" spans="1:21" x14ac:dyDescent="0.2">
      <c r="A1978" t="s">
        <v>862</v>
      </c>
      <c r="B1978">
        <v>818</v>
      </c>
      <c r="C1978">
        <v>1</v>
      </c>
      <c r="D1978" t="s">
        <v>313</v>
      </c>
      <c r="E1978" s="9">
        <v>0</v>
      </c>
      <c r="F1978" s="9">
        <v>0</v>
      </c>
      <c r="G1978" s="9">
        <v>0</v>
      </c>
      <c r="H1978" s="9">
        <v>0</v>
      </c>
      <c r="I1978" s="9">
        <v>0</v>
      </c>
      <c r="J1978" s="9">
        <v>0</v>
      </c>
      <c r="K1978" s="9">
        <v>0</v>
      </c>
      <c r="L1978" s="9">
        <v>0</v>
      </c>
      <c r="M1978" s="9">
        <v>0</v>
      </c>
      <c r="N1978" s="9">
        <v>0</v>
      </c>
      <c r="O1978" s="9">
        <v>0</v>
      </c>
      <c r="P1978" s="9">
        <v>0</v>
      </c>
      <c r="Q1978" s="9">
        <v>0</v>
      </c>
      <c r="R1978" s="9">
        <v>0</v>
      </c>
      <c r="S1978" s="9">
        <v>0</v>
      </c>
      <c r="T1978" s="9">
        <v>0</v>
      </c>
      <c r="U1978" s="9">
        <v>0</v>
      </c>
    </row>
    <row r="1979" spans="1:21" x14ac:dyDescent="0.2">
      <c r="A1979" t="s">
        <v>862</v>
      </c>
      <c r="B1979">
        <v>820</v>
      </c>
      <c r="C1979">
        <v>1</v>
      </c>
      <c r="D1979" t="s">
        <v>314</v>
      </c>
      <c r="E1979" s="9">
        <v>0</v>
      </c>
      <c r="F1979" s="9">
        <v>0</v>
      </c>
      <c r="G1979" s="9">
        <v>0</v>
      </c>
      <c r="H1979" s="9">
        <v>0</v>
      </c>
      <c r="I1979" s="9">
        <v>0</v>
      </c>
      <c r="J1979" s="9">
        <v>0</v>
      </c>
      <c r="K1979" s="9">
        <v>0</v>
      </c>
      <c r="L1979" s="9">
        <v>0</v>
      </c>
      <c r="M1979" s="9">
        <v>0</v>
      </c>
      <c r="N1979" s="9">
        <v>0</v>
      </c>
      <c r="O1979" s="9">
        <v>0</v>
      </c>
      <c r="P1979" s="9">
        <v>0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</row>
    <row r="1980" spans="1:21" x14ac:dyDescent="0.2">
      <c r="A1980" t="s">
        <v>862</v>
      </c>
      <c r="B1980">
        <v>821</v>
      </c>
      <c r="C1980">
        <v>1</v>
      </c>
      <c r="D1980" t="s">
        <v>315</v>
      </c>
      <c r="E1980" s="9">
        <v>0</v>
      </c>
      <c r="F1980" s="9">
        <v>0</v>
      </c>
      <c r="G1980" s="9">
        <v>0</v>
      </c>
      <c r="H1980" s="9">
        <v>0</v>
      </c>
      <c r="I1980" s="9">
        <v>0</v>
      </c>
      <c r="J1980" s="9">
        <v>0</v>
      </c>
      <c r="K1980" s="9">
        <v>0</v>
      </c>
      <c r="L1980" s="9">
        <v>0</v>
      </c>
      <c r="M1980" s="9">
        <v>0</v>
      </c>
      <c r="N1980" s="9">
        <v>0</v>
      </c>
      <c r="O1980" s="9">
        <v>0</v>
      </c>
      <c r="P1980" s="9">
        <v>0</v>
      </c>
      <c r="Q1980" s="9">
        <v>0</v>
      </c>
      <c r="R1980" s="9">
        <v>0</v>
      </c>
      <c r="S1980" s="9">
        <v>0</v>
      </c>
      <c r="T1980" s="9">
        <v>0</v>
      </c>
      <c r="U1980" s="9">
        <v>0</v>
      </c>
    </row>
    <row r="1981" spans="1:21" x14ac:dyDescent="0.2">
      <c r="A1981" t="s">
        <v>862</v>
      </c>
      <c r="B1981">
        <v>829</v>
      </c>
      <c r="C1981">
        <v>1</v>
      </c>
      <c r="D1981" t="s">
        <v>316</v>
      </c>
      <c r="E1981" s="9">
        <v>0</v>
      </c>
      <c r="F1981" s="9">
        <v>0</v>
      </c>
      <c r="G1981" s="9">
        <v>0</v>
      </c>
      <c r="H1981" s="9">
        <v>0</v>
      </c>
      <c r="I1981" s="9">
        <v>0</v>
      </c>
      <c r="J1981" s="9">
        <v>0</v>
      </c>
      <c r="K1981" s="9">
        <v>0</v>
      </c>
      <c r="L1981" s="9">
        <v>0</v>
      </c>
      <c r="M1981" s="9">
        <v>0</v>
      </c>
      <c r="N1981" s="9">
        <v>0</v>
      </c>
      <c r="O1981" s="9">
        <v>0</v>
      </c>
      <c r="P1981" s="9">
        <v>0</v>
      </c>
      <c r="Q1981" s="9">
        <v>0</v>
      </c>
      <c r="R1981" s="9">
        <v>0</v>
      </c>
      <c r="S1981" s="9">
        <v>0</v>
      </c>
      <c r="T1981" s="9">
        <v>0</v>
      </c>
      <c r="U1981" s="9">
        <v>0</v>
      </c>
    </row>
    <row r="1982" spans="1:21" x14ac:dyDescent="0.2">
      <c r="A1982" t="s">
        <v>862</v>
      </c>
      <c r="B1982">
        <v>831</v>
      </c>
      <c r="C1982">
        <v>1</v>
      </c>
      <c r="D1982" t="s">
        <v>317</v>
      </c>
      <c r="E1982" s="9">
        <v>0</v>
      </c>
      <c r="F1982" s="9">
        <v>0</v>
      </c>
      <c r="G1982" s="9">
        <v>0</v>
      </c>
      <c r="H1982" s="9">
        <v>0</v>
      </c>
      <c r="I1982" s="9">
        <v>0</v>
      </c>
      <c r="J1982" s="9">
        <v>0</v>
      </c>
      <c r="K1982" s="9">
        <v>0</v>
      </c>
      <c r="L1982" s="9">
        <v>0</v>
      </c>
      <c r="M1982" s="9">
        <v>0</v>
      </c>
      <c r="N1982" s="9">
        <v>0</v>
      </c>
      <c r="O1982" s="9">
        <v>0</v>
      </c>
      <c r="P1982" s="9">
        <v>0</v>
      </c>
      <c r="Q1982" s="9">
        <v>0</v>
      </c>
      <c r="R1982" s="9">
        <v>0</v>
      </c>
      <c r="S1982" s="9">
        <v>0</v>
      </c>
      <c r="T1982" s="9">
        <v>0</v>
      </c>
      <c r="U1982" s="9">
        <v>0</v>
      </c>
    </row>
    <row r="1983" spans="1:21" x14ac:dyDescent="0.2">
      <c r="A1983" t="s">
        <v>862</v>
      </c>
      <c r="B1983">
        <v>832</v>
      </c>
      <c r="C1983">
        <v>1</v>
      </c>
      <c r="D1983" t="s">
        <v>318</v>
      </c>
      <c r="E1983" s="9">
        <v>0</v>
      </c>
      <c r="F1983" s="9">
        <v>0</v>
      </c>
      <c r="G1983" s="9">
        <v>0</v>
      </c>
      <c r="H1983" s="9">
        <v>0</v>
      </c>
      <c r="I1983" s="9">
        <v>0</v>
      </c>
      <c r="J1983" s="9">
        <v>1</v>
      </c>
      <c r="K1983" s="9">
        <v>1</v>
      </c>
      <c r="L1983" s="9">
        <v>1</v>
      </c>
      <c r="M1983" s="9">
        <v>1</v>
      </c>
      <c r="N1983" s="9">
        <v>1</v>
      </c>
      <c r="O1983" s="9">
        <v>1</v>
      </c>
      <c r="P1983" s="9">
        <v>1</v>
      </c>
      <c r="Q1983" s="9">
        <v>1</v>
      </c>
      <c r="R1983" s="9">
        <v>1</v>
      </c>
      <c r="S1983" s="9">
        <v>1</v>
      </c>
      <c r="T1983" s="9">
        <v>1</v>
      </c>
      <c r="U1983" s="9">
        <v>1</v>
      </c>
    </row>
    <row r="1984" spans="1:21" x14ac:dyDescent="0.2">
      <c r="A1984" t="s">
        <v>862</v>
      </c>
      <c r="B1984">
        <v>833</v>
      </c>
      <c r="C1984">
        <v>1</v>
      </c>
      <c r="D1984" t="s">
        <v>319</v>
      </c>
      <c r="E1984" s="9">
        <v>0</v>
      </c>
      <c r="F1984" s="9">
        <v>0</v>
      </c>
      <c r="G1984" s="9">
        <v>0</v>
      </c>
      <c r="H1984" s="9">
        <v>0</v>
      </c>
      <c r="I1984" s="9">
        <v>0</v>
      </c>
      <c r="J1984" s="9">
        <v>0</v>
      </c>
      <c r="K1984" s="9">
        <v>0</v>
      </c>
      <c r="L1984" s="9">
        <v>0</v>
      </c>
      <c r="M1984" s="9">
        <v>0</v>
      </c>
      <c r="N1984" s="9">
        <v>0</v>
      </c>
      <c r="O1984" s="9">
        <v>0</v>
      </c>
      <c r="P1984" s="9">
        <v>0</v>
      </c>
      <c r="Q1984" s="9">
        <v>0</v>
      </c>
      <c r="R1984" s="9">
        <v>0</v>
      </c>
      <c r="S1984" s="9">
        <v>0</v>
      </c>
      <c r="T1984" s="9">
        <v>0</v>
      </c>
      <c r="U1984" s="9">
        <v>0</v>
      </c>
    </row>
    <row r="1985" spans="1:21" x14ac:dyDescent="0.2">
      <c r="A1985" t="s">
        <v>862</v>
      </c>
      <c r="B1985">
        <v>834</v>
      </c>
      <c r="C1985">
        <v>1</v>
      </c>
      <c r="D1985" t="s">
        <v>320</v>
      </c>
      <c r="E1985" s="9">
        <v>0</v>
      </c>
      <c r="F1985" s="9">
        <v>0</v>
      </c>
      <c r="G1985" s="9">
        <v>0</v>
      </c>
      <c r="H1985" s="9">
        <v>0</v>
      </c>
      <c r="I1985" s="9">
        <v>0</v>
      </c>
      <c r="J1985" s="9">
        <v>0</v>
      </c>
      <c r="K1985" s="9">
        <v>0</v>
      </c>
      <c r="L1985" s="9">
        <v>0</v>
      </c>
      <c r="M1985" s="9">
        <v>0</v>
      </c>
      <c r="N1985" s="9">
        <v>0</v>
      </c>
      <c r="O1985" s="9">
        <v>0</v>
      </c>
      <c r="P1985" s="9">
        <v>0</v>
      </c>
      <c r="Q1985" s="9">
        <v>0</v>
      </c>
      <c r="R1985" s="9">
        <v>0</v>
      </c>
      <c r="S1985" s="9">
        <v>0</v>
      </c>
      <c r="T1985" s="9">
        <v>0</v>
      </c>
      <c r="U1985" s="9">
        <v>0</v>
      </c>
    </row>
    <row r="1986" spans="1:21" x14ac:dyDescent="0.2">
      <c r="A1986" t="s">
        <v>862</v>
      </c>
      <c r="B1986">
        <v>836</v>
      </c>
      <c r="C1986">
        <v>1</v>
      </c>
      <c r="D1986" t="s">
        <v>321</v>
      </c>
      <c r="E1986" s="9">
        <v>0</v>
      </c>
      <c r="F1986" s="9">
        <v>0</v>
      </c>
      <c r="G1986" s="9">
        <v>0</v>
      </c>
      <c r="H1986" s="9">
        <v>0</v>
      </c>
      <c r="I1986" s="9">
        <v>0</v>
      </c>
      <c r="J1986" s="9">
        <v>0</v>
      </c>
      <c r="K1986" s="9">
        <v>0</v>
      </c>
      <c r="L1986" s="9">
        <v>0</v>
      </c>
      <c r="M1986" s="9">
        <v>0</v>
      </c>
      <c r="N1986" s="9">
        <v>0</v>
      </c>
      <c r="O1986" s="9">
        <v>0</v>
      </c>
      <c r="P1986" s="9">
        <v>0</v>
      </c>
      <c r="Q1986" s="9">
        <v>0</v>
      </c>
      <c r="R1986" s="9">
        <v>0</v>
      </c>
      <c r="S1986" s="9">
        <v>0</v>
      </c>
      <c r="T1986" s="9">
        <v>0</v>
      </c>
      <c r="U1986" s="9">
        <v>0</v>
      </c>
    </row>
    <row r="1987" spans="1:21" x14ac:dyDescent="0.2">
      <c r="A1987" t="s">
        <v>862</v>
      </c>
      <c r="B1987">
        <v>837</v>
      </c>
      <c r="C1987">
        <v>1</v>
      </c>
      <c r="D1987" t="s">
        <v>322</v>
      </c>
      <c r="E1987" s="9">
        <v>0</v>
      </c>
      <c r="F1987" s="9">
        <v>0</v>
      </c>
      <c r="G1987" s="9">
        <v>0</v>
      </c>
      <c r="H1987" s="9">
        <v>0</v>
      </c>
      <c r="I1987" s="9">
        <v>0</v>
      </c>
      <c r="J1987" s="9">
        <v>0</v>
      </c>
      <c r="K1987" s="9">
        <v>0</v>
      </c>
      <c r="L1987" s="9">
        <v>0</v>
      </c>
      <c r="M1987" s="9">
        <v>0</v>
      </c>
      <c r="N1987" s="9">
        <v>0</v>
      </c>
      <c r="O1987" s="9">
        <v>0</v>
      </c>
      <c r="P1987" s="9">
        <v>0</v>
      </c>
      <c r="Q1987" s="9">
        <v>0</v>
      </c>
      <c r="R1987" s="9">
        <v>0</v>
      </c>
      <c r="S1987" s="9">
        <v>0</v>
      </c>
      <c r="T1987" s="9">
        <v>0</v>
      </c>
      <c r="U1987" s="9">
        <v>0</v>
      </c>
    </row>
    <row r="1988" spans="1:21" x14ac:dyDescent="0.2">
      <c r="A1988" t="s">
        <v>862</v>
      </c>
      <c r="B1988">
        <v>840</v>
      </c>
      <c r="C1988">
        <v>1</v>
      </c>
      <c r="D1988" t="s">
        <v>323</v>
      </c>
      <c r="E1988" s="9">
        <v>0</v>
      </c>
      <c r="F1988" s="9">
        <v>0</v>
      </c>
      <c r="G1988" s="9">
        <v>0</v>
      </c>
      <c r="H1988" s="9">
        <v>0</v>
      </c>
      <c r="I1988" s="9">
        <v>0</v>
      </c>
      <c r="J1988" s="9">
        <v>0</v>
      </c>
      <c r="K1988" s="9">
        <v>0</v>
      </c>
      <c r="L1988" s="9">
        <v>0</v>
      </c>
      <c r="M1988" s="9">
        <v>0</v>
      </c>
      <c r="N1988" s="9">
        <v>0</v>
      </c>
      <c r="O1988" s="9">
        <v>0</v>
      </c>
      <c r="P1988" s="9">
        <v>0</v>
      </c>
      <c r="Q1988" s="9">
        <v>0</v>
      </c>
      <c r="R1988" s="9">
        <v>0</v>
      </c>
      <c r="S1988" s="9">
        <v>0</v>
      </c>
      <c r="T1988" s="9">
        <v>0</v>
      </c>
      <c r="U1988" s="9">
        <v>0</v>
      </c>
    </row>
    <row r="1989" spans="1:21" x14ac:dyDescent="0.2">
      <c r="A1989" t="s">
        <v>862</v>
      </c>
      <c r="B1989">
        <v>846</v>
      </c>
      <c r="C1989">
        <v>1</v>
      </c>
      <c r="D1989" t="s">
        <v>324</v>
      </c>
      <c r="E1989" s="9">
        <v>0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  <c r="K1989" s="9">
        <v>0</v>
      </c>
      <c r="L1989" s="9">
        <v>0</v>
      </c>
      <c r="M1989" s="9">
        <v>0</v>
      </c>
      <c r="N1989" s="9">
        <v>0</v>
      </c>
      <c r="O1989" s="9">
        <v>0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</row>
    <row r="1990" spans="1:21" x14ac:dyDescent="0.2">
      <c r="A1990" t="s">
        <v>862</v>
      </c>
      <c r="B1990">
        <v>850</v>
      </c>
      <c r="C1990">
        <v>1</v>
      </c>
      <c r="D1990" t="s">
        <v>325</v>
      </c>
      <c r="E1990" s="9">
        <v>0</v>
      </c>
      <c r="F1990" s="9">
        <v>0</v>
      </c>
      <c r="G1990" s="9">
        <v>0</v>
      </c>
      <c r="H1990" s="9">
        <v>0</v>
      </c>
      <c r="I1990" s="9">
        <v>0</v>
      </c>
      <c r="J1990" s="9">
        <v>0</v>
      </c>
      <c r="K1990" s="9">
        <v>0</v>
      </c>
      <c r="L1990" s="9">
        <v>0</v>
      </c>
      <c r="M1990" s="9">
        <v>0</v>
      </c>
      <c r="N1990" s="9">
        <v>0</v>
      </c>
      <c r="O1990" s="9">
        <v>0</v>
      </c>
      <c r="P1990" s="9">
        <v>0</v>
      </c>
      <c r="Q1990" s="9">
        <v>0</v>
      </c>
      <c r="R1990" s="9">
        <v>0</v>
      </c>
      <c r="S1990" s="9">
        <v>0</v>
      </c>
      <c r="T1990" s="9">
        <v>0</v>
      </c>
      <c r="U1990" s="9">
        <v>0</v>
      </c>
    </row>
    <row r="1991" spans="1:21" x14ac:dyDescent="0.2">
      <c r="A1991" t="s">
        <v>862</v>
      </c>
      <c r="B1991">
        <v>852</v>
      </c>
      <c r="C1991">
        <v>1</v>
      </c>
      <c r="D1991" t="s">
        <v>326</v>
      </c>
      <c r="E1991" s="9">
        <v>0</v>
      </c>
      <c r="F1991" s="9">
        <v>0</v>
      </c>
      <c r="G1991" s="9">
        <v>0</v>
      </c>
      <c r="H1991" s="9">
        <v>0</v>
      </c>
      <c r="I1991" s="9">
        <v>0</v>
      </c>
      <c r="J1991" s="9">
        <v>1</v>
      </c>
      <c r="K1991" s="9">
        <v>1</v>
      </c>
      <c r="L1991" s="9">
        <v>1</v>
      </c>
      <c r="M1991" s="9">
        <v>1</v>
      </c>
      <c r="N1991" s="9">
        <v>1</v>
      </c>
      <c r="O1991" s="9">
        <v>1</v>
      </c>
      <c r="P1991" s="9">
        <v>1</v>
      </c>
      <c r="Q1991" s="9">
        <v>1</v>
      </c>
      <c r="R1991" s="9">
        <v>1</v>
      </c>
      <c r="S1991" s="9">
        <v>1</v>
      </c>
      <c r="T1991" s="9">
        <v>1</v>
      </c>
      <c r="U1991" s="9">
        <v>1</v>
      </c>
    </row>
    <row r="1992" spans="1:21" x14ac:dyDescent="0.2">
      <c r="A1992" t="s">
        <v>862</v>
      </c>
      <c r="B1992">
        <v>857</v>
      </c>
      <c r="C1992">
        <v>1</v>
      </c>
      <c r="D1992" t="s">
        <v>327</v>
      </c>
      <c r="E1992" s="9">
        <v>0</v>
      </c>
      <c r="F1992" s="9">
        <v>0</v>
      </c>
      <c r="G1992" s="9">
        <v>0</v>
      </c>
      <c r="H1992" s="9">
        <v>0</v>
      </c>
      <c r="I1992" s="9">
        <v>0</v>
      </c>
      <c r="J1992" s="9">
        <v>0</v>
      </c>
      <c r="K1992" s="9">
        <v>0</v>
      </c>
      <c r="L1992" s="9">
        <v>0</v>
      </c>
      <c r="M1992" s="9">
        <v>0</v>
      </c>
      <c r="N1992" s="9">
        <v>0</v>
      </c>
      <c r="O1992" s="9">
        <v>0</v>
      </c>
      <c r="P1992" s="9">
        <v>0</v>
      </c>
      <c r="Q1992" s="9">
        <v>0</v>
      </c>
      <c r="R1992" s="9">
        <v>0</v>
      </c>
      <c r="S1992" s="9">
        <v>0</v>
      </c>
      <c r="T1992" s="9">
        <v>0</v>
      </c>
      <c r="U1992" s="9">
        <v>0</v>
      </c>
    </row>
    <row r="1993" spans="1:21" x14ac:dyDescent="0.2">
      <c r="A1993" t="s">
        <v>862</v>
      </c>
      <c r="B1993">
        <v>858</v>
      </c>
      <c r="C1993">
        <v>1</v>
      </c>
      <c r="D1993" t="s">
        <v>328</v>
      </c>
      <c r="E1993" s="9">
        <v>0</v>
      </c>
      <c r="F1993" s="9">
        <v>0</v>
      </c>
      <c r="G1993" s="9">
        <v>0</v>
      </c>
      <c r="H1993" s="9">
        <v>0</v>
      </c>
      <c r="I1993" s="9">
        <v>0</v>
      </c>
      <c r="J1993" s="9">
        <v>0</v>
      </c>
      <c r="K1993" s="9">
        <v>0</v>
      </c>
      <c r="L1993" s="9">
        <v>0</v>
      </c>
      <c r="M1993" s="9">
        <v>0</v>
      </c>
      <c r="N1993" s="9">
        <v>0</v>
      </c>
      <c r="O1993" s="9">
        <v>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</row>
    <row r="1994" spans="1:21" x14ac:dyDescent="0.2">
      <c r="A1994" t="s">
        <v>862</v>
      </c>
      <c r="B1994">
        <v>861</v>
      </c>
      <c r="C1994">
        <v>1</v>
      </c>
      <c r="D1994" t="s">
        <v>329</v>
      </c>
      <c r="E1994" s="9">
        <v>0</v>
      </c>
      <c r="F1994" s="9">
        <v>0</v>
      </c>
      <c r="G1994" s="9">
        <v>0</v>
      </c>
      <c r="H1994" s="9">
        <v>0</v>
      </c>
      <c r="I1994" s="9">
        <v>0</v>
      </c>
      <c r="J1994" s="9">
        <v>0</v>
      </c>
      <c r="K1994" s="9">
        <v>0</v>
      </c>
      <c r="L1994" s="9">
        <v>0</v>
      </c>
      <c r="M1994" s="9">
        <v>0</v>
      </c>
      <c r="N1994" s="9">
        <v>0</v>
      </c>
      <c r="O1994" s="9">
        <v>0</v>
      </c>
      <c r="P1994" s="9">
        <v>0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</row>
    <row r="1995" spans="1:21" x14ac:dyDescent="0.2">
      <c r="A1995" t="s">
        <v>862</v>
      </c>
      <c r="B1995">
        <v>876</v>
      </c>
      <c r="C1995">
        <v>1</v>
      </c>
      <c r="D1995" t="s">
        <v>330</v>
      </c>
      <c r="E1995" s="9">
        <v>0</v>
      </c>
      <c r="F1995" s="9">
        <v>0</v>
      </c>
      <c r="G1995" s="9">
        <v>0</v>
      </c>
      <c r="H1995" s="9">
        <v>0</v>
      </c>
      <c r="I1995" s="9">
        <v>0</v>
      </c>
      <c r="J1995" s="9">
        <v>0</v>
      </c>
      <c r="K1995" s="9">
        <v>0</v>
      </c>
      <c r="L1995" s="9">
        <v>0</v>
      </c>
      <c r="M1995" s="9">
        <v>0</v>
      </c>
      <c r="N1995" s="9">
        <v>0</v>
      </c>
      <c r="O1995" s="9">
        <v>0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</row>
    <row r="1996" spans="1:21" x14ac:dyDescent="0.2">
      <c r="A1996" t="s">
        <v>862</v>
      </c>
      <c r="B1996">
        <v>877</v>
      </c>
      <c r="C1996">
        <v>1</v>
      </c>
      <c r="D1996" t="s">
        <v>331</v>
      </c>
      <c r="E1996" s="9">
        <v>0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  <c r="M1996" s="9">
        <v>0</v>
      </c>
      <c r="N1996" s="9">
        <v>0</v>
      </c>
      <c r="O1996" s="9">
        <v>0</v>
      </c>
      <c r="P1996" s="9">
        <v>0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</row>
    <row r="1997" spans="1:21" x14ac:dyDescent="0.2">
      <c r="A1997" t="s">
        <v>862</v>
      </c>
      <c r="B1997">
        <v>879</v>
      </c>
      <c r="C1997">
        <v>1</v>
      </c>
      <c r="D1997" t="s">
        <v>332</v>
      </c>
      <c r="E1997" s="9">
        <v>0</v>
      </c>
      <c r="F1997" s="9">
        <v>0</v>
      </c>
      <c r="G1997" s="9">
        <v>0</v>
      </c>
      <c r="H1997" s="9">
        <v>0</v>
      </c>
      <c r="I1997" s="9">
        <v>0</v>
      </c>
      <c r="J1997" s="9">
        <v>0</v>
      </c>
      <c r="K1997" s="9">
        <v>0</v>
      </c>
      <c r="L1997" s="9">
        <v>0</v>
      </c>
      <c r="M1997" s="9">
        <v>0</v>
      </c>
      <c r="N1997" s="9">
        <v>0</v>
      </c>
      <c r="O1997" s="9">
        <v>0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</row>
    <row r="1998" spans="1:21" x14ac:dyDescent="0.2">
      <c r="A1998" t="s">
        <v>862</v>
      </c>
      <c r="B1998">
        <v>881</v>
      </c>
      <c r="C1998">
        <v>1</v>
      </c>
      <c r="D1998" t="s">
        <v>333</v>
      </c>
      <c r="E1998" s="9">
        <v>0</v>
      </c>
      <c r="F1998" s="9">
        <v>0</v>
      </c>
      <c r="G1998" s="9">
        <v>0</v>
      </c>
      <c r="H1998" s="9">
        <v>0</v>
      </c>
      <c r="I1998" s="9">
        <v>0</v>
      </c>
      <c r="J1998" s="9">
        <v>0</v>
      </c>
      <c r="K1998" s="9">
        <v>0</v>
      </c>
      <c r="L1998" s="9">
        <v>0</v>
      </c>
      <c r="M1998" s="9">
        <v>0</v>
      </c>
      <c r="N1998" s="9">
        <v>0</v>
      </c>
      <c r="O1998" s="9">
        <v>0</v>
      </c>
      <c r="P1998" s="9">
        <v>0</v>
      </c>
      <c r="Q1998" s="9">
        <v>0</v>
      </c>
      <c r="R1998" s="9">
        <v>0</v>
      </c>
      <c r="S1998" s="9">
        <v>0</v>
      </c>
      <c r="T1998" s="9">
        <v>0</v>
      </c>
      <c r="U1998" s="9">
        <v>0</v>
      </c>
    </row>
    <row r="1999" spans="1:21" x14ac:dyDescent="0.2">
      <c r="A1999" t="s">
        <v>862</v>
      </c>
      <c r="B1999">
        <v>882</v>
      </c>
      <c r="C1999">
        <v>1</v>
      </c>
      <c r="D1999" t="s">
        <v>334</v>
      </c>
      <c r="E1999" s="9">
        <v>0</v>
      </c>
      <c r="F1999" s="9">
        <v>0</v>
      </c>
      <c r="G1999" s="9">
        <v>0</v>
      </c>
      <c r="H1999" s="9">
        <v>0</v>
      </c>
      <c r="I1999" s="9">
        <v>0</v>
      </c>
      <c r="J1999" s="9">
        <v>0</v>
      </c>
      <c r="K1999" s="9">
        <v>0</v>
      </c>
      <c r="L1999" s="9">
        <v>0</v>
      </c>
      <c r="M1999" s="9">
        <v>0</v>
      </c>
      <c r="N1999" s="9">
        <v>0</v>
      </c>
      <c r="O1999" s="9">
        <v>0</v>
      </c>
      <c r="P1999" s="9">
        <v>0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</row>
    <row r="2000" spans="1:21" x14ac:dyDescent="0.2">
      <c r="A2000" t="s">
        <v>862</v>
      </c>
      <c r="B2000">
        <v>883</v>
      </c>
      <c r="C2000">
        <v>1</v>
      </c>
      <c r="D2000" t="s">
        <v>335</v>
      </c>
      <c r="E2000" s="9">
        <v>0</v>
      </c>
      <c r="F2000" s="9">
        <v>0</v>
      </c>
      <c r="G2000" s="9">
        <v>0</v>
      </c>
      <c r="H2000" s="9">
        <v>0</v>
      </c>
      <c r="I2000" s="9">
        <v>0</v>
      </c>
      <c r="J2000" s="9">
        <v>0</v>
      </c>
      <c r="K2000" s="9">
        <v>0</v>
      </c>
      <c r="L2000" s="9">
        <v>0</v>
      </c>
      <c r="M2000" s="9">
        <v>0</v>
      </c>
      <c r="N2000" s="9">
        <v>0</v>
      </c>
      <c r="O2000" s="9">
        <v>0</v>
      </c>
      <c r="P2000" s="9">
        <v>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</row>
    <row r="2001" spans="1:21" x14ac:dyDescent="0.2">
      <c r="A2001" t="s">
        <v>862</v>
      </c>
      <c r="B2001">
        <v>885</v>
      </c>
      <c r="C2001">
        <v>1</v>
      </c>
      <c r="D2001" t="s">
        <v>336</v>
      </c>
      <c r="E2001" s="9">
        <v>0</v>
      </c>
      <c r="F2001" s="9">
        <v>0</v>
      </c>
      <c r="G2001" s="9">
        <v>0</v>
      </c>
      <c r="H2001" s="9">
        <v>0</v>
      </c>
      <c r="I2001" s="9">
        <v>0</v>
      </c>
      <c r="J2001" s="9">
        <v>0</v>
      </c>
      <c r="K2001" s="9">
        <v>0</v>
      </c>
      <c r="L2001" s="9">
        <v>0</v>
      </c>
      <c r="M2001" s="9">
        <v>0</v>
      </c>
      <c r="N2001" s="9">
        <v>0</v>
      </c>
      <c r="O2001" s="9">
        <v>0</v>
      </c>
      <c r="P2001" s="9">
        <v>0</v>
      </c>
      <c r="Q2001" s="9">
        <v>0</v>
      </c>
      <c r="R2001" s="9">
        <v>0</v>
      </c>
      <c r="S2001" s="9">
        <v>0</v>
      </c>
      <c r="T2001" s="9">
        <v>0</v>
      </c>
      <c r="U2001" s="9">
        <v>0</v>
      </c>
    </row>
    <row r="2002" spans="1:21" x14ac:dyDescent="0.2">
      <c r="A2002" t="s">
        <v>862</v>
      </c>
      <c r="B2002">
        <v>891</v>
      </c>
      <c r="C2002">
        <v>1</v>
      </c>
      <c r="D2002" t="s">
        <v>337</v>
      </c>
      <c r="E2002" s="9">
        <v>0</v>
      </c>
      <c r="F2002" s="9">
        <v>0</v>
      </c>
      <c r="G2002" s="9">
        <v>0</v>
      </c>
      <c r="H2002" s="9">
        <v>0</v>
      </c>
      <c r="I2002" s="9">
        <v>0</v>
      </c>
      <c r="J2002" s="9">
        <v>0</v>
      </c>
      <c r="K2002" s="9">
        <v>0</v>
      </c>
      <c r="L2002" s="9">
        <v>0</v>
      </c>
      <c r="M2002" s="9">
        <v>0</v>
      </c>
      <c r="N2002" s="9">
        <v>0</v>
      </c>
      <c r="O2002" s="9">
        <v>0</v>
      </c>
      <c r="P2002" s="9">
        <v>0</v>
      </c>
      <c r="Q2002" s="9">
        <v>0</v>
      </c>
      <c r="R2002" s="9">
        <v>0</v>
      </c>
      <c r="S2002" s="9">
        <v>0</v>
      </c>
      <c r="T2002" s="9">
        <v>0</v>
      </c>
      <c r="U2002" s="9">
        <v>0</v>
      </c>
    </row>
    <row r="2003" spans="1:21" x14ac:dyDescent="0.2">
      <c r="A2003" t="s">
        <v>862</v>
      </c>
      <c r="B2003">
        <v>911</v>
      </c>
      <c r="C2003">
        <v>1</v>
      </c>
      <c r="D2003" t="s">
        <v>338</v>
      </c>
      <c r="E2003" s="9">
        <v>0</v>
      </c>
      <c r="F2003" s="9">
        <v>0</v>
      </c>
      <c r="G2003" s="9">
        <v>0</v>
      </c>
      <c r="H2003" s="9">
        <v>0</v>
      </c>
      <c r="I2003" s="9">
        <v>0</v>
      </c>
      <c r="J2003" s="9">
        <v>0</v>
      </c>
      <c r="K2003" s="9">
        <v>0</v>
      </c>
      <c r="L2003" s="9">
        <v>0</v>
      </c>
      <c r="M2003" s="9">
        <v>0</v>
      </c>
      <c r="N2003" s="9">
        <v>0</v>
      </c>
      <c r="O2003" s="9">
        <v>0</v>
      </c>
      <c r="P2003" s="9">
        <v>0</v>
      </c>
      <c r="Q2003" s="9">
        <v>0</v>
      </c>
      <c r="R2003" s="9">
        <v>0</v>
      </c>
      <c r="S2003" s="9">
        <v>0</v>
      </c>
      <c r="T2003" s="9">
        <v>0</v>
      </c>
      <c r="U2003" s="9">
        <v>0</v>
      </c>
    </row>
    <row r="2004" spans="1:21" x14ac:dyDescent="0.2">
      <c r="A2004" t="s">
        <v>862</v>
      </c>
      <c r="B2004">
        <v>912</v>
      </c>
      <c r="C2004">
        <v>1</v>
      </c>
      <c r="D2004" t="s">
        <v>339</v>
      </c>
      <c r="E2004" s="9">
        <v>0</v>
      </c>
      <c r="F2004" s="9">
        <v>0</v>
      </c>
      <c r="G2004" s="9">
        <v>0</v>
      </c>
      <c r="H2004" s="9">
        <v>0</v>
      </c>
      <c r="I2004" s="9">
        <v>0</v>
      </c>
      <c r="J2004" s="9">
        <v>0</v>
      </c>
      <c r="K2004" s="9">
        <v>0</v>
      </c>
      <c r="L2004" s="9">
        <v>0</v>
      </c>
      <c r="M2004" s="9">
        <v>0</v>
      </c>
      <c r="N2004" s="9">
        <v>0</v>
      </c>
      <c r="O2004" s="9">
        <v>0</v>
      </c>
      <c r="P2004" s="9">
        <v>0</v>
      </c>
      <c r="Q2004" s="9">
        <v>0</v>
      </c>
      <c r="R2004" s="9">
        <v>0</v>
      </c>
      <c r="S2004" s="9">
        <v>0</v>
      </c>
      <c r="T2004" s="9">
        <v>0</v>
      </c>
      <c r="U2004" s="9">
        <v>0</v>
      </c>
    </row>
    <row r="2005" spans="1:21" x14ac:dyDescent="0.2">
      <c r="A2005" t="s">
        <v>862</v>
      </c>
      <c r="B2005">
        <v>914</v>
      </c>
      <c r="C2005">
        <v>1</v>
      </c>
      <c r="D2005" t="s">
        <v>340</v>
      </c>
      <c r="E2005" s="9">
        <v>0</v>
      </c>
      <c r="F2005" s="9">
        <v>0</v>
      </c>
      <c r="G2005" s="9">
        <v>0</v>
      </c>
      <c r="H2005" s="9">
        <v>0</v>
      </c>
      <c r="I2005" s="9">
        <v>0</v>
      </c>
      <c r="J2005" s="9">
        <v>0</v>
      </c>
      <c r="K2005" s="9">
        <v>0</v>
      </c>
      <c r="L2005" s="9">
        <v>0</v>
      </c>
      <c r="M2005" s="9">
        <v>0</v>
      </c>
      <c r="N2005" s="9">
        <v>0</v>
      </c>
      <c r="O2005" s="9">
        <v>0</v>
      </c>
      <c r="P2005" s="9">
        <v>0</v>
      </c>
      <c r="Q2005" s="9">
        <v>0</v>
      </c>
      <c r="R2005" s="9">
        <v>0</v>
      </c>
      <c r="S2005" s="9">
        <v>0</v>
      </c>
      <c r="T2005" s="9">
        <v>0</v>
      </c>
      <c r="U2005" s="9">
        <v>0</v>
      </c>
    </row>
    <row r="2006" spans="1:21" x14ac:dyDescent="0.2">
      <c r="A2006" t="s">
        <v>862</v>
      </c>
      <c r="B2006">
        <v>2071</v>
      </c>
      <c r="C2006">
        <v>1</v>
      </c>
      <c r="D2006" t="s">
        <v>341</v>
      </c>
      <c r="E2006" s="9">
        <v>0</v>
      </c>
      <c r="F2006" s="9">
        <v>0</v>
      </c>
      <c r="G2006" s="9">
        <v>0</v>
      </c>
      <c r="H2006" s="9">
        <v>0</v>
      </c>
      <c r="I2006" s="9">
        <v>0</v>
      </c>
      <c r="J2006" s="9">
        <v>0</v>
      </c>
      <c r="K2006" s="9">
        <v>0</v>
      </c>
      <c r="L2006" s="9">
        <v>0</v>
      </c>
      <c r="M2006" s="9">
        <v>0</v>
      </c>
      <c r="N2006" s="9">
        <v>0</v>
      </c>
      <c r="O2006" s="9">
        <v>0</v>
      </c>
      <c r="P2006" s="9">
        <v>0</v>
      </c>
      <c r="Q2006" s="9">
        <v>0</v>
      </c>
      <c r="R2006" s="9">
        <v>0</v>
      </c>
      <c r="S2006" s="9">
        <v>0</v>
      </c>
      <c r="T2006" s="9">
        <v>0</v>
      </c>
      <c r="U2006" s="9">
        <v>0</v>
      </c>
    </row>
    <row r="2007" spans="1:21" x14ac:dyDescent="0.2">
      <c r="A2007" t="s">
        <v>862</v>
      </c>
      <c r="B2007">
        <v>2125</v>
      </c>
      <c r="C2007">
        <v>1</v>
      </c>
      <c r="D2007" t="s">
        <v>342</v>
      </c>
      <c r="E2007" s="9">
        <v>0</v>
      </c>
      <c r="F2007" s="9">
        <v>0</v>
      </c>
      <c r="G2007" s="9">
        <v>0</v>
      </c>
      <c r="H2007" s="9">
        <v>0</v>
      </c>
      <c r="I2007" s="9">
        <v>0</v>
      </c>
      <c r="J2007" s="9">
        <v>0</v>
      </c>
      <c r="K2007" s="9">
        <v>0</v>
      </c>
      <c r="L2007" s="9">
        <v>0</v>
      </c>
      <c r="M2007" s="9">
        <v>0</v>
      </c>
      <c r="N2007" s="9">
        <v>0</v>
      </c>
      <c r="O2007" s="9">
        <v>0</v>
      </c>
      <c r="P2007" s="9">
        <v>0</v>
      </c>
      <c r="Q2007" s="9">
        <v>0</v>
      </c>
      <c r="R2007" s="9">
        <v>0</v>
      </c>
      <c r="S2007" s="9">
        <v>0</v>
      </c>
      <c r="T2007" s="9">
        <v>0</v>
      </c>
      <c r="U2007" s="9">
        <v>0</v>
      </c>
    </row>
    <row r="2008" spans="1:21" x14ac:dyDescent="0.2">
      <c r="A2008" t="s">
        <v>862</v>
      </c>
      <c r="B2008">
        <v>2134</v>
      </c>
      <c r="C2008">
        <v>1</v>
      </c>
      <c r="D2008" t="s">
        <v>343</v>
      </c>
      <c r="E2008" s="9">
        <v>0</v>
      </c>
      <c r="F2008" s="9">
        <v>0</v>
      </c>
      <c r="G2008" s="9">
        <v>0</v>
      </c>
      <c r="H2008" s="9">
        <v>0</v>
      </c>
      <c r="I2008" s="9">
        <v>0</v>
      </c>
      <c r="J2008" s="9">
        <v>0</v>
      </c>
      <c r="K2008" s="9">
        <v>0</v>
      </c>
      <c r="L2008" s="9">
        <v>0</v>
      </c>
      <c r="M2008" s="9">
        <v>0</v>
      </c>
      <c r="N2008" s="9">
        <v>0</v>
      </c>
      <c r="O2008" s="9">
        <v>0</v>
      </c>
      <c r="P2008" s="9">
        <v>0</v>
      </c>
      <c r="Q2008" s="9">
        <v>0</v>
      </c>
      <c r="R2008" s="9">
        <v>0</v>
      </c>
      <c r="S2008" s="9">
        <v>0</v>
      </c>
      <c r="T2008" s="9">
        <v>0</v>
      </c>
      <c r="U2008" s="9">
        <v>0</v>
      </c>
    </row>
    <row r="2009" spans="1:21" x14ac:dyDescent="0.2">
      <c r="A2009" t="s">
        <v>862</v>
      </c>
      <c r="B2009">
        <v>2135</v>
      </c>
      <c r="C2009">
        <v>1</v>
      </c>
      <c r="D2009" t="s">
        <v>344</v>
      </c>
      <c r="E2009" s="9">
        <v>0</v>
      </c>
      <c r="F2009" s="9">
        <v>0</v>
      </c>
      <c r="G2009" s="9">
        <v>0</v>
      </c>
      <c r="H2009" s="9">
        <v>0</v>
      </c>
      <c r="I2009" s="9">
        <v>0</v>
      </c>
      <c r="J2009" s="9">
        <v>1</v>
      </c>
      <c r="K2009" s="9">
        <v>1</v>
      </c>
      <c r="L2009" s="9">
        <v>1</v>
      </c>
      <c r="M2009" s="9">
        <v>1</v>
      </c>
      <c r="N2009" s="9">
        <v>1</v>
      </c>
      <c r="O2009" s="9">
        <v>1</v>
      </c>
      <c r="P2009" s="9">
        <v>1</v>
      </c>
      <c r="Q2009" s="9">
        <v>1</v>
      </c>
      <c r="R2009" s="9">
        <v>1</v>
      </c>
      <c r="S2009" s="9">
        <v>1</v>
      </c>
      <c r="T2009" s="9">
        <v>1</v>
      </c>
      <c r="U2009" s="9">
        <v>1</v>
      </c>
    </row>
    <row r="2010" spans="1:21" x14ac:dyDescent="0.2">
      <c r="A2010" t="s">
        <v>862</v>
      </c>
      <c r="B2010">
        <v>2137</v>
      </c>
      <c r="C2010">
        <v>1</v>
      </c>
      <c r="D2010" t="s">
        <v>345</v>
      </c>
      <c r="E2010" s="9">
        <v>0</v>
      </c>
      <c r="F2010" s="9">
        <v>0</v>
      </c>
      <c r="G2010" s="9">
        <v>0</v>
      </c>
      <c r="H2010" s="9">
        <v>0</v>
      </c>
      <c r="I2010" s="9">
        <v>0</v>
      </c>
      <c r="J2010" s="9">
        <v>0</v>
      </c>
      <c r="K2010" s="9">
        <v>0</v>
      </c>
      <c r="L2010" s="9">
        <v>0</v>
      </c>
      <c r="M2010" s="9">
        <v>0</v>
      </c>
      <c r="N2010" s="9">
        <v>0</v>
      </c>
      <c r="O2010" s="9">
        <v>0</v>
      </c>
      <c r="P2010" s="9">
        <v>0</v>
      </c>
      <c r="Q2010" s="9">
        <v>0</v>
      </c>
      <c r="R2010" s="9">
        <v>0</v>
      </c>
      <c r="S2010" s="9">
        <v>0</v>
      </c>
      <c r="T2010" s="9">
        <v>0</v>
      </c>
      <c r="U2010" s="9">
        <v>0</v>
      </c>
    </row>
    <row r="2011" spans="1:21" x14ac:dyDescent="0.2">
      <c r="A2011" t="s">
        <v>862</v>
      </c>
      <c r="B2011">
        <v>2142</v>
      </c>
      <c r="C2011">
        <v>1</v>
      </c>
      <c r="D2011" t="s">
        <v>346</v>
      </c>
      <c r="E2011" s="9">
        <v>0</v>
      </c>
      <c r="F2011" s="9">
        <v>0</v>
      </c>
      <c r="G2011" s="9">
        <v>0</v>
      </c>
      <c r="H2011" s="9">
        <v>0</v>
      </c>
      <c r="I2011" s="9">
        <v>0</v>
      </c>
      <c r="J2011" s="9">
        <v>0</v>
      </c>
      <c r="K2011" s="9">
        <v>0</v>
      </c>
      <c r="L2011" s="9">
        <v>0</v>
      </c>
      <c r="M2011" s="9">
        <v>0</v>
      </c>
      <c r="N2011" s="9">
        <v>0</v>
      </c>
      <c r="O2011" s="9">
        <v>0</v>
      </c>
      <c r="P2011" s="9">
        <v>0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</row>
    <row r="2012" spans="1:21" x14ac:dyDescent="0.2">
      <c r="A2012" t="s">
        <v>862</v>
      </c>
      <c r="B2012">
        <v>2143</v>
      </c>
      <c r="C2012">
        <v>1</v>
      </c>
      <c r="D2012" t="s">
        <v>347</v>
      </c>
      <c r="E2012" s="9">
        <v>0</v>
      </c>
      <c r="F2012" s="9">
        <v>0</v>
      </c>
      <c r="G2012" s="9">
        <v>0</v>
      </c>
      <c r="H2012" s="9">
        <v>0</v>
      </c>
      <c r="I2012" s="9">
        <v>0</v>
      </c>
      <c r="J2012" s="9">
        <v>0</v>
      </c>
      <c r="K2012" s="9">
        <v>0</v>
      </c>
      <c r="L2012" s="9">
        <v>0</v>
      </c>
      <c r="M2012" s="9">
        <v>0</v>
      </c>
      <c r="N2012" s="9">
        <v>0</v>
      </c>
      <c r="O2012" s="9">
        <v>0</v>
      </c>
      <c r="P2012" s="9">
        <v>0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</row>
    <row r="2013" spans="1:21" x14ac:dyDescent="0.2">
      <c r="A2013" t="s">
        <v>862</v>
      </c>
      <c r="B2013">
        <v>2144</v>
      </c>
      <c r="C2013">
        <v>1</v>
      </c>
      <c r="D2013" t="s">
        <v>348</v>
      </c>
      <c r="E2013" s="9">
        <v>0</v>
      </c>
      <c r="F2013" s="9">
        <v>0</v>
      </c>
      <c r="G2013" s="9">
        <v>0</v>
      </c>
      <c r="H2013" s="9">
        <v>0</v>
      </c>
      <c r="I2013" s="9">
        <v>0</v>
      </c>
      <c r="J2013" s="9">
        <v>0</v>
      </c>
      <c r="K2013" s="9">
        <v>0</v>
      </c>
      <c r="L2013" s="9">
        <v>0</v>
      </c>
      <c r="M2013" s="9">
        <v>0</v>
      </c>
      <c r="N2013" s="9">
        <v>0</v>
      </c>
      <c r="O2013" s="9">
        <v>0</v>
      </c>
      <c r="P2013" s="9">
        <v>0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</row>
    <row r="2014" spans="1:21" x14ac:dyDescent="0.2">
      <c r="A2014" t="s">
        <v>862</v>
      </c>
      <c r="B2014">
        <v>2149</v>
      </c>
      <c r="C2014">
        <v>1</v>
      </c>
      <c r="D2014" t="s">
        <v>349</v>
      </c>
      <c r="E2014" s="9">
        <v>0</v>
      </c>
      <c r="F2014" s="9">
        <v>0</v>
      </c>
      <c r="G2014" s="9">
        <v>0</v>
      </c>
      <c r="H2014" s="9">
        <v>0</v>
      </c>
      <c r="I2014" s="9">
        <v>0</v>
      </c>
      <c r="J2014" s="9">
        <v>0</v>
      </c>
      <c r="K2014" s="9">
        <v>0</v>
      </c>
      <c r="L2014" s="9">
        <v>0</v>
      </c>
      <c r="M2014" s="9">
        <v>0</v>
      </c>
      <c r="N2014" s="9">
        <v>0</v>
      </c>
      <c r="O2014" s="9">
        <v>0</v>
      </c>
      <c r="P2014" s="9">
        <v>0</v>
      </c>
      <c r="Q2014" s="9">
        <v>0</v>
      </c>
      <c r="R2014" s="9">
        <v>0</v>
      </c>
      <c r="S2014" s="9">
        <v>0</v>
      </c>
      <c r="T2014" s="9">
        <v>0</v>
      </c>
      <c r="U2014" s="9">
        <v>0</v>
      </c>
    </row>
    <row r="2015" spans="1:21" x14ac:dyDescent="0.2">
      <c r="A2015" t="s">
        <v>862</v>
      </c>
      <c r="B2015">
        <v>2154</v>
      </c>
      <c r="C2015">
        <v>1</v>
      </c>
      <c r="D2015" t="s">
        <v>350</v>
      </c>
      <c r="E2015" s="9">
        <v>0</v>
      </c>
      <c r="F2015" s="9">
        <v>0</v>
      </c>
      <c r="G2015" s="9">
        <v>0</v>
      </c>
      <c r="H2015" s="9">
        <v>0</v>
      </c>
      <c r="I2015" s="9">
        <v>0</v>
      </c>
      <c r="J2015" s="9">
        <v>0</v>
      </c>
      <c r="K2015" s="9">
        <v>0</v>
      </c>
      <c r="L2015" s="9">
        <v>0</v>
      </c>
      <c r="M2015" s="9">
        <v>0</v>
      </c>
      <c r="N2015" s="9">
        <v>0</v>
      </c>
      <c r="O2015" s="9">
        <v>0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</row>
    <row r="2016" spans="1:21" x14ac:dyDescent="0.2">
      <c r="A2016" t="s">
        <v>862</v>
      </c>
      <c r="B2016">
        <v>2155</v>
      </c>
      <c r="C2016">
        <v>1</v>
      </c>
      <c r="D2016" t="s">
        <v>351</v>
      </c>
      <c r="E2016" s="9">
        <v>0</v>
      </c>
      <c r="F2016" s="9">
        <v>0</v>
      </c>
      <c r="G2016" s="9">
        <v>0</v>
      </c>
      <c r="H2016" s="9">
        <v>0</v>
      </c>
      <c r="I2016" s="9">
        <v>0</v>
      </c>
      <c r="J2016" s="9">
        <v>0</v>
      </c>
      <c r="K2016" s="9">
        <v>0</v>
      </c>
      <c r="L2016" s="9">
        <v>0</v>
      </c>
      <c r="M2016" s="9">
        <v>0</v>
      </c>
      <c r="N2016" s="9">
        <v>0</v>
      </c>
      <c r="O2016" s="9">
        <v>0</v>
      </c>
      <c r="P2016" s="9">
        <v>0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</row>
    <row r="2017" spans="1:21" x14ac:dyDescent="0.2">
      <c r="A2017" t="s">
        <v>862</v>
      </c>
      <c r="B2017">
        <v>2159</v>
      </c>
      <c r="C2017">
        <v>1</v>
      </c>
      <c r="D2017" t="s">
        <v>352</v>
      </c>
      <c r="E2017" s="9">
        <v>0</v>
      </c>
      <c r="F2017" s="9">
        <v>0</v>
      </c>
      <c r="G2017" s="9">
        <v>0</v>
      </c>
      <c r="H2017" s="9">
        <v>0</v>
      </c>
      <c r="I2017" s="9">
        <v>0</v>
      </c>
      <c r="J2017" s="9">
        <v>0</v>
      </c>
      <c r="K2017" s="9">
        <v>0</v>
      </c>
      <c r="L2017" s="9">
        <v>0</v>
      </c>
      <c r="M2017" s="9">
        <v>0</v>
      </c>
      <c r="N2017" s="9">
        <v>0</v>
      </c>
      <c r="O2017" s="9">
        <v>0</v>
      </c>
      <c r="P2017" s="9">
        <v>0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</row>
    <row r="2018" spans="1:21" x14ac:dyDescent="0.2">
      <c r="A2018" t="s">
        <v>862</v>
      </c>
      <c r="B2018">
        <v>2164</v>
      </c>
      <c r="C2018">
        <v>1</v>
      </c>
      <c r="D2018" t="s">
        <v>353</v>
      </c>
      <c r="E2018" s="9">
        <v>0</v>
      </c>
      <c r="F2018" s="9">
        <v>0</v>
      </c>
      <c r="G2018" s="9">
        <v>0</v>
      </c>
      <c r="H2018" s="9">
        <v>0</v>
      </c>
      <c r="I2018" s="9">
        <v>0</v>
      </c>
      <c r="J2018" s="9">
        <v>0</v>
      </c>
      <c r="K2018" s="9">
        <v>0</v>
      </c>
      <c r="L2018" s="9">
        <v>0</v>
      </c>
      <c r="M2018" s="9">
        <v>0</v>
      </c>
      <c r="N2018" s="9">
        <v>0</v>
      </c>
      <c r="O2018" s="9">
        <v>0</v>
      </c>
      <c r="P2018" s="9">
        <v>0</v>
      </c>
      <c r="Q2018" s="9">
        <v>0</v>
      </c>
      <c r="R2018" s="9">
        <v>0</v>
      </c>
      <c r="S2018" s="9">
        <v>0</v>
      </c>
      <c r="T2018" s="9">
        <v>0</v>
      </c>
      <c r="U2018" s="9">
        <v>0</v>
      </c>
    </row>
    <row r="2019" spans="1:21" x14ac:dyDescent="0.2">
      <c r="A2019" t="s">
        <v>862</v>
      </c>
      <c r="B2019">
        <v>2165</v>
      </c>
      <c r="C2019">
        <v>1</v>
      </c>
      <c r="D2019" t="s">
        <v>354</v>
      </c>
      <c r="E2019" s="9">
        <v>0</v>
      </c>
      <c r="F2019" s="9">
        <v>0</v>
      </c>
      <c r="G2019" s="9">
        <v>0</v>
      </c>
      <c r="H2019" s="9">
        <v>0</v>
      </c>
      <c r="I2019" s="9">
        <v>0</v>
      </c>
      <c r="J2019" s="9">
        <v>0</v>
      </c>
      <c r="K2019" s="9">
        <v>0</v>
      </c>
      <c r="L2019" s="9">
        <v>0</v>
      </c>
      <c r="M2019" s="9">
        <v>0</v>
      </c>
      <c r="N2019" s="9">
        <v>0</v>
      </c>
      <c r="O2019" s="9">
        <v>0</v>
      </c>
      <c r="P2019" s="9">
        <v>0</v>
      </c>
      <c r="Q2019" s="9">
        <v>0</v>
      </c>
      <c r="R2019" s="9">
        <v>0</v>
      </c>
      <c r="S2019" s="9">
        <v>0</v>
      </c>
      <c r="T2019" s="9">
        <v>0</v>
      </c>
      <c r="U2019" s="9">
        <v>0</v>
      </c>
    </row>
    <row r="2020" spans="1:21" x14ac:dyDescent="0.2">
      <c r="A2020" t="s">
        <v>862</v>
      </c>
      <c r="B2020">
        <v>2167</v>
      </c>
      <c r="C2020">
        <v>1</v>
      </c>
      <c r="D2020" t="s">
        <v>355</v>
      </c>
      <c r="E2020" s="9">
        <v>0</v>
      </c>
      <c r="F2020" s="9">
        <v>0</v>
      </c>
      <c r="G2020" s="9">
        <v>0</v>
      </c>
      <c r="H2020" s="9">
        <v>0</v>
      </c>
      <c r="I2020" s="9">
        <v>0</v>
      </c>
      <c r="J2020" s="9">
        <v>0</v>
      </c>
      <c r="K2020" s="9">
        <v>0</v>
      </c>
      <c r="L2020" s="9">
        <v>0</v>
      </c>
      <c r="M2020" s="9">
        <v>0</v>
      </c>
      <c r="N2020" s="9">
        <v>0</v>
      </c>
      <c r="O2020" s="9">
        <v>0</v>
      </c>
      <c r="P2020" s="9">
        <v>0</v>
      </c>
      <c r="Q2020" s="9">
        <v>0</v>
      </c>
      <c r="R2020" s="9">
        <v>0</v>
      </c>
      <c r="S2020" s="9">
        <v>0</v>
      </c>
      <c r="T2020" s="9">
        <v>0</v>
      </c>
      <c r="U2020" s="9">
        <v>0</v>
      </c>
    </row>
    <row r="2021" spans="1:21" x14ac:dyDescent="0.2">
      <c r="A2021" t="s">
        <v>862</v>
      </c>
      <c r="B2021">
        <v>2168</v>
      </c>
      <c r="C2021">
        <v>1</v>
      </c>
      <c r="D2021" t="s">
        <v>356</v>
      </c>
      <c r="E2021" s="9">
        <v>0</v>
      </c>
      <c r="F2021" s="9">
        <v>0</v>
      </c>
      <c r="G2021" s="9">
        <v>0</v>
      </c>
      <c r="H2021" s="9">
        <v>0</v>
      </c>
      <c r="I2021" s="9">
        <v>0</v>
      </c>
      <c r="J2021" s="9">
        <v>0</v>
      </c>
      <c r="K2021" s="9">
        <v>0</v>
      </c>
      <c r="L2021" s="9">
        <v>0</v>
      </c>
      <c r="M2021" s="9">
        <v>0</v>
      </c>
      <c r="N2021" s="9">
        <v>0</v>
      </c>
      <c r="O2021" s="9">
        <v>0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</row>
    <row r="2022" spans="1:21" x14ac:dyDescent="0.2">
      <c r="A2022" t="s">
        <v>862</v>
      </c>
      <c r="B2022">
        <v>2169</v>
      </c>
      <c r="C2022">
        <v>1</v>
      </c>
      <c r="D2022" t="s">
        <v>357</v>
      </c>
      <c r="E2022" s="9">
        <v>0</v>
      </c>
      <c r="F2022" s="9">
        <v>0</v>
      </c>
      <c r="G2022" s="9">
        <v>0</v>
      </c>
      <c r="H2022" s="9">
        <v>0</v>
      </c>
      <c r="I2022" s="9">
        <v>0</v>
      </c>
      <c r="J2022" s="9">
        <v>0</v>
      </c>
      <c r="K2022" s="9">
        <v>0</v>
      </c>
      <c r="L2022" s="9">
        <v>0</v>
      </c>
      <c r="M2022" s="9">
        <v>0</v>
      </c>
      <c r="N2022" s="9">
        <v>0</v>
      </c>
      <c r="O2022" s="9">
        <v>0</v>
      </c>
      <c r="P2022" s="9">
        <v>0</v>
      </c>
      <c r="Q2022" s="9">
        <v>0</v>
      </c>
      <c r="R2022" s="9">
        <v>0</v>
      </c>
      <c r="S2022" s="9">
        <v>0</v>
      </c>
      <c r="T2022" s="9">
        <v>0</v>
      </c>
      <c r="U2022" s="9">
        <v>0</v>
      </c>
    </row>
    <row r="2023" spans="1:21" x14ac:dyDescent="0.2">
      <c r="A2023" t="s">
        <v>862</v>
      </c>
      <c r="B2023">
        <v>2170</v>
      </c>
      <c r="C2023">
        <v>1</v>
      </c>
      <c r="D2023" t="s">
        <v>358</v>
      </c>
      <c r="E2023" s="9">
        <v>0</v>
      </c>
      <c r="F2023" s="9">
        <v>0</v>
      </c>
      <c r="G2023" s="9">
        <v>0</v>
      </c>
      <c r="H2023" s="9">
        <v>0</v>
      </c>
      <c r="I2023" s="9">
        <v>0</v>
      </c>
      <c r="J2023" s="9">
        <v>0</v>
      </c>
      <c r="K2023" s="9">
        <v>0</v>
      </c>
      <c r="L2023" s="9">
        <v>0</v>
      </c>
      <c r="M2023" s="9">
        <v>0</v>
      </c>
      <c r="N2023" s="9">
        <v>0</v>
      </c>
      <c r="O2023" s="9">
        <v>0</v>
      </c>
      <c r="P2023" s="9">
        <v>0</v>
      </c>
      <c r="Q2023" s="9">
        <v>0</v>
      </c>
      <c r="R2023" s="9">
        <v>0</v>
      </c>
      <c r="S2023" s="9">
        <v>0</v>
      </c>
      <c r="T2023" s="9">
        <v>0</v>
      </c>
      <c r="U2023" s="9">
        <v>0</v>
      </c>
    </row>
    <row r="2024" spans="1:21" x14ac:dyDescent="0.2">
      <c r="A2024" t="s">
        <v>862</v>
      </c>
      <c r="B2024">
        <v>2171</v>
      </c>
      <c r="C2024">
        <v>1</v>
      </c>
      <c r="D2024" t="s">
        <v>359</v>
      </c>
      <c r="E2024" s="9">
        <v>0</v>
      </c>
      <c r="F2024" s="9">
        <v>0</v>
      </c>
      <c r="G2024" s="9">
        <v>0</v>
      </c>
      <c r="H2024" s="9">
        <v>0</v>
      </c>
      <c r="I2024" s="9">
        <v>0</v>
      </c>
      <c r="J2024" s="9">
        <v>1</v>
      </c>
      <c r="K2024" s="9">
        <v>1</v>
      </c>
      <c r="L2024" s="9">
        <v>1</v>
      </c>
      <c r="M2024" s="9">
        <v>0</v>
      </c>
      <c r="N2024" s="9">
        <v>0</v>
      </c>
      <c r="O2024" s="9">
        <v>0</v>
      </c>
      <c r="P2024" s="9">
        <v>0</v>
      </c>
      <c r="Q2024" s="9">
        <v>0</v>
      </c>
      <c r="R2024" s="9">
        <v>0</v>
      </c>
      <c r="S2024" s="9">
        <v>0</v>
      </c>
      <c r="T2024" s="9">
        <v>0</v>
      </c>
      <c r="U2024" s="9">
        <v>0</v>
      </c>
    </row>
    <row r="2025" spans="1:21" x14ac:dyDescent="0.2">
      <c r="A2025" t="s">
        <v>862</v>
      </c>
      <c r="B2025">
        <v>2172</v>
      </c>
      <c r="C2025">
        <v>1</v>
      </c>
      <c r="D2025" t="s">
        <v>360</v>
      </c>
      <c r="E2025" s="9">
        <v>0</v>
      </c>
      <c r="F2025" s="9">
        <v>0</v>
      </c>
      <c r="G2025" s="9">
        <v>0</v>
      </c>
      <c r="H2025" s="9">
        <v>0</v>
      </c>
      <c r="I2025" s="9">
        <v>0</v>
      </c>
      <c r="J2025" s="9">
        <v>0</v>
      </c>
      <c r="K2025" s="9">
        <v>0</v>
      </c>
      <c r="L2025" s="9">
        <v>0</v>
      </c>
      <c r="M2025" s="9">
        <v>0</v>
      </c>
      <c r="N2025" s="9">
        <v>0</v>
      </c>
      <c r="O2025" s="9">
        <v>0</v>
      </c>
      <c r="P2025" s="9">
        <v>0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</row>
    <row r="2026" spans="1:21" x14ac:dyDescent="0.2">
      <c r="A2026" t="s">
        <v>862</v>
      </c>
      <c r="B2026">
        <v>2174</v>
      </c>
      <c r="C2026">
        <v>1</v>
      </c>
      <c r="D2026" t="s">
        <v>361</v>
      </c>
      <c r="E2026" s="9">
        <v>0</v>
      </c>
      <c r="F2026" s="9">
        <v>0</v>
      </c>
      <c r="G2026" s="9">
        <v>0</v>
      </c>
      <c r="H2026" s="9">
        <v>0</v>
      </c>
      <c r="I2026" s="9">
        <v>0</v>
      </c>
      <c r="J2026" s="9">
        <v>0</v>
      </c>
      <c r="K2026" s="9">
        <v>0</v>
      </c>
      <c r="L2026" s="9">
        <v>0</v>
      </c>
      <c r="M2026" s="9">
        <v>0</v>
      </c>
      <c r="N2026" s="9">
        <v>0</v>
      </c>
      <c r="O2026" s="9">
        <v>0</v>
      </c>
      <c r="P2026" s="9">
        <v>0</v>
      </c>
      <c r="Q2026" s="9">
        <v>0</v>
      </c>
      <c r="R2026" s="9">
        <v>0</v>
      </c>
      <c r="S2026" s="9">
        <v>0</v>
      </c>
      <c r="T2026" s="9">
        <v>0</v>
      </c>
      <c r="U2026" s="9">
        <v>0</v>
      </c>
    </row>
    <row r="2027" spans="1:21" x14ac:dyDescent="0.2">
      <c r="A2027" t="s">
        <v>862</v>
      </c>
      <c r="B2027">
        <v>2176</v>
      </c>
      <c r="C2027">
        <v>1</v>
      </c>
      <c r="D2027" t="s">
        <v>362</v>
      </c>
      <c r="E2027" s="9">
        <v>0</v>
      </c>
      <c r="F2027" s="9">
        <v>0</v>
      </c>
      <c r="G2027" s="9">
        <v>0</v>
      </c>
      <c r="H2027" s="9">
        <v>0</v>
      </c>
      <c r="I2027" s="9">
        <v>0</v>
      </c>
      <c r="J2027" s="9">
        <v>1</v>
      </c>
      <c r="K2027" s="9">
        <v>1</v>
      </c>
      <c r="L2027" s="9">
        <v>1</v>
      </c>
      <c r="M2027" s="9">
        <v>1</v>
      </c>
      <c r="N2027" s="9">
        <v>1</v>
      </c>
      <c r="O2027" s="9">
        <v>1</v>
      </c>
      <c r="P2027" s="9">
        <v>1</v>
      </c>
      <c r="Q2027" s="9">
        <v>1</v>
      </c>
      <c r="R2027" s="9">
        <v>1</v>
      </c>
      <c r="S2027" s="9">
        <v>1</v>
      </c>
      <c r="T2027" s="9">
        <v>1</v>
      </c>
      <c r="U2027" s="9">
        <v>1</v>
      </c>
    </row>
    <row r="2028" spans="1:21" x14ac:dyDescent="0.2">
      <c r="A2028" t="s">
        <v>862</v>
      </c>
      <c r="B2028">
        <v>2180</v>
      </c>
      <c r="C2028">
        <v>1</v>
      </c>
      <c r="D2028" t="s">
        <v>363</v>
      </c>
      <c r="E2028" s="9">
        <v>0</v>
      </c>
      <c r="F2028" s="9">
        <v>0</v>
      </c>
      <c r="G2028" s="9">
        <v>0</v>
      </c>
      <c r="H2028" s="9">
        <v>0</v>
      </c>
      <c r="I2028" s="9">
        <v>0</v>
      </c>
      <c r="J2028" s="9">
        <v>0</v>
      </c>
      <c r="K2028" s="9">
        <v>0</v>
      </c>
      <c r="L2028" s="9">
        <v>0</v>
      </c>
      <c r="M2028" s="9">
        <v>0</v>
      </c>
      <c r="N2028" s="9">
        <v>0</v>
      </c>
      <c r="O2028" s="9">
        <v>0</v>
      </c>
      <c r="P2028" s="9">
        <v>0</v>
      </c>
      <c r="Q2028" s="9">
        <v>0</v>
      </c>
      <c r="R2028" s="9">
        <v>0</v>
      </c>
      <c r="S2028" s="9">
        <v>0</v>
      </c>
      <c r="T2028" s="9">
        <v>0</v>
      </c>
      <c r="U2028" s="9">
        <v>0</v>
      </c>
    </row>
    <row r="2029" spans="1:21" x14ac:dyDescent="0.2">
      <c r="A2029" t="s">
        <v>862</v>
      </c>
      <c r="B2029">
        <v>2184</v>
      </c>
      <c r="C2029">
        <v>1</v>
      </c>
      <c r="D2029" t="s">
        <v>364</v>
      </c>
      <c r="E2029" s="9">
        <v>0</v>
      </c>
      <c r="F2029" s="9">
        <v>0</v>
      </c>
      <c r="G2029" s="9">
        <v>0</v>
      </c>
      <c r="H2029" s="9">
        <v>0</v>
      </c>
      <c r="I2029" s="9">
        <v>0</v>
      </c>
      <c r="J2029" s="9">
        <v>0</v>
      </c>
      <c r="K2029" s="9">
        <v>0</v>
      </c>
      <c r="L2029" s="9">
        <v>0</v>
      </c>
      <c r="M2029" s="9">
        <v>0</v>
      </c>
      <c r="N2029" s="9">
        <v>0</v>
      </c>
      <c r="O2029" s="9">
        <v>0</v>
      </c>
      <c r="P2029" s="9">
        <v>0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</row>
    <row r="2030" spans="1:21" x14ac:dyDescent="0.2">
      <c r="A2030" t="s">
        <v>862</v>
      </c>
      <c r="B2030">
        <v>2190</v>
      </c>
      <c r="C2030">
        <v>1</v>
      </c>
      <c r="D2030" t="s">
        <v>365</v>
      </c>
      <c r="E2030" s="9">
        <v>0</v>
      </c>
      <c r="F2030" s="9">
        <v>0</v>
      </c>
      <c r="G2030" s="9">
        <v>0</v>
      </c>
      <c r="H2030" s="9">
        <v>0</v>
      </c>
      <c r="I2030" s="9">
        <v>0</v>
      </c>
      <c r="J2030" s="9">
        <v>0</v>
      </c>
      <c r="K2030" s="9">
        <v>0</v>
      </c>
      <c r="L2030" s="9">
        <v>0</v>
      </c>
      <c r="M2030" s="9">
        <v>0</v>
      </c>
      <c r="N2030" s="9">
        <v>0</v>
      </c>
      <c r="O2030" s="9">
        <v>0</v>
      </c>
      <c r="P2030" s="9">
        <v>0</v>
      </c>
      <c r="Q2030" s="9">
        <v>0</v>
      </c>
      <c r="R2030" s="9">
        <v>0</v>
      </c>
      <c r="S2030" s="9">
        <v>0</v>
      </c>
      <c r="T2030" s="9">
        <v>0</v>
      </c>
      <c r="U2030" s="9">
        <v>0</v>
      </c>
    </row>
    <row r="2031" spans="1:21" x14ac:dyDescent="0.2">
      <c r="A2031" t="s">
        <v>862</v>
      </c>
      <c r="B2031">
        <v>2198</v>
      </c>
      <c r="C2031">
        <v>1</v>
      </c>
      <c r="D2031" t="s">
        <v>366</v>
      </c>
      <c r="E2031" s="9">
        <v>0</v>
      </c>
      <c r="F2031" s="9">
        <v>0</v>
      </c>
      <c r="G2031" s="9">
        <v>0</v>
      </c>
      <c r="H2031" s="9">
        <v>0</v>
      </c>
      <c r="I2031" s="9">
        <v>0</v>
      </c>
      <c r="J2031" s="9">
        <v>0</v>
      </c>
      <c r="K2031" s="9">
        <v>0</v>
      </c>
      <c r="L2031" s="9">
        <v>0</v>
      </c>
      <c r="M2031" s="9">
        <v>0</v>
      </c>
      <c r="N2031" s="9">
        <v>0</v>
      </c>
      <c r="O2031" s="9">
        <v>0</v>
      </c>
      <c r="P2031" s="9">
        <v>0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</row>
    <row r="2032" spans="1:21" x14ac:dyDescent="0.2">
      <c r="A2032" t="s">
        <v>862</v>
      </c>
      <c r="B2032">
        <v>2215</v>
      </c>
      <c r="C2032">
        <v>1</v>
      </c>
      <c r="D2032" t="s">
        <v>367</v>
      </c>
      <c r="E2032" s="9">
        <v>0</v>
      </c>
      <c r="F2032" s="9">
        <v>0</v>
      </c>
      <c r="G2032" s="9">
        <v>0</v>
      </c>
      <c r="H2032" s="9">
        <v>0</v>
      </c>
      <c r="I2032" s="9">
        <v>0</v>
      </c>
      <c r="J2032" s="9">
        <v>0</v>
      </c>
      <c r="K2032" s="9">
        <v>0</v>
      </c>
      <c r="L2032" s="9">
        <v>0</v>
      </c>
      <c r="M2032" s="9">
        <v>0</v>
      </c>
      <c r="N2032" s="9">
        <v>0</v>
      </c>
      <c r="O2032" s="9">
        <v>0</v>
      </c>
      <c r="P2032" s="9">
        <v>0</v>
      </c>
      <c r="Q2032" s="9">
        <v>0</v>
      </c>
      <c r="R2032" s="9">
        <v>0</v>
      </c>
      <c r="S2032" s="9">
        <v>0</v>
      </c>
      <c r="T2032" s="9">
        <v>0</v>
      </c>
      <c r="U2032" s="9">
        <v>0</v>
      </c>
    </row>
    <row r="2033" spans="1:21" x14ac:dyDescent="0.2">
      <c r="A2033" t="s">
        <v>862</v>
      </c>
      <c r="B2033">
        <v>2310</v>
      </c>
      <c r="C2033">
        <v>1</v>
      </c>
      <c r="D2033" t="s">
        <v>368</v>
      </c>
      <c r="E2033" s="9">
        <v>0</v>
      </c>
      <c r="F2033" s="9">
        <v>0</v>
      </c>
      <c r="G2033" s="9">
        <v>0</v>
      </c>
      <c r="H2033" s="9">
        <v>0</v>
      </c>
      <c r="I2033" s="9">
        <v>0</v>
      </c>
      <c r="J2033" s="9">
        <v>0</v>
      </c>
      <c r="K2033" s="9">
        <v>0</v>
      </c>
      <c r="L2033" s="9">
        <v>0</v>
      </c>
      <c r="M2033" s="9">
        <v>0</v>
      </c>
      <c r="N2033" s="9">
        <v>0</v>
      </c>
      <c r="O2033" s="9">
        <v>0</v>
      </c>
      <c r="P2033" s="9">
        <v>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</row>
    <row r="2034" spans="1:21" x14ac:dyDescent="0.2">
      <c r="A2034" t="s">
        <v>862</v>
      </c>
      <c r="B2034">
        <v>2311</v>
      </c>
      <c r="C2034">
        <v>1</v>
      </c>
      <c r="D2034" t="s">
        <v>369</v>
      </c>
      <c r="E2034" s="9">
        <v>0</v>
      </c>
      <c r="F2034" s="9">
        <v>0</v>
      </c>
      <c r="G2034" s="9">
        <v>0</v>
      </c>
      <c r="H2034" s="9">
        <v>0</v>
      </c>
      <c r="I2034" s="9">
        <v>0</v>
      </c>
      <c r="J2034" s="9">
        <v>0</v>
      </c>
      <c r="K2034" s="9">
        <v>0</v>
      </c>
      <c r="L2034" s="9">
        <v>0</v>
      </c>
      <c r="M2034" s="9">
        <v>0</v>
      </c>
      <c r="N2034" s="9">
        <v>0</v>
      </c>
      <c r="O2034" s="9">
        <v>0</v>
      </c>
      <c r="P2034" s="9">
        <v>0</v>
      </c>
      <c r="Q2034" s="9">
        <v>0</v>
      </c>
      <c r="R2034" s="9">
        <v>0</v>
      </c>
      <c r="S2034" s="9">
        <v>0</v>
      </c>
      <c r="T2034" s="9">
        <v>0</v>
      </c>
      <c r="U2034" s="9">
        <v>0</v>
      </c>
    </row>
    <row r="2035" spans="1:21" x14ac:dyDescent="0.2">
      <c r="A2035" t="s">
        <v>862</v>
      </c>
      <c r="B2035">
        <v>2342</v>
      </c>
      <c r="C2035">
        <v>1</v>
      </c>
      <c r="D2035" t="s">
        <v>370</v>
      </c>
      <c r="E2035" s="9">
        <v>0</v>
      </c>
      <c r="F2035" s="9">
        <v>0</v>
      </c>
      <c r="G2035" s="9">
        <v>0</v>
      </c>
      <c r="H2035" s="9">
        <v>0</v>
      </c>
      <c r="I2035" s="9">
        <v>0</v>
      </c>
      <c r="J2035" s="9">
        <v>0</v>
      </c>
      <c r="K2035" s="9">
        <v>0</v>
      </c>
      <c r="L2035" s="9">
        <v>0</v>
      </c>
      <c r="M2035" s="9">
        <v>0</v>
      </c>
      <c r="N2035" s="9">
        <v>0</v>
      </c>
      <c r="O2035" s="9">
        <v>0</v>
      </c>
      <c r="P2035" s="9">
        <v>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</row>
    <row r="2036" spans="1:21" x14ac:dyDescent="0.2">
      <c r="A2036" t="s">
        <v>862</v>
      </c>
      <c r="B2036">
        <v>2358</v>
      </c>
      <c r="C2036">
        <v>1</v>
      </c>
      <c r="D2036" t="s">
        <v>371</v>
      </c>
      <c r="E2036" s="9">
        <v>0</v>
      </c>
      <c r="F2036" s="9">
        <v>0</v>
      </c>
      <c r="G2036" s="9">
        <v>0</v>
      </c>
      <c r="H2036" s="9">
        <v>0</v>
      </c>
      <c r="I2036" s="9">
        <v>0</v>
      </c>
      <c r="J2036" s="9">
        <v>0</v>
      </c>
      <c r="K2036" s="9">
        <v>0</v>
      </c>
      <c r="L2036" s="9">
        <v>0</v>
      </c>
      <c r="M2036" s="9">
        <v>0</v>
      </c>
      <c r="N2036" s="9">
        <v>0</v>
      </c>
      <c r="O2036" s="9">
        <v>0</v>
      </c>
      <c r="P2036" s="9">
        <v>0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</row>
    <row r="2037" spans="1:21" x14ac:dyDescent="0.2">
      <c r="A2037" t="s">
        <v>862</v>
      </c>
      <c r="B2037">
        <v>2364</v>
      </c>
      <c r="C2037">
        <v>1</v>
      </c>
      <c r="D2037" t="s">
        <v>372</v>
      </c>
      <c r="E2037" s="9">
        <v>0</v>
      </c>
      <c r="F2037" s="9">
        <v>0</v>
      </c>
      <c r="G2037" s="9">
        <v>0</v>
      </c>
      <c r="H2037" s="9">
        <v>0</v>
      </c>
      <c r="I2037" s="9">
        <v>0</v>
      </c>
      <c r="J2037" s="9">
        <v>0</v>
      </c>
      <c r="K2037" s="9">
        <v>0</v>
      </c>
      <c r="L2037" s="9">
        <v>0</v>
      </c>
      <c r="M2037" s="9">
        <v>0</v>
      </c>
      <c r="N2037" s="9">
        <v>0</v>
      </c>
      <c r="O2037" s="9">
        <v>0</v>
      </c>
      <c r="P2037" s="9">
        <v>0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</row>
    <row r="2038" spans="1:21" x14ac:dyDescent="0.2">
      <c r="A2038" t="s">
        <v>862</v>
      </c>
      <c r="B2038">
        <v>2365</v>
      </c>
      <c r="C2038">
        <v>1</v>
      </c>
      <c r="D2038" t="s">
        <v>373</v>
      </c>
      <c r="E2038" s="9">
        <v>0</v>
      </c>
      <c r="F2038" s="9">
        <v>0</v>
      </c>
      <c r="G2038" s="9">
        <v>0</v>
      </c>
      <c r="H2038" s="9">
        <v>0</v>
      </c>
      <c r="I2038" s="9">
        <v>0</v>
      </c>
      <c r="J2038" s="9">
        <v>0</v>
      </c>
      <c r="K2038" s="9">
        <v>0</v>
      </c>
      <c r="L2038" s="9">
        <v>0</v>
      </c>
      <c r="M2038" s="9">
        <v>0</v>
      </c>
      <c r="N2038" s="9">
        <v>0</v>
      </c>
      <c r="O2038" s="9">
        <v>0</v>
      </c>
      <c r="P2038" s="9">
        <v>0</v>
      </c>
      <c r="Q2038" s="9">
        <v>0</v>
      </c>
      <c r="R2038" s="9">
        <v>0</v>
      </c>
      <c r="S2038" s="9">
        <v>0</v>
      </c>
      <c r="T2038" s="9">
        <v>0</v>
      </c>
      <c r="U2038" s="9">
        <v>0</v>
      </c>
    </row>
    <row r="2039" spans="1:21" x14ac:dyDescent="0.2">
      <c r="A2039" t="s">
        <v>862</v>
      </c>
      <c r="B2039">
        <v>2396</v>
      </c>
      <c r="C2039">
        <v>1</v>
      </c>
      <c r="D2039" t="s">
        <v>374</v>
      </c>
      <c r="E2039" s="9">
        <v>0</v>
      </c>
      <c r="F2039" s="9">
        <v>0</v>
      </c>
      <c r="G2039" s="9">
        <v>0</v>
      </c>
      <c r="H2039" s="9">
        <v>0</v>
      </c>
      <c r="I2039" s="9">
        <v>0</v>
      </c>
      <c r="J2039" s="9">
        <v>0</v>
      </c>
      <c r="K2039" s="9">
        <v>0</v>
      </c>
      <c r="L2039" s="9">
        <v>0</v>
      </c>
      <c r="M2039" s="9">
        <v>0</v>
      </c>
      <c r="N2039" s="9">
        <v>0</v>
      </c>
      <c r="O2039" s="9">
        <v>0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</row>
    <row r="2040" spans="1:21" x14ac:dyDescent="0.2">
      <c r="A2040" t="s">
        <v>862</v>
      </c>
      <c r="B2040">
        <v>2397</v>
      </c>
      <c r="C2040">
        <v>1</v>
      </c>
      <c r="D2040" t="s">
        <v>375</v>
      </c>
      <c r="E2040" s="9">
        <v>0</v>
      </c>
      <c r="F2040" s="9">
        <v>0</v>
      </c>
      <c r="G2040" s="9">
        <v>0</v>
      </c>
      <c r="H2040" s="9">
        <v>0</v>
      </c>
      <c r="I2040" s="9">
        <v>0</v>
      </c>
      <c r="J2040" s="9">
        <v>0</v>
      </c>
      <c r="K2040" s="9">
        <v>0</v>
      </c>
      <c r="L2040" s="9">
        <v>0</v>
      </c>
      <c r="M2040" s="9">
        <v>0</v>
      </c>
      <c r="N2040" s="9">
        <v>0</v>
      </c>
      <c r="O2040" s="9">
        <v>0</v>
      </c>
      <c r="P2040" s="9">
        <v>0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</row>
    <row r="2041" spans="1:21" x14ac:dyDescent="0.2">
      <c r="A2041" t="s">
        <v>862</v>
      </c>
      <c r="B2041">
        <v>2448</v>
      </c>
      <c r="C2041">
        <v>1</v>
      </c>
      <c r="D2041" t="s">
        <v>376</v>
      </c>
      <c r="E2041" s="9">
        <v>0</v>
      </c>
      <c r="F2041" s="9">
        <v>0</v>
      </c>
      <c r="G2041" s="9">
        <v>0</v>
      </c>
      <c r="H2041" s="9">
        <v>0</v>
      </c>
      <c r="I2041" s="9">
        <v>0</v>
      </c>
      <c r="J2041" s="9">
        <v>0</v>
      </c>
      <c r="K2041" s="9">
        <v>0</v>
      </c>
      <c r="L2041" s="9">
        <v>0</v>
      </c>
      <c r="M2041" s="9">
        <v>0</v>
      </c>
      <c r="N2041" s="9">
        <v>0</v>
      </c>
      <c r="O2041" s="9">
        <v>0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</row>
    <row r="2042" spans="1:21" x14ac:dyDescent="0.2">
      <c r="A2042" t="s">
        <v>862</v>
      </c>
      <c r="B2042">
        <v>2527</v>
      </c>
      <c r="C2042">
        <v>1</v>
      </c>
      <c r="D2042" t="s">
        <v>377</v>
      </c>
      <c r="E2042" s="9">
        <v>0</v>
      </c>
      <c r="F2042" s="9">
        <v>0</v>
      </c>
      <c r="G2042" s="9">
        <v>0</v>
      </c>
      <c r="H2042" s="9">
        <v>0</v>
      </c>
      <c r="I2042" s="9">
        <v>0</v>
      </c>
      <c r="J2042" s="9">
        <v>0</v>
      </c>
      <c r="K2042" s="9">
        <v>0</v>
      </c>
      <c r="L2042" s="9">
        <v>0</v>
      </c>
      <c r="M2042" s="9">
        <v>0</v>
      </c>
      <c r="N2042" s="9">
        <v>0</v>
      </c>
      <c r="O2042" s="9">
        <v>0</v>
      </c>
      <c r="P2042" s="9">
        <v>0</v>
      </c>
      <c r="Q2042" s="9">
        <v>0</v>
      </c>
      <c r="R2042" s="9">
        <v>0</v>
      </c>
      <c r="S2042" s="9">
        <v>0</v>
      </c>
      <c r="T2042" s="9">
        <v>0</v>
      </c>
      <c r="U2042" s="9">
        <v>0</v>
      </c>
    </row>
    <row r="2043" spans="1:21" x14ac:dyDescent="0.2">
      <c r="A2043" t="s">
        <v>862</v>
      </c>
      <c r="B2043">
        <v>2534</v>
      </c>
      <c r="C2043">
        <v>1</v>
      </c>
      <c r="D2043" t="s">
        <v>378</v>
      </c>
      <c r="E2043" s="9">
        <v>0</v>
      </c>
      <c r="F2043" s="9">
        <v>0</v>
      </c>
      <c r="G2043" s="9">
        <v>0</v>
      </c>
      <c r="H2043" s="9">
        <v>0</v>
      </c>
      <c r="I2043" s="9">
        <v>0</v>
      </c>
      <c r="J2043" s="9">
        <v>0</v>
      </c>
      <c r="K2043" s="9">
        <v>0</v>
      </c>
      <c r="L2043" s="9">
        <v>0</v>
      </c>
      <c r="M2043" s="9">
        <v>0</v>
      </c>
      <c r="N2043" s="9">
        <v>0</v>
      </c>
      <c r="O2043" s="9">
        <v>0</v>
      </c>
      <c r="P2043" s="9">
        <v>0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</row>
    <row r="2044" spans="1:21" x14ac:dyDescent="0.2">
      <c r="A2044" t="s">
        <v>862</v>
      </c>
      <c r="B2044">
        <v>2536</v>
      </c>
      <c r="C2044">
        <v>1</v>
      </c>
      <c r="D2044" t="s">
        <v>379</v>
      </c>
      <c r="E2044" s="9">
        <v>0</v>
      </c>
      <c r="F2044" s="9">
        <v>0</v>
      </c>
      <c r="G2044" s="9">
        <v>0</v>
      </c>
      <c r="H2044" s="9">
        <v>0</v>
      </c>
      <c r="I2044" s="9">
        <v>0</v>
      </c>
      <c r="J2044" s="9">
        <v>0</v>
      </c>
      <c r="K2044" s="9">
        <v>0</v>
      </c>
      <c r="L2044" s="9">
        <v>0</v>
      </c>
      <c r="M2044" s="9">
        <v>0</v>
      </c>
      <c r="N2044" s="9">
        <v>0</v>
      </c>
      <c r="O2044" s="9">
        <v>0</v>
      </c>
      <c r="P2044" s="9">
        <v>0</v>
      </c>
      <c r="Q2044" s="9">
        <v>0</v>
      </c>
      <c r="R2044" s="9">
        <v>0</v>
      </c>
      <c r="S2044" s="9">
        <v>0</v>
      </c>
      <c r="T2044" s="9">
        <v>0</v>
      </c>
      <c r="U2044" s="9">
        <v>0</v>
      </c>
    </row>
    <row r="2045" spans="1:21" x14ac:dyDescent="0.2">
      <c r="A2045" t="s">
        <v>862</v>
      </c>
      <c r="B2045">
        <v>2580</v>
      </c>
      <c r="C2045">
        <v>1</v>
      </c>
      <c r="D2045" t="s">
        <v>380</v>
      </c>
      <c r="E2045" s="9">
        <v>0</v>
      </c>
      <c r="F2045" s="9">
        <v>0</v>
      </c>
      <c r="G2045" s="9">
        <v>0</v>
      </c>
      <c r="H2045" s="9">
        <v>0</v>
      </c>
      <c r="I2045" s="9">
        <v>0</v>
      </c>
      <c r="J2045" s="9">
        <v>0</v>
      </c>
      <c r="K2045" s="9">
        <v>0</v>
      </c>
      <c r="L2045" s="9">
        <v>0</v>
      </c>
      <c r="M2045" s="9">
        <v>0</v>
      </c>
      <c r="N2045" s="9">
        <v>0</v>
      </c>
      <c r="O2045" s="9">
        <v>0</v>
      </c>
      <c r="P2045" s="9">
        <v>0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</row>
    <row r="2046" spans="1:21" x14ac:dyDescent="0.2">
      <c r="A2046" t="s">
        <v>862</v>
      </c>
      <c r="B2046">
        <v>2609</v>
      </c>
      <c r="C2046">
        <v>1</v>
      </c>
      <c r="D2046" t="s">
        <v>381</v>
      </c>
      <c r="E2046" s="9">
        <v>0</v>
      </c>
      <c r="F2046" s="9">
        <v>0</v>
      </c>
      <c r="G2046" s="9">
        <v>0</v>
      </c>
      <c r="H2046" s="9">
        <v>0</v>
      </c>
      <c r="I2046" s="9">
        <v>0</v>
      </c>
      <c r="J2046" s="9">
        <v>0</v>
      </c>
      <c r="K2046" s="9">
        <v>0</v>
      </c>
      <c r="L2046" s="9">
        <v>0</v>
      </c>
      <c r="M2046" s="9">
        <v>0</v>
      </c>
      <c r="N2046" s="9">
        <v>0</v>
      </c>
      <c r="O2046" s="9">
        <v>0</v>
      </c>
      <c r="P2046" s="9">
        <v>0</v>
      </c>
      <c r="Q2046" s="9">
        <v>0</v>
      </c>
      <c r="R2046" s="9">
        <v>0</v>
      </c>
      <c r="S2046" s="9">
        <v>0</v>
      </c>
      <c r="T2046" s="9">
        <v>0</v>
      </c>
      <c r="U2046" s="9">
        <v>0</v>
      </c>
    </row>
    <row r="2047" spans="1:21" x14ac:dyDescent="0.2">
      <c r="A2047" t="s">
        <v>862</v>
      </c>
      <c r="B2047">
        <v>2683</v>
      </c>
      <c r="C2047">
        <v>1</v>
      </c>
      <c r="D2047" t="s">
        <v>382</v>
      </c>
      <c r="E2047" s="9">
        <v>0</v>
      </c>
      <c r="F2047" s="9">
        <v>0</v>
      </c>
      <c r="G2047" s="9">
        <v>0</v>
      </c>
      <c r="H2047" s="9">
        <v>0</v>
      </c>
      <c r="I2047" s="9">
        <v>0</v>
      </c>
      <c r="J2047" s="9">
        <v>0</v>
      </c>
      <c r="K2047" s="9">
        <v>0</v>
      </c>
      <c r="L2047" s="9">
        <v>0</v>
      </c>
      <c r="M2047" s="9">
        <v>0</v>
      </c>
      <c r="N2047" s="9">
        <v>0</v>
      </c>
      <c r="O2047" s="9">
        <v>0</v>
      </c>
      <c r="P2047" s="9">
        <v>0</v>
      </c>
      <c r="Q2047" s="9">
        <v>0</v>
      </c>
      <c r="R2047" s="9">
        <v>0</v>
      </c>
      <c r="S2047" s="9">
        <v>0</v>
      </c>
      <c r="T2047" s="9">
        <v>0</v>
      </c>
      <c r="U2047" s="9">
        <v>0</v>
      </c>
    </row>
    <row r="2048" spans="1:21" x14ac:dyDescent="0.2">
      <c r="A2048" t="s">
        <v>862</v>
      </c>
      <c r="B2048">
        <v>2687</v>
      </c>
      <c r="C2048">
        <v>1</v>
      </c>
      <c r="D2048" t="s">
        <v>383</v>
      </c>
      <c r="E2048" s="9">
        <v>0</v>
      </c>
      <c r="F2048" s="9">
        <v>0</v>
      </c>
      <c r="G2048" s="9">
        <v>0</v>
      </c>
      <c r="H2048" s="9">
        <v>0</v>
      </c>
      <c r="I2048" s="9">
        <v>0</v>
      </c>
      <c r="J2048" s="9">
        <v>0</v>
      </c>
      <c r="K2048" s="9">
        <v>0</v>
      </c>
      <c r="L2048" s="9">
        <v>0</v>
      </c>
      <c r="M2048" s="9">
        <v>0</v>
      </c>
      <c r="N2048" s="9">
        <v>0</v>
      </c>
      <c r="O2048" s="9">
        <v>0</v>
      </c>
      <c r="P2048" s="9">
        <v>0</v>
      </c>
      <c r="Q2048" s="9">
        <v>0</v>
      </c>
      <c r="R2048" s="9">
        <v>0</v>
      </c>
      <c r="S2048" s="9">
        <v>0</v>
      </c>
      <c r="T2048" s="9">
        <v>0</v>
      </c>
      <c r="U2048" s="9">
        <v>0</v>
      </c>
    </row>
    <row r="2049" spans="1:21" x14ac:dyDescent="0.2">
      <c r="A2049" t="s">
        <v>862</v>
      </c>
      <c r="B2049">
        <v>2689</v>
      </c>
      <c r="C2049">
        <v>1</v>
      </c>
      <c r="D2049" t="s">
        <v>384</v>
      </c>
      <c r="E2049" s="9">
        <v>0</v>
      </c>
      <c r="F2049" s="9">
        <v>0</v>
      </c>
      <c r="G2049" s="9">
        <v>0</v>
      </c>
      <c r="H2049" s="9">
        <v>0</v>
      </c>
      <c r="I2049" s="9">
        <v>0</v>
      </c>
      <c r="J2049" s="9">
        <v>0</v>
      </c>
      <c r="K2049" s="9">
        <v>0</v>
      </c>
      <c r="L2049" s="9">
        <v>0</v>
      </c>
      <c r="M2049" s="9">
        <v>0</v>
      </c>
      <c r="N2049" s="9">
        <v>0</v>
      </c>
      <c r="O2049" s="9">
        <v>0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</row>
    <row r="2050" spans="1:21" x14ac:dyDescent="0.2">
      <c r="A2050" t="s">
        <v>862</v>
      </c>
      <c r="B2050">
        <v>2711</v>
      </c>
      <c r="C2050">
        <v>1</v>
      </c>
      <c r="D2050" t="s">
        <v>385</v>
      </c>
      <c r="E2050" s="9">
        <v>0</v>
      </c>
      <c r="F2050" s="9">
        <v>0</v>
      </c>
      <c r="G2050" s="9">
        <v>0</v>
      </c>
      <c r="H2050" s="9">
        <v>0</v>
      </c>
      <c r="I2050" s="9">
        <v>0</v>
      </c>
      <c r="J2050" s="9">
        <v>0</v>
      </c>
      <c r="K2050" s="9">
        <v>0</v>
      </c>
      <c r="L2050" s="9">
        <v>0</v>
      </c>
      <c r="M2050" s="9">
        <v>0</v>
      </c>
      <c r="N2050" s="9">
        <v>0</v>
      </c>
      <c r="O2050" s="9">
        <v>0</v>
      </c>
      <c r="P2050" s="9">
        <v>0</v>
      </c>
      <c r="Q2050" s="9">
        <v>0</v>
      </c>
      <c r="R2050" s="9">
        <v>0</v>
      </c>
      <c r="S2050" s="9">
        <v>0</v>
      </c>
      <c r="T2050" s="9">
        <v>0</v>
      </c>
      <c r="U2050" s="9">
        <v>0</v>
      </c>
    </row>
    <row r="2051" spans="1:21" x14ac:dyDescent="0.2">
      <c r="A2051" t="s">
        <v>862</v>
      </c>
      <c r="B2051">
        <v>2752</v>
      </c>
      <c r="C2051">
        <v>1</v>
      </c>
      <c r="D2051" t="s">
        <v>386</v>
      </c>
      <c r="E2051" s="9">
        <v>0</v>
      </c>
      <c r="F2051" s="9">
        <v>0</v>
      </c>
      <c r="G2051" s="9">
        <v>0</v>
      </c>
      <c r="H2051" s="9">
        <v>0</v>
      </c>
      <c r="I2051" s="9">
        <v>0</v>
      </c>
      <c r="J2051" s="9">
        <v>0</v>
      </c>
      <c r="K2051" s="9">
        <v>0</v>
      </c>
      <c r="L2051" s="9">
        <v>0</v>
      </c>
      <c r="M2051" s="9">
        <v>0</v>
      </c>
      <c r="N2051" s="9">
        <v>0</v>
      </c>
      <c r="O2051" s="9">
        <v>0</v>
      </c>
      <c r="P2051" s="9">
        <v>0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</row>
    <row r="2052" spans="1:21" x14ac:dyDescent="0.2">
      <c r="A2052" t="s">
        <v>862</v>
      </c>
      <c r="B2052">
        <v>2753</v>
      </c>
      <c r="C2052">
        <v>1</v>
      </c>
      <c r="D2052" t="s">
        <v>387</v>
      </c>
      <c r="E2052" s="9">
        <v>0</v>
      </c>
      <c r="F2052" s="9">
        <v>0</v>
      </c>
      <c r="G2052" s="9">
        <v>0</v>
      </c>
      <c r="H2052" s="9">
        <v>0</v>
      </c>
      <c r="I2052" s="9">
        <v>0</v>
      </c>
      <c r="J2052" s="9">
        <v>0</v>
      </c>
      <c r="K2052" s="9">
        <v>0</v>
      </c>
      <c r="L2052" s="9">
        <v>0</v>
      </c>
      <c r="M2052" s="9">
        <v>0</v>
      </c>
      <c r="N2052" s="9">
        <v>0</v>
      </c>
      <c r="O2052" s="9">
        <v>0</v>
      </c>
      <c r="P2052" s="9">
        <v>0</v>
      </c>
      <c r="Q2052" s="9">
        <v>0</v>
      </c>
      <c r="R2052" s="9">
        <v>0</v>
      </c>
      <c r="S2052" s="9">
        <v>0</v>
      </c>
      <c r="T2052" s="9">
        <v>0</v>
      </c>
      <c r="U2052" s="9">
        <v>0</v>
      </c>
    </row>
    <row r="2053" spans="1:21" x14ac:dyDescent="0.2">
      <c r="A2053" t="s">
        <v>862</v>
      </c>
      <c r="B2053">
        <v>2754</v>
      </c>
      <c r="C2053">
        <v>1</v>
      </c>
      <c r="D2053" t="s">
        <v>388</v>
      </c>
      <c r="E2053" s="9">
        <v>0</v>
      </c>
      <c r="F2053" s="9">
        <v>0</v>
      </c>
      <c r="G2053" s="9">
        <v>0</v>
      </c>
      <c r="H2053" s="9">
        <v>0</v>
      </c>
      <c r="I2053" s="9">
        <v>0</v>
      </c>
      <c r="J2053" s="9">
        <v>0</v>
      </c>
      <c r="K2053" s="9">
        <v>0</v>
      </c>
      <c r="L2053" s="9">
        <v>0</v>
      </c>
      <c r="M2053" s="9">
        <v>0</v>
      </c>
      <c r="N2053" s="9">
        <v>0</v>
      </c>
      <c r="O2053" s="9">
        <v>0</v>
      </c>
      <c r="P2053" s="9">
        <v>0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</row>
    <row r="2054" spans="1:21" x14ac:dyDescent="0.2">
      <c r="A2054" t="s">
        <v>862</v>
      </c>
      <c r="B2054">
        <v>2759</v>
      </c>
      <c r="C2054">
        <v>1</v>
      </c>
      <c r="D2054" t="s">
        <v>389</v>
      </c>
      <c r="E2054" s="9">
        <v>0</v>
      </c>
      <c r="F2054" s="9">
        <v>0</v>
      </c>
      <c r="G2054" s="9">
        <v>0</v>
      </c>
      <c r="H2054" s="9">
        <v>0</v>
      </c>
      <c r="I2054" s="9">
        <v>0</v>
      </c>
      <c r="J2054" s="9">
        <v>0</v>
      </c>
      <c r="K2054" s="9">
        <v>0</v>
      </c>
      <c r="L2054" s="9">
        <v>0</v>
      </c>
      <c r="M2054" s="9">
        <v>0</v>
      </c>
      <c r="N2054" s="9">
        <v>0</v>
      </c>
      <c r="O2054" s="9">
        <v>0</v>
      </c>
      <c r="P2054" s="9">
        <v>0</v>
      </c>
      <c r="Q2054" s="9">
        <v>0</v>
      </c>
      <c r="R2054" s="9">
        <v>0</v>
      </c>
      <c r="S2054" s="9">
        <v>0</v>
      </c>
      <c r="T2054" s="9">
        <v>0</v>
      </c>
      <c r="U2054" s="9">
        <v>0</v>
      </c>
    </row>
    <row r="2055" spans="1:21" x14ac:dyDescent="0.2">
      <c r="A2055" t="s">
        <v>862</v>
      </c>
      <c r="B2055">
        <v>2805</v>
      </c>
      <c r="C2055">
        <v>1</v>
      </c>
      <c r="D2055" t="s">
        <v>390</v>
      </c>
      <c r="E2055" s="9">
        <v>0</v>
      </c>
      <c r="F2055" s="9">
        <v>0</v>
      </c>
      <c r="G2055" s="9">
        <v>0</v>
      </c>
      <c r="H2055" s="9">
        <v>0</v>
      </c>
      <c r="I2055" s="9">
        <v>0</v>
      </c>
      <c r="J2055" s="9">
        <v>0</v>
      </c>
      <c r="K2055" s="9">
        <v>0</v>
      </c>
      <c r="L2055" s="9">
        <v>0</v>
      </c>
      <c r="M2055" s="9">
        <v>0</v>
      </c>
      <c r="N2055" s="9">
        <v>0</v>
      </c>
      <c r="O2055" s="9">
        <v>0</v>
      </c>
      <c r="P2055" s="9">
        <v>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</row>
    <row r="2056" spans="1:21" x14ac:dyDescent="0.2">
      <c r="A2056" t="s">
        <v>862</v>
      </c>
      <c r="B2056">
        <v>2835</v>
      </c>
      <c r="C2056">
        <v>1</v>
      </c>
      <c r="D2056" t="s">
        <v>391</v>
      </c>
      <c r="E2056" s="9">
        <v>0</v>
      </c>
      <c r="F2056" s="9">
        <v>0</v>
      </c>
      <c r="G2056" s="9">
        <v>0</v>
      </c>
      <c r="H2056" s="9">
        <v>0</v>
      </c>
      <c r="I2056" s="9">
        <v>0</v>
      </c>
      <c r="J2056" s="9">
        <v>0</v>
      </c>
      <c r="K2056" s="9">
        <v>0</v>
      </c>
      <c r="L2056" s="9">
        <v>0</v>
      </c>
      <c r="M2056" s="9">
        <v>0</v>
      </c>
      <c r="N2056" s="9">
        <v>0</v>
      </c>
      <c r="O2056" s="9">
        <v>0</v>
      </c>
      <c r="P2056" s="9">
        <v>0</v>
      </c>
      <c r="Q2056" s="9">
        <v>0</v>
      </c>
      <c r="R2056" s="9">
        <v>0</v>
      </c>
      <c r="S2056" s="9">
        <v>0</v>
      </c>
      <c r="T2056" s="9">
        <v>0</v>
      </c>
      <c r="U2056" s="9">
        <v>0</v>
      </c>
    </row>
    <row r="2057" spans="1:21" x14ac:dyDescent="0.2">
      <c r="A2057" t="s">
        <v>862</v>
      </c>
      <c r="B2057">
        <v>2853</v>
      </c>
      <c r="C2057">
        <v>1</v>
      </c>
      <c r="D2057" t="s">
        <v>392</v>
      </c>
      <c r="E2057" s="9">
        <v>0</v>
      </c>
      <c r="F2057" s="9">
        <v>0</v>
      </c>
      <c r="G2057" s="9">
        <v>0</v>
      </c>
      <c r="H2057" s="9">
        <v>0</v>
      </c>
      <c r="I2057" s="9">
        <v>0</v>
      </c>
      <c r="J2057" s="9">
        <v>0</v>
      </c>
      <c r="K2057" s="9">
        <v>0</v>
      </c>
      <c r="L2057" s="9">
        <v>0</v>
      </c>
      <c r="M2057" s="9">
        <v>0</v>
      </c>
      <c r="N2057" s="9">
        <v>0</v>
      </c>
      <c r="O2057" s="9">
        <v>0</v>
      </c>
      <c r="P2057" s="9">
        <v>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</row>
    <row r="2058" spans="1:21" x14ac:dyDescent="0.2">
      <c r="A2058" t="s">
        <v>862</v>
      </c>
      <c r="B2058">
        <v>2854</v>
      </c>
      <c r="C2058">
        <v>1</v>
      </c>
      <c r="D2058" t="s">
        <v>393</v>
      </c>
      <c r="E2058" s="9">
        <v>0</v>
      </c>
      <c r="F2058" s="9">
        <v>0</v>
      </c>
      <c r="G2058" s="9">
        <v>0</v>
      </c>
      <c r="H2058" s="9">
        <v>0</v>
      </c>
      <c r="I2058" s="9">
        <v>0</v>
      </c>
      <c r="J2058" s="9">
        <v>0</v>
      </c>
      <c r="K2058" s="9">
        <v>0</v>
      </c>
      <c r="L2058" s="9">
        <v>0</v>
      </c>
      <c r="M2058" s="9">
        <v>0</v>
      </c>
      <c r="N2058" s="9">
        <v>0</v>
      </c>
      <c r="O2058" s="9">
        <v>0</v>
      </c>
      <c r="P2058" s="9">
        <v>0</v>
      </c>
      <c r="Q2058" s="9">
        <v>0</v>
      </c>
      <c r="R2058" s="9">
        <v>0</v>
      </c>
      <c r="S2058" s="9">
        <v>0</v>
      </c>
      <c r="T2058" s="9">
        <v>0</v>
      </c>
      <c r="U2058" s="9">
        <v>0</v>
      </c>
    </row>
    <row r="2059" spans="1:21" x14ac:dyDescent="0.2">
      <c r="A2059" t="s">
        <v>862</v>
      </c>
      <c r="B2059">
        <v>2856</v>
      </c>
      <c r="C2059">
        <v>1</v>
      </c>
      <c r="D2059" t="s">
        <v>394</v>
      </c>
      <c r="E2059" s="9">
        <v>0</v>
      </c>
      <c r="F2059" s="9">
        <v>0</v>
      </c>
      <c r="G2059" s="9">
        <v>0</v>
      </c>
      <c r="H2059" s="9">
        <v>0</v>
      </c>
      <c r="I2059" s="9">
        <v>0</v>
      </c>
      <c r="J2059" s="9">
        <v>0</v>
      </c>
      <c r="K2059" s="9">
        <v>0</v>
      </c>
      <c r="L2059" s="9">
        <v>0</v>
      </c>
      <c r="M2059" s="9">
        <v>0</v>
      </c>
      <c r="N2059" s="9">
        <v>0</v>
      </c>
      <c r="O2059" s="9">
        <v>0</v>
      </c>
      <c r="P2059" s="9">
        <v>0</v>
      </c>
      <c r="Q2059" s="9">
        <v>0</v>
      </c>
      <c r="R2059" s="9">
        <v>0</v>
      </c>
      <c r="S2059" s="9">
        <v>0</v>
      </c>
      <c r="T2059" s="9">
        <v>0</v>
      </c>
      <c r="U2059" s="9">
        <v>0</v>
      </c>
    </row>
    <row r="2060" spans="1:21" x14ac:dyDescent="0.2">
      <c r="A2060" t="s">
        <v>862</v>
      </c>
      <c r="B2060">
        <v>2859</v>
      </c>
      <c r="C2060">
        <v>1</v>
      </c>
      <c r="D2060" t="s">
        <v>395</v>
      </c>
      <c r="E2060" s="9">
        <v>0</v>
      </c>
      <c r="F2060" s="9">
        <v>0</v>
      </c>
      <c r="G2060" s="9">
        <v>0</v>
      </c>
      <c r="H2060" s="9">
        <v>0</v>
      </c>
      <c r="I2060" s="9">
        <v>0</v>
      </c>
      <c r="J2060" s="9">
        <v>0</v>
      </c>
      <c r="K2060" s="9">
        <v>0</v>
      </c>
      <c r="L2060" s="9">
        <v>0</v>
      </c>
      <c r="M2060" s="9">
        <v>0</v>
      </c>
      <c r="N2060" s="9">
        <v>0</v>
      </c>
      <c r="O2060" s="9">
        <v>0</v>
      </c>
      <c r="P2060" s="9">
        <v>0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</row>
    <row r="2061" spans="1:21" x14ac:dyDescent="0.2">
      <c r="A2061" t="s">
        <v>862</v>
      </c>
      <c r="B2061">
        <v>2860</v>
      </c>
      <c r="C2061">
        <v>1</v>
      </c>
      <c r="D2061" t="s">
        <v>396</v>
      </c>
      <c r="E2061" s="9">
        <v>0</v>
      </c>
      <c r="F2061" s="9">
        <v>0</v>
      </c>
      <c r="G2061" s="9">
        <v>0</v>
      </c>
      <c r="H2061" s="9">
        <v>0</v>
      </c>
      <c r="I2061" s="9">
        <v>0</v>
      </c>
      <c r="J2061" s="9">
        <v>0</v>
      </c>
      <c r="K2061" s="9">
        <v>0</v>
      </c>
      <c r="L2061" s="9">
        <v>0</v>
      </c>
      <c r="M2061" s="9">
        <v>0</v>
      </c>
      <c r="N2061" s="9">
        <v>0</v>
      </c>
      <c r="O2061" s="9">
        <v>0</v>
      </c>
      <c r="P2061" s="9">
        <v>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</row>
    <row r="2062" spans="1:21" x14ac:dyDescent="0.2">
      <c r="A2062" t="s">
        <v>862</v>
      </c>
      <c r="B2062">
        <v>2884</v>
      </c>
      <c r="C2062">
        <v>1</v>
      </c>
      <c r="D2062" t="s">
        <v>397</v>
      </c>
      <c r="E2062" s="9">
        <v>0</v>
      </c>
      <c r="F2062" s="9">
        <v>0</v>
      </c>
      <c r="G2062" s="9">
        <v>0</v>
      </c>
      <c r="H2062" s="9">
        <v>0</v>
      </c>
      <c r="I2062" s="9">
        <v>0</v>
      </c>
      <c r="J2062" s="9">
        <v>0</v>
      </c>
      <c r="K2062" s="9">
        <v>0</v>
      </c>
      <c r="L2062" s="9">
        <v>0</v>
      </c>
      <c r="M2062" s="9">
        <v>0</v>
      </c>
      <c r="N2062" s="9">
        <v>0</v>
      </c>
      <c r="O2062" s="9">
        <v>0</v>
      </c>
      <c r="P2062" s="9">
        <v>0</v>
      </c>
      <c r="Q2062" s="9">
        <v>0</v>
      </c>
      <c r="R2062" s="9">
        <v>0</v>
      </c>
      <c r="S2062" s="9">
        <v>0</v>
      </c>
      <c r="T2062" s="9">
        <v>0</v>
      </c>
      <c r="U2062" s="9">
        <v>0</v>
      </c>
    </row>
    <row r="2063" spans="1:21" x14ac:dyDescent="0.2">
      <c r="A2063" t="s">
        <v>862</v>
      </c>
      <c r="B2063">
        <v>2886</v>
      </c>
      <c r="C2063">
        <v>1</v>
      </c>
      <c r="D2063" t="s">
        <v>398</v>
      </c>
      <c r="E2063" s="9">
        <v>0</v>
      </c>
      <c r="F2063" s="9">
        <v>0</v>
      </c>
      <c r="G2063" s="9">
        <v>0</v>
      </c>
      <c r="H2063" s="9">
        <v>0</v>
      </c>
      <c r="I2063" s="9">
        <v>0</v>
      </c>
      <c r="J2063" s="9">
        <v>0</v>
      </c>
      <c r="K2063" s="9">
        <v>0</v>
      </c>
      <c r="L2063" s="9">
        <v>0</v>
      </c>
      <c r="M2063" s="9">
        <v>0</v>
      </c>
      <c r="N2063" s="9">
        <v>0</v>
      </c>
      <c r="O2063" s="9">
        <v>0</v>
      </c>
      <c r="P2063" s="9">
        <v>0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</row>
    <row r="2064" spans="1:21" x14ac:dyDescent="0.2">
      <c r="A2064" t="s">
        <v>862</v>
      </c>
      <c r="B2064">
        <v>2887</v>
      </c>
      <c r="C2064">
        <v>1</v>
      </c>
      <c r="D2064" t="s">
        <v>399</v>
      </c>
      <c r="E2064" s="9">
        <v>0</v>
      </c>
      <c r="F2064" s="9">
        <v>0</v>
      </c>
      <c r="G2064" s="9">
        <v>0</v>
      </c>
      <c r="H2064" s="9">
        <v>0</v>
      </c>
      <c r="I2064" s="9">
        <v>0</v>
      </c>
      <c r="J2064" s="9">
        <v>0</v>
      </c>
      <c r="K2064" s="9">
        <v>0</v>
      </c>
      <c r="L2064" s="9">
        <v>0</v>
      </c>
      <c r="M2064" s="9">
        <v>0</v>
      </c>
      <c r="N2064" s="9">
        <v>0</v>
      </c>
      <c r="O2064" s="9">
        <v>0</v>
      </c>
      <c r="P2064" s="9">
        <v>0</v>
      </c>
      <c r="Q2064" s="9">
        <v>0</v>
      </c>
      <c r="R2064" s="9">
        <v>0</v>
      </c>
      <c r="S2064" s="9">
        <v>0</v>
      </c>
      <c r="T2064" s="9">
        <v>0</v>
      </c>
      <c r="U2064" s="9">
        <v>0</v>
      </c>
    </row>
    <row r="2065" spans="1:21" x14ac:dyDescent="0.2">
      <c r="A2065" t="s">
        <v>862</v>
      </c>
      <c r="B2065">
        <v>2888</v>
      </c>
      <c r="C2065">
        <v>1</v>
      </c>
      <c r="D2065" t="s">
        <v>400</v>
      </c>
      <c r="E2065" s="9">
        <v>0</v>
      </c>
      <c r="F2065" s="9">
        <v>0</v>
      </c>
      <c r="G2065" s="9">
        <v>0</v>
      </c>
      <c r="H2065" s="9">
        <v>0</v>
      </c>
      <c r="I2065" s="9">
        <v>0</v>
      </c>
      <c r="J2065" s="9">
        <v>0</v>
      </c>
      <c r="K2065" s="9">
        <v>0</v>
      </c>
      <c r="L2065" s="9">
        <v>0</v>
      </c>
      <c r="M2065" s="9">
        <v>0</v>
      </c>
      <c r="N2065" s="9">
        <v>0</v>
      </c>
      <c r="O2065" s="9">
        <v>0</v>
      </c>
      <c r="P2065" s="9">
        <v>0</v>
      </c>
      <c r="Q2065" s="9">
        <v>0</v>
      </c>
      <c r="R2065" s="9">
        <v>0</v>
      </c>
      <c r="S2065" s="9">
        <v>0</v>
      </c>
      <c r="T2065" s="9">
        <v>0</v>
      </c>
      <c r="U2065" s="9">
        <v>0</v>
      </c>
    </row>
    <row r="2066" spans="1:21" x14ac:dyDescent="0.2">
      <c r="A2066" t="s">
        <v>862</v>
      </c>
      <c r="B2066">
        <v>2889</v>
      </c>
      <c r="C2066">
        <v>1</v>
      </c>
      <c r="D2066" t="s">
        <v>401</v>
      </c>
      <c r="E2066" s="9">
        <v>0</v>
      </c>
      <c r="F2066" s="9">
        <v>0</v>
      </c>
      <c r="G2066" s="9">
        <v>0</v>
      </c>
      <c r="H2066" s="9">
        <v>0</v>
      </c>
      <c r="I2066" s="9">
        <v>0</v>
      </c>
      <c r="J2066" s="9">
        <v>0</v>
      </c>
      <c r="K2066" s="9">
        <v>0</v>
      </c>
      <c r="L2066" s="9">
        <v>0</v>
      </c>
      <c r="M2066" s="9">
        <v>0</v>
      </c>
      <c r="N2066" s="9">
        <v>0</v>
      </c>
      <c r="O2066" s="9">
        <v>0</v>
      </c>
      <c r="P2066" s="9">
        <v>0</v>
      </c>
      <c r="Q2066" s="9">
        <v>0</v>
      </c>
      <c r="R2066" s="9">
        <v>0</v>
      </c>
      <c r="S2066" s="9">
        <v>0</v>
      </c>
      <c r="T2066" s="9">
        <v>0</v>
      </c>
      <c r="U2066" s="9">
        <v>0</v>
      </c>
    </row>
    <row r="2067" spans="1:21" x14ac:dyDescent="0.2">
      <c r="A2067" t="s">
        <v>862</v>
      </c>
      <c r="B2067">
        <v>2890</v>
      </c>
      <c r="C2067">
        <v>1</v>
      </c>
      <c r="D2067" t="s">
        <v>402</v>
      </c>
      <c r="E2067" s="9">
        <v>0</v>
      </c>
      <c r="F2067" s="9">
        <v>0</v>
      </c>
      <c r="G2067" s="9">
        <v>0</v>
      </c>
      <c r="H2067" s="9">
        <v>0</v>
      </c>
      <c r="I2067" s="9">
        <v>0</v>
      </c>
      <c r="J2067" s="9">
        <v>0</v>
      </c>
      <c r="K2067" s="9">
        <v>0</v>
      </c>
      <c r="L2067" s="9">
        <v>0</v>
      </c>
      <c r="M2067" s="9">
        <v>0</v>
      </c>
      <c r="N2067" s="9">
        <v>0</v>
      </c>
      <c r="O2067" s="9">
        <v>0</v>
      </c>
      <c r="P2067" s="9">
        <v>0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</row>
    <row r="2068" spans="1:21" x14ac:dyDescent="0.2">
      <c r="A2068" t="s">
        <v>862</v>
      </c>
      <c r="B2068">
        <v>2895</v>
      </c>
      <c r="C2068">
        <v>1</v>
      </c>
      <c r="D2068" t="s">
        <v>403</v>
      </c>
      <c r="E2068" s="9">
        <v>0</v>
      </c>
      <c r="F2068" s="9">
        <v>0</v>
      </c>
      <c r="G2068" s="9">
        <v>0</v>
      </c>
      <c r="H2068" s="9">
        <v>0</v>
      </c>
      <c r="I2068" s="9">
        <v>0</v>
      </c>
      <c r="J2068" s="9">
        <v>0</v>
      </c>
      <c r="K2068" s="9">
        <v>0</v>
      </c>
      <c r="L2068" s="9">
        <v>0</v>
      </c>
      <c r="M2068" s="9">
        <v>0</v>
      </c>
      <c r="N2068" s="9">
        <v>0</v>
      </c>
      <c r="O2068" s="9">
        <v>0</v>
      </c>
      <c r="P2068" s="9">
        <v>0</v>
      </c>
      <c r="Q2068" s="9">
        <v>0</v>
      </c>
      <c r="R2068" s="9">
        <v>0</v>
      </c>
      <c r="S2068" s="9">
        <v>0</v>
      </c>
      <c r="T2068" s="9">
        <v>0</v>
      </c>
      <c r="U2068" s="9">
        <v>0</v>
      </c>
    </row>
    <row r="2069" spans="1:21" x14ac:dyDescent="0.2">
      <c r="A2069" t="s">
        <v>862</v>
      </c>
      <c r="B2069">
        <v>2897</v>
      </c>
      <c r="C2069">
        <v>1</v>
      </c>
      <c r="D2069" t="s">
        <v>404</v>
      </c>
      <c r="E2069" s="9">
        <v>0</v>
      </c>
      <c r="F2069" s="9">
        <v>0</v>
      </c>
      <c r="G2069" s="9">
        <v>0</v>
      </c>
      <c r="H2069" s="9">
        <v>0</v>
      </c>
      <c r="I2069" s="9">
        <v>0</v>
      </c>
      <c r="J2069" s="9">
        <v>0</v>
      </c>
      <c r="K2069" s="9">
        <v>0</v>
      </c>
      <c r="L2069" s="9">
        <v>0</v>
      </c>
      <c r="M2069" s="9">
        <v>0</v>
      </c>
      <c r="N2069" s="9">
        <v>0</v>
      </c>
      <c r="O2069" s="9">
        <v>0</v>
      </c>
      <c r="P2069" s="9">
        <v>0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</row>
    <row r="2070" spans="1:21" x14ac:dyDescent="0.2">
      <c r="A2070" t="s">
        <v>862</v>
      </c>
      <c r="B2070">
        <v>2898</v>
      </c>
      <c r="C2070">
        <v>1</v>
      </c>
      <c r="D2070" t="s">
        <v>405</v>
      </c>
      <c r="E2070" s="9">
        <v>0</v>
      </c>
      <c r="F2070" s="9">
        <v>0</v>
      </c>
      <c r="G2070" s="9">
        <v>0</v>
      </c>
      <c r="H2070" s="9">
        <v>0</v>
      </c>
      <c r="I2070" s="9">
        <v>0</v>
      </c>
      <c r="J2070" s="9">
        <v>0</v>
      </c>
      <c r="K2070" s="9">
        <v>0</v>
      </c>
      <c r="L2070" s="9">
        <v>0</v>
      </c>
      <c r="M2070" s="9">
        <v>0</v>
      </c>
      <c r="N2070" s="9">
        <v>0</v>
      </c>
      <c r="O2070" s="9">
        <v>0</v>
      </c>
      <c r="P2070" s="9">
        <v>0</v>
      </c>
      <c r="Q2070" s="9">
        <v>0</v>
      </c>
      <c r="R2070" s="9">
        <v>0</v>
      </c>
      <c r="S2070" s="9">
        <v>0</v>
      </c>
      <c r="T2070" s="9">
        <v>0</v>
      </c>
      <c r="U2070" s="9">
        <v>0</v>
      </c>
    </row>
    <row r="2071" spans="1:21" x14ac:dyDescent="0.2">
      <c r="E2071" s="3"/>
    </row>
    <row r="2072" spans="1:21" x14ac:dyDescent="0.2">
      <c r="A2072" t="s">
        <v>33</v>
      </c>
      <c r="B2072">
        <v>1</v>
      </c>
      <c r="C2072">
        <v>1</v>
      </c>
      <c r="D2072" t="s">
        <v>63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</row>
    <row r="2073" spans="1:21" x14ac:dyDescent="0.2">
      <c r="A2073" t="s">
        <v>33</v>
      </c>
      <c r="B2073">
        <v>1.2</v>
      </c>
      <c r="C2073">
        <v>3</v>
      </c>
      <c r="D2073" t="s">
        <v>64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</row>
    <row r="2074" spans="1:21" x14ac:dyDescent="0.2">
      <c r="A2074" t="s">
        <v>33</v>
      </c>
      <c r="B2074">
        <v>2</v>
      </c>
      <c r="C2074">
        <v>1</v>
      </c>
      <c r="D2074" t="s">
        <v>65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0</v>
      </c>
    </row>
    <row r="2075" spans="1:21" x14ac:dyDescent="0.2">
      <c r="A2075" t="s">
        <v>33</v>
      </c>
      <c r="B2075">
        <v>4</v>
      </c>
      <c r="C2075">
        <v>1</v>
      </c>
      <c r="D2075" t="s">
        <v>66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 s="3">
        <v>0</v>
      </c>
    </row>
    <row r="2076" spans="1:21" x14ac:dyDescent="0.2">
      <c r="A2076" t="s">
        <v>33</v>
      </c>
      <c r="B2076">
        <v>6</v>
      </c>
      <c r="C2076">
        <v>3</v>
      </c>
      <c r="D2076" t="s">
        <v>67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 s="3">
        <v>0</v>
      </c>
    </row>
    <row r="2077" spans="1:21" x14ac:dyDescent="0.2">
      <c r="A2077" t="s">
        <v>33</v>
      </c>
      <c r="B2077">
        <v>11</v>
      </c>
      <c r="C2077">
        <v>1</v>
      </c>
      <c r="D2077" t="s">
        <v>68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</row>
    <row r="2078" spans="1:21" x14ac:dyDescent="0.2">
      <c r="A2078" t="s">
        <v>33</v>
      </c>
      <c r="B2078">
        <v>12</v>
      </c>
      <c r="C2078">
        <v>1</v>
      </c>
      <c r="D2078" t="s">
        <v>69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</row>
    <row r="2079" spans="1:21" x14ac:dyDescent="0.2">
      <c r="A2079" t="s">
        <v>33</v>
      </c>
      <c r="B2079">
        <v>13</v>
      </c>
      <c r="C2079">
        <v>1</v>
      </c>
      <c r="D2079" t="s">
        <v>70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</row>
    <row r="2080" spans="1:21" x14ac:dyDescent="0.2">
      <c r="A2080" t="s">
        <v>33</v>
      </c>
      <c r="B2080">
        <v>14</v>
      </c>
      <c r="C2080">
        <v>1</v>
      </c>
      <c r="D2080" t="s">
        <v>71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 s="3">
        <v>0</v>
      </c>
    </row>
    <row r="2081" spans="1:21" x14ac:dyDescent="0.2">
      <c r="A2081" t="s">
        <v>33</v>
      </c>
      <c r="B2081">
        <v>15</v>
      </c>
      <c r="C2081">
        <v>1</v>
      </c>
      <c r="D2081" t="s">
        <v>72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  <c r="S2081" s="3">
        <v>0</v>
      </c>
      <c r="T2081" s="3">
        <v>0</v>
      </c>
      <c r="U2081" s="3">
        <v>0</v>
      </c>
    </row>
    <row r="2082" spans="1:21" x14ac:dyDescent="0.2">
      <c r="A2082" t="s">
        <v>33</v>
      </c>
      <c r="B2082">
        <v>16</v>
      </c>
      <c r="C2082">
        <v>1</v>
      </c>
      <c r="D2082" t="s">
        <v>73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</row>
    <row r="2083" spans="1:21" x14ac:dyDescent="0.2">
      <c r="A2083" t="s">
        <v>33</v>
      </c>
      <c r="B2083">
        <v>22</v>
      </c>
      <c r="C2083">
        <v>1</v>
      </c>
      <c r="D2083" t="s">
        <v>74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</row>
    <row r="2084" spans="1:21" x14ac:dyDescent="0.2">
      <c r="A2084" t="s">
        <v>33</v>
      </c>
      <c r="B2084">
        <v>23</v>
      </c>
      <c r="C2084">
        <v>1</v>
      </c>
      <c r="D2084" t="s">
        <v>75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</row>
    <row r="2085" spans="1:21" x14ac:dyDescent="0.2">
      <c r="A2085" t="s">
        <v>33</v>
      </c>
      <c r="B2085">
        <v>25</v>
      </c>
      <c r="C2085">
        <v>1</v>
      </c>
      <c r="D2085" t="s">
        <v>76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</row>
    <row r="2086" spans="1:21" x14ac:dyDescent="0.2">
      <c r="A2086" t="s">
        <v>33</v>
      </c>
      <c r="B2086">
        <v>31</v>
      </c>
      <c r="C2086">
        <v>1</v>
      </c>
      <c r="D2086" t="s">
        <v>77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</row>
    <row r="2087" spans="1:21" x14ac:dyDescent="0.2">
      <c r="A2087" t="s">
        <v>33</v>
      </c>
      <c r="B2087">
        <v>32</v>
      </c>
      <c r="C2087">
        <v>1</v>
      </c>
      <c r="D2087" t="s">
        <v>78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</row>
    <row r="2088" spans="1:21" x14ac:dyDescent="0.2">
      <c r="A2088" t="s">
        <v>33</v>
      </c>
      <c r="B2088">
        <v>36</v>
      </c>
      <c r="C2088">
        <v>1</v>
      </c>
      <c r="D2088" t="s">
        <v>79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</row>
    <row r="2089" spans="1:21" x14ac:dyDescent="0.2">
      <c r="A2089" t="s">
        <v>33</v>
      </c>
      <c r="B2089">
        <v>38</v>
      </c>
      <c r="C2089">
        <v>1</v>
      </c>
      <c r="D2089" t="s">
        <v>80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</row>
    <row r="2090" spans="1:21" x14ac:dyDescent="0.2">
      <c r="A2090" t="s">
        <v>33</v>
      </c>
      <c r="B2090">
        <v>47</v>
      </c>
      <c r="C2090">
        <v>1</v>
      </c>
      <c r="D2090" t="s">
        <v>81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</row>
    <row r="2091" spans="1:21" x14ac:dyDescent="0.2">
      <c r="A2091" t="s">
        <v>33</v>
      </c>
      <c r="B2091">
        <v>51</v>
      </c>
      <c r="C2091">
        <v>1</v>
      </c>
      <c r="D2091" t="s">
        <v>82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</row>
    <row r="2092" spans="1:21" x14ac:dyDescent="0.2">
      <c r="A2092" t="s">
        <v>33</v>
      </c>
      <c r="B2092">
        <v>62</v>
      </c>
      <c r="C2092">
        <v>1</v>
      </c>
      <c r="D2092" t="s">
        <v>83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</row>
    <row r="2093" spans="1:21" x14ac:dyDescent="0.2">
      <c r="A2093" t="s">
        <v>33</v>
      </c>
      <c r="B2093">
        <v>75</v>
      </c>
      <c r="C2093">
        <v>1</v>
      </c>
      <c r="D2093" t="s">
        <v>84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</row>
    <row r="2094" spans="1:21" x14ac:dyDescent="0.2">
      <c r="A2094" t="s">
        <v>33</v>
      </c>
      <c r="B2094">
        <v>77</v>
      </c>
      <c r="C2094">
        <v>1</v>
      </c>
      <c r="D2094" t="s">
        <v>85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</row>
    <row r="2095" spans="1:21" x14ac:dyDescent="0.2">
      <c r="A2095" t="s">
        <v>33</v>
      </c>
      <c r="B2095">
        <v>81</v>
      </c>
      <c r="C2095">
        <v>1</v>
      </c>
      <c r="D2095" t="s">
        <v>86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</row>
    <row r="2096" spans="1:21" x14ac:dyDescent="0.2">
      <c r="A2096" t="s">
        <v>33</v>
      </c>
      <c r="B2096">
        <v>84</v>
      </c>
      <c r="C2096">
        <v>1</v>
      </c>
      <c r="D2096" t="s">
        <v>87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</row>
    <row r="2097" spans="1:21" x14ac:dyDescent="0.2">
      <c r="A2097" t="s">
        <v>33</v>
      </c>
      <c r="B2097">
        <v>85</v>
      </c>
      <c r="C2097">
        <v>1</v>
      </c>
      <c r="D2097" t="s">
        <v>88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</row>
    <row r="2098" spans="1:21" x14ac:dyDescent="0.2">
      <c r="A2098" t="s">
        <v>33</v>
      </c>
      <c r="B2098">
        <v>88</v>
      </c>
      <c r="C2098">
        <v>1</v>
      </c>
      <c r="D2098" t="s">
        <v>89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</row>
    <row r="2099" spans="1:21" x14ac:dyDescent="0.2">
      <c r="A2099" t="s">
        <v>33</v>
      </c>
      <c r="B2099">
        <v>91</v>
      </c>
      <c r="C2099">
        <v>1</v>
      </c>
      <c r="D2099" t="s">
        <v>90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</row>
    <row r="2100" spans="1:21" x14ac:dyDescent="0.2">
      <c r="A2100" t="s">
        <v>33</v>
      </c>
      <c r="B2100">
        <v>93</v>
      </c>
      <c r="C2100">
        <v>1</v>
      </c>
      <c r="D2100" t="s">
        <v>91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</row>
    <row r="2101" spans="1:21" x14ac:dyDescent="0.2">
      <c r="A2101" t="s">
        <v>33</v>
      </c>
      <c r="B2101">
        <v>94</v>
      </c>
      <c r="C2101">
        <v>1</v>
      </c>
      <c r="D2101" t="s">
        <v>92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</row>
    <row r="2102" spans="1:21" x14ac:dyDescent="0.2">
      <c r="A2102" t="s">
        <v>33</v>
      </c>
      <c r="B2102">
        <v>95</v>
      </c>
      <c r="C2102">
        <v>1</v>
      </c>
      <c r="D2102" t="s">
        <v>93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</row>
    <row r="2103" spans="1:21" x14ac:dyDescent="0.2">
      <c r="A2103" t="s">
        <v>33</v>
      </c>
      <c r="B2103">
        <v>97</v>
      </c>
      <c r="C2103">
        <v>1</v>
      </c>
      <c r="D2103" t="s">
        <v>94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</row>
    <row r="2104" spans="1:21" x14ac:dyDescent="0.2">
      <c r="A2104" t="s">
        <v>33</v>
      </c>
      <c r="B2104">
        <v>99</v>
      </c>
      <c r="C2104">
        <v>1</v>
      </c>
      <c r="D2104" t="s">
        <v>95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</row>
    <row r="2105" spans="1:21" x14ac:dyDescent="0.2">
      <c r="A2105" t="s">
        <v>33</v>
      </c>
      <c r="B2105">
        <v>100</v>
      </c>
      <c r="C2105">
        <v>1</v>
      </c>
      <c r="D2105" t="s">
        <v>96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</row>
    <row r="2106" spans="1:21" x14ac:dyDescent="0.2">
      <c r="A2106" t="s">
        <v>33</v>
      </c>
      <c r="B2106">
        <v>108</v>
      </c>
      <c r="C2106">
        <v>1</v>
      </c>
      <c r="D2106" t="s">
        <v>97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</row>
    <row r="2107" spans="1:21" x14ac:dyDescent="0.2">
      <c r="A2107" t="s">
        <v>33</v>
      </c>
      <c r="B2107">
        <v>110</v>
      </c>
      <c r="C2107">
        <v>1</v>
      </c>
      <c r="D2107" t="s">
        <v>98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390</v>
      </c>
      <c r="K2107" s="3">
        <v>390</v>
      </c>
      <c r="L2107" s="3">
        <v>390</v>
      </c>
      <c r="M2107" s="3">
        <v>390</v>
      </c>
      <c r="N2107" s="3">
        <v>390</v>
      </c>
      <c r="O2107" s="3">
        <v>390</v>
      </c>
      <c r="P2107" s="3">
        <v>390</v>
      </c>
      <c r="Q2107" s="3">
        <v>390</v>
      </c>
      <c r="R2107" s="3">
        <v>390</v>
      </c>
      <c r="S2107" s="3">
        <v>390</v>
      </c>
      <c r="T2107" s="3">
        <v>0</v>
      </c>
      <c r="U2107" s="3">
        <v>0</v>
      </c>
    </row>
    <row r="2108" spans="1:21" x14ac:dyDescent="0.2">
      <c r="A2108" t="s">
        <v>33</v>
      </c>
      <c r="B2108">
        <v>111</v>
      </c>
      <c r="C2108">
        <v>1</v>
      </c>
      <c r="D2108" t="s">
        <v>99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</row>
    <row r="2109" spans="1:21" x14ac:dyDescent="0.2">
      <c r="A2109" t="s">
        <v>33</v>
      </c>
      <c r="B2109">
        <v>112</v>
      </c>
      <c r="C2109">
        <v>1</v>
      </c>
      <c r="D2109" t="s">
        <v>100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</row>
    <row r="2110" spans="1:21" x14ac:dyDescent="0.2">
      <c r="A2110" t="s">
        <v>33</v>
      </c>
      <c r="B2110">
        <v>113</v>
      </c>
      <c r="C2110">
        <v>1</v>
      </c>
      <c r="D2110" t="s">
        <v>101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</row>
    <row r="2111" spans="1:21" x14ac:dyDescent="0.2">
      <c r="A2111" t="s">
        <v>33</v>
      </c>
      <c r="B2111">
        <v>115</v>
      </c>
      <c r="C2111">
        <v>1</v>
      </c>
      <c r="D2111" t="s">
        <v>102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</row>
    <row r="2112" spans="1:21" x14ac:dyDescent="0.2">
      <c r="A2112" t="s">
        <v>33</v>
      </c>
      <c r="B2112">
        <v>116</v>
      </c>
      <c r="C2112">
        <v>1</v>
      </c>
      <c r="D2112" t="s">
        <v>103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</row>
    <row r="2113" spans="1:21" x14ac:dyDescent="0.2">
      <c r="A2113" t="s">
        <v>33</v>
      </c>
      <c r="B2113">
        <v>118</v>
      </c>
      <c r="C2113">
        <v>1</v>
      </c>
      <c r="D2113" t="s">
        <v>104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</row>
    <row r="2114" spans="1:21" x14ac:dyDescent="0.2">
      <c r="A2114" t="s">
        <v>33</v>
      </c>
      <c r="B2114">
        <v>129</v>
      </c>
      <c r="C2114">
        <v>1</v>
      </c>
      <c r="D2114" t="s">
        <v>105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</row>
    <row r="2115" spans="1:21" x14ac:dyDescent="0.2">
      <c r="A2115" t="s">
        <v>33</v>
      </c>
      <c r="B2115">
        <v>138</v>
      </c>
      <c r="C2115">
        <v>1</v>
      </c>
      <c r="D2115" t="s">
        <v>106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</row>
    <row r="2116" spans="1:21" x14ac:dyDescent="0.2">
      <c r="A2116" t="s">
        <v>33</v>
      </c>
      <c r="B2116">
        <v>139</v>
      </c>
      <c r="C2116">
        <v>1</v>
      </c>
      <c r="D2116" t="s">
        <v>107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</row>
    <row r="2117" spans="1:21" x14ac:dyDescent="0.2">
      <c r="A2117" t="s">
        <v>33</v>
      </c>
      <c r="B2117">
        <v>146</v>
      </c>
      <c r="C2117">
        <v>1</v>
      </c>
      <c r="D2117" t="s">
        <v>108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0</v>
      </c>
    </row>
    <row r="2118" spans="1:21" x14ac:dyDescent="0.2">
      <c r="A2118" t="s">
        <v>33</v>
      </c>
      <c r="B2118">
        <v>150</v>
      </c>
      <c r="C2118">
        <v>1</v>
      </c>
      <c r="D2118" t="s">
        <v>109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500</v>
      </c>
      <c r="K2118" s="3">
        <v>500</v>
      </c>
      <c r="L2118" s="3">
        <v>500</v>
      </c>
      <c r="M2118" s="3">
        <v>500</v>
      </c>
      <c r="N2118" s="3">
        <v>500</v>
      </c>
      <c r="O2118" s="3">
        <v>500</v>
      </c>
      <c r="P2118" s="3">
        <v>500</v>
      </c>
      <c r="Q2118" s="3">
        <v>500</v>
      </c>
      <c r="R2118" s="3">
        <v>500</v>
      </c>
      <c r="S2118" s="3">
        <v>500</v>
      </c>
      <c r="T2118" s="3">
        <v>0</v>
      </c>
      <c r="U2118" s="3">
        <v>0</v>
      </c>
    </row>
    <row r="2119" spans="1:21" x14ac:dyDescent="0.2">
      <c r="A2119" t="s">
        <v>33</v>
      </c>
      <c r="B2119">
        <v>152</v>
      </c>
      <c r="C2119">
        <v>1</v>
      </c>
      <c r="D2119" t="s">
        <v>110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</row>
    <row r="2120" spans="1:21" x14ac:dyDescent="0.2">
      <c r="A2120" t="s">
        <v>33</v>
      </c>
      <c r="B2120">
        <v>162</v>
      </c>
      <c r="C2120">
        <v>1</v>
      </c>
      <c r="D2120" t="s">
        <v>111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 s="3">
        <v>0</v>
      </c>
    </row>
    <row r="2121" spans="1:21" x14ac:dyDescent="0.2">
      <c r="A2121" t="s">
        <v>33</v>
      </c>
      <c r="B2121">
        <v>166</v>
      </c>
      <c r="C2121">
        <v>1</v>
      </c>
      <c r="D2121" t="s">
        <v>112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</row>
    <row r="2122" spans="1:21" x14ac:dyDescent="0.2">
      <c r="A2122" t="s">
        <v>33</v>
      </c>
      <c r="B2122">
        <v>173</v>
      </c>
      <c r="C2122">
        <v>1</v>
      </c>
      <c r="D2122" t="s">
        <v>113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</row>
    <row r="2123" spans="1:21" x14ac:dyDescent="0.2">
      <c r="A2123" t="s">
        <v>33</v>
      </c>
      <c r="B2123">
        <v>177</v>
      </c>
      <c r="C2123">
        <v>1</v>
      </c>
      <c r="D2123" t="s">
        <v>114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</row>
    <row r="2124" spans="1:21" x14ac:dyDescent="0.2">
      <c r="A2124" t="s">
        <v>33</v>
      </c>
      <c r="B2124">
        <v>181</v>
      </c>
      <c r="C2124">
        <v>1</v>
      </c>
      <c r="D2124" t="s">
        <v>115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</row>
    <row r="2125" spans="1:21" x14ac:dyDescent="0.2">
      <c r="A2125" t="s">
        <v>33</v>
      </c>
      <c r="B2125">
        <v>182</v>
      </c>
      <c r="C2125">
        <v>1</v>
      </c>
      <c r="D2125" t="s">
        <v>116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</row>
    <row r="2126" spans="1:21" x14ac:dyDescent="0.2">
      <c r="A2126" t="s">
        <v>33</v>
      </c>
      <c r="B2126">
        <v>186</v>
      </c>
      <c r="C2126">
        <v>1</v>
      </c>
      <c r="D2126" t="s">
        <v>117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  <c r="T2126" s="3">
        <v>0</v>
      </c>
      <c r="U2126" s="3">
        <v>0</v>
      </c>
    </row>
    <row r="2127" spans="1:21" x14ac:dyDescent="0.2">
      <c r="A2127" t="s">
        <v>33</v>
      </c>
      <c r="B2127">
        <v>191</v>
      </c>
      <c r="C2127">
        <v>1</v>
      </c>
      <c r="D2127" t="s">
        <v>118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</row>
    <row r="2128" spans="1:21" x14ac:dyDescent="0.2">
      <c r="A2128" t="s">
        <v>33</v>
      </c>
      <c r="B2128">
        <v>192</v>
      </c>
      <c r="C2128">
        <v>1</v>
      </c>
      <c r="D2128" t="s">
        <v>119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</row>
    <row r="2129" spans="1:21" x14ac:dyDescent="0.2">
      <c r="A2129" t="s">
        <v>33</v>
      </c>
      <c r="B2129">
        <v>194</v>
      </c>
      <c r="C2129">
        <v>1</v>
      </c>
      <c r="D2129" t="s">
        <v>120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</row>
    <row r="2130" spans="1:21" x14ac:dyDescent="0.2">
      <c r="A2130" t="s">
        <v>33</v>
      </c>
      <c r="B2130">
        <v>195</v>
      </c>
      <c r="C2130">
        <v>1</v>
      </c>
      <c r="D2130" t="s">
        <v>121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</row>
    <row r="2131" spans="1:21" x14ac:dyDescent="0.2">
      <c r="A2131" t="s">
        <v>33</v>
      </c>
      <c r="B2131">
        <v>196</v>
      </c>
      <c r="C2131">
        <v>1</v>
      </c>
      <c r="D2131" t="s">
        <v>122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</row>
    <row r="2132" spans="1:21" x14ac:dyDescent="0.2">
      <c r="A2132" t="s">
        <v>33</v>
      </c>
      <c r="B2132">
        <v>197</v>
      </c>
      <c r="C2132">
        <v>1</v>
      </c>
      <c r="D2132" t="s">
        <v>123</v>
      </c>
      <c r="E2132" s="3">
        <v>0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  <c r="T2132" s="3">
        <v>0</v>
      </c>
      <c r="U2132" s="3">
        <v>0</v>
      </c>
    </row>
    <row r="2133" spans="1:21" x14ac:dyDescent="0.2">
      <c r="A2133" t="s">
        <v>33</v>
      </c>
      <c r="B2133">
        <v>199</v>
      </c>
      <c r="C2133">
        <v>1</v>
      </c>
      <c r="D2133" t="s">
        <v>124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</row>
    <row r="2134" spans="1:21" x14ac:dyDescent="0.2">
      <c r="A2134" t="s">
        <v>33</v>
      </c>
      <c r="B2134">
        <v>200</v>
      </c>
      <c r="C2134">
        <v>1</v>
      </c>
      <c r="D2134" t="s">
        <v>125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</row>
    <row r="2135" spans="1:21" x14ac:dyDescent="0.2">
      <c r="A2135" t="s">
        <v>33</v>
      </c>
      <c r="B2135">
        <v>203</v>
      </c>
      <c r="C2135">
        <v>1</v>
      </c>
      <c r="D2135" t="s">
        <v>126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 s="3">
        <v>0</v>
      </c>
    </row>
    <row r="2136" spans="1:21" x14ac:dyDescent="0.2">
      <c r="A2136" t="s">
        <v>33</v>
      </c>
      <c r="B2136">
        <v>204</v>
      </c>
      <c r="C2136">
        <v>1</v>
      </c>
      <c r="D2136" t="s">
        <v>127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0</v>
      </c>
      <c r="U2136" s="3">
        <v>0</v>
      </c>
    </row>
    <row r="2137" spans="1:21" x14ac:dyDescent="0.2">
      <c r="A2137" t="s">
        <v>33</v>
      </c>
      <c r="B2137">
        <v>206</v>
      </c>
      <c r="C2137">
        <v>1</v>
      </c>
      <c r="D2137" t="s">
        <v>128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390</v>
      </c>
      <c r="K2137" s="3">
        <v>390</v>
      </c>
      <c r="L2137" s="3">
        <v>390</v>
      </c>
      <c r="M2137" s="3">
        <v>390</v>
      </c>
      <c r="N2137" s="3">
        <v>390</v>
      </c>
      <c r="O2137" s="3">
        <v>390</v>
      </c>
      <c r="P2137" s="3">
        <v>390</v>
      </c>
      <c r="Q2137" s="3">
        <v>390</v>
      </c>
      <c r="R2137" s="3">
        <v>390</v>
      </c>
      <c r="S2137" s="3">
        <v>390</v>
      </c>
      <c r="T2137" s="3">
        <v>0</v>
      </c>
      <c r="U2137" s="3">
        <v>0</v>
      </c>
    </row>
    <row r="2138" spans="1:21" x14ac:dyDescent="0.2">
      <c r="A2138" t="s">
        <v>33</v>
      </c>
      <c r="B2138">
        <v>207</v>
      </c>
      <c r="C2138">
        <v>1</v>
      </c>
      <c r="D2138" t="s">
        <v>129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500</v>
      </c>
      <c r="K2138" s="3">
        <v>500</v>
      </c>
      <c r="L2138" s="3">
        <v>500</v>
      </c>
      <c r="M2138" s="3">
        <v>500</v>
      </c>
      <c r="N2138" s="3">
        <v>500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</row>
    <row r="2139" spans="1:21" x14ac:dyDescent="0.2">
      <c r="A2139" t="s">
        <v>33</v>
      </c>
      <c r="B2139">
        <v>208</v>
      </c>
      <c r="C2139">
        <v>1</v>
      </c>
      <c r="D2139" t="s">
        <v>130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</row>
    <row r="2140" spans="1:21" x14ac:dyDescent="0.2">
      <c r="A2140" t="s">
        <v>33</v>
      </c>
      <c r="B2140">
        <v>213</v>
      </c>
      <c r="C2140">
        <v>1</v>
      </c>
      <c r="D2140" t="s">
        <v>131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</row>
    <row r="2141" spans="1:21" x14ac:dyDescent="0.2">
      <c r="A2141" t="s">
        <v>33</v>
      </c>
      <c r="B2141">
        <v>227</v>
      </c>
      <c r="C2141">
        <v>1</v>
      </c>
      <c r="D2141" t="s">
        <v>132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</row>
    <row r="2142" spans="1:21" x14ac:dyDescent="0.2">
      <c r="A2142" t="s">
        <v>33</v>
      </c>
      <c r="B2142">
        <v>229</v>
      </c>
      <c r="C2142">
        <v>1</v>
      </c>
      <c r="D2142" t="s">
        <v>133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</row>
    <row r="2143" spans="1:21" x14ac:dyDescent="0.2">
      <c r="A2143" t="s">
        <v>33</v>
      </c>
      <c r="B2143">
        <v>238</v>
      </c>
      <c r="C2143">
        <v>1</v>
      </c>
      <c r="D2143" t="s">
        <v>134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</row>
    <row r="2144" spans="1:21" x14ac:dyDescent="0.2">
      <c r="A2144" t="s">
        <v>33</v>
      </c>
      <c r="B2144">
        <v>239</v>
      </c>
      <c r="C2144">
        <v>1</v>
      </c>
      <c r="D2144" t="s">
        <v>135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  <c r="T2144" s="3">
        <v>0</v>
      </c>
      <c r="U2144" s="3">
        <v>0</v>
      </c>
    </row>
    <row r="2145" spans="1:21" x14ac:dyDescent="0.2">
      <c r="A2145" t="s">
        <v>33</v>
      </c>
      <c r="B2145">
        <v>241</v>
      </c>
      <c r="C2145">
        <v>1</v>
      </c>
      <c r="D2145" t="s">
        <v>136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</row>
    <row r="2146" spans="1:21" x14ac:dyDescent="0.2">
      <c r="A2146" t="s">
        <v>33</v>
      </c>
      <c r="B2146">
        <v>242</v>
      </c>
      <c r="C2146">
        <v>1</v>
      </c>
      <c r="D2146" t="s">
        <v>137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478</v>
      </c>
      <c r="K2146" s="3">
        <v>478</v>
      </c>
      <c r="L2146" s="3">
        <v>478</v>
      </c>
      <c r="M2146" s="3">
        <v>478</v>
      </c>
      <c r="N2146" s="3">
        <v>478</v>
      </c>
      <c r="O2146" s="3">
        <v>478</v>
      </c>
      <c r="P2146" s="3">
        <v>478</v>
      </c>
      <c r="Q2146" s="3">
        <v>478</v>
      </c>
      <c r="R2146" s="3">
        <v>478</v>
      </c>
      <c r="S2146" s="3">
        <v>478</v>
      </c>
      <c r="T2146" s="3">
        <v>0</v>
      </c>
      <c r="U2146" s="3">
        <v>0</v>
      </c>
    </row>
    <row r="2147" spans="1:21" x14ac:dyDescent="0.2">
      <c r="A2147" t="s">
        <v>33</v>
      </c>
      <c r="B2147">
        <v>252</v>
      </c>
      <c r="C2147">
        <v>1</v>
      </c>
      <c r="D2147" t="s">
        <v>138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500</v>
      </c>
      <c r="K2147" s="3">
        <v>500</v>
      </c>
      <c r="L2147" s="3">
        <v>500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</row>
    <row r="2148" spans="1:21" x14ac:dyDescent="0.2">
      <c r="A2148" t="s">
        <v>33</v>
      </c>
      <c r="B2148">
        <v>253</v>
      </c>
      <c r="C2148">
        <v>1</v>
      </c>
      <c r="D2148" t="s">
        <v>139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</row>
    <row r="2149" spans="1:21" x14ac:dyDescent="0.2">
      <c r="A2149" t="s">
        <v>33</v>
      </c>
      <c r="B2149">
        <v>255</v>
      </c>
      <c r="C2149">
        <v>1</v>
      </c>
      <c r="D2149" t="s">
        <v>140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</row>
    <row r="2150" spans="1:21" x14ac:dyDescent="0.2">
      <c r="A2150" t="s">
        <v>33</v>
      </c>
      <c r="B2150">
        <v>256</v>
      </c>
      <c r="C2150">
        <v>1</v>
      </c>
      <c r="D2150" t="s">
        <v>141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 s="3">
        <v>0</v>
      </c>
    </row>
    <row r="2151" spans="1:21" x14ac:dyDescent="0.2">
      <c r="A2151" t="s">
        <v>33</v>
      </c>
      <c r="B2151">
        <v>261</v>
      </c>
      <c r="C2151">
        <v>1</v>
      </c>
      <c r="D2151" t="s">
        <v>142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</row>
    <row r="2152" spans="1:21" x14ac:dyDescent="0.2">
      <c r="A2152" t="s">
        <v>33</v>
      </c>
      <c r="B2152">
        <v>264</v>
      </c>
      <c r="C2152">
        <v>1</v>
      </c>
      <c r="D2152" t="s">
        <v>143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s="3">
        <v>400</v>
      </c>
      <c r="K2152" s="3">
        <v>400</v>
      </c>
      <c r="L2152" s="3">
        <v>400</v>
      </c>
      <c r="M2152" s="3">
        <v>400</v>
      </c>
      <c r="N2152" s="3">
        <v>400</v>
      </c>
      <c r="O2152" s="3">
        <v>400</v>
      </c>
      <c r="P2152" s="3">
        <v>400</v>
      </c>
      <c r="Q2152" s="3">
        <v>400</v>
      </c>
      <c r="R2152" s="3">
        <v>400</v>
      </c>
      <c r="S2152" s="3">
        <v>400</v>
      </c>
      <c r="T2152" s="3">
        <v>0</v>
      </c>
      <c r="U2152" s="3">
        <v>0</v>
      </c>
    </row>
    <row r="2153" spans="1:21" x14ac:dyDescent="0.2">
      <c r="A2153" t="s">
        <v>33</v>
      </c>
      <c r="B2153">
        <v>270</v>
      </c>
      <c r="C2153">
        <v>1</v>
      </c>
      <c r="D2153" t="s">
        <v>144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  <c r="T2153" s="3">
        <v>0</v>
      </c>
      <c r="U2153" s="3">
        <v>0</v>
      </c>
    </row>
    <row r="2154" spans="1:21" x14ac:dyDescent="0.2">
      <c r="A2154" t="s">
        <v>33</v>
      </c>
      <c r="B2154">
        <v>271</v>
      </c>
      <c r="C2154">
        <v>1</v>
      </c>
      <c r="D2154" t="s">
        <v>145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  <c r="T2154" s="3">
        <v>0</v>
      </c>
      <c r="U2154" s="3">
        <v>0</v>
      </c>
    </row>
    <row r="2155" spans="1:21" x14ac:dyDescent="0.2">
      <c r="A2155" t="s">
        <v>33</v>
      </c>
      <c r="B2155">
        <v>272</v>
      </c>
      <c r="C2155">
        <v>1</v>
      </c>
      <c r="D2155" t="s">
        <v>146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1200</v>
      </c>
      <c r="K2155" s="3">
        <v>1200</v>
      </c>
      <c r="L2155" s="3">
        <v>1200</v>
      </c>
      <c r="M2155" s="3">
        <v>1200</v>
      </c>
      <c r="N2155" s="3">
        <v>1200</v>
      </c>
      <c r="O2155" s="3">
        <v>1200</v>
      </c>
      <c r="P2155" s="3">
        <v>1200</v>
      </c>
      <c r="Q2155" s="3">
        <v>1200</v>
      </c>
      <c r="R2155" s="3">
        <v>1200</v>
      </c>
      <c r="S2155" s="3">
        <v>1200</v>
      </c>
      <c r="T2155" s="3">
        <v>0</v>
      </c>
      <c r="U2155" s="3">
        <v>0</v>
      </c>
    </row>
    <row r="2156" spans="1:21" x14ac:dyDescent="0.2">
      <c r="A2156" t="s">
        <v>33</v>
      </c>
      <c r="B2156">
        <v>273</v>
      </c>
      <c r="C2156">
        <v>1</v>
      </c>
      <c r="D2156" t="s">
        <v>147</v>
      </c>
      <c r="E2156" s="3">
        <v>0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</row>
    <row r="2157" spans="1:21" x14ac:dyDescent="0.2">
      <c r="A2157" t="s">
        <v>33</v>
      </c>
      <c r="B2157">
        <v>276</v>
      </c>
      <c r="C2157">
        <v>1</v>
      </c>
      <c r="D2157" t="s">
        <v>148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0</v>
      </c>
      <c r="U2157" s="3">
        <v>0</v>
      </c>
    </row>
    <row r="2158" spans="1:21" x14ac:dyDescent="0.2">
      <c r="A2158" t="s">
        <v>33</v>
      </c>
      <c r="B2158">
        <v>277</v>
      </c>
      <c r="C2158">
        <v>1</v>
      </c>
      <c r="D2158" t="s">
        <v>149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562.97</v>
      </c>
      <c r="L2158" s="3">
        <v>562.97</v>
      </c>
      <c r="M2158" s="3">
        <v>562.97</v>
      </c>
      <c r="N2158" s="3">
        <v>562.97</v>
      </c>
      <c r="O2158" s="3">
        <v>562.97</v>
      </c>
      <c r="P2158" s="3">
        <v>562.97</v>
      </c>
      <c r="Q2158" s="3">
        <v>562.97</v>
      </c>
      <c r="R2158" s="3">
        <v>562.97</v>
      </c>
      <c r="S2158" s="3">
        <v>562.97</v>
      </c>
      <c r="T2158" s="3">
        <v>562.97</v>
      </c>
      <c r="U2158" s="3">
        <v>0</v>
      </c>
    </row>
    <row r="2159" spans="1:21" x14ac:dyDescent="0.2">
      <c r="A2159" t="s">
        <v>33</v>
      </c>
      <c r="B2159">
        <v>278</v>
      </c>
      <c r="C2159">
        <v>1</v>
      </c>
      <c r="D2159" t="s">
        <v>150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1200</v>
      </c>
      <c r="K2159" s="3">
        <v>1200</v>
      </c>
      <c r="L2159" s="3">
        <v>1200</v>
      </c>
      <c r="M2159" s="3">
        <v>1200</v>
      </c>
      <c r="N2159" s="3">
        <v>1200</v>
      </c>
      <c r="O2159" s="3">
        <v>1200</v>
      </c>
      <c r="P2159" s="3">
        <v>1200</v>
      </c>
      <c r="Q2159" s="3">
        <v>1200</v>
      </c>
      <c r="R2159" s="3">
        <v>1200</v>
      </c>
      <c r="S2159" s="3">
        <v>1200</v>
      </c>
      <c r="T2159" s="3">
        <v>0</v>
      </c>
      <c r="U2159" s="3">
        <v>0</v>
      </c>
    </row>
    <row r="2160" spans="1:21" x14ac:dyDescent="0.2">
      <c r="A2160" t="s">
        <v>33</v>
      </c>
      <c r="B2160">
        <v>279</v>
      </c>
      <c r="C2160">
        <v>1</v>
      </c>
      <c r="D2160" t="s">
        <v>151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</row>
    <row r="2161" spans="1:21" x14ac:dyDescent="0.2">
      <c r="A2161" t="s">
        <v>33</v>
      </c>
      <c r="B2161">
        <v>280</v>
      </c>
      <c r="C2161">
        <v>1</v>
      </c>
      <c r="D2161" t="s">
        <v>152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3">
        <v>0</v>
      </c>
      <c r="T2161" s="3">
        <v>0</v>
      </c>
      <c r="U2161" s="3">
        <v>0</v>
      </c>
    </row>
    <row r="2162" spans="1:21" x14ac:dyDescent="0.2">
      <c r="A2162" t="s">
        <v>33</v>
      </c>
      <c r="B2162">
        <v>281</v>
      </c>
      <c r="C2162">
        <v>1</v>
      </c>
      <c r="D2162" t="s">
        <v>153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</row>
    <row r="2163" spans="1:21" x14ac:dyDescent="0.2">
      <c r="A2163" t="s">
        <v>33</v>
      </c>
      <c r="B2163">
        <v>282</v>
      </c>
      <c r="C2163">
        <v>1</v>
      </c>
      <c r="D2163" t="s">
        <v>154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</row>
    <row r="2164" spans="1:21" x14ac:dyDescent="0.2">
      <c r="A2164" t="s">
        <v>33</v>
      </c>
      <c r="B2164">
        <v>283</v>
      </c>
      <c r="C2164">
        <v>1</v>
      </c>
      <c r="D2164" t="s">
        <v>155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1560.55</v>
      </c>
      <c r="K2164" s="3">
        <v>1560.55</v>
      </c>
      <c r="L2164" s="3">
        <v>1560.55</v>
      </c>
      <c r="M2164" s="3">
        <v>1560.55</v>
      </c>
      <c r="N2164" s="3">
        <v>1560.55</v>
      </c>
      <c r="O2164" s="3">
        <v>1560.55</v>
      </c>
      <c r="P2164" s="3">
        <v>1560.55</v>
      </c>
      <c r="Q2164" s="3">
        <v>1560.55</v>
      </c>
      <c r="R2164" s="3">
        <v>1560.55</v>
      </c>
      <c r="S2164" s="3">
        <v>1560.55</v>
      </c>
      <c r="T2164" s="3">
        <v>0</v>
      </c>
      <c r="U2164" s="3">
        <v>0</v>
      </c>
    </row>
    <row r="2165" spans="1:21" x14ac:dyDescent="0.2">
      <c r="A2165" t="s">
        <v>33</v>
      </c>
      <c r="B2165">
        <v>284</v>
      </c>
      <c r="C2165">
        <v>1</v>
      </c>
      <c r="D2165" t="s">
        <v>156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</row>
    <row r="2166" spans="1:21" x14ac:dyDescent="0.2">
      <c r="A2166" t="s">
        <v>33</v>
      </c>
      <c r="B2166">
        <v>286</v>
      </c>
      <c r="C2166">
        <v>1</v>
      </c>
      <c r="D2166" t="s">
        <v>157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</row>
    <row r="2167" spans="1:21" x14ac:dyDescent="0.2">
      <c r="A2167" t="s">
        <v>33</v>
      </c>
      <c r="B2167">
        <v>294</v>
      </c>
      <c r="C2167">
        <v>1</v>
      </c>
      <c r="D2167" t="s">
        <v>158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</row>
    <row r="2168" spans="1:21" x14ac:dyDescent="0.2">
      <c r="A2168" t="s">
        <v>33</v>
      </c>
      <c r="B2168">
        <v>297</v>
      </c>
      <c r="C2168">
        <v>1</v>
      </c>
      <c r="D2168" t="s">
        <v>159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 s="3">
        <v>0</v>
      </c>
    </row>
    <row r="2169" spans="1:21" x14ac:dyDescent="0.2">
      <c r="A2169" t="s">
        <v>33</v>
      </c>
      <c r="B2169">
        <v>299</v>
      </c>
      <c r="C2169">
        <v>1</v>
      </c>
      <c r="D2169" t="s">
        <v>160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</row>
    <row r="2170" spans="1:21" x14ac:dyDescent="0.2">
      <c r="A2170" t="s">
        <v>33</v>
      </c>
      <c r="B2170">
        <v>300</v>
      </c>
      <c r="C2170">
        <v>1</v>
      </c>
      <c r="D2170" t="s">
        <v>161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</row>
    <row r="2171" spans="1:21" x14ac:dyDescent="0.2">
      <c r="A2171" t="s">
        <v>33</v>
      </c>
      <c r="B2171">
        <v>306</v>
      </c>
      <c r="C2171">
        <v>1</v>
      </c>
      <c r="D2171" t="s">
        <v>162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</row>
    <row r="2172" spans="1:21" x14ac:dyDescent="0.2">
      <c r="A2172" t="s">
        <v>33</v>
      </c>
      <c r="B2172">
        <v>308</v>
      </c>
      <c r="C2172">
        <v>1</v>
      </c>
      <c r="D2172" t="s">
        <v>163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</row>
    <row r="2173" spans="1:21" x14ac:dyDescent="0.2">
      <c r="A2173" t="s">
        <v>33</v>
      </c>
      <c r="B2173">
        <v>309</v>
      </c>
      <c r="C2173">
        <v>1</v>
      </c>
      <c r="D2173" t="s">
        <v>164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</row>
    <row r="2174" spans="1:21" x14ac:dyDescent="0.2">
      <c r="A2174" t="s">
        <v>33</v>
      </c>
      <c r="B2174">
        <v>314</v>
      </c>
      <c r="C2174">
        <v>1</v>
      </c>
      <c r="D2174" t="s">
        <v>165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</row>
    <row r="2175" spans="1:21" x14ac:dyDescent="0.2">
      <c r="A2175" t="s">
        <v>33</v>
      </c>
      <c r="B2175">
        <v>316</v>
      </c>
      <c r="C2175">
        <v>1</v>
      </c>
      <c r="D2175" t="s">
        <v>166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307.08</v>
      </c>
      <c r="K2175" s="3">
        <v>307.08</v>
      </c>
      <c r="L2175" s="3">
        <v>307.08</v>
      </c>
      <c r="M2175" s="3">
        <v>307.08</v>
      </c>
      <c r="N2175" s="3">
        <v>307.08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</row>
    <row r="2176" spans="1:21" x14ac:dyDescent="0.2">
      <c r="A2176" t="s">
        <v>33</v>
      </c>
      <c r="B2176">
        <v>317</v>
      </c>
      <c r="C2176">
        <v>1</v>
      </c>
      <c r="D2176" t="s">
        <v>167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</row>
    <row r="2177" spans="1:21" x14ac:dyDescent="0.2">
      <c r="A2177" t="s">
        <v>33</v>
      </c>
      <c r="B2177">
        <v>318</v>
      </c>
      <c r="C2177">
        <v>1</v>
      </c>
      <c r="D2177" t="s">
        <v>168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</row>
    <row r="2178" spans="1:21" x14ac:dyDescent="0.2">
      <c r="A2178" t="s">
        <v>33</v>
      </c>
      <c r="B2178">
        <v>319</v>
      </c>
      <c r="C2178">
        <v>1</v>
      </c>
      <c r="D2178" t="s">
        <v>169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</row>
    <row r="2179" spans="1:21" x14ac:dyDescent="0.2">
      <c r="A2179" t="s">
        <v>33</v>
      </c>
      <c r="B2179">
        <v>323</v>
      </c>
      <c r="C2179">
        <v>2</v>
      </c>
      <c r="D2179" t="s">
        <v>170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</row>
    <row r="2180" spans="1:21" x14ac:dyDescent="0.2">
      <c r="A2180" t="s">
        <v>33</v>
      </c>
      <c r="B2180">
        <v>330</v>
      </c>
      <c r="C2180">
        <v>1</v>
      </c>
      <c r="D2180" t="s">
        <v>171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</row>
    <row r="2181" spans="1:21" x14ac:dyDescent="0.2">
      <c r="A2181" t="s">
        <v>33</v>
      </c>
      <c r="B2181">
        <v>332</v>
      </c>
      <c r="C2181">
        <v>1</v>
      </c>
      <c r="D2181" t="s">
        <v>172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</row>
    <row r="2182" spans="1:21" x14ac:dyDescent="0.2">
      <c r="A2182" t="s">
        <v>33</v>
      </c>
      <c r="B2182">
        <v>333</v>
      </c>
      <c r="C2182">
        <v>1</v>
      </c>
      <c r="D2182" t="s">
        <v>173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0</v>
      </c>
      <c r="U2182" s="3">
        <v>0</v>
      </c>
    </row>
    <row r="2183" spans="1:21" x14ac:dyDescent="0.2">
      <c r="A2183" t="s">
        <v>33</v>
      </c>
      <c r="B2183">
        <v>345</v>
      </c>
      <c r="C2183">
        <v>1</v>
      </c>
      <c r="D2183" t="s">
        <v>174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  <c r="S2183" s="3">
        <v>0</v>
      </c>
      <c r="T2183" s="3">
        <v>0</v>
      </c>
      <c r="U2183" s="3">
        <v>0</v>
      </c>
    </row>
    <row r="2184" spans="1:21" x14ac:dyDescent="0.2">
      <c r="A2184" t="s">
        <v>33</v>
      </c>
      <c r="B2184">
        <v>347</v>
      </c>
      <c r="C2184">
        <v>1</v>
      </c>
      <c r="D2184" t="s">
        <v>175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</row>
    <row r="2185" spans="1:21" x14ac:dyDescent="0.2">
      <c r="A2185" t="s">
        <v>33</v>
      </c>
      <c r="B2185">
        <v>356</v>
      </c>
      <c r="C2185">
        <v>1</v>
      </c>
      <c r="D2185" t="s">
        <v>176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  <c r="T2185" s="3">
        <v>0</v>
      </c>
      <c r="U2185" s="3">
        <v>0</v>
      </c>
    </row>
    <row r="2186" spans="1:21" x14ac:dyDescent="0.2">
      <c r="A2186" t="s">
        <v>33</v>
      </c>
      <c r="B2186">
        <v>361</v>
      </c>
      <c r="C2186">
        <v>1</v>
      </c>
      <c r="D2186" t="s">
        <v>177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</row>
    <row r="2187" spans="1:21" x14ac:dyDescent="0.2">
      <c r="A2187" t="s">
        <v>33</v>
      </c>
      <c r="B2187">
        <v>362</v>
      </c>
      <c r="C2187">
        <v>1</v>
      </c>
      <c r="D2187" t="s">
        <v>178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  <c r="T2187" s="3">
        <v>0</v>
      </c>
      <c r="U2187" s="3">
        <v>0</v>
      </c>
    </row>
    <row r="2188" spans="1:21" x14ac:dyDescent="0.2">
      <c r="A2188" t="s">
        <v>33</v>
      </c>
      <c r="B2188">
        <v>363</v>
      </c>
      <c r="C2188">
        <v>1</v>
      </c>
      <c r="D2188" t="s">
        <v>179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</row>
    <row r="2189" spans="1:21" x14ac:dyDescent="0.2">
      <c r="A2189" t="s">
        <v>33</v>
      </c>
      <c r="B2189">
        <v>371</v>
      </c>
      <c r="C2189">
        <v>1</v>
      </c>
      <c r="D2189" t="s">
        <v>180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  <c r="T2189" s="3">
        <v>0</v>
      </c>
      <c r="U2189" s="3">
        <v>0</v>
      </c>
    </row>
    <row r="2190" spans="1:21" x14ac:dyDescent="0.2">
      <c r="A2190" t="s">
        <v>33</v>
      </c>
      <c r="B2190">
        <v>378</v>
      </c>
      <c r="C2190">
        <v>1</v>
      </c>
      <c r="D2190" t="s">
        <v>181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302.32</v>
      </c>
      <c r="K2190" s="3">
        <v>302.32</v>
      </c>
      <c r="L2190" s="3">
        <v>302.32</v>
      </c>
      <c r="M2190" s="3">
        <v>302.32</v>
      </c>
      <c r="N2190" s="3">
        <v>302.32</v>
      </c>
      <c r="O2190" s="3">
        <v>302.32</v>
      </c>
      <c r="P2190" s="3">
        <v>302.32</v>
      </c>
      <c r="Q2190" s="3">
        <v>302.32</v>
      </c>
      <c r="R2190" s="3">
        <v>302.32</v>
      </c>
      <c r="S2190" s="3">
        <v>302.32</v>
      </c>
      <c r="T2190" s="3">
        <v>0</v>
      </c>
      <c r="U2190" s="3">
        <v>0</v>
      </c>
    </row>
    <row r="2191" spans="1:21" x14ac:dyDescent="0.2">
      <c r="A2191" t="s">
        <v>33</v>
      </c>
      <c r="B2191">
        <v>381</v>
      </c>
      <c r="C2191">
        <v>1</v>
      </c>
      <c r="D2191" t="s">
        <v>182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</row>
    <row r="2192" spans="1:21" x14ac:dyDescent="0.2">
      <c r="A2192" t="s">
        <v>33</v>
      </c>
      <c r="B2192">
        <v>390</v>
      </c>
      <c r="C2192">
        <v>1</v>
      </c>
      <c r="D2192" t="s">
        <v>183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</row>
    <row r="2193" spans="1:21" x14ac:dyDescent="0.2">
      <c r="A2193" t="s">
        <v>33</v>
      </c>
      <c r="B2193">
        <v>391</v>
      </c>
      <c r="C2193">
        <v>1</v>
      </c>
      <c r="D2193" t="s">
        <v>184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</row>
    <row r="2194" spans="1:21" x14ac:dyDescent="0.2">
      <c r="A2194" t="s">
        <v>33</v>
      </c>
      <c r="B2194">
        <v>392</v>
      </c>
      <c r="C2194">
        <v>1</v>
      </c>
      <c r="D2194" t="s">
        <v>185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</row>
    <row r="2195" spans="1:21" x14ac:dyDescent="0.2">
      <c r="A2195" t="s">
        <v>33</v>
      </c>
      <c r="B2195">
        <v>394</v>
      </c>
      <c r="C2195">
        <v>1</v>
      </c>
      <c r="D2195" t="s">
        <v>186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  <c r="T2195" s="3">
        <v>0</v>
      </c>
      <c r="U2195" s="3">
        <v>0</v>
      </c>
    </row>
    <row r="2196" spans="1:21" x14ac:dyDescent="0.2">
      <c r="A2196" t="s">
        <v>33</v>
      </c>
      <c r="B2196">
        <v>402</v>
      </c>
      <c r="C2196">
        <v>1</v>
      </c>
      <c r="D2196" t="s">
        <v>187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400</v>
      </c>
      <c r="K2196" s="3">
        <v>400</v>
      </c>
      <c r="L2196" s="3">
        <v>400</v>
      </c>
      <c r="M2196" s="3">
        <v>400</v>
      </c>
      <c r="N2196" s="3">
        <v>400</v>
      </c>
      <c r="O2196" s="3">
        <v>400</v>
      </c>
      <c r="P2196" s="3">
        <v>400</v>
      </c>
      <c r="Q2196" s="3">
        <v>400</v>
      </c>
      <c r="R2196" s="3">
        <v>400</v>
      </c>
      <c r="S2196" s="3">
        <v>400</v>
      </c>
      <c r="T2196" s="3">
        <v>0</v>
      </c>
      <c r="U2196" s="3">
        <v>0</v>
      </c>
    </row>
    <row r="2197" spans="1:21" x14ac:dyDescent="0.2">
      <c r="A2197" t="s">
        <v>33</v>
      </c>
      <c r="B2197">
        <v>403</v>
      </c>
      <c r="C2197">
        <v>1</v>
      </c>
      <c r="D2197" t="s">
        <v>188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  <c r="T2197" s="3">
        <v>0</v>
      </c>
      <c r="U2197" s="3">
        <v>0</v>
      </c>
    </row>
    <row r="2198" spans="1:21" x14ac:dyDescent="0.2">
      <c r="A2198" t="s">
        <v>33</v>
      </c>
      <c r="B2198">
        <v>404</v>
      </c>
      <c r="C2198">
        <v>1</v>
      </c>
      <c r="D2198" t="s">
        <v>189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  <c r="T2198" s="3">
        <v>0</v>
      </c>
      <c r="U2198" s="3">
        <v>0</v>
      </c>
    </row>
    <row r="2199" spans="1:21" x14ac:dyDescent="0.2">
      <c r="A2199" t="s">
        <v>33</v>
      </c>
      <c r="B2199">
        <v>409</v>
      </c>
      <c r="C2199">
        <v>1</v>
      </c>
      <c r="D2199" t="s">
        <v>190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0</v>
      </c>
      <c r="S2199" s="3">
        <v>0</v>
      </c>
      <c r="T2199" s="3">
        <v>0</v>
      </c>
      <c r="U2199" s="3">
        <v>0</v>
      </c>
    </row>
    <row r="2200" spans="1:21" x14ac:dyDescent="0.2">
      <c r="A2200" t="s">
        <v>33</v>
      </c>
      <c r="B2200">
        <v>411</v>
      </c>
      <c r="C2200">
        <v>1</v>
      </c>
      <c r="D2200" t="s">
        <v>191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</row>
    <row r="2201" spans="1:21" x14ac:dyDescent="0.2">
      <c r="A2201" t="s">
        <v>33</v>
      </c>
      <c r="B2201">
        <v>413</v>
      </c>
      <c r="C2201">
        <v>1</v>
      </c>
      <c r="D2201" t="s">
        <v>192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</row>
    <row r="2202" spans="1:21" x14ac:dyDescent="0.2">
      <c r="A2202" t="s">
        <v>33</v>
      </c>
      <c r="B2202">
        <v>414</v>
      </c>
      <c r="C2202">
        <v>1</v>
      </c>
      <c r="D2202" t="s">
        <v>193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</row>
    <row r="2203" spans="1:21" x14ac:dyDescent="0.2">
      <c r="A2203" t="s">
        <v>33</v>
      </c>
      <c r="B2203">
        <v>415</v>
      </c>
      <c r="C2203">
        <v>1</v>
      </c>
      <c r="D2203" t="s">
        <v>194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</row>
    <row r="2204" spans="1:21" x14ac:dyDescent="0.2">
      <c r="A2204" t="s">
        <v>33</v>
      </c>
      <c r="B2204">
        <v>417</v>
      </c>
      <c r="C2204">
        <v>1</v>
      </c>
      <c r="D2204" t="s">
        <v>195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</row>
    <row r="2205" spans="1:21" x14ac:dyDescent="0.2">
      <c r="A2205" t="s">
        <v>33</v>
      </c>
      <c r="B2205">
        <v>418</v>
      </c>
      <c r="C2205">
        <v>1</v>
      </c>
      <c r="D2205" t="s">
        <v>196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</row>
    <row r="2206" spans="1:21" x14ac:dyDescent="0.2">
      <c r="A2206" t="s">
        <v>33</v>
      </c>
      <c r="B2206">
        <v>423</v>
      </c>
      <c r="C2206">
        <v>1</v>
      </c>
      <c r="D2206" t="s">
        <v>197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</row>
    <row r="2207" spans="1:21" x14ac:dyDescent="0.2">
      <c r="A2207" t="s">
        <v>33</v>
      </c>
      <c r="B2207">
        <v>424</v>
      </c>
      <c r="C2207">
        <v>1</v>
      </c>
      <c r="D2207" t="s">
        <v>198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</row>
    <row r="2208" spans="1:21" x14ac:dyDescent="0.2">
      <c r="A2208" t="s">
        <v>33</v>
      </c>
      <c r="B2208">
        <v>432</v>
      </c>
      <c r="C2208">
        <v>1</v>
      </c>
      <c r="D2208" t="s">
        <v>199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</row>
    <row r="2209" spans="1:21" x14ac:dyDescent="0.2">
      <c r="A2209" t="s">
        <v>33</v>
      </c>
      <c r="B2209">
        <v>435</v>
      </c>
      <c r="C2209">
        <v>1</v>
      </c>
      <c r="D2209" t="s">
        <v>200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</row>
    <row r="2210" spans="1:21" x14ac:dyDescent="0.2">
      <c r="A2210" t="s">
        <v>33</v>
      </c>
      <c r="B2210">
        <v>441</v>
      </c>
      <c r="C2210">
        <v>1</v>
      </c>
      <c r="D2210" t="s">
        <v>201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600</v>
      </c>
      <c r="K2210" s="3">
        <v>600</v>
      </c>
      <c r="L2210" s="3">
        <v>600</v>
      </c>
      <c r="M2210" s="3">
        <v>600</v>
      </c>
      <c r="N2210" s="3">
        <v>600</v>
      </c>
      <c r="O2210" s="3">
        <v>600</v>
      </c>
      <c r="P2210" s="3">
        <v>600</v>
      </c>
      <c r="Q2210" s="3">
        <v>600</v>
      </c>
      <c r="R2210" s="3">
        <v>600</v>
      </c>
      <c r="S2210" s="3">
        <v>600</v>
      </c>
      <c r="T2210" s="3">
        <v>0</v>
      </c>
      <c r="U2210" s="3">
        <v>0</v>
      </c>
    </row>
    <row r="2211" spans="1:21" x14ac:dyDescent="0.2">
      <c r="A2211" t="s">
        <v>33</v>
      </c>
      <c r="B2211">
        <v>447</v>
      </c>
      <c r="C2211">
        <v>1</v>
      </c>
      <c r="D2211" t="s">
        <v>202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</row>
    <row r="2212" spans="1:21" x14ac:dyDescent="0.2">
      <c r="A2212" t="s">
        <v>33</v>
      </c>
      <c r="B2212">
        <v>458</v>
      </c>
      <c r="C2212">
        <v>1</v>
      </c>
      <c r="D2212" t="s">
        <v>203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</row>
    <row r="2213" spans="1:21" x14ac:dyDescent="0.2">
      <c r="A2213" t="s">
        <v>33</v>
      </c>
      <c r="B2213">
        <v>463</v>
      </c>
      <c r="C2213">
        <v>1</v>
      </c>
      <c r="D2213" t="s">
        <v>204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</row>
    <row r="2214" spans="1:21" x14ac:dyDescent="0.2">
      <c r="A2214" t="s">
        <v>33</v>
      </c>
      <c r="B2214">
        <v>465</v>
      </c>
      <c r="C2214">
        <v>1</v>
      </c>
      <c r="D2214" t="s">
        <v>205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</row>
    <row r="2215" spans="1:21" x14ac:dyDescent="0.2">
      <c r="A2215" t="s">
        <v>33</v>
      </c>
      <c r="B2215">
        <v>466</v>
      </c>
      <c r="C2215">
        <v>1</v>
      </c>
      <c r="D2215" t="s">
        <v>206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</row>
    <row r="2216" spans="1:21" x14ac:dyDescent="0.2">
      <c r="A2216" t="s">
        <v>33</v>
      </c>
      <c r="B2216">
        <v>473</v>
      </c>
      <c r="C2216">
        <v>1</v>
      </c>
      <c r="D2216" t="s">
        <v>207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</row>
    <row r="2217" spans="1:21" x14ac:dyDescent="0.2">
      <c r="A2217" t="s">
        <v>33</v>
      </c>
      <c r="B2217">
        <v>477</v>
      </c>
      <c r="C2217">
        <v>1</v>
      </c>
      <c r="D2217" t="s">
        <v>208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</row>
    <row r="2218" spans="1:21" x14ac:dyDescent="0.2">
      <c r="A2218" t="s">
        <v>33</v>
      </c>
      <c r="B2218">
        <v>480</v>
      </c>
      <c r="C2218">
        <v>1</v>
      </c>
      <c r="D2218" t="s">
        <v>209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</row>
    <row r="2219" spans="1:21" x14ac:dyDescent="0.2">
      <c r="A2219" t="s">
        <v>33</v>
      </c>
      <c r="B2219">
        <v>482</v>
      </c>
      <c r="C2219">
        <v>1</v>
      </c>
      <c r="D2219" t="s">
        <v>210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855.79</v>
      </c>
      <c r="K2219" s="3">
        <v>855.79</v>
      </c>
      <c r="L2219" s="3">
        <v>855.79</v>
      </c>
      <c r="M2219" s="3">
        <v>855.79</v>
      </c>
      <c r="N2219" s="3">
        <v>855.79</v>
      </c>
      <c r="O2219" s="3">
        <v>855.79</v>
      </c>
      <c r="P2219" s="3">
        <v>855.79</v>
      </c>
      <c r="Q2219" s="3">
        <v>855.79</v>
      </c>
      <c r="R2219" s="3">
        <v>855.79</v>
      </c>
      <c r="S2219" s="3">
        <v>855.79</v>
      </c>
      <c r="T2219" s="3">
        <v>0</v>
      </c>
      <c r="U2219" s="3">
        <v>0</v>
      </c>
    </row>
    <row r="2220" spans="1:21" x14ac:dyDescent="0.2">
      <c r="A2220" t="s">
        <v>33</v>
      </c>
      <c r="B2220">
        <v>484</v>
      </c>
      <c r="C2220">
        <v>1</v>
      </c>
      <c r="D2220" t="s">
        <v>211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300</v>
      </c>
      <c r="K2220" s="3">
        <v>300</v>
      </c>
      <c r="L2220" s="3">
        <v>300</v>
      </c>
      <c r="M2220" s="3">
        <v>300</v>
      </c>
      <c r="N2220" s="3">
        <v>300</v>
      </c>
      <c r="O2220" s="3">
        <v>300</v>
      </c>
      <c r="P2220" s="3">
        <v>300</v>
      </c>
      <c r="Q2220" s="3">
        <v>300</v>
      </c>
      <c r="R2220" s="3">
        <v>300</v>
      </c>
      <c r="S2220" s="3">
        <v>300</v>
      </c>
      <c r="T2220" s="3">
        <v>0</v>
      </c>
      <c r="U2220" s="3">
        <v>0</v>
      </c>
    </row>
    <row r="2221" spans="1:21" x14ac:dyDescent="0.2">
      <c r="A2221" t="s">
        <v>33</v>
      </c>
      <c r="B2221">
        <v>485</v>
      </c>
      <c r="C2221">
        <v>1</v>
      </c>
      <c r="D2221" t="s">
        <v>212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</row>
    <row r="2222" spans="1:21" x14ac:dyDescent="0.2">
      <c r="A2222" t="s">
        <v>33</v>
      </c>
      <c r="B2222">
        <v>486</v>
      </c>
      <c r="C2222">
        <v>1</v>
      </c>
      <c r="D2222" t="s">
        <v>213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</row>
    <row r="2223" spans="1:21" x14ac:dyDescent="0.2">
      <c r="A2223" t="s">
        <v>33</v>
      </c>
      <c r="B2223">
        <v>487</v>
      </c>
      <c r="C2223">
        <v>1</v>
      </c>
      <c r="D2223" t="s">
        <v>214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</row>
    <row r="2224" spans="1:21" x14ac:dyDescent="0.2">
      <c r="A2224" t="s">
        <v>33</v>
      </c>
      <c r="B2224">
        <v>492</v>
      </c>
      <c r="C2224">
        <v>1</v>
      </c>
      <c r="D2224" t="s">
        <v>215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</row>
    <row r="2225" spans="1:21" x14ac:dyDescent="0.2">
      <c r="A2225" t="s">
        <v>33</v>
      </c>
      <c r="B2225">
        <v>495</v>
      </c>
      <c r="C2225">
        <v>1</v>
      </c>
      <c r="D2225" t="s">
        <v>216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</row>
    <row r="2226" spans="1:21" x14ac:dyDescent="0.2">
      <c r="A2226" t="s">
        <v>33</v>
      </c>
      <c r="B2226">
        <v>497</v>
      </c>
      <c r="C2226">
        <v>1</v>
      </c>
      <c r="D2226" t="s">
        <v>217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  <c r="T2226" s="3">
        <v>0</v>
      </c>
      <c r="U2226" s="3">
        <v>0</v>
      </c>
    </row>
    <row r="2227" spans="1:21" x14ac:dyDescent="0.2">
      <c r="A2227" t="s">
        <v>33</v>
      </c>
      <c r="B2227">
        <v>499</v>
      </c>
      <c r="C2227">
        <v>1</v>
      </c>
      <c r="D2227" t="s">
        <v>218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</row>
    <row r="2228" spans="1:21" x14ac:dyDescent="0.2">
      <c r="A2228" t="s">
        <v>33</v>
      </c>
      <c r="B2228">
        <v>500</v>
      </c>
      <c r="C2228">
        <v>1</v>
      </c>
      <c r="D2228" t="s">
        <v>219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847</v>
      </c>
      <c r="L2228" s="3">
        <v>847</v>
      </c>
      <c r="M2228" s="3">
        <v>847</v>
      </c>
      <c r="N2228" s="3">
        <v>847</v>
      </c>
      <c r="O2228" s="3">
        <v>847</v>
      </c>
      <c r="P2228" s="3">
        <v>847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</row>
    <row r="2229" spans="1:21" x14ac:dyDescent="0.2">
      <c r="A2229" t="s">
        <v>33</v>
      </c>
      <c r="B2229">
        <v>505</v>
      </c>
      <c r="C2229">
        <v>1</v>
      </c>
      <c r="D2229" t="s">
        <v>220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1000</v>
      </c>
      <c r="K2229" s="3">
        <v>1000</v>
      </c>
      <c r="L2229" s="3">
        <v>1000</v>
      </c>
      <c r="M2229" s="3">
        <v>1000</v>
      </c>
      <c r="N2229" s="3">
        <v>1000</v>
      </c>
      <c r="O2229" s="3">
        <v>1000</v>
      </c>
      <c r="P2229" s="3">
        <v>1000</v>
      </c>
      <c r="Q2229" s="3">
        <v>1000</v>
      </c>
      <c r="R2229" s="3">
        <v>1000</v>
      </c>
      <c r="S2229" s="3">
        <v>1000</v>
      </c>
      <c r="T2229" s="3">
        <v>0</v>
      </c>
      <c r="U2229" s="3">
        <v>0</v>
      </c>
    </row>
    <row r="2230" spans="1:21" x14ac:dyDescent="0.2">
      <c r="A2230" t="s">
        <v>33</v>
      </c>
      <c r="B2230">
        <v>507</v>
      </c>
      <c r="C2230">
        <v>1</v>
      </c>
      <c r="D2230" t="s">
        <v>221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</row>
    <row r="2231" spans="1:21" x14ac:dyDescent="0.2">
      <c r="A2231" t="s">
        <v>33</v>
      </c>
      <c r="B2231">
        <v>508</v>
      </c>
      <c r="C2231">
        <v>1</v>
      </c>
      <c r="D2231" t="s">
        <v>222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</row>
    <row r="2232" spans="1:21" x14ac:dyDescent="0.2">
      <c r="A2232" t="s">
        <v>33</v>
      </c>
      <c r="B2232">
        <v>511</v>
      </c>
      <c r="C2232">
        <v>1</v>
      </c>
      <c r="D2232" t="s">
        <v>223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</row>
    <row r="2233" spans="1:21" x14ac:dyDescent="0.2">
      <c r="A2233" t="s">
        <v>33</v>
      </c>
      <c r="B2233">
        <v>513</v>
      </c>
      <c r="C2233">
        <v>1</v>
      </c>
      <c r="D2233" t="s">
        <v>224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</row>
    <row r="2234" spans="1:21" x14ac:dyDescent="0.2">
      <c r="A2234" t="s">
        <v>33</v>
      </c>
      <c r="B2234">
        <v>514</v>
      </c>
      <c r="C2234">
        <v>1</v>
      </c>
      <c r="D2234" t="s">
        <v>225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3">
        <v>0</v>
      </c>
    </row>
    <row r="2235" spans="1:21" x14ac:dyDescent="0.2">
      <c r="A2235" t="s">
        <v>33</v>
      </c>
      <c r="B2235">
        <v>516</v>
      </c>
      <c r="C2235">
        <v>1</v>
      </c>
      <c r="D2235" t="s">
        <v>226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 s="3">
        <v>0</v>
      </c>
    </row>
    <row r="2236" spans="1:21" x14ac:dyDescent="0.2">
      <c r="A2236" t="s">
        <v>33</v>
      </c>
      <c r="B2236">
        <v>518</v>
      </c>
      <c r="C2236">
        <v>1</v>
      </c>
      <c r="D2236" t="s">
        <v>227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</row>
    <row r="2237" spans="1:21" x14ac:dyDescent="0.2">
      <c r="A2237" t="s">
        <v>33</v>
      </c>
      <c r="B2237">
        <v>531</v>
      </c>
      <c r="C2237">
        <v>1</v>
      </c>
      <c r="D2237" t="s">
        <v>228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</row>
    <row r="2238" spans="1:21" x14ac:dyDescent="0.2">
      <c r="A2238" t="s">
        <v>33</v>
      </c>
      <c r="B2238">
        <v>533</v>
      </c>
      <c r="C2238">
        <v>1</v>
      </c>
      <c r="D2238" t="s">
        <v>229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</row>
    <row r="2239" spans="1:21" x14ac:dyDescent="0.2">
      <c r="A2239" t="s">
        <v>33</v>
      </c>
      <c r="B2239">
        <v>534</v>
      </c>
      <c r="C2239">
        <v>1</v>
      </c>
      <c r="D2239" t="s">
        <v>230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620</v>
      </c>
      <c r="K2239" s="3">
        <v>620</v>
      </c>
      <c r="L2239" s="3">
        <v>620</v>
      </c>
      <c r="M2239" s="3">
        <v>620</v>
      </c>
      <c r="N2239" s="3">
        <v>620</v>
      </c>
      <c r="O2239" s="3">
        <v>620</v>
      </c>
      <c r="P2239" s="3">
        <v>620</v>
      </c>
      <c r="Q2239" s="3">
        <v>620</v>
      </c>
      <c r="R2239" s="3">
        <v>620</v>
      </c>
      <c r="S2239" s="3">
        <v>620</v>
      </c>
      <c r="T2239" s="3">
        <v>0</v>
      </c>
      <c r="U2239" s="3">
        <v>0</v>
      </c>
    </row>
    <row r="2240" spans="1:21" x14ac:dyDescent="0.2">
      <c r="A2240" t="s">
        <v>33</v>
      </c>
      <c r="B2240">
        <v>535</v>
      </c>
      <c r="C2240">
        <v>1</v>
      </c>
      <c r="D2240" t="s">
        <v>231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0</v>
      </c>
    </row>
    <row r="2241" spans="1:21" x14ac:dyDescent="0.2">
      <c r="A2241" t="s">
        <v>33</v>
      </c>
      <c r="B2241">
        <v>542</v>
      </c>
      <c r="C2241">
        <v>1</v>
      </c>
      <c r="D2241" t="s">
        <v>232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3">
        <v>0</v>
      </c>
    </row>
    <row r="2242" spans="1:21" x14ac:dyDescent="0.2">
      <c r="A2242" t="s">
        <v>33</v>
      </c>
      <c r="B2242">
        <v>544</v>
      </c>
      <c r="C2242">
        <v>1</v>
      </c>
      <c r="D2242" t="s">
        <v>233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</row>
    <row r="2243" spans="1:21" x14ac:dyDescent="0.2">
      <c r="A2243" t="s">
        <v>33</v>
      </c>
      <c r="B2243">
        <v>545</v>
      </c>
      <c r="C2243">
        <v>1</v>
      </c>
      <c r="D2243" t="s">
        <v>234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</row>
    <row r="2244" spans="1:21" x14ac:dyDescent="0.2">
      <c r="A2244" t="s">
        <v>33</v>
      </c>
      <c r="B2244">
        <v>547</v>
      </c>
      <c r="C2244">
        <v>1</v>
      </c>
      <c r="D2244" t="s">
        <v>235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</row>
    <row r="2245" spans="1:21" x14ac:dyDescent="0.2">
      <c r="A2245" t="s">
        <v>33</v>
      </c>
      <c r="B2245">
        <v>548</v>
      </c>
      <c r="C2245">
        <v>1</v>
      </c>
      <c r="D2245" t="s">
        <v>236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</row>
    <row r="2246" spans="1:21" x14ac:dyDescent="0.2">
      <c r="A2246" t="s">
        <v>33</v>
      </c>
      <c r="B2246">
        <v>549</v>
      </c>
      <c r="C2246">
        <v>1</v>
      </c>
      <c r="D2246" t="s">
        <v>237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</row>
    <row r="2247" spans="1:21" x14ac:dyDescent="0.2">
      <c r="A2247" t="s">
        <v>33</v>
      </c>
      <c r="B2247">
        <v>550</v>
      </c>
      <c r="C2247">
        <v>1</v>
      </c>
      <c r="D2247" t="s">
        <v>238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</row>
    <row r="2248" spans="1:21" x14ac:dyDescent="0.2">
      <c r="A2248" t="s">
        <v>33</v>
      </c>
      <c r="B2248">
        <v>553</v>
      </c>
      <c r="C2248">
        <v>1</v>
      </c>
      <c r="D2248" t="s">
        <v>239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0</v>
      </c>
    </row>
    <row r="2249" spans="1:21" x14ac:dyDescent="0.2">
      <c r="A2249" t="s">
        <v>33</v>
      </c>
      <c r="B2249">
        <v>561</v>
      </c>
      <c r="C2249">
        <v>1</v>
      </c>
      <c r="D2249" t="s">
        <v>240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</row>
    <row r="2250" spans="1:21" x14ac:dyDescent="0.2">
      <c r="A2250" t="s">
        <v>33</v>
      </c>
      <c r="B2250">
        <v>564</v>
      </c>
      <c r="C2250">
        <v>1</v>
      </c>
      <c r="D2250" t="s">
        <v>241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621.96</v>
      </c>
      <c r="K2250" s="3">
        <v>621.96</v>
      </c>
      <c r="L2250" s="3">
        <v>621.96</v>
      </c>
      <c r="M2250" s="3">
        <v>621.96</v>
      </c>
      <c r="N2250" s="3">
        <v>621.96</v>
      </c>
      <c r="O2250" s="3">
        <v>621.96</v>
      </c>
      <c r="P2250" s="3">
        <v>621.96</v>
      </c>
      <c r="Q2250" s="3">
        <v>621.96</v>
      </c>
      <c r="R2250" s="3">
        <v>621.96</v>
      </c>
      <c r="S2250" s="3">
        <v>621.96</v>
      </c>
      <c r="T2250" s="3">
        <v>0</v>
      </c>
      <c r="U2250" s="3">
        <v>0</v>
      </c>
    </row>
    <row r="2251" spans="1:21" x14ac:dyDescent="0.2">
      <c r="A2251" t="s">
        <v>33</v>
      </c>
      <c r="B2251">
        <v>577</v>
      </c>
      <c r="C2251">
        <v>1</v>
      </c>
      <c r="D2251" t="s">
        <v>242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</row>
    <row r="2252" spans="1:21" x14ac:dyDescent="0.2">
      <c r="A2252" t="s">
        <v>33</v>
      </c>
      <c r="B2252">
        <v>578</v>
      </c>
      <c r="C2252">
        <v>1</v>
      </c>
      <c r="D2252" t="s">
        <v>243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</row>
    <row r="2253" spans="1:21" x14ac:dyDescent="0.2">
      <c r="A2253" t="s">
        <v>33</v>
      </c>
      <c r="B2253">
        <v>581</v>
      </c>
      <c r="C2253">
        <v>1</v>
      </c>
      <c r="D2253" t="s">
        <v>244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</row>
    <row r="2254" spans="1:21" x14ac:dyDescent="0.2">
      <c r="A2254" t="s">
        <v>33</v>
      </c>
      <c r="B2254">
        <v>584</v>
      </c>
      <c r="C2254">
        <v>1</v>
      </c>
      <c r="D2254" t="s">
        <v>245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</row>
    <row r="2255" spans="1:21" x14ac:dyDescent="0.2">
      <c r="A2255" t="s">
        <v>33</v>
      </c>
      <c r="B2255">
        <v>592</v>
      </c>
      <c r="C2255">
        <v>1</v>
      </c>
      <c r="D2255" t="s">
        <v>246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</row>
    <row r="2256" spans="1:21" x14ac:dyDescent="0.2">
      <c r="A2256" t="s">
        <v>33</v>
      </c>
      <c r="B2256">
        <v>593</v>
      </c>
      <c r="C2256">
        <v>1</v>
      </c>
      <c r="D2256" t="s">
        <v>247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250</v>
      </c>
      <c r="K2256" s="3">
        <v>250</v>
      </c>
      <c r="L2256" s="3">
        <v>250</v>
      </c>
      <c r="M2256" s="3">
        <v>250</v>
      </c>
      <c r="N2256" s="3">
        <v>250</v>
      </c>
      <c r="O2256" s="3">
        <v>250</v>
      </c>
      <c r="P2256" s="3">
        <v>250</v>
      </c>
      <c r="Q2256" s="3">
        <v>250</v>
      </c>
      <c r="R2256" s="3">
        <v>250</v>
      </c>
      <c r="S2256" s="3">
        <v>250</v>
      </c>
      <c r="T2256" s="3">
        <v>0</v>
      </c>
      <c r="U2256" s="3">
        <v>0</v>
      </c>
    </row>
    <row r="2257" spans="1:21" x14ac:dyDescent="0.2">
      <c r="A2257" t="s">
        <v>33</v>
      </c>
      <c r="B2257">
        <v>595</v>
      </c>
      <c r="C2257">
        <v>1</v>
      </c>
      <c r="D2257" t="s">
        <v>248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</row>
    <row r="2258" spans="1:21" x14ac:dyDescent="0.2">
      <c r="A2258" t="s">
        <v>33</v>
      </c>
      <c r="B2258">
        <v>599</v>
      </c>
      <c r="C2258">
        <v>1</v>
      </c>
      <c r="D2258" t="s">
        <v>249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</row>
    <row r="2259" spans="1:21" x14ac:dyDescent="0.2">
      <c r="A2259" t="s">
        <v>33</v>
      </c>
      <c r="B2259">
        <v>600</v>
      </c>
      <c r="C2259">
        <v>1</v>
      </c>
      <c r="D2259" t="s">
        <v>250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900</v>
      </c>
      <c r="L2259" s="3">
        <v>900</v>
      </c>
      <c r="M2259" s="3">
        <v>900</v>
      </c>
      <c r="N2259" s="3">
        <v>900</v>
      </c>
      <c r="O2259" s="3">
        <v>900</v>
      </c>
      <c r="P2259" s="3">
        <v>900</v>
      </c>
      <c r="Q2259" s="3">
        <v>900</v>
      </c>
      <c r="R2259" s="3">
        <v>900</v>
      </c>
      <c r="S2259" s="3">
        <v>900</v>
      </c>
      <c r="T2259" s="3">
        <v>900</v>
      </c>
      <c r="U2259" s="3">
        <v>0</v>
      </c>
    </row>
    <row r="2260" spans="1:21" x14ac:dyDescent="0.2">
      <c r="A2260" t="s">
        <v>33</v>
      </c>
      <c r="B2260">
        <v>601</v>
      </c>
      <c r="C2260">
        <v>1</v>
      </c>
      <c r="D2260" t="s">
        <v>251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</row>
    <row r="2261" spans="1:21" x14ac:dyDescent="0.2">
      <c r="A2261" t="s">
        <v>33</v>
      </c>
      <c r="B2261">
        <v>611</v>
      </c>
      <c r="C2261">
        <v>1</v>
      </c>
      <c r="D2261" t="s">
        <v>252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3">
        <v>0</v>
      </c>
    </row>
    <row r="2262" spans="1:21" x14ac:dyDescent="0.2">
      <c r="A2262" t="s">
        <v>33</v>
      </c>
      <c r="B2262">
        <v>621</v>
      </c>
      <c r="C2262">
        <v>1</v>
      </c>
      <c r="D2262" t="s">
        <v>253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</row>
    <row r="2263" spans="1:21" x14ac:dyDescent="0.2">
      <c r="A2263" t="s">
        <v>33</v>
      </c>
      <c r="B2263">
        <v>622</v>
      </c>
      <c r="C2263">
        <v>1</v>
      </c>
      <c r="D2263" t="s">
        <v>254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>
        <v>0</v>
      </c>
    </row>
    <row r="2264" spans="1:21" x14ac:dyDescent="0.2">
      <c r="A2264" t="s">
        <v>33</v>
      </c>
      <c r="B2264">
        <v>623</v>
      </c>
      <c r="C2264">
        <v>1</v>
      </c>
      <c r="D2264" t="s">
        <v>255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</row>
    <row r="2265" spans="1:21" x14ac:dyDescent="0.2">
      <c r="A2265" t="s">
        <v>33</v>
      </c>
      <c r="B2265">
        <v>624</v>
      </c>
      <c r="C2265">
        <v>1</v>
      </c>
      <c r="D2265" t="s">
        <v>256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</row>
    <row r="2266" spans="1:21" x14ac:dyDescent="0.2">
      <c r="A2266" t="s">
        <v>33</v>
      </c>
      <c r="B2266">
        <v>625</v>
      </c>
      <c r="C2266">
        <v>1</v>
      </c>
      <c r="D2266" t="s">
        <v>257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</row>
    <row r="2267" spans="1:21" x14ac:dyDescent="0.2">
      <c r="A2267" t="s">
        <v>33</v>
      </c>
      <c r="B2267">
        <v>627</v>
      </c>
      <c r="C2267">
        <v>1</v>
      </c>
      <c r="D2267" t="s">
        <v>258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</row>
    <row r="2268" spans="1:21" x14ac:dyDescent="0.2">
      <c r="A2268" t="s">
        <v>33</v>
      </c>
      <c r="B2268">
        <v>628</v>
      </c>
      <c r="C2268">
        <v>1</v>
      </c>
      <c r="D2268" t="s">
        <v>259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</row>
    <row r="2269" spans="1:21" x14ac:dyDescent="0.2">
      <c r="A2269" t="s">
        <v>33</v>
      </c>
      <c r="B2269">
        <v>630</v>
      </c>
      <c r="C2269">
        <v>1</v>
      </c>
      <c r="D2269" t="s">
        <v>260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</row>
    <row r="2270" spans="1:21" x14ac:dyDescent="0.2">
      <c r="A2270" t="s">
        <v>33</v>
      </c>
      <c r="B2270">
        <v>635</v>
      </c>
      <c r="C2270">
        <v>1</v>
      </c>
      <c r="D2270" t="s">
        <v>261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</row>
    <row r="2271" spans="1:21" x14ac:dyDescent="0.2">
      <c r="A2271" t="s">
        <v>33</v>
      </c>
      <c r="B2271">
        <v>640</v>
      </c>
      <c r="C2271">
        <v>1</v>
      </c>
      <c r="D2271" t="s">
        <v>262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</row>
    <row r="2272" spans="1:21" x14ac:dyDescent="0.2">
      <c r="A2272" t="s">
        <v>33</v>
      </c>
      <c r="B2272">
        <v>656</v>
      </c>
      <c r="C2272">
        <v>1</v>
      </c>
      <c r="D2272" t="s">
        <v>263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</row>
    <row r="2273" spans="1:21" x14ac:dyDescent="0.2">
      <c r="A2273" t="s">
        <v>33</v>
      </c>
      <c r="B2273">
        <v>659</v>
      </c>
      <c r="C2273">
        <v>1</v>
      </c>
      <c r="D2273" t="s">
        <v>264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</row>
    <row r="2274" spans="1:21" x14ac:dyDescent="0.2">
      <c r="A2274" t="s">
        <v>33</v>
      </c>
      <c r="B2274">
        <v>671</v>
      </c>
      <c r="C2274">
        <v>1</v>
      </c>
      <c r="D2274" t="s">
        <v>265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855.79</v>
      </c>
      <c r="K2274" s="3">
        <v>855.79</v>
      </c>
      <c r="L2274" s="3">
        <v>855.79</v>
      </c>
      <c r="M2274" s="3">
        <v>855.79</v>
      </c>
      <c r="N2274" s="3">
        <v>855.79</v>
      </c>
      <c r="O2274" s="3">
        <v>855.79</v>
      </c>
      <c r="P2274" s="3">
        <v>855.79</v>
      </c>
      <c r="Q2274" s="3">
        <v>855.79</v>
      </c>
      <c r="R2274" s="3">
        <v>855.79</v>
      </c>
      <c r="S2274" s="3">
        <v>855.79</v>
      </c>
      <c r="T2274" s="3">
        <v>0</v>
      </c>
      <c r="U2274" s="3">
        <v>0</v>
      </c>
    </row>
    <row r="2275" spans="1:21" x14ac:dyDescent="0.2">
      <c r="A2275" t="s">
        <v>33</v>
      </c>
      <c r="B2275">
        <v>676</v>
      </c>
      <c r="C2275">
        <v>1</v>
      </c>
      <c r="D2275" t="s">
        <v>266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</row>
    <row r="2276" spans="1:21" x14ac:dyDescent="0.2">
      <c r="A2276" t="s">
        <v>33</v>
      </c>
      <c r="B2276">
        <v>682</v>
      </c>
      <c r="C2276">
        <v>1</v>
      </c>
      <c r="D2276" t="s">
        <v>267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</row>
    <row r="2277" spans="1:21" x14ac:dyDescent="0.2">
      <c r="A2277" t="s">
        <v>33</v>
      </c>
      <c r="B2277">
        <v>690</v>
      </c>
      <c r="C2277">
        <v>1</v>
      </c>
      <c r="D2277" t="s">
        <v>268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</row>
    <row r="2278" spans="1:21" x14ac:dyDescent="0.2">
      <c r="A2278" t="s">
        <v>33</v>
      </c>
      <c r="B2278">
        <v>695</v>
      </c>
      <c r="C2278">
        <v>1</v>
      </c>
      <c r="D2278" t="s">
        <v>269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</row>
    <row r="2279" spans="1:21" x14ac:dyDescent="0.2">
      <c r="A2279" t="s">
        <v>33</v>
      </c>
      <c r="B2279">
        <v>696</v>
      </c>
      <c r="C2279">
        <v>1</v>
      </c>
      <c r="D2279" t="s">
        <v>270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</row>
    <row r="2280" spans="1:21" x14ac:dyDescent="0.2">
      <c r="A2280" t="s">
        <v>33</v>
      </c>
      <c r="B2280">
        <v>698</v>
      </c>
      <c r="C2280">
        <v>1</v>
      </c>
      <c r="D2280" t="s">
        <v>271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</row>
    <row r="2281" spans="1:21" x14ac:dyDescent="0.2">
      <c r="A2281" t="s">
        <v>33</v>
      </c>
      <c r="B2281">
        <v>700</v>
      </c>
      <c r="C2281">
        <v>1</v>
      </c>
      <c r="D2281" t="s">
        <v>272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</row>
    <row r="2282" spans="1:21" x14ac:dyDescent="0.2">
      <c r="A2282" t="s">
        <v>33</v>
      </c>
      <c r="B2282">
        <v>701</v>
      </c>
      <c r="C2282">
        <v>1</v>
      </c>
      <c r="D2282" t="s">
        <v>273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</row>
    <row r="2283" spans="1:21" x14ac:dyDescent="0.2">
      <c r="A2283" t="s">
        <v>33</v>
      </c>
      <c r="B2283">
        <v>704</v>
      </c>
      <c r="C2283">
        <v>1</v>
      </c>
      <c r="D2283" t="s">
        <v>274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</row>
    <row r="2284" spans="1:21" x14ac:dyDescent="0.2">
      <c r="A2284" t="s">
        <v>33</v>
      </c>
      <c r="B2284">
        <v>706</v>
      </c>
      <c r="C2284">
        <v>1</v>
      </c>
      <c r="D2284" t="s">
        <v>275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</row>
    <row r="2285" spans="1:21" x14ac:dyDescent="0.2">
      <c r="A2285" t="s">
        <v>33</v>
      </c>
      <c r="B2285">
        <v>707</v>
      </c>
      <c r="C2285">
        <v>1</v>
      </c>
      <c r="D2285" t="s">
        <v>276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</row>
    <row r="2286" spans="1:21" x14ac:dyDescent="0.2">
      <c r="A2286" t="s">
        <v>33</v>
      </c>
      <c r="B2286">
        <v>709</v>
      </c>
      <c r="C2286">
        <v>1</v>
      </c>
      <c r="D2286" t="s">
        <v>277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</row>
    <row r="2287" spans="1:21" x14ac:dyDescent="0.2">
      <c r="A2287" t="s">
        <v>33</v>
      </c>
      <c r="B2287">
        <v>712</v>
      </c>
      <c r="C2287">
        <v>1</v>
      </c>
      <c r="D2287" t="s">
        <v>278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</row>
    <row r="2288" spans="1:21" x14ac:dyDescent="0.2">
      <c r="A2288" t="s">
        <v>33</v>
      </c>
      <c r="B2288">
        <v>716</v>
      </c>
      <c r="C2288">
        <v>1</v>
      </c>
      <c r="D2288" t="s">
        <v>279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</row>
    <row r="2289" spans="1:21" x14ac:dyDescent="0.2">
      <c r="A2289" t="s">
        <v>33</v>
      </c>
      <c r="B2289">
        <v>717</v>
      </c>
      <c r="C2289">
        <v>1</v>
      </c>
      <c r="D2289" t="s">
        <v>280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</row>
    <row r="2290" spans="1:21" x14ac:dyDescent="0.2">
      <c r="A2290" t="s">
        <v>33</v>
      </c>
      <c r="B2290">
        <v>719</v>
      </c>
      <c r="C2290">
        <v>1</v>
      </c>
      <c r="D2290" t="s">
        <v>281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</row>
    <row r="2291" spans="1:21" x14ac:dyDescent="0.2">
      <c r="A2291" t="s">
        <v>33</v>
      </c>
      <c r="B2291">
        <v>720</v>
      </c>
      <c r="C2291">
        <v>1</v>
      </c>
      <c r="D2291" t="s">
        <v>282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</row>
    <row r="2292" spans="1:21" x14ac:dyDescent="0.2">
      <c r="A2292" t="s">
        <v>33</v>
      </c>
      <c r="B2292">
        <v>721</v>
      </c>
      <c r="C2292">
        <v>1</v>
      </c>
      <c r="D2292" t="s">
        <v>283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</row>
    <row r="2293" spans="1:21" x14ac:dyDescent="0.2">
      <c r="A2293" t="s">
        <v>33</v>
      </c>
      <c r="B2293">
        <v>726</v>
      </c>
      <c r="C2293">
        <v>1</v>
      </c>
      <c r="D2293" t="s">
        <v>284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</row>
    <row r="2294" spans="1:21" x14ac:dyDescent="0.2">
      <c r="A2294" t="s">
        <v>33</v>
      </c>
      <c r="B2294">
        <v>727</v>
      </c>
      <c r="C2294">
        <v>1</v>
      </c>
      <c r="D2294" t="s">
        <v>285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</row>
    <row r="2295" spans="1:21" x14ac:dyDescent="0.2">
      <c r="A2295" t="s">
        <v>33</v>
      </c>
      <c r="B2295">
        <v>728</v>
      </c>
      <c r="C2295">
        <v>1</v>
      </c>
      <c r="D2295" t="s">
        <v>286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</row>
    <row r="2296" spans="1:21" x14ac:dyDescent="0.2">
      <c r="A2296" t="s">
        <v>33</v>
      </c>
      <c r="B2296">
        <v>738</v>
      </c>
      <c r="C2296">
        <v>1</v>
      </c>
      <c r="D2296" t="s">
        <v>287</v>
      </c>
      <c r="E2296" s="3">
        <v>0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</row>
    <row r="2297" spans="1:21" x14ac:dyDescent="0.2">
      <c r="A2297" t="s">
        <v>33</v>
      </c>
      <c r="B2297">
        <v>739</v>
      </c>
      <c r="C2297">
        <v>1</v>
      </c>
      <c r="D2297" t="s">
        <v>288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</row>
    <row r="2298" spans="1:21" x14ac:dyDescent="0.2">
      <c r="A2298" t="s">
        <v>33</v>
      </c>
      <c r="B2298">
        <v>740</v>
      </c>
      <c r="C2298">
        <v>1</v>
      </c>
      <c r="D2298" t="s">
        <v>289</v>
      </c>
      <c r="E2298" s="3">
        <v>0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</row>
    <row r="2299" spans="1:21" x14ac:dyDescent="0.2">
      <c r="A2299" t="s">
        <v>33</v>
      </c>
      <c r="B2299">
        <v>741</v>
      </c>
      <c r="C2299">
        <v>1</v>
      </c>
      <c r="D2299" t="s">
        <v>290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</row>
    <row r="2300" spans="1:21" x14ac:dyDescent="0.2">
      <c r="A2300" t="s">
        <v>33</v>
      </c>
      <c r="B2300">
        <v>742</v>
      </c>
      <c r="C2300">
        <v>1</v>
      </c>
      <c r="D2300" t="s">
        <v>291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</row>
    <row r="2301" spans="1:21" x14ac:dyDescent="0.2">
      <c r="A2301" t="s">
        <v>33</v>
      </c>
      <c r="B2301">
        <v>743</v>
      </c>
      <c r="C2301">
        <v>1</v>
      </c>
      <c r="D2301" t="s">
        <v>292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</row>
    <row r="2302" spans="1:21" x14ac:dyDescent="0.2">
      <c r="A2302" t="s">
        <v>33</v>
      </c>
      <c r="B2302">
        <v>745</v>
      </c>
      <c r="C2302">
        <v>1</v>
      </c>
      <c r="D2302" t="s">
        <v>293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</row>
    <row r="2303" spans="1:21" x14ac:dyDescent="0.2">
      <c r="A2303" t="s">
        <v>33</v>
      </c>
      <c r="B2303">
        <v>748</v>
      </c>
      <c r="C2303">
        <v>1</v>
      </c>
      <c r="D2303" t="s">
        <v>294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</row>
    <row r="2304" spans="1:21" x14ac:dyDescent="0.2">
      <c r="A2304" t="s">
        <v>33</v>
      </c>
      <c r="B2304">
        <v>750</v>
      </c>
      <c r="C2304">
        <v>1</v>
      </c>
      <c r="D2304" t="s">
        <v>295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</row>
    <row r="2305" spans="1:21" x14ac:dyDescent="0.2">
      <c r="A2305" t="s">
        <v>33</v>
      </c>
      <c r="B2305">
        <v>756</v>
      </c>
      <c r="C2305">
        <v>1</v>
      </c>
      <c r="D2305" t="s">
        <v>296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</row>
    <row r="2306" spans="1:21" x14ac:dyDescent="0.2">
      <c r="A2306" t="s">
        <v>33</v>
      </c>
      <c r="B2306">
        <v>761</v>
      </c>
      <c r="C2306">
        <v>1</v>
      </c>
      <c r="D2306" t="s">
        <v>297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</row>
    <row r="2307" spans="1:21" x14ac:dyDescent="0.2">
      <c r="A2307" t="s">
        <v>33</v>
      </c>
      <c r="B2307">
        <v>763</v>
      </c>
      <c r="C2307">
        <v>1</v>
      </c>
      <c r="D2307" t="s">
        <v>298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</row>
    <row r="2308" spans="1:21" x14ac:dyDescent="0.2">
      <c r="A2308" t="s">
        <v>33</v>
      </c>
      <c r="B2308">
        <v>768</v>
      </c>
      <c r="C2308">
        <v>1</v>
      </c>
      <c r="D2308" t="s">
        <v>299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</row>
    <row r="2309" spans="1:21" x14ac:dyDescent="0.2">
      <c r="A2309" t="s">
        <v>33</v>
      </c>
      <c r="B2309">
        <v>769</v>
      </c>
      <c r="C2309">
        <v>1</v>
      </c>
      <c r="D2309" t="s">
        <v>300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</row>
    <row r="2310" spans="1:21" x14ac:dyDescent="0.2">
      <c r="A2310" t="s">
        <v>33</v>
      </c>
      <c r="B2310">
        <v>771</v>
      </c>
      <c r="C2310">
        <v>1</v>
      </c>
      <c r="D2310" t="s">
        <v>301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1750</v>
      </c>
      <c r="K2310" s="3">
        <v>1750</v>
      </c>
      <c r="L2310" s="3">
        <v>1750</v>
      </c>
      <c r="M2310" s="3">
        <v>1750</v>
      </c>
      <c r="N2310" s="3">
        <v>1750</v>
      </c>
      <c r="O2310" s="3">
        <v>1750</v>
      </c>
      <c r="P2310" s="3">
        <v>1750</v>
      </c>
      <c r="Q2310" s="3">
        <v>1750</v>
      </c>
      <c r="R2310" s="3">
        <v>1750</v>
      </c>
      <c r="S2310" s="3">
        <v>1750</v>
      </c>
      <c r="T2310" s="3">
        <v>0</v>
      </c>
      <c r="U2310" s="3">
        <v>0</v>
      </c>
    </row>
    <row r="2311" spans="1:21" x14ac:dyDescent="0.2">
      <c r="A2311" t="s">
        <v>33</v>
      </c>
      <c r="B2311">
        <v>775</v>
      </c>
      <c r="C2311">
        <v>1</v>
      </c>
      <c r="D2311" t="s">
        <v>302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</row>
    <row r="2312" spans="1:21" x14ac:dyDescent="0.2">
      <c r="A2312" t="s">
        <v>33</v>
      </c>
      <c r="B2312">
        <v>777</v>
      </c>
      <c r="C2312">
        <v>1</v>
      </c>
      <c r="D2312" t="s">
        <v>303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</row>
    <row r="2313" spans="1:21" x14ac:dyDescent="0.2">
      <c r="A2313" t="s">
        <v>33</v>
      </c>
      <c r="B2313">
        <v>786</v>
      </c>
      <c r="C2313">
        <v>1</v>
      </c>
      <c r="D2313" t="s">
        <v>304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</row>
    <row r="2314" spans="1:21" x14ac:dyDescent="0.2">
      <c r="A2314" t="s">
        <v>33</v>
      </c>
      <c r="B2314">
        <v>787</v>
      </c>
      <c r="C2314">
        <v>1</v>
      </c>
      <c r="D2314" t="s">
        <v>305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</row>
    <row r="2315" spans="1:21" x14ac:dyDescent="0.2">
      <c r="A2315" t="s">
        <v>33</v>
      </c>
      <c r="B2315">
        <v>801</v>
      </c>
      <c r="C2315">
        <v>1</v>
      </c>
      <c r="D2315" t="s">
        <v>306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</row>
    <row r="2316" spans="1:21" x14ac:dyDescent="0.2">
      <c r="A2316" t="s">
        <v>33</v>
      </c>
      <c r="B2316">
        <v>803</v>
      </c>
      <c r="C2316">
        <v>1</v>
      </c>
      <c r="D2316" t="s">
        <v>307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</row>
    <row r="2317" spans="1:21" x14ac:dyDescent="0.2">
      <c r="A2317" t="s">
        <v>33</v>
      </c>
      <c r="B2317">
        <v>806</v>
      </c>
      <c r="C2317">
        <v>1</v>
      </c>
      <c r="D2317" t="s">
        <v>308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</row>
    <row r="2318" spans="1:21" x14ac:dyDescent="0.2">
      <c r="A2318" t="s">
        <v>33</v>
      </c>
      <c r="B2318">
        <v>810</v>
      </c>
      <c r="C2318">
        <v>1</v>
      </c>
      <c r="D2318" t="s">
        <v>309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</row>
    <row r="2319" spans="1:21" x14ac:dyDescent="0.2">
      <c r="A2319" t="s">
        <v>33</v>
      </c>
      <c r="B2319">
        <v>811</v>
      </c>
      <c r="C2319">
        <v>1</v>
      </c>
      <c r="D2319" t="s">
        <v>310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</row>
    <row r="2320" spans="1:21" x14ac:dyDescent="0.2">
      <c r="A2320" t="s">
        <v>33</v>
      </c>
      <c r="B2320">
        <v>813</v>
      </c>
      <c r="C2320">
        <v>1</v>
      </c>
      <c r="D2320" t="s">
        <v>311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</row>
    <row r="2321" spans="1:21" x14ac:dyDescent="0.2">
      <c r="A2321" t="s">
        <v>33</v>
      </c>
      <c r="B2321">
        <v>815</v>
      </c>
      <c r="C2321">
        <v>2</v>
      </c>
      <c r="D2321" t="s">
        <v>312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4100</v>
      </c>
      <c r="K2321" s="3">
        <v>4100</v>
      </c>
      <c r="L2321" s="3">
        <v>4100</v>
      </c>
      <c r="M2321" s="3">
        <v>1100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</row>
    <row r="2322" spans="1:21" x14ac:dyDescent="0.2">
      <c r="A2322" t="s">
        <v>33</v>
      </c>
      <c r="B2322">
        <v>818</v>
      </c>
      <c r="C2322">
        <v>1</v>
      </c>
      <c r="D2322" t="s">
        <v>313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</row>
    <row r="2323" spans="1:21" x14ac:dyDescent="0.2">
      <c r="A2323" t="s">
        <v>33</v>
      </c>
      <c r="B2323">
        <v>820</v>
      </c>
      <c r="C2323">
        <v>1</v>
      </c>
      <c r="D2323" t="s">
        <v>314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800</v>
      </c>
      <c r="K2323" s="3">
        <v>800</v>
      </c>
      <c r="L2323" s="3">
        <v>800</v>
      </c>
      <c r="M2323" s="3">
        <v>800</v>
      </c>
      <c r="N2323" s="3">
        <v>800</v>
      </c>
      <c r="O2323" s="3">
        <v>800</v>
      </c>
      <c r="P2323" s="3">
        <v>800</v>
      </c>
      <c r="Q2323" s="3">
        <v>800</v>
      </c>
      <c r="R2323" s="3">
        <v>800</v>
      </c>
      <c r="S2323" s="3">
        <v>800</v>
      </c>
      <c r="T2323" s="3">
        <v>0</v>
      </c>
      <c r="U2323" s="3">
        <v>0</v>
      </c>
    </row>
    <row r="2324" spans="1:21" x14ac:dyDescent="0.2">
      <c r="A2324" t="s">
        <v>33</v>
      </c>
      <c r="B2324">
        <v>821</v>
      </c>
      <c r="C2324">
        <v>1</v>
      </c>
      <c r="D2324" t="s">
        <v>315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</row>
    <row r="2325" spans="1:21" x14ac:dyDescent="0.2">
      <c r="A2325" t="s">
        <v>33</v>
      </c>
      <c r="B2325">
        <v>829</v>
      </c>
      <c r="C2325">
        <v>1</v>
      </c>
      <c r="D2325" t="s">
        <v>316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</row>
    <row r="2326" spans="1:21" x14ac:dyDescent="0.2">
      <c r="A2326" t="s">
        <v>33</v>
      </c>
      <c r="B2326">
        <v>831</v>
      </c>
      <c r="C2326">
        <v>1</v>
      </c>
      <c r="D2326" t="s">
        <v>317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</row>
    <row r="2327" spans="1:21" x14ac:dyDescent="0.2">
      <c r="A2327" t="s">
        <v>33</v>
      </c>
      <c r="B2327">
        <v>832</v>
      </c>
      <c r="C2327">
        <v>1</v>
      </c>
      <c r="D2327" t="s">
        <v>318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1100.2</v>
      </c>
      <c r="K2327" s="3">
        <v>1100.2</v>
      </c>
      <c r="L2327" s="3">
        <v>1100.2</v>
      </c>
      <c r="M2327" s="3">
        <v>1100.2</v>
      </c>
      <c r="N2327" s="3">
        <v>1100.2</v>
      </c>
      <c r="O2327" s="3">
        <v>1100.2</v>
      </c>
      <c r="P2327" s="3">
        <v>1100.2</v>
      </c>
      <c r="Q2327" s="3">
        <v>1100.2</v>
      </c>
      <c r="R2327" s="3">
        <v>1100.2</v>
      </c>
      <c r="S2327" s="3">
        <v>1100.2</v>
      </c>
      <c r="T2327" s="3">
        <v>0</v>
      </c>
      <c r="U2327" s="3">
        <v>0</v>
      </c>
    </row>
    <row r="2328" spans="1:21" x14ac:dyDescent="0.2">
      <c r="A2328" t="s">
        <v>33</v>
      </c>
      <c r="B2328">
        <v>833</v>
      </c>
      <c r="C2328">
        <v>1</v>
      </c>
      <c r="D2328" t="s">
        <v>319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</row>
    <row r="2329" spans="1:21" x14ac:dyDescent="0.2">
      <c r="A2329" t="s">
        <v>33</v>
      </c>
      <c r="B2329">
        <v>834</v>
      </c>
      <c r="C2329">
        <v>1</v>
      </c>
      <c r="D2329" t="s">
        <v>320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</row>
    <row r="2330" spans="1:21" x14ac:dyDescent="0.2">
      <c r="A2330" t="s">
        <v>33</v>
      </c>
      <c r="B2330">
        <v>836</v>
      </c>
      <c r="C2330">
        <v>1</v>
      </c>
      <c r="D2330" t="s">
        <v>321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</row>
    <row r="2331" spans="1:21" x14ac:dyDescent="0.2">
      <c r="A2331" t="s">
        <v>33</v>
      </c>
      <c r="B2331">
        <v>837</v>
      </c>
      <c r="C2331">
        <v>1</v>
      </c>
      <c r="D2331" t="s">
        <v>322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</row>
    <row r="2332" spans="1:21" x14ac:dyDescent="0.2">
      <c r="A2332" t="s">
        <v>33</v>
      </c>
      <c r="B2332">
        <v>840</v>
      </c>
      <c r="C2332">
        <v>1</v>
      </c>
      <c r="D2332" t="s">
        <v>323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</row>
    <row r="2333" spans="1:21" x14ac:dyDescent="0.2">
      <c r="A2333" t="s">
        <v>33</v>
      </c>
      <c r="B2333">
        <v>846</v>
      </c>
      <c r="C2333">
        <v>1</v>
      </c>
      <c r="D2333" t="s">
        <v>324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</row>
    <row r="2334" spans="1:21" x14ac:dyDescent="0.2">
      <c r="A2334" t="s">
        <v>33</v>
      </c>
      <c r="B2334">
        <v>850</v>
      </c>
      <c r="C2334">
        <v>1</v>
      </c>
      <c r="D2334" t="s">
        <v>325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1500</v>
      </c>
      <c r="K2334" s="3">
        <v>1500</v>
      </c>
      <c r="L2334" s="3">
        <v>1500</v>
      </c>
      <c r="M2334" s="3">
        <v>1500</v>
      </c>
      <c r="N2334" s="3">
        <v>1500</v>
      </c>
      <c r="O2334" s="3">
        <v>1500</v>
      </c>
      <c r="P2334" s="3">
        <v>1500</v>
      </c>
      <c r="Q2334" s="3">
        <v>1500</v>
      </c>
      <c r="R2334" s="3">
        <v>1500</v>
      </c>
      <c r="S2334" s="3">
        <v>1500</v>
      </c>
      <c r="T2334" s="3">
        <v>0</v>
      </c>
      <c r="U2334" s="3">
        <v>0</v>
      </c>
    </row>
    <row r="2335" spans="1:21" x14ac:dyDescent="0.2">
      <c r="A2335" t="s">
        <v>33</v>
      </c>
      <c r="B2335">
        <v>852</v>
      </c>
      <c r="C2335">
        <v>1</v>
      </c>
      <c r="D2335" t="s">
        <v>326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2000</v>
      </c>
      <c r="K2335" s="3">
        <v>2000</v>
      </c>
      <c r="L2335" s="3">
        <v>2000</v>
      </c>
      <c r="M2335" s="3">
        <v>2000</v>
      </c>
      <c r="N2335" s="3">
        <v>2000</v>
      </c>
      <c r="O2335" s="3">
        <v>2000</v>
      </c>
      <c r="P2335" s="3">
        <v>2000</v>
      </c>
      <c r="Q2335" s="3">
        <v>2000</v>
      </c>
      <c r="R2335" s="3">
        <v>2000</v>
      </c>
      <c r="S2335" s="3">
        <v>2000</v>
      </c>
      <c r="T2335" s="3">
        <v>0</v>
      </c>
      <c r="U2335" s="3">
        <v>0</v>
      </c>
    </row>
    <row r="2336" spans="1:21" x14ac:dyDescent="0.2">
      <c r="A2336" t="s">
        <v>33</v>
      </c>
      <c r="B2336">
        <v>857</v>
      </c>
      <c r="C2336">
        <v>1</v>
      </c>
      <c r="D2336" t="s">
        <v>327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</row>
    <row r="2337" spans="1:21" x14ac:dyDescent="0.2">
      <c r="A2337" t="s">
        <v>33</v>
      </c>
      <c r="B2337">
        <v>858</v>
      </c>
      <c r="C2337">
        <v>1</v>
      </c>
      <c r="D2337" t="s">
        <v>328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</row>
    <row r="2338" spans="1:21" x14ac:dyDescent="0.2">
      <c r="A2338" t="s">
        <v>33</v>
      </c>
      <c r="B2338">
        <v>861</v>
      </c>
      <c r="C2338">
        <v>1</v>
      </c>
      <c r="D2338" t="s">
        <v>329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</row>
    <row r="2339" spans="1:21" x14ac:dyDescent="0.2">
      <c r="A2339" t="s">
        <v>33</v>
      </c>
      <c r="B2339">
        <v>876</v>
      </c>
      <c r="C2339">
        <v>1</v>
      </c>
      <c r="D2339" t="s">
        <v>330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</row>
    <row r="2340" spans="1:21" x14ac:dyDescent="0.2">
      <c r="A2340" t="s">
        <v>33</v>
      </c>
      <c r="B2340">
        <v>877</v>
      </c>
      <c r="C2340">
        <v>1</v>
      </c>
      <c r="D2340" t="s">
        <v>331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</row>
    <row r="2341" spans="1:21" x14ac:dyDescent="0.2">
      <c r="A2341" t="s">
        <v>33</v>
      </c>
      <c r="B2341">
        <v>879</v>
      </c>
      <c r="C2341">
        <v>1</v>
      </c>
      <c r="D2341" t="s">
        <v>332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</row>
    <row r="2342" spans="1:21" x14ac:dyDescent="0.2">
      <c r="A2342" t="s">
        <v>33</v>
      </c>
      <c r="B2342">
        <v>881</v>
      </c>
      <c r="C2342">
        <v>1</v>
      </c>
      <c r="D2342" t="s">
        <v>333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</row>
    <row r="2343" spans="1:21" x14ac:dyDescent="0.2">
      <c r="A2343" t="s">
        <v>33</v>
      </c>
      <c r="B2343">
        <v>882</v>
      </c>
      <c r="C2343">
        <v>1</v>
      </c>
      <c r="D2343" t="s">
        <v>334</v>
      </c>
      <c r="E2343" s="3">
        <v>0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</row>
    <row r="2344" spans="1:21" x14ac:dyDescent="0.2">
      <c r="A2344" t="s">
        <v>33</v>
      </c>
      <c r="B2344">
        <v>883</v>
      </c>
      <c r="C2344">
        <v>1</v>
      </c>
      <c r="D2344" t="s">
        <v>335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</row>
    <row r="2345" spans="1:21" x14ac:dyDescent="0.2">
      <c r="A2345" t="s">
        <v>33</v>
      </c>
      <c r="B2345">
        <v>885</v>
      </c>
      <c r="C2345">
        <v>1</v>
      </c>
      <c r="D2345" t="s">
        <v>336</v>
      </c>
      <c r="E2345" s="3">
        <v>0</v>
      </c>
      <c r="F2345" s="3">
        <v>0</v>
      </c>
      <c r="G2345" s="3">
        <v>0</v>
      </c>
      <c r="H2345" s="3">
        <v>0</v>
      </c>
      <c r="I2345" s="3">
        <v>0</v>
      </c>
      <c r="J2345" s="3">
        <v>500</v>
      </c>
      <c r="K2345" s="3">
        <v>500</v>
      </c>
      <c r="L2345" s="3">
        <v>500</v>
      </c>
      <c r="M2345" s="3">
        <v>500</v>
      </c>
      <c r="N2345" s="3">
        <v>500</v>
      </c>
      <c r="O2345" s="3">
        <v>500</v>
      </c>
      <c r="P2345" s="3">
        <v>500</v>
      </c>
      <c r="Q2345" s="3">
        <v>500</v>
      </c>
      <c r="R2345" s="3">
        <v>500</v>
      </c>
      <c r="S2345" s="3">
        <v>500</v>
      </c>
      <c r="T2345" s="3">
        <v>0</v>
      </c>
      <c r="U2345" s="3">
        <v>0</v>
      </c>
    </row>
    <row r="2346" spans="1:21" x14ac:dyDescent="0.2">
      <c r="A2346" t="s">
        <v>33</v>
      </c>
      <c r="B2346">
        <v>891</v>
      </c>
      <c r="C2346">
        <v>1</v>
      </c>
      <c r="D2346" t="s">
        <v>337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</row>
    <row r="2347" spans="1:21" x14ac:dyDescent="0.2">
      <c r="A2347" t="s">
        <v>33</v>
      </c>
      <c r="B2347">
        <v>911</v>
      </c>
      <c r="C2347">
        <v>1</v>
      </c>
      <c r="D2347" t="s">
        <v>338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>
        <v>107.58</v>
      </c>
      <c r="K2347" s="3">
        <v>107.58</v>
      </c>
      <c r="L2347" s="3">
        <v>107.58</v>
      </c>
      <c r="M2347" s="3">
        <v>107.58</v>
      </c>
      <c r="N2347" s="3">
        <v>107.58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</row>
    <row r="2348" spans="1:21" x14ac:dyDescent="0.2">
      <c r="A2348" t="s">
        <v>33</v>
      </c>
      <c r="B2348">
        <v>912</v>
      </c>
      <c r="C2348">
        <v>1</v>
      </c>
      <c r="D2348" t="s">
        <v>339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</row>
    <row r="2349" spans="1:21" x14ac:dyDescent="0.2">
      <c r="A2349" t="s">
        <v>33</v>
      </c>
      <c r="B2349">
        <v>914</v>
      </c>
      <c r="C2349">
        <v>1</v>
      </c>
      <c r="D2349" t="s">
        <v>340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</row>
    <row r="2350" spans="1:21" x14ac:dyDescent="0.2">
      <c r="A2350" t="s">
        <v>33</v>
      </c>
      <c r="B2350">
        <v>2071</v>
      </c>
      <c r="C2350">
        <v>1</v>
      </c>
      <c r="D2350" t="s">
        <v>341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</row>
    <row r="2351" spans="1:21" x14ac:dyDescent="0.2">
      <c r="A2351" t="s">
        <v>33</v>
      </c>
      <c r="B2351">
        <v>2125</v>
      </c>
      <c r="C2351">
        <v>1</v>
      </c>
      <c r="D2351" t="s">
        <v>342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</row>
    <row r="2352" spans="1:21" x14ac:dyDescent="0.2">
      <c r="A2352" t="s">
        <v>33</v>
      </c>
      <c r="B2352">
        <v>2134</v>
      </c>
      <c r="C2352">
        <v>1</v>
      </c>
      <c r="D2352" t="s">
        <v>343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</row>
    <row r="2353" spans="1:21" x14ac:dyDescent="0.2">
      <c r="A2353" t="s">
        <v>33</v>
      </c>
      <c r="B2353">
        <v>2135</v>
      </c>
      <c r="C2353">
        <v>1</v>
      </c>
      <c r="D2353" t="s">
        <v>344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889.34</v>
      </c>
      <c r="K2353" s="3">
        <v>889.34</v>
      </c>
      <c r="L2353" s="3">
        <v>889.34</v>
      </c>
      <c r="M2353" s="3">
        <v>889.34</v>
      </c>
      <c r="N2353" s="3">
        <v>889.34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</row>
    <row r="2354" spans="1:21" x14ac:dyDescent="0.2">
      <c r="A2354" t="s">
        <v>33</v>
      </c>
      <c r="B2354">
        <v>2137</v>
      </c>
      <c r="C2354">
        <v>1</v>
      </c>
      <c r="D2354" t="s">
        <v>345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</row>
    <row r="2355" spans="1:21" x14ac:dyDescent="0.2">
      <c r="A2355" t="s">
        <v>33</v>
      </c>
      <c r="B2355">
        <v>2142</v>
      </c>
      <c r="C2355">
        <v>1</v>
      </c>
      <c r="D2355" t="s">
        <v>346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</row>
    <row r="2356" spans="1:21" x14ac:dyDescent="0.2">
      <c r="A2356" t="s">
        <v>33</v>
      </c>
      <c r="B2356">
        <v>2143</v>
      </c>
      <c r="C2356">
        <v>1</v>
      </c>
      <c r="D2356" t="s">
        <v>347</v>
      </c>
      <c r="E2356" s="3">
        <v>0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</row>
    <row r="2357" spans="1:21" x14ac:dyDescent="0.2">
      <c r="A2357" t="s">
        <v>33</v>
      </c>
      <c r="B2357">
        <v>2144</v>
      </c>
      <c r="C2357">
        <v>1</v>
      </c>
      <c r="D2357" t="s">
        <v>348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</row>
    <row r="2358" spans="1:21" x14ac:dyDescent="0.2">
      <c r="A2358" t="s">
        <v>33</v>
      </c>
      <c r="B2358">
        <v>2149</v>
      </c>
      <c r="C2358">
        <v>1</v>
      </c>
      <c r="D2358" t="s">
        <v>349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</row>
    <row r="2359" spans="1:21" x14ac:dyDescent="0.2">
      <c r="A2359" t="s">
        <v>33</v>
      </c>
      <c r="B2359">
        <v>2154</v>
      </c>
      <c r="C2359">
        <v>1</v>
      </c>
      <c r="D2359" t="s">
        <v>350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</row>
    <row r="2360" spans="1:21" x14ac:dyDescent="0.2">
      <c r="A2360" t="s">
        <v>33</v>
      </c>
      <c r="B2360">
        <v>2155</v>
      </c>
      <c r="C2360">
        <v>1</v>
      </c>
      <c r="D2360" t="s">
        <v>351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</row>
    <row r="2361" spans="1:21" x14ac:dyDescent="0.2">
      <c r="A2361" t="s">
        <v>33</v>
      </c>
      <c r="B2361">
        <v>2159</v>
      </c>
      <c r="C2361">
        <v>1</v>
      </c>
      <c r="D2361" t="s">
        <v>352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</row>
    <row r="2362" spans="1:21" x14ac:dyDescent="0.2">
      <c r="A2362" t="s">
        <v>33</v>
      </c>
      <c r="B2362">
        <v>2164</v>
      </c>
      <c r="C2362">
        <v>1</v>
      </c>
      <c r="D2362" t="s">
        <v>353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</row>
    <row r="2363" spans="1:21" x14ac:dyDescent="0.2">
      <c r="A2363" t="s">
        <v>33</v>
      </c>
      <c r="B2363">
        <v>2165</v>
      </c>
      <c r="C2363">
        <v>1</v>
      </c>
      <c r="D2363" t="s">
        <v>354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</row>
    <row r="2364" spans="1:21" x14ac:dyDescent="0.2">
      <c r="A2364" t="s">
        <v>33</v>
      </c>
      <c r="B2364">
        <v>2167</v>
      </c>
      <c r="C2364">
        <v>1</v>
      </c>
      <c r="D2364" t="s">
        <v>355</v>
      </c>
      <c r="E2364" s="3">
        <v>0</v>
      </c>
      <c r="F2364" s="3">
        <v>0</v>
      </c>
      <c r="G2364" s="3">
        <v>0</v>
      </c>
      <c r="H2364" s="3">
        <v>0</v>
      </c>
      <c r="I2364" s="3">
        <v>0</v>
      </c>
      <c r="J2364" s="3">
        <v>495</v>
      </c>
      <c r="K2364" s="3">
        <v>495</v>
      </c>
      <c r="L2364" s="3">
        <v>495</v>
      </c>
      <c r="M2364" s="3">
        <v>495</v>
      </c>
      <c r="N2364" s="3">
        <v>495</v>
      </c>
      <c r="O2364" s="3">
        <v>495</v>
      </c>
      <c r="P2364" s="3">
        <v>495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</row>
    <row r="2365" spans="1:21" x14ac:dyDescent="0.2">
      <c r="A2365" t="s">
        <v>33</v>
      </c>
      <c r="B2365">
        <v>2168</v>
      </c>
      <c r="C2365">
        <v>1</v>
      </c>
      <c r="D2365" t="s">
        <v>356</v>
      </c>
      <c r="E2365" s="3">
        <v>0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</row>
    <row r="2366" spans="1:21" x14ac:dyDescent="0.2">
      <c r="A2366" t="s">
        <v>33</v>
      </c>
      <c r="B2366">
        <v>2169</v>
      </c>
      <c r="C2366">
        <v>1</v>
      </c>
      <c r="D2366" t="s">
        <v>357</v>
      </c>
      <c r="E2366" s="3">
        <v>0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</row>
    <row r="2367" spans="1:21" x14ac:dyDescent="0.2">
      <c r="A2367" t="s">
        <v>33</v>
      </c>
      <c r="B2367">
        <v>2170</v>
      </c>
      <c r="C2367">
        <v>1</v>
      </c>
      <c r="D2367" t="s">
        <v>358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</row>
    <row r="2368" spans="1:21" x14ac:dyDescent="0.2">
      <c r="A2368" t="s">
        <v>33</v>
      </c>
      <c r="B2368">
        <v>2171</v>
      </c>
      <c r="C2368">
        <v>1</v>
      </c>
      <c r="D2368" t="s">
        <v>359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2334.56</v>
      </c>
      <c r="K2368" s="3">
        <v>2334.56</v>
      </c>
      <c r="L2368" s="3">
        <v>2334.56</v>
      </c>
      <c r="M2368" s="3">
        <v>2334.56</v>
      </c>
      <c r="N2368" s="3">
        <v>2334.56</v>
      </c>
      <c r="O2368" s="3">
        <v>2334.56</v>
      </c>
      <c r="P2368" s="3">
        <v>2334.56</v>
      </c>
      <c r="Q2368" s="3">
        <v>2334.56</v>
      </c>
      <c r="R2368" s="3">
        <v>2334.56</v>
      </c>
      <c r="S2368" s="3">
        <v>2334.56</v>
      </c>
      <c r="T2368" s="3">
        <v>2334.56</v>
      </c>
      <c r="U2368" s="3">
        <v>0</v>
      </c>
    </row>
    <row r="2369" spans="1:21" x14ac:dyDescent="0.2">
      <c r="A2369" t="s">
        <v>33</v>
      </c>
      <c r="B2369">
        <v>2172</v>
      </c>
      <c r="C2369">
        <v>1</v>
      </c>
      <c r="D2369" t="s">
        <v>360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</row>
    <row r="2370" spans="1:21" x14ac:dyDescent="0.2">
      <c r="A2370" t="s">
        <v>33</v>
      </c>
      <c r="B2370">
        <v>2174</v>
      </c>
      <c r="C2370">
        <v>1</v>
      </c>
      <c r="D2370" t="s">
        <v>361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</row>
    <row r="2371" spans="1:21" x14ac:dyDescent="0.2">
      <c r="A2371" t="s">
        <v>33</v>
      </c>
      <c r="B2371">
        <v>2176</v>
      </c>
      <c r="C2371">
        <v>1</v>
      </c>
      <c r="D2371" t="s">
        <v>362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s="3">
        <v>1400</v>
      </c>
      <c r="K2371" s="3">
        <v>1400</v>
      </c>
      <c r="L2371" s="3">
        <v>1400</v>
      </c>
      <c r="M2371" s="3">
        <v>1400</v>
      </c>
      <c r="N2371" s="3">
        <v>1400</v>
      </c>
      <c r="O2371" s="3">
        <v>1400</v>
      </c>
      <c r="P2371" s="3">
        <v>1400</v>
      </c>
      <c r="Q2371" s="3">
        <v>1400</v>
      </c>
      <c r="R2371" s="3">
        <v>1400</v>
      </c>
      <c r="S2371" s="3">
        <v>1400</v>
      </c>
      <c r="T2371" s="3">
        <v>0</v>
      </c>
      <c r="U2371" s="3">
        <v>0</v>
      </c>
    </row>
    <row r="2372" spans="1:21" x14ac:dyDescent="0.2">
      <c r="A2372" t="s">
        <v>33</v>
      </c>
      <c r="B2372">
        <v>2180</v>
      </c>
      <c r="C2372">
        <v>1</v>
      </c>
      <c r="D2372" t="s">
        <v>363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</row>
    <row r="2373" spans="1:21" x14ac:dyDescent="0.2">
      <c r="A2373" t="s">
        <v>33</v>
      </c>
      <c r="B2373">
        <v>2184</v>
      </c>
      <c r="C2373">
        <v>1</v>
      </c>
      <c r="D2373" t="s">
        <v>364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</row>
    <row r="2374" spans="1:21" x14ac:dyDescent="0.2">
      <c r="A2374" t="s">
        <v>33</v>
      </c>
      <c r="B2374">
        <v>2190</v>
      </c>
      <c r="C2374">
        <v>1</v>
      </c>
      <c r="D2374" t="s">
        <v>365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</row>
    <row r="2375" spans="1:21" x14ac:dyDescent="0.2">
      <c r="A2375" t="s">
        <v>33</v>
      </c>
      <c r="B2375">
        <v>2198</v>
      </c>
      <c r="C2375">
        <v>1</v>
      </c>
      <c r="D2375" t="s">
        <v>366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</row>
    <row r="2376" spans="1:21" x14ac:dyDescent="0.2">
      <c r="A2376" t="s">
        <v>33</v>
      </c>
      <c r="B2376">
        <v>2215</v>
      </c>
      <c r="C2376">
        <v>1</v>
      </c>
      <c r="D2376" t="s">
        <v>367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</row>
    <row r="2377" spans="1:21" x14ac:dyDescent="0.2">
      <c r="A2377" t="s">
        <v>33</v>
      </c>
      <c r="B2377">
        <v>2310</v>
      </c>
      <c r="C2377">
        <v>1</v>
      </c>
      <c r="D2377" t="s">
        <v>368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</row>
    <row r="2378" spans="1:21" x14ac:dyDescent="0.2">
      <c r="A2378" t="s">
        <v>33</v>
      </c>
      <c r="B2378">
        <v>2311</v>
      </c>
      <c r="C2378">
        <v>1</v>
      </c>
      <c r="D2378" t="s">
        <v>369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</row>
    <row r="2379" spans="1:21" x14ac:dyDescent="0.2">
      <c r="A2379" t="s">
        <v>33</v>
      </c>
      <c r="B2379">
        <v>2342</v>
      </c>
      <c r="C2379">
        <v>1</v>
      </c>
      <c r="D2379" t="s">
        <v>370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</row>
    <row r="2380" spans="1:21" x14ac:dyDescent="0.2">
      <c r="A2380" t="s">
        <v>33</v>
      </c>
      <c r="B2380">
        <v>2358</v>
      </c>
      <c r="C2380">
        <v>1</v>
      </c>
      <c r="D2380" t="s">
        <v>371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</row>
    <row r="2381" spans="1:21" x14ac:dyDescent="0.2">
      <c r="A2381" t="s">
        <v>33</v>
      </c>
      <c r="B2381">
        <v>2364</v>
      </c>
      <c r="C2381">
        <v>1</v>
      </c>
      <c r="D2381" t="s">
        <v>372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</row>
    <row r="2382" spans="1:21" x14ac:dyDescent="0.2">
      <c r="A2382" t="s">
        <v>33</v>
      </c>
      <c r="B2382">
        <v>2365</v>
      </c>
      <c r="C2382">
        <v>1</v>
      </c>
      <c r="D2382" t="s">
        <v>373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</row>
    <row r="2383" spans="1:21" x14ac:dyDescent="0.2">
      <c r="A2383" t="s">
        <v>33</v>
      </c>
      <c r="B2383">
        <v>2396</v>
      </c>
      <c r="C2383">
        <v>1</v>
      </c>
      <c r="D2383" t="s">
        <v>374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</row>
    <row r="2384" spans="1:21" x14ac:dyDescent="0.2">
      <c r="A2384" t="s">
        <v>33</v>
      </c>
      <c r="B2384">
        <v>2397</v>
      </c>
      <c r="C2384">
        <v>1</v>
      </c>
      <c r="D2384" t="s">
        <v>375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</row>
    <row r="2385" spans="1:21" x14ac:dyDescent="0.2">
      <c r="A2385" t="s">
        <v>33</v>
      </c>
      <c r="B2385">
        <v>2448</v>
      </c>
      <c r="C2385">
        <v>1</v>
      </c>
      <c r="D2385" t="s">
        <v>376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</row>
    <row r="2386" spans="1:21" x14ac:dyDescent="0.2">
      <c r="A2386" t="s">
        <v>33</v>
      </c>
      <c r="B2386">
        <v>2527</v>
      </c>
      <c r="C2386">
        <v>1</v>
      </c>
      <c r="D2386" t="s">
        <v>377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</row>
    <row r="2387" spans="1:21" x14ac:dyDescent="0.2">
      <c r="A2387" t="s">
        <v>33</v>
      </c>
      <c r="B2387">
        <v>2534</v>
      </c>
      <c r="C2387">
        <v>1</v>
      </c>
      <c r="D2387" t="s">
        <v>378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</row>
    <row r="2388" spans="1:21" x14ac:dyDescent="0.2">
      <c r="A2388" t="s">
        <v>33</v>
      </c>
      <c r="B2388">
        <v>2536</v>
      </c>
      <c r="C2388">
        <v>1</v>
      </c>
      <c r="D2388" t="s">
        <v>379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</row>
    <row r="2389" spans="1:21" x14ac:dyDescent="0.2">
      <c r="A2389" t="s">
        <v>33</v>
      </c>
      <c r="B2389">
        <v>2580</v>
      </c>
      <c r="C2389">
        <v>1</v>
      </c>
      <c r="D2389" t="s">
        <v>380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</row>
    <row r="2390" spans="1:21" x14ac:dyDescent="0.2">
      <c r="A2390" t="s">
        <v>33</v>
      </c>
      <c r="B2390">
        <v>2609</v>
      </c>
      <c r="C2390">
        <v>1</v>
      </c>
      <c r="D2390" t="s">
        <v>381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</row>
    <row r="2391" spans="1:21" x14ac:dyDescent="0.2">
      <c r="A2391" t="s">
        <v>33</v>
      </c>
      <c r="B2391">
        <v>2683</v>
      </c>
      <c r="C2391">
        <v>1</v>
      </c>
      <c r="D2391" t="s">
        <v>382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</row>
    <row r="2392" spans="1:21" x14ac:dyDescent="0.2">
      <c r="A2392" t="s">
        <v>33</v>
      </c>
      <c r="B2392">
        <v>2687</v>
      </c>
      <c r="C2392">
        <v>1</v>
      </c>
      <c r="D2392" t="s">
        <v>383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  <c r="T2392" s="3">
        <v>0</v>
      </c>
      <c r="U2392" s="3">
        <v>0</v>
      </c>
    </row>
    <row r="2393" spans="1:21" x14ac:dyDescent="0.2">
      <c r="A2393" t="s">
        <v>33</v>
      </c>
      <c r="B2393">
        <v>2689</v>
      </c>
      <c r="C2393">
        <v>1</v>
      </c>
      <c r="D2393" t="s">
        <v>384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3">
        <v>0</v>
      </c>
    </row>
    <row r="2394" spans="1:21" x14ac:dyDescent="0.2">
      <c r="A2394" t="s">
        <v>33</v>
      </c>
      <c r="B2394">
        <v>2711</v>
      </c>
      <c r="C2394">
        <v>1</v>
      </c>
      <c r="D2394" t="s">
        <v>385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 s="3">
        <v>0</v>
      </c>
    </row>
    <row r="2395" spans="1:21" x14ac:dyDescent="0.2">
      <c r="A2395" t="s">
        <v>33</v>
      </c>
      <c r="B2395">
        <v>2752</v>
      </c>
      <c r="C2395">
        <v>1</v>
      </c>
      <c r="D2395" t="s">
        <v>386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</row>
    <row r="2396" spans="1:21" x14ac:dyDescent="0.2">
      <c r="A2396" t="s">
        <v>33</v>
      </c>
      <c r="B2396">
        <v>2753</v>
      </c>
      <c r="C2396">
        <v>1</v>
      </c>
      <c r="D2396" t="s">
        <v>387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 s="3">
        <v>0</v>
      </c>
    </row>
    <row r="2397" spans="1:21" x14ac:dyDescent="0.2">
      <c r="A2397" t="s">
        <v>33</v>
      </c>
      <c r="B2397">
        <v>2754</v>
      </c>
      <c r="C2397">
        <v>1</v>
      </c>
      <c r="D2397" t="s">
        <v>388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</row>
    <row r="2398" spans="1:21" x14ac:dyDescent="0.2">
      <c r="A2398" t="s">
        <v>33</v>
      </c>
      <c r="B2398">
        <v>2759</v>
      </c>
      <c r="C2398">
        <v>1</v>
      </c>
      <c r="D2398" t="s">
        <v>389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500</v>
      </c>
      <c r="K2398" s="3">
        <v>500</v>
      </c>
      <c r="L2398" s="3">
        <v>500</v>
      </c>
      <c r="M2398" s="3">
        <v>500</v>
      </c>
      <c r="N2398" s="3">
        <v>500</v>
      </c>
      <c r="O2398" s="3">
        <v>500</v>
      </c>
      <c r="P2398" s="3">
        <v>500</v>
      </c>
      <c r="Q2398" s="3">
        <v>500</v>
      </c>
      <c r="R2398" s="3">
        <v>500</v>
      </c>
      <c r="S2398" s="3">
        <v>500</v>
      </c>
      <c r="T2398" s="3">
        <v>0</v>
      </c>
      <c r="U2398" s="3">
        <v>0</v>
      </c>
    </row>
    <row r="2399" spans="1:21" x14ac:dyDescent="0.2">
      <c r="A2399" t="s">
        <v>33</v>
      </c>
      <c r="B2399">
        <v>2805</v>
      </c>
      <c r="C2399">
        <v>1</v>
      </c>
      <c r="D2399" t="s">
        <v>390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 s="3">
        <v>0</v>
      </c>
    </row>
    <row r="2400" spans="1:21" x14ac:dyDescent="0.2">
      <c r="A2400" t="s">
        <v>33</v>
      </c>
      <c r="B2400">
        <v>2835</v>
      </c>
      <c r="C2400">
        <v>1</v>
      </c>
      <c r="D2400" t="s">
        <v>391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  <c r="T2400" s="3">
        <v>0</v>
      </c>
      <c r="U2400" s="3">
        <v>0</v>
      </c>
    </row>
    <row r="2401" spans="1:21" x14ac:dyDescent="0.2">
      <c r="A2401" t="s">
        <v>33</v>
      </c>
      <c r="B2401">
        <v>2853</v>
      </c>
      <c r="C2401">
        <v>1</v>
      </c>
      <c r="D2401" t="s">
        <v>392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</row>
    <row r="2402" spans="1:21" x14ac:dyDescent="0.2">
      <c r="A2402" t="s">
        <v>33</v>
      </c>
      <c r="B2402">
        <v>2854</v>
      </c>
      <c r="C2402">
        <v>1</v>
      </c>
      <c r="D2402" t="s">
        <v>393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</row>
    <row r="2403" spans="1:21" x14ac:dyDescent="0.2">
      <c r="A2403" t="s">
        <v>33</v>
      </c>
      <c r="B2403">
        <v>2856</v>
      </c>
      <c r="C2403">
        <v>1</v>
      </c>
      <c r="D2403" t="s">
        <v>394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</row>
    <row r="2404" spans="1:21" x14ac:dyDescent="0.2">
      <c r="A2404" t="s">
        <v>33</v>
      </c>
      <c r="B2404">
        <v>2859</v>
      </c>
      <c r="C2404">
        <v>1</v>
      </c>
      <c r="D2404" t="s">
        <v>395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</row>
    <row r="2405" spans="1:21" x14ac:dyDescent="0.2">
      <c r="A2405" t="s">
        <v>33</v>
      </c>
      <c r="B2405">
        <v>2860</v>
      </c>
      <c r="C2405">
        <v>1</v>
      </c>
      <c r="D2405" t="s">
        <v>396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650</v>
      </c>
      <c r="K2405" s="3">
        <v>650</v>
      </c>
      <c r="L2405" s="3">
        <v>650</v>
      </c>
      <c r="M2405" s="3">
        <v>650</v>
      </c>
      <c r="N2405" s="3">
        <v>650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</row>
    <row r="2406" spans="1:21" x14ac:dyDescent="0.2">
      <c r="A2406" t="s">
        <v>33</v>
      </c>
      <c r="B2406">
        <v>2884</v>
      </c>
      <c r="C2406">
        <v>1</v>
      </c>
      <c r="D2406" t="s">
        <v>397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</row>
    <row r="2407" spans="1:21" x14ac:dyDescent="0.2">
      <c r="A2407" t="s">
        <v>33</v>
      </c>
      <c r="B2407">
        <v>2886</v>
      </c>
      <c r="C2407">
        <v>1</v>
      </c>
      <c r="D2407" t="s">
        <v>398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</row>
    <row r="2408" spans="1:21" x14ac:dyDescent="0.2">
      <c r="A2408" t="s">
        <v>33</v>
      </c>
      <c r="B2408">
        <v>2887</v>
      </c>
      <c r="C2408">
        <v>1</v>
      </c>
      <c r="D2408" t="s">
        <v>399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</row>
    <row r="2409" spans="1:21" x14ac:dyDescent="0.2">
      <c r="A2409" t="s">
        <v>33</v>
      </c>
      <c r="B2409">
        <v>2888</v>
      </c>
      <c r="C2409">
        <v>1</v>
      </c>
      <c r="D2409" t="s">
        <v>400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</row>
    <row r="2410" spans="1:21" x14ac:dyDescent="0.2">
      <c r="A2410" t="s">
        <v>33</v>
      </c>
      <c r="B2410">
        <v>2889</v>
      </c>
      <c r="C2410">
        <v>1</v>
      </c>
      <c r="D2410" t="s">
        <v>401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500</v>
      </c>
      <c r="K2410" s="3">
        <v>500</v>
      </c>
      <c r="L2410" s="3">
        <v>500</v>
      </c>
      <c r="M2410" s="3">
        <v>500</v>
      </c>
      <c r="N2410" s="3">
        <v>500</v>
      </c>
      <c r="O2410" s="3">
        <v>500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</row>
    <row r="2411" spans="1:21" x14ac:dyDescent="0.2">
      <c r="A2411" t="s">
        <v>33</v>
      </c>
      <c r="B2411">
        <v>2890</v>
      </c>
      <c r="C2411">
        <v>1</v>
      </c>
      <c r="D2411" t="s">
        <v>402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</row>
    <row r="2412" spans="1:21" x14ac:dyDescent="0.2">
      <c r="A2412" t="s">
        <v>33</v>
      </c>
      <c r="B2412">
        <v>2895</v>
      </c>
      <c r="C2412">
        <v>1</v>
      </c>
      <c r="D2412" t="s">
        <v>403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  <c r="T2412" s="3">
        <v>0</v>
      </c>
      <c r="U2412" s="3">
        <v>0</v>
      </c>
    </row>
    <row r="2413" spans="1:21" x14ac:dyDescent="0.2">
      <c r="A2413" t="s">
        <v>33</v>
      </c>
      <c r="B2413">
        <v>2897</v>
      </c>
      <c r="C2413">
        <v>1</v>
      </c>
      <c r="D2413" t="s">
        <v>404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</row>
    <row r="2414" spans="1:21" x14ac:dyDescent="0.2">
      <c r="A2414" t="s">
        <v>33</v>
      </c>
      <c r="B2414">
        <v>2898</v>
      </c>
      <c r="C2414">
        <v>1</v>
      </c>
      <c r="D2414" t="s">
        <v>405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500</v>
      </c>
      <c r="L2414" s="3">
        <v>500</v>
      </c>
      <c r="M2414" s="3">
        <v>500</v>
      </c>
      <c r="N2414" s="3">
        <v>500</v>
      </c>
      <c r="O2414" s="3">
        <v>500</v>
      </c>
      <c r="P2414" s="3">
        <v>500</v>
      </c>
      <c r="Q2414" s="3">
        <v>500</v>
      </c>
      <c r="R2414" s="3">
        <v>500</v>
      </c>
      <c r="S2414" s="3">
        <v>500</v>
      </c>
      <c r="T2414" s="3">
        <v>500</v>
      </c>
      <c r="U2414" s="3">
        <v>0</v>
      </c>
    </row>
    <row r="2416" spans="1:21" x14ac:dyDescent="0.2">
      <c r="A2416" t="s">
        <v>897</v>
      </c>
      <c r="B2416">
        <v>1</v>
      </c>
      <c r="C2416">
        <v>1</v>
      </c>
      <c r="D2416" t="s">
        <v>63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</row>
    <row r="2417" spans="1:21" x14ac:dyDescent="0.2">
      <c r="A2417" t="s">
        <v>897</v>
      </c>
      <c r="B2417">
        <v>1.2</v>
      </c>
      <c r="C2417">
        <v>3</v>
      </c>
      <c r="D2417" t="s">
        <v>64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0</v>
      </c>
    </row>
    <row r="2418" spans="1:21" x14ac:dyDescent="0.2">
      <c r="A2418" t="s">
        <v>897</v>
      </c>
      <c r="B2418">
        <v>2</v>
      </c>
      <c r="C2418">
        <v>1</v>
      </c>
      <c r="D2418" t="s">
        <v>65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</row>
    <row r="2419" spans="1:21" x14ac:dyDescent="0.2">
      <c r="A2419" t="s">
        <v>897</v>
      </c>
      <c r="B2419">
        <v>4</v>
      </c>
      <c r="C2419">
        <v>1</v>
      </c>
      <c r="D2419" t="s">
        <v>66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  <c r="T2419" s="3">
        <v>0</v>
      </c>
      <c r="U2419" s="3">
        <v>0</v>
      </c>
    </row>
    <row r="2420" spans="1:21" x14ac:dyDescent="0.2">
      <c r="A2420" t="s">
        <v>897</v>
      </c>
      <c r="B2420">
        <v>6</v>
      </c>
      <c r="C2420">
        <v>3</v>
      </c>
      <c r="D2420" t="s">
        <v>67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</row>
    <row r="2421" spans="1:21" x14ac:dyDescent="0.2">
      <c r="A2421" t="s">
        <v>897</v>
      </c>
      <c r="B2421">
        <v>11</v>
      </c>
      <c r="C2421">
        <v>1</v>
      </c>
      <c r="D2421" t="s">
        <v>68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</row>
    <row r="2422" spans="1:21" x14ac:dyDescent="0.2">
      <c r="A2422" t="s">
        <v>897</v>
      </c>
      <c r="B2422">
        <v>12</v>
      </c>
      <c r="C2422">
        <v>1</v>
      </c>
      <c r="D2422" t="s">
        <v>69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 s="3">
        <v>0</v>
      </c>
    </row>
    <row r="2423" spans="1:21" x14ac:dyDescent="0.2">
      <c r="A2423" t="s">
        <v>897</v>
      </c>
      <c r="B2423">
        <v>13</v>
      </c>
      <c r="C2423">
        <v>1</v>
      </c>
      <c r="D2423" t="s">
        <v>70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65.11</v>
      </c>
      <c r="L2423" s="3">
        <v>65.11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  <c r="T2423" s="3">
        <v>0</v>
      </c>
      <c r="U2423" s="3">
        <v>0</v>
      </c>
    </row>
    <row r="2424" spans="1:21" x14ac:dyDescent="0.2">
      <c r="A2424" t="s">
        <v>897</v>
      </c>
      <c r="B2424">
        <v>14</v>
      </c>
      <c r="C2424">
        <v>1</v>
      </c>
      <c r="D2424" t="s">
        <v>71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69.59</v>
      </c>
      <c r="L2424" s="3">
        <v>69.59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  <c r="T2424" s="3">
        <v>0</v>
      </c>
      <c r="U2424" s="3">
        <v>0</v>
      </c>
    </row>
    <row r="2425" spans="1:21" x14ac:dyDescent="0.2">
      <c r="A2425" t="s">
        <v>897</v>
      </c>
      <c r="B2425">
        <v>15</v>
      </c>
      <c r="C2425">
        <v>1</v>
      </c>
      <c r="D2425" t="s">
        <v>72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</row>
    <row r="2426" spans="1:21" x14ac:dyDescent="0.2">
      <c r="A2426" t="s">
        <v>897</v>
      </c>
      <c r="B2426">
        <v>16</v>
      </c>
      <c r="C2426">
        <v>1</v>
      </c>
      <c r="D2426" t="s">
        <v>73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</row>
    <row r="2427" spans="1:21" x14ac:dyDescent="0.2">
      <c r="A2427" t="s">
        <v>897</v>
      </c>
      <c r="B2427">
        <v>22</v>
      </c>
      <c r="C2427">
        <v>1</v>
      </c>
      <c r="D2427" t="s">
        <v>74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</row>
    <row r="2428" spans="1:21" x14ac:dyDescent="0.2">
      <c r="A2428" t="s">
        <v>897</v>
      </c>
      <c r="B2428">
        <v>23</v>
      </c>
      <c r="C2428">
        <v>1</v>
      </c>
      <c r="D2428" t="s">
        <v>75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</row>
    <row r="2429" spans="1:21" x14ac:dyDescent="0.2">
      <c r="A2429" t="s">
        <v>897</v>
      </c>
      <c r="B2429">
        <v>25</v>
      </c>
      <c r="C2429">
        <v>1</v>
      </c>
      <c r="D2429" t="s">
        <v>76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</row>
    <row r="2430" spans="1:21" x14ac:dyDescent="0.2">
      <c r="A2430" t="s">
        <v>897</v>
      </c>
      <c r="B2430">
        <v>31</v>
      </c>
      <c r="C2430">
        <v>1</v>
      </c>
      <c r="D2430" t="s">
        <v>77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</row>
    <row r="2431" spans="1:21" x14ac:dyDescent="0.2">
      <c r="A2431" t="s">
        <v>897</v>
      </c>
      <c r="B2431">
        <v>32</v>
      </c>
      <c r="C2431">
        <v>1</v>
      </c>
      <c r="D2431" t="s">
        <v>78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  <c r="S2431" s="3">
        <v>0</v>
      </c>
      <c r="T2431" s="3">
        <v>0</v>
      </c>
      <c r="U2431" s="3">
        <v>0</v>
      </c>
    </row>
    <row r="2432" spans="1:21" x14ac:dyDescent="0.2">
      <c r="A2432" t="s">
        <v>897</v>
      </c>
      <c r="B2432">
        <v>36</v>
      </c>
      <c r="C2432">
        <v>1</v>
      </c>
      <c r="D2432" t="s">
        <v>79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0</v>
      </c>
    </row>
    <row r="2433" spans="1:21" x14ac:dyDescent="0.2">
      <c r="A2433" t="s">
        <v>897</v>
      </c>
      <c r="B2433">
        <v>38</v>
      </c>
      <c r="C2433">
        <v>1</v>
      </c>
      <c r="D2433" t="s">
        <v>80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</row>
    <row r="2434" spans="1:21" x14ac:dyDescent="0.2">
      <c r="A2434" t="s">
        <v>897</v>
      </c>
      <c r="B2434">
        <v>47</v>
      </c>
      <c r="C2434">
        <v>1</v>
      </c>
      <c r="D2434" t="s">
        <v>81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</row>
    <row r="2435" spans="1:21" x14ac:dyDescent="0.2">
      <c r="A2435" t="s">
        <v>897</v>
      </c>
      <c r="B2435">
        <v>51</v>
      </c>
      <c r="C2435">
        <v>1</v>
      </c>
      <c r="D2435" t="s">
        <v>82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</row>
    <row r="2436" spans="1:21" x14ac:dyDescent="0.2">
      <c r="A2436" t="s">
        <v>897</v>
      </c>
      <c r="B2436">
        <v>62</v>
      </c>
      <c r="C2436">
        <v>1</v>
      </c>
      <c r="D2436" t="s">
        <v>83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</row>
    <row r="2437" spans="1:21" x14ac:dyDescent="0.2">
      <c r="A2437" t="s">
        <v>897</v>
      </c>
      <c r="B2437">
        <v>75</v>
      </c>
      <c r="C2437">
        <v>1</v>
      </c>
      <c r="D2437" t="s">
        <v>84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</row>
    <row r="2438" spans="1:21" x14ac:dyDescent="0.2">
      <c r="A2438" t="s">
        <v>897</v>
      </c>
      <c r="B2438">
        <v>77</v>
      </c>
      <c r="C2438">
        <v>1</v>
      </c>
      <c r="D2438" t="s">
        <v>85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</row>
    <row r="2439" spans="1:21" x14ac:dyDescent="0.2">
      <c r="A2439" t="s">
        <v>897</v>
      </c>
      <c r="B2439">
        <v>81</v>
      </c>
      <c r="C2439">
        <v>1</v>
      </c>
      <c r="D2439" t="s">
        <v>86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</row>
    <row r="2440" spans="1:21" x14ac:dyDescent="0.2">
      <c r="A2440" t="s">
        <v>897</v>
      </c>
      <c r="B2440">
        <v>84</v>
      </c>
      <c r="C2440">
        <v>1</v>
      </c>
      <c r="D2440" t="s">
        <v>87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</row>
    <row r="2441" spans="1:21" x14ac:dyDescent="0.2">
      <c r="A2441" t="s">
        <v>897</v>
      </c>
      <c r="B2441">
        <v>85</v>
      </c>
      <c r="C2441">
        <v>1</v>
      </c>
      <c r="D2441" t="s">
        <v>88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</row>
    <row r="2442" spans="1:21" x14ac:dyDescent="0.2">
      <c r="A2442" t="s">
        <v>897</v>
      </c>
      <c r="B2442">
        <v>88</v>
      </c>
      <c r="C2442">
        <v>1</v>
      </c>
      <c r="D2442" t="s">
        <v>89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</row>
    <row r="2443" spans="1:21" x14ac:dyDescent="0.2">
      <c r="A2443" t="s">
        <v>897</v>
      </c>
      <c r="B2443">
        <v>91</v>
      </c>
      <c r="C2443">
        <v>1</v>
      </c>
      <c r="D2443" t="s">
        <v>90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</row>
    <row r="2444" spans="1:21" x14ac:dyDescent="0.2">
      <c r="A2444" t="s">
        <v>897</v>
      </c>
      <c r="B2444">
        <v>93</v>
      </c>
      <c r="C2444">
        <v>1</v>
      </c>
      <c r="D2444" t="s">
        <v>91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</row>
    <row r="2445" spans="1:21" x14ac:dyDescent="0.2">
      <c r="A2445" t="s">
        <v>897</v>
      </c>
      <c r="B2445">
        <v>94</v>
      </c>
      <c r="C2445">
        <v>1</v>
      </c>
      <c r="D2445" t="s">
        <v>92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</row>
    <row r="2446" spans="1:21" x14ac:dyDescent="0.2">
      <c r="A2446" t="s">
        <v>897</v>
      </c>
      <c r="B2446">
        <v>95</v>
      </c>
      <c r="C2446">
        <v>1</v>
      </c>
      <c r="D2446" t="s">
        <v>93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  <c r="T2446" s="3">
        <v>0</v>
      </c>
      <c r="U2446" s="3">
        <v>0</v>
      </c>
    </row>
    <row r="2447" spans="1:21" x14ac:dyDescent="0.2">
      <c r="A2447" t="s">
        <v>897</v>
      </c>
      <c r="B2447">
        <v>97</v>
      </c>
      <c r="C2447">
        <v>1</v>
      </c>
      <c r="D2447" t="s">
        <v>94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</row>
    <row r="2448" spans="1:21" x14ac:dyDescent="0.2">
      <c r="A2448" t="s">
        <v>897</v>
      </c>
      <c r="B2448">
        <v>99</v>
      </c>
      <c r="C2448">
        <v>1</v>
      </c>
      <c r="D2448" t="s">
        <v>95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</row>
    <row r="2449" spans="1:21" x14ac:dyDescent="0.2">
      <c r="A2449" t="s">
        <v>897</v>
      </c>
      <c r="B2449">
        <v>100</v>
      </c>
      <c r="C2449">
        <v>1</v>
      </c>
      <c r="D2449" t="s">
        <v>96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</row>
    <row r="2450" spans="1:21" x14ac:dyDescent="0.2">
      <c r="A2450" t="s">
        <v>897</v>
      </c>
      <c r="B2450">
        <v>108</v>
      </c>
      <c r="C2450">
        <v>1</v>
      </c>
      <c r="D2450" t="s">
        <v>97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</row>
    <row r="2451" spans="1:21" x14ac:dyDescent="0.2">
      <c r="A2451" t="s">
        <v>897</v>
      </c>
      <c r="B2451">
        <v>110</v>
      </c>
      <c r="C2451">
        <v>1</v>
      </c>
      <c r="D2451" t="s">
        <v>98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</row>
    <row r="2452" spans="1:21" x14ac:dyDescent="0.2">
      <c r="A2452" t="s">
        <v>897</v>
      </c>
      <c r="B2452">
        <v>111</v>
      </c>
      <c r="C2452">
        <v>1</v>
      </c>
      <c r="D2452" t="s">
        <v>99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</row>
    <row r="2453" spans="1:21" x14ac:dyDescent="0.2">
      <c r="A2453" t="s">
        <v>897</v>
      </c>
      <c r="B2453">
        <v>112</v>
      </c>
      <c r="C2453">
        <v>1</v>
      </c>
      <c r="D2453" t="s">
        <v>100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</row>
    <row r="2454" spans="1:21" x14ac:dyDescent="0.2">
      <c r="A2454" t="s">
        <v>897</v>
      </c>
      <c r="B2454">
        <v>113</v>
      </c>
      <c r="C2454">
        <v>1</v>
      </c>
      <c r="D2454" t="s">
        <v>101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</row>
    <row r="2455" spans="1:21" x14ac:dyDescent="0.2">
      <c r="A2455" t="s">
        <v>897</v>
      </c>
      <c r="B2455">
        <v>115</v>
      </c>
      <c r="C2455">
        <v>1</v>
      </c>
      <c r="D2455" t="s">
        <v>102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</row>
    <row r="2456" spans="1:21" x14ac:dyDescent="0.2">
      <c r="A2456" t="s">
        <v>897</v>
      </c>
      <c r="B2456">
        <v>116</v>
      </c>
      <c r="C2456">
        <v>1</v>
      </c>
      <c r="D2456" t="s">
        <v>103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</row>
    <row r="2457" spans="1:21" x14ac:dyDescent="0.2">
      <c r="A2457" t="s">
        <v>897</v>
      </c>
      <c r="B2457">
        <v>118</v>
      </c>
      <c r="C2457">
        <v>1</v>
      </c>
      <c r="D2457" t="s">
        <v>104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</row>
    <row r="2458" spans="1:21" x14ac:dyDescent="0.2">
      <c r="A2458" t="s">
        <v>897</v>
      </c>
      <c r="B2458">
        <v>129</v>
      </c>
      <c r="C2458">
        <v>1</v>
      </c>
      <c r="D2458" t="s">
        <v>105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</row>
    <row r="2459" spans="1:21" x14ac:dyDescent="0.2">
      <c r="A2459" t="s">
        <v>897</v>
      </c>
      <c r="B2459">
        <v>138</v>
      </c>
      <c r="C2459">
        <v>1</v>
      </c>
      <c r="D2459" t="s">
        <v>106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0</v>
      </c>
    </row>
    <row r="2460" spans="1:21" x14ac:dyDescent="0.2">
      <c r="A2460" t="s">
        <v>897</v>
      </c>
      <c r="B2460">
        <v>139</v>
      </c>
      <c r="C2460">
        <v>1</v>
      </c>
      <c r="D2460" t="s">
        <v>107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3">
        <v>0</v>
      </c>
    </row>
    <row r="2461" spans="1:21" x14ac:dyDescent="0.2">
      <c r="A2461" t="s">
        <v>897</v>
      </c>
      <c r="B2461">
        <v>146</v>
      </c>
      <c r="C2461">
        <v>1</v>
      </c>
      <c r="D2461" t="s">
        <v>108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</row>
    <row r="2462" spans="1:21" x14ac:dyDescent="0.2">
      <c r="A2462" t="s">
        <v>897</v>
      </c>
      <c r="B2462">
        <v>150</v>
      </c>
      <c r="C2462">
        <v>1</v>
      </c>
      <c r="D2462" t="s">
        <v>109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0</v>
      </c>
      <c r="U2462" s="3">
        <v>0</v>
      </c>
    </row>
    <row r="2463" spans="1:21" x14ac:dyDescent="0.2">
      <c r="A2463" t="s">
        <v>897</v>
      </c>
      <c r="B2463">
        <v>152</v>
      </c>
      <c r="C2463">
        <v>1</v>
      </c>
      <c r="D2463" t="s">
        <v>110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</row>
    <row r="2464" spans="1:21" x14ac:dyDescent="0.2">
      <c r="A2464" t="s">
        <v>897</v>
      </c>
      <c r="B2464">
        <v>162</v>
      </c>
      <c r="C2464">
        <v>1</v>
      </c>
      <c r="D2464" t="s">
        <v>111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</row>
    <row r="2465" spans="1:21" x14ac:dyDescent="0.2">
      <c r="A2465" t="s">
        <v>897</v>
      </c>
      <c r="B2465">
        <v>166</v>
      </c>
      <c r="C2465">
        <v>1</v>
      </c>
      <c r="D2465" t="s">
        <v>112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</row>
    <row r="2466" spans="1:21" x14ac:dyDescent="0.2">
      <c r="A2466" t="s">
        <v>897</v>
      </c>
      <c r="B2466">
        <v>173</v>
      </c>
      <c r="C2466">
        <v>1</v>
      </c>
      <c r="D2466" t="s">
        <v>113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</row>
    <row r="2467" spans="1:21" x14ac:dyDescent="0.2">
      <c r="A2467" t="s">
        <v>897</v>
      </c>
      <c r="B2467">
        <v>177</v>
      </c>
      <c r="C2467">
        <v>1</v>
      </c>
      <c r="D2467" t="s">
        <v>114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</row>
    <row r="2468" spans="1:21" x14ac:dyDescent="0.2">
      <c r="A2468" t="s">
        <v>897</v>
      </c>
      <c r="B2468">
        <v>181</v>
      </c>
      <c r="C2468">
        <v>1</v>
      </c>
      <c r="D2468" t="s">
        <v>115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</row>
    <row r="2469" spans="1:21" x14ac:dyDescent="0.2">
      <c r="A2469" t="s">
        <v>897</v>
      </c>
      <c r="B2469">
        <v>182</v>
      </c>
      <c r="C2469">
        <v>1</v>
      </c>
      <c r="D2469" t="s">
        <v>116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0</v>
      </c>
    </row>
    <row r="2470" spans="1:21" x14ac:dyDescent="0.2">
      <c r="A2470" t="s">
        <v>897</v>
      </c>
      <c r="B2470">
        <v>186</v>
      </c>
      <c r="C2470">
        <v>1</v>
      </c>
      <c r="D2470" t="s">
        <v>117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</row>
    <row r="2471" spans="1:21" x14ac:dyDescent="0.2">
      <c r="A2471" t="s">
        <v>897</v>
      </c>
      <c r="B2471">
        <v>191</v>
      </c>
      <c r="C2471">
        <v>1</v>
      </c>
      <c r="D2471" t="s">
        <v>118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  <c r="T2471" s="3">
        <v>0</v>
      </c>
      <c r="U2471" s="3">
        <v>0</v>
      </c>
    </row>
    <row r="2472" spans="1:21" x14ac:dyDescent="0.2">
      <c r="A2472" t="s">
        <v>897</v>
      </c>
      <c r="B2472">
        <v>192</v>
      </c>
      <c r="C2472">
        <v>1</v>
      </c>
      <c r="D2472" t="s">
        <v>119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  <c r="T2472" s="3">
        <v>0</v>
      </c>
      <c r="U2472" s="3">
        <v>0</v>
      </c>
    </row>
    <row r="2473" spans="1:21" x14ac:dyDescent="0.2">
      <c r="A2473" t="s">
        <v>897</v>
      </c>
      <c r="B2473">
        <v>194</v>
      </c>
      <c r="C2473">
        <v>1</v>
      </c>
      <c r="D2473" t="s">
        <v>120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</row>
    <row r="2474" spans="1:21" x14ac:dyDescent="0.2">
      <c r="A2474" t="s">
        <v>897</v>
      </c>
      <c r="B2474">
        <v>195</v>
      </c>
      <c r="C2474">
        <v>1</v>
      </c>
      <c r="D2474" t="s">
        <v>121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315.81</v>
      </c>
      <c r="L2474" s="3">
        <v>315.81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</row>
    <row r="2475" spans="1:21" x14ac:dyDescent="0.2">
      <c r="A2475" t="s">
        <v>897</v>
      </c>
      <c r="B2475">
        <v>196</v>
      </c>
      <c r="C2475">
        <v>1</v>
      </c>
      <c r="D2475" t="s">
        <v>122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506.57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</row>
    <row r="2476" spans="1:21" x14ac:dyDescent="0.2">
      <c r="A2476" t="s">
        <v>897</v>
      </c>
      <c r="B2476">
        <v>197</v>
      </c>
      <c r="C2476">
        <v>1</v>
      </c>
      <c r="D2476" t="s">
        <v>123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  <c r="T2476" s="3">
        <v>0</v>
      </c>
      <c r="U2476" s="3">
        <v>0</v>
      </c>
    </row>
    <row r="2477" spans="1:21" x14ac:dyDescent="0.2">
      <c r="A2477" t="s">
        <v>897</v>
      </c>
      <c r="B2477">
        <v>199</v>
      </c>
      <c r="C2477">
        <v>1</v>
      </c>
      <c r="D2477" t="s">
        <v>124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 s="3">
        <v>0</v>
      </c>
    </row>
    <row r="2478" spans="1:21" x14ac:dyDescent="0.2">
      <c r="A2478" t="s">
        <v>897</v>
      </c>
      <c r="B2478">
        <v>200</v>
      </c>
      <c r="C2478">
        <v>1</v>
      </c>
      <c r="D2478" t="s">
        <v>125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0</v>
      </c>
      <c r="U2478" s="3">
        <v>0</v>
      </c>
    </row>
    <row r="2479" spans="1:21" x14ac:dyDescent="0.2">
      <c r="A2479" t="s">
        <v>897</v>
      </c>
      <c r="B2479">
        <v>203</v>
      </c>
      <c r="C2479">
        <v>1</v>
      </c>
      <c r="D2479" t="s">
        <v>126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</row>
    <row r="2480" spans="1:21" x14ac:dyDescent="0.2">
      <c r="A2480" t="s">
        <v>897</v>
      </c>
      <c r="B2480">
        <v>204</v>
      </c>
      <c r="C2480">
        <v>1</v>
      </c>
      <c r="D2480" t="s">
        <v>127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</row>
    <row r="2481" spans="1:21" x14ac:dyDescent="0.2">
      <c r="A2481" t="s">
        <v>897</v>
      </c>
      <c r="B2481">
        <v>206</v>
      </c>
      <c r="C2481">
        <v>1</v>
      </c>
      <c r="D2481" t="s">
        <v>128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3">
        <v>0</v>
      </c>
    </row>
    <row r="2482" spans="1:21" x14ac:dyDescent="0.2">
      <c r="A2482" t="s">
        <v>897</v>
      </c>
      <c r="B2482">
        <v>207</v>
      </c>
      <c r="C2482">
        <v>1</v>
      </c>
      <c r="D2482" t="s">
        <v>129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</row>
    <row r="2483" spans="1:21" x14ac:dyDescent="0.2">
      <c r="A2483" t="s">
        <v>897</v>
      </c>
      <c r="B2483">
        <v>208</v>
      </c>
      <c r="C2483">
        <v>1</v>
      </c>
      <c r="D2483" t="s">
        <v>130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839.37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3">
        <v>0</v>
      </c>
    </row>
    <row r="2484" spans="1:21" x14ac:dyDescent="0.2">
      <c r="A2484" t="s">
        <v>897</v>
      </c>
      <c r="B2484">
        <v>213</v>
      </c>
      <c r="C2484">
        <v>1</v>
      </c>
      <c r="D2484" t="s">
        <v>131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</row>
    <row r="2485" spans="1:21" x14ac:dyDescent="0.2">
      <c r="A2485" t="s">
        <v>897</v>
      </c>
      <c r="B2485">
        <v>227</v>
      </c>
      <c r="C2485">
        <v>1</v>
      </c>
      <c r="D2485" t="s">
        <v>132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  <c r="T2485" s="3">
        <v>0</v>
      </c>
      <c r="U2485" s="3">
        <v>0</v>
      </c>
    </row>
    <row r="2486" spans="1:21" x14ac:dyDescent="0.2">
      <c r="A2486" t="s">
        <v>897</v>
      </c>
      <c r="B2486">
        <v>229</v>
      </c>
      <c r="C2486">
        <v>1</v>
      </c>
      <c r="D2486" t="s">
        <v>133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</row>
    <row r="2487" spans="1:21" x14ac:dyDescent="0.2">
      <c r="A2487" t="s">
        <v>897</v>
      </c>
      <c r="B2487">
        <v>238</v>
      </c>
      <c r="C2487">
        <v>1</v>
      </c>
      <c r="D2487" t="s">
        <v>134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507.96</v>
      </c>
      <c r="L2487" s="3">
        <v>507.96</v>
      </c>
      <c r="M2487" s="3">
        <v>300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3">
        <v>0</v>
      </c>
      <c r="T2487" s="3">
        <v>0</v>
      </c>
      <c r="U2487" s="3">
        <v>0</v>
      </c>
    </row>
    <row r="2488" spans="1:21" x14ac:dyDescent="0.2">
      <c r="A2488" t="s">
        <v>897</v>
      </c>
      <c r="B2488">
        <v>239</v>
      </c>
      <c r="C2488">
        <v>1</v>
      </c>
      <c r="D2488" t="s">
        <v>135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</row>
    <row r="2489" spans="1:21" x14ac:dyDescent="0.2">
      <c r="A2489" t="s">
        <v>897</v>
      </c>
      <c r="B2489">
        <v>241</v>
      </c>
      <c r="C2489">
        <v>1</v>
      </c>
      <c r="D2489" t="s">
        <v>136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 s="3">
        <v>0</v>
      </c>
    </row>
    <row r="2490" spans="1:21" x14ac:dyDescent="0.2">
      <c r="A2490" t="s">
        <v>897</v>
      </c>
      <c r="B2490">
        <v>242</v>
      </c>
      <c r="C2490">
        <v>1</v>
      </c>
      <c r="D2490" t="s">
        <v>137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0</v>
      </c>
      <c r="U2490" s="3">
        <v>0</v>
      </c>
    </row>
    <row r="2491" spans="1:21" x14ac:dyDescent="0.2">
      <c r="A2491" t="s">
        <v>897</v>
      </c>
      <c r="B2491">
        <v>252</v>
      </c>
      <c r="C2491">
        <v>1</v>
      </c>
      <c r="D2491" t="s">
        <v>138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  <c r="T2491" s="3">
        <v>0</v>
      </c>
      <c r="U2491" s="3">
        <v>0</v>
      </c>
    </row>
    <row r="2492" spans="1:21" x14ac:dyDescent="0.2">
      <c r="A2492" t="s">
        <v>897</v>
      </c>
      <c r="B2492">
        <v>253</v>
      </c>
      <c r="C2492">
        <v>1</v>
      </c>
      <c r="D2492" t="s">
        <v>139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</row>
    <row r="2493" spans="1:21" x14ac:dyDescent="0.2">
      <c r="A2493" t="s">
        <v>897</v>
      </c>
      <c r="B2493">
        <v>255</v>
      </c>
      <c r="C2493">
        <v>1</v>
      </c>
      <c r="D2493" t="s">
        <v>140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0</v>
      </c>
    </row>
    <row r="2494" spans="1:21" x14ac:dyDescent="0.2">
      <c r="A2494" t="s">
        <v>897</v>
      </c>
      <c r="B2494">
        <v>256</v>
      </c>
      <c r="C2494">
        <v>1</v>
      </c>
      <c r="D2494" t="s">
        <v>141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</row>
    <row r="2495" spans="1:21" x14ac:dyDescent="0.2">
      <c r="A2495" t="s">
        <v>897</v>
      </c>
      <c r="B2495">
        <v>261</v>
      </c>
      <c r="C2495">
        <v>1</v>
      </c>
      <c r="D2495" t="s">
        <v>142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</row>
    <row r="2496" spans="1:21" x14ac:dyDescent="0.2">
      <c r="A2496" t="s">
        <v>897</v>
      </c>
      <c r="B2496">
        <v>264</v>
      </c>
      <c r="C2496">
        <v>1</v>
      </c>
      <c r="D2496" t="s">
        <v>143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</row>
    <row r="2497" spans="1:21" x14ac:dyDescent="0.2">
      <c r="A2497" t="s">
        <v>897</v>
      </c>
      <c r="B2497">
        <v>270</v>
      </c>
      <c r="C2497">
        <v>1</v>
      </c>
      <c r="D2497" t="s">
        <v>144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1366.22</v>
      </c>
      <c r="L2497" s="3">
        <v>1366.22</v>
      </c>
      <c r="M2497" s="3">
        <v>682.35</v>
      </c>
      <c r="N2497" s="3">
        <v>682.35</v>
      </c>
      <c r="O2497" s="3">
        <v>682.35</v>
      </c>
      <c r="P2497" s="3">
        <v>227.79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</row>
    <row r="2498" spans="1:21" x14ac:dyDescent="0.2">
      <c r="A2498" t="s">
        <v>897</v>
      </c>
      <c r="B2498">
        <v>271</v>
      </c>
      <c r="C2498">
        <v>1</v>
      </c>
      <c r="D2498" t="s">
        <v>145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</row>
    <row r="2499" spans="1:21" x14ac:dyDescent="0.2">
      <c r="A2499" t="s">
        <v>897</v>
      </c>
      <c r="B2499">
        <v>272</v>
      </c>
      <c r="C2499">
        <v>1</v>
      </c>
      <c r="D2499" t="s">
        <v>146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3">
        <v>0</v>
      </c>
    </row>
    <row r="2500" spans="1:21" x14ac:dyDescent="0.2">
      <c r="A2500" t="s">
        <v>897</v>
      </c>
      <c r="B2500">
        <v>273</v>
      </c>
      <c r="C2500">
        <v>1</v>
      </c>
      <c r="D2500" t="s">
        <v>147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  <c r="T2500" s="3">
        <v>0</v>
      </c>
      <c r="U2500" s="3">
        <v>0</v>
      </c>
    </row>
    <row r="2501" spans="1:21" x14ac:dyDescent="0.2">
      <c r="A2501" t="s">
        <v>897</v>
      </c>
      <c r="B2501">
        <v>276</v>
      </c>
      <c r="C2501">
        <v>1</v>
      </c>
      <c r="D2501" t="s">
        <v>148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</row>
    <row r="2502" spans="1:21" x14ac:dyDescent="0.2">
      <c r="A2502" t="s">
        <v>897</v>
      </c>
      <c r="B2502">
        <v>277</v>
      </c>
      <c r="C2502">
        <v>1</v>
      </c>
      <c r="D2502" t="s">
        <v>149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</row>
    <row r="2503" spans="1:21" x14ac:dyDescent="0.2">
      <c r="A2503" t="s">
        <v>897</v>
      </c>
      <c r="B2503">
        <v>278</v>
      </c>
      <c r="C2503">
        <v>1</v>
      </c>
      <c r="D2503" t="s">
        <v>150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</row>
    <row r="2504" spans="1:21" x14ac:dyDescent="0.2">
      <c r="A2504" t="s">
        <v>897</v>
      </c>
      <c r="B2504">
        <v>279</v>
      </c>
      <c r="C2504">
        <v>1</v>
      </c>
      <c r="D2504" t="s">
        <v>151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</row>
    <row r="2505" spans="1:21" x14ac:dyDescent="0.2">
      <c r="A2505" t="s">
        <v>897</v>
      </c>
      <c r="B2505">
        <v>280</v>
      </c>
      <c r="C2505">
        <v>1</v>
      </c>
      <c r="D2505" t="s">
        <v>152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</row>
    <row r="2506" spans="1:21" x14ac:dyDescent="0.2">
      <c r="A2506" t="s">
        <v>897</v>
      </c>
      <c r="B2506">
        <v>281</v>
      </c>
      <c r="C2506">
        <v>1</v>
      </c>
      <c r="D2506" t="s">
        <v>153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</row>
    <row r="2507" spans="1:21" x14ac:dyDescent="0.2">
      <c r="A2507" t="s">
        <v>897</v>
      </c>
      <c r="B2507">
        <v>282</v>
      </c>
      <c r="C2507">
        <v>1</v>
      </c>
      <c r="D2507" t="s">
        <v>154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1542.11</v>
      </c>
      <c r="L2507" s="3">
        <v>1542.11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</row>
    <row r="2508" spans="1:21" x14ac:dyDescent="0.2">
      <c r="A2508" t="s">
        <v>897</v>
      </c>
      <c r="B2508">
        <v>283</v>
      </c>
      <c r="C2508">
        <v>1</v>
      </c>
      <c r="D2508" t="s">
        <v>155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 s="3">
        <v>0</v>
      </c>
      <c r="S2508" s="3">
        <v>0</v>
      </c>
      <c r="T2508" s="3">
        <v>0</v>
      </c>
      <c r="U2508" s="3">
        <v>0</v>
      </c>
    </row>
    <row r="2509" spans="1:21" x14ac:dyDescent="0.2">
      <c r="A2509" t="s">
        <v>897</v>
      </c>
      <c r="B2509">
        <v>284</v>
      </c>
      <c r="C2509">
        <v>1</v>
      </c>
      <c r="D2509" t="s">
        <v>156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</row>
    <row r="2510" spans="1:21" x14ac:dyDescent="0.2">
      <c r="A2510" t="s">
        <v>897</v>
      </c>
      <c r="B2510">
        <v>286</v>
      </c>
      <c r="C2510">
        <v>1</v>
      </c>
      <c r="D2510" t="s">
        <v>157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</row>
    <row r="2511" spans="1:21" x14ac:dyDescent="0.2">
      <c r="A2511" t="s">
        <v>897</v>
      </c>
      <c r="B2511">
        <v>294</v>
      </c>
      <c r="C2511">
        <v>1</v>
      </c>
      <c r="D2511" t="s">
        <v>158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</row>
    <row r="2512" spans="1:21" x14ac:dyDescent="0.2">
      <c r="A2512" t="s">
        <v>897</v>
      </c>
      <c r="B2512">
        <v>297</v>
      </c>
      <c r="C2512">
        <v>1</v>
      </c>
      <c r="D2512" t="s">
        <v>159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837.86</v>
      </c>
      <c r="L2512" s="3">
        <v>837.86</v>
      </c>
      <c r="M2512" s="3">
        <v>837.86</v>
      </c>
      <c r="N2512" s="3">
        <v>837.86</v>
      </c>
      <c r="O2512" s="3">
        <v>590.95000000000005</v>
      </c>
      <c r="P2512" s="3">
        <v>590.95000000000005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</row>
    <row r="2513" spans="1:21" x14ac:dyDescent="0.2">
      <c r="A2513" t="s">
        <v>897</v>
      </c>
      <c r="B2513">
        <v>299</v>
      </c>
      <c r="C2513">
        <v>1</v>
      </c>
      <c r="D2513" t="s">
        <v>160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</row>
    <row r="2514" spans="1:21" x14ac:dyDescent="0.2">
      <c r="A2514" t="s">
        <v>897</v>
      </c>
      <c r="B2514">
        <v>300</v>
      </c>
      <c r="C2514">
        <v>1</v>
      </c>
      <c r="D2514" t="s">
        <v>161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</row>
    <row r="2515" spans="1:21" x14ac:dyDescent="0.2">
      <c r="A2515" t="s">
        <v>897</v>
      </c>
      <c r="B2515">
        <v>306</v>
      </c>
      <c r="C2515">
        <v>1</v>
      </c>
      <c r="D2515" t="s">
        <v>162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</row>
    <row r="2516" spans="1:21" x14ac:dyDescent="0.2">
      <c r="A2516" t="s">
        <v>897</v>
      </c>
      <c r="B2516">
        <v>308</v>
      </c>
      <c r="C2516">
        <v>1</v>
      </c>
      <c r="D2516" t="s">
        <v>163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</row>
    <row r="2517" spans="1:21" x14ac:dyDescent="0.2">
      <c r="A2517" t="s">
        <v>897</v>
      </c>
      <c r="B2517">
        <v>309</v>
      </c>
      <c r="C2517">
        <v>1</v>
      </c>
      <c r="D2517" t="s">
        <v>164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</row>
    <row r="2518" spans="1:21" x14ac:dyDescent="0.2">
      <c r="A2518" t="s">
        <v>897</v>
      </c>
      <c r="B2518">
        <v>314</v>
      </c>
      <c r="C2518">
        <v>1</v>
      </c>
      <c r="D2518" t="s">
        <v>165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</row>
    <row r="2519" spans="1:21" x14ac:dyDescent="0.2">
      <c r="A2519" t="s">
        <v>897</v>
      </c>
      <c r="B2519">
        <v>316</v>
      </c>
      <c r="C2519">
        <v>1</v>
      </c>
      <c r="D2519" t="s">
        <v>166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</row>
    <row r="2520" spans="1:21" x14ac:dyDescent="0.2">
      <c r="A2520" t="s">
        <v>897</v>
      </c>
      <c r="B2520">
        <v>317</v>
      </c>
      <c r="C2520">
        <v>1</v>
      </c>
      <c r="D2520" t="s">
        <v>167</v>
      </c>
      <c r="E2520" s="3">
        <v>0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</row>
    <row r="2521" spans="1:21" x14ac:dyDescent="0.2">
      <c r="A2521" t="s">
        <v>897</v>
      </c>
      <c r="B2521">
        <v>318</v>
      </c>
      <c r="C2521">
        <v>1</v>
      </c>
      <c r="D2521" t="s">
        <v>168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</row>
    <row r="2522" spans="1:21" x14ac:dyDescent="0.2">
      <c r="A2522" t="s">
        <v>897</v>
      </c>
      <c r="B2522">
        <v>319</v>
      </c>
      <c r="C2522">
        <v>1</v>
      </c>
      <c r="D2522" t="s">
        <v>169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0</v>
      </c>
      <c r="U2522" s="3">
        <v>0</v>
      </c>
    </row>
    <row r="2523" spans="1:21" x14ac:dyDescent="0.2">
      <c r="A2523" t="s">
        <v>897</v>
      </c>
      <c r="B2523">
        <v>323</v>
      </c>
      <c r="C2523">
        <v>2</v>
      </c>
      <c r="D2523" t="s">
        <v>170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</row>
    <row r="2524" spans="1:21" x14ac:dyDescent="0.2">
      <c r="A2524" t="s">
        <v>897</v>
      </c>
      <c r="B2524">
        <v>330</v>
      </c>
      <c r="C2524">
        <v>1</v>
      </c>
      <c r="D2524" t="s">
        <v>171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</row>
    <row r="2525" spans="1:21" x14ac:dyDescent="0.2">
      <c r="A2525" t="s">
        <v>897</v>
      </c>
      <c r="B2525">
        <v>332</v>
      </c>
      <c r="C2525">
        <v>1</v>
      </c>
      <c r="D2525" t="s">
        <v>172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0</v>
      </c>
      <c r="U2525" s="3">
        <v>0</v>
      </c>
    </row>
    <row r="2526" spans="1:21" x14ac:dyDescent="0.2">
      <c r="A2526" t="s">
        <v>897</v>
      </c>
      <c r="B2526">
        <v>333</v>
      </c>
      <c r="C2526">
        <v>1</v>
      </c>
      <c r="D2526" t="s">
        <v>173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</row>
    <row r="2527" spans="1:21" x14ac:dyDescent="0.2">
      <c r="A2527" t="s">
        <v>897</v>
      </c>
      <c r="B2527">
        <v>345</v>
      </c>
      <c r="C2527">
        <v>1</v>
      </c>
      <c r="D2527" t="s">
        <v>174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</row>
    <row r="2528" spans="1:21" x14ac:dyDescent="0.2">
      <c r="A2528" t="s">
        <v>897</v>
      </c>
      <c r="B2528">
        <v>347</v>
      </c>
      <c r="C2528">
        <v>1</v>
      </c>
      <c r="D2528" t="s">
        <v>175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</row>
    <row r="2529" spans="1:21" x14ac:dyDescent="0.2">
      <c r="A2529" t="s">
        <v>897</v>
      </c>
      <c r="B2529">
        <v>356</v>
      </c>
      <c r="C2529">
        <v>1</v>
      </c>
      <c r="D2529" t="s">
        <v>176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</row>
    <row r="2530" spans="1:21" x14ac:dyDescent="0.2">
      <c r="A2530" t="s">
        <v>897</v>
      </c>
      <c r="B2530">
        <v>361</v>
      </c>
      <c r="C2530">
        <v>1</v>
      </c>
      <c r="D2530" t="s">
        <v>177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</row>
    <row r="2531" spans="1:21" x14ac:dyDescent="0.2">
      <c r="A2531" t="s">
        <v>897</v>
      </c>
      <c r="B2531">
        <v>362</v>
      </c>
      <c r="C2531">
        <v>1</v>
      </c>
      <c r="D2531" t="s">
        <v>178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</row>
    <row r="2532" spans="1:21" x14ac:dyDescent="0.2">
      <c r="A2532" t="s">
        <v>897</v>
      </c>
      <c r="B2532">
        <v>363</v>
      </c>
      <c r="C2532">
        <v>1</v>
      </c>
      <c r="D2532" t="s">
        <v>179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</row>
    <row r="2533" spans="1:21" x14ac:dyDescent="0.2">
      <c r="A2533" t="s">
        <v>897</v>
      </c>
      <c r="B2533">
        <v>371</v>
      </c>
      <c r="C2533">
        <v>1</v>
      </c>
      <c r="D2533" t="s">
        <v>180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</row>
    <row r="2534" spans="1:21" x14ac:dyDescent="0.2">
      <c r="A2534" t="s">
        <v>897</v>
      </c>
      <c r="B2534">
        <v>378</v>
      </c>
      <c r="C2534">
        <v>1</v>
      </c>
      <c r="D2534" t="s">
        <v>181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</row>
    <row r="2535" spans="1:21" x14ac:dyDescent="0.2">
      <c r="A2535" t="s">
        <v>897</v>
      </c>
      <c r="B2535">
        <v>381</v>
      </c>
      <c r="C2535">
        <v>1</v>
      </c>
      <c r="D2535" t="s">
        <v>182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</row>
    <row r="2536" spans="1:21" x14ac:dyDescent="0.2">
      <c r="A2536" t="s">
        <v>897</v>
      </c>
      <c r="B2536">
        <v>390</v>
      </c>
      <c r="C2536">
        <v>1</v>
      </c>
      <c r="D2536" t="s">
        <v>183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</row>
    <row r="2537" spans="1:21" x14ac:dyDescent="0.2">
      <c r="A2537" t="s">
        <v>897</v>
      </c>
      <c r="B2537">
        <v>391</v>
      </c>
      <c r="C2537">
        <v>1</v>
      </c>
      <c r="D2537" t="s">
        <v>184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</row>
    <row r="2538" spans="1:21" x14ac:dyDescent="0.2">
      <c r="A2538" t="s">
        <v>897</v>
      </c>
      <c r="B2538">
        <v>392</v>
      </c>
      <c r="C2538">
        <v>1</v>
      </c>
      <c r="D2538" t="s">
        <v>185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</row>
    <row r="2539" spans="1:21" x14ac:dyDescent="0.2">
      <c r="A2539" t="s">
        <v>897</v>
      </c>
      <c r="B2539">
        <v>394</v>
      </c>
      <c r="C2539">
        <v>1</v>
      </c>
      <c r="D2539" t="s">
        <v>186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</row>
    <row r="2540" spans="1:21" x14ac:dyDescent="0.2">
      <c r="A2540" t="s">
        <v>897</v>
      </c>
      <c r="B2540">
        <v>402</v>
      </c>
      <c r="C2540">
        <v>1</v>
      </c>
      <c r="D2540" t="s">
        <v>187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</row>
    <row r="2541" spans="1:21" x14ac:dyDescent="0.2">
      <c r="A2541" t="s">
        <v>897</v>
      </c>
      <c r="B2541">
        <v>403</v>
      </c>
      <c r="C2541">
        <v>1</v>
      </c>
      <c r="D2541" t="s">
        <v>188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</row>
    <row r="2542" spans="1:21" x14ac:dyDescent="0.2">
      <c r="A2542" t="s">
        <v>897</v>
      </c>
      <c r="B2542">
        <v>404</v>
      </c>
      <c r="C2542">
        <v>1</v>
      </c>
      <c r="D2542" t="s">
        <v>189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</row>
    <row r="2543" spans="1:21" x14ac:dyDescent="0.2">
      <c r="A2543" t="s">
        <v>897</v>
      </c>
      <c r="B2543">
        <v>409</v>
      </c>
      <c r="C2543">
        <v>1</v>
      </c>
      <c r="D2543" t="s">
        <v>190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</row>
    <row r="2544" spans="1:21" x14ac:dyDescent="0.2">
      <c r="A2544" t="s">
        <v>897</v>
      </c>
      <c r="B2544">
        <v>411</v>
      </c>
      <c r="C2544">
        <v>1</v>
      </c>
      <c r="D2544" t="s">
        <v>191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</row>
    <row r="2545" spans="1:21" x14ac:dyDescent="0.2">
      <c r="A2545" t="s">
        <v>897</v>
      </c>
      <c r="B2545">
        <v>413</v>
      </c>
      <c r="C2545">
        <v>1</v>
      </c>
      <c r="D2545" t="s">
        <v>192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</row>
    <row r="2546" spans="1:21" x14ac:dyDescent="0.2">
      <c r="A2546" t="s">
        <v>897</v>
      </c>
      <c r="B2546">
        <v>414</v>
      </c>
      <c r="C2546">
        <v>1</v>
      </c>
      <c r="D2546" t="s">
        <v>193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</row>
    <row r="2547" spans="1:21" x14ac:dyDescent="0.2">
      <c r="A2547" t="s">
        <v>897</v>
      </c>
      <c r="B2547">
        <v>415</v>
      </c>
      <c r="C2547">
        <v>1</v>
      </c>
      <c r="D2547" t="s">
        <v>194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</row>
    <row r="2548" spans="1:21" x14ac:dyDescent="0.2">
      <c r="A2548" t="s">
        <v>897</v>
      </c>
      <c r="B2548">
        <v>417</v>
      </c>
      <c r="C2548">
        <v>1</v>
      </c>
      <c r="D2548" t="s">
        <v>195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425.47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</row>
    <row r="2549" spans="1:21" x14ac:dyDescent="0.2">
      <c r="A2549" t="s">
        <v>897</v>
      </c>
      <c r="B2549">
        <v>418</v>
      </c>
      <c r="C2549">
        <v>1</v>
      </c>
      <c r="D2549" t="s">
        <v>196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</row>
    <row r="2550" spans="1:21" x14ac:dyDescent="0.2">
      <c r="A2550" t="s">
        <v>897</v>
      </c>
      <c r="B2550">
        <v>423</v>
      </c>
      <c r="C2550">
        <v>1</v>
      </c>
      <c r="D2550" t="s">
        <v>197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</row>
    <row r="2551" spans="1:21" x14ac:dyDescent="0.2">
      <c r="A2551" t="s">
        <v>897</v>
      </c>
      <c r="B2551">
        <v>424</v>
      </c>
      <c r="C2551">
        <v>1</v>
      </c>
      <c r="D2551" t="s">
        <v>198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</row>
    <row r="2552" spans="1:21" x14ac:dyDescent="0.2">
      <c r="A2552" t="s">
        <v>897</v>
      </c>
      <c r="B2552">
        <v>432</v>
      </c>
      <c r="C2552">
        <v>1</v>
      </c>
      <c r="D2552" t="s">
        <v>199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</row>
    <row r="2553" spans="1:21" x14ac:dyDescent="0.2">
      <c r="A2553" t="s">
        <v>897</v>
      </c>
      <c r="B2553">
        <v>435</v>
      </c>
      <c r="C2553">
        <v>1</v>
      </c>
      <c r="D2553" t="s">
        <v>200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</row>
    <row r="2554" spans="1:21" x14ac:dyDescent="0.2">
      <c r="A2554" t="s">
        <v>897</v>
      </c>
      <c r="B2554">
        <v>441</v>
      </c>
      <c r="C2554">
        <v>1</v>
      </c>
      <c r="D2554" t="s">
        <v>201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</row>
    <row r="2555" spans="1:21" x14ac:dyDescent="0.2">
      <c r="A2555" t="s">
        <v>897</v>
      </c>
      <c r="B2555">
        <v>447</v>
      </c>
      <c r="C2555">
        <v>1</v>
      </c>
      <c r="D2555" t="s">
        <v>202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</row>
    <row r="2556" spans="1:21" x14ac:dyDescent="0.2">
      <c r="A2556" t="s">
        <v>897</v>
      </c>
      <c r="B2556">
        <v>458</v>
      </c>
      <c r="C2556">
        <v>1</v>
      </c>
      <c r="D2556" t="s">
        <v>203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 s="3">
        <v>0</v>
      </c>
    </row>
    <row r="2557" spans="1:21" x14ac:dyDescent="0.2">
      <c r="A2557" t="s">
        <v>897</v>
      </c>
      <c r="B2557">
        <v>463</v>
      </c>
      <c r="C2557">
        <v>1</v>
      </c>
      <c r="D2557" t="s">
        <v>204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225.18</v>
      </c>
      <c r="L2557" s="3">
        <v>225.18</v>
      </c>
      <c r="M2557" s="3">
        <v>225.18</v>
      </c>
      <c r="N2557" s="3">
        <v>225.18</v>
      </c>
      <c r="O2557" s="3">
        <v>225.18</v>
      </c>
      <c r="P2557" s="3">
        <v>225.18</v>
      </c>
      <c r="Q2557" s="3">
        <v>0</v>
      </c>
      <c r="R2557" s="3">
        <v>0</v>
      </c>
      <c r="S2557" s="3">
        <v>0</v>
      </c>
      <c r="T2557" s="3">
        <v>0</v>
      </c>
      <c r="U2557" s="3">
        <v>0</v>
      </c>
    </row>
    <row r="2558" spans="1:21" x14ac:dyDescent="0.2">
      <c r="A2558" t="s">
        <v>897</v>
      </c>
      <c r="B2558">
        <v>465</v>
      </c>
      <c r="C2558">
        <v>1</v>
      </c>
      <c r="D2558" t="s">
        <v>205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0</v>
      </c>
      <c r="U2558" s="3">
        <v>0</v>
      </c>
    </row>
    <row r="2559" spans="1:21" x14ac:dyDescent="0.2">
      <c r="A2559" t="s">
        <v>897</v>
      </c>
      <c r="B2559">
        <v>466</v>
      </c>
      <c r="C2559">
        <v>1</v>
      </c>
      <c r="D2559" t="s">
        <v>206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</row>
    <row r="2560" spans="1:21" x14ac:dyDescent="0.2">
      <c r="A2560" t="s">
        <v>897</v>
      </c>
      <c r="B2560">
        <v>473</v>
      </c>
      <c r="C2560">
        <v>1</v>
      </c>
      <c r="D2560" t="s">
        <v>207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</row>
    <row r="2561" spans="1:21" x14ac:dyDescent="0.2">
      <c r="A2561" t="s">
        <v>897</v>
      </c>
      <c r="B2561">
        <v>477</v>
      </c>
      <c r="C2561">
        <v>1</v>
      </c>
      <c r="D2561" t="s">
        <v>208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</row>
    <row r="2562" spans="1:21" x14ac:dyDescent="0.2">
      <c r="A2562" t="s">
        <v>897</v>
      </c>
      <c r="B2562">
        <v>480</v>
      </c>
      <c r="C2562">
        <v>1</v>
      </c>
      <c r="D2562" t="s">
        <v>209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</row>
    <row r="2563" spans="1:21" x14ac:dyDescent="0.2">
      <c r="A2563" t="s">
        <v>897</v>
      </c>
      <c r="B2563">
        <v>482</v>
      </c>
      <c r="C2563">
        <v>1</v>
      </c>
      <c r="D2563" t="s">
        <v>210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</row>
    <row r="2564" spans="1:21" x14ac:dyDescent="0.2">
      <c r="A2564" t="s">
        <v>897</v>
      </c>
      <c r="B2564">
        <v>484</v>
      </c>
      <c r="C2564">
        <v>1</v>
      </c>
      <c r="D2564" t="s">
        <v>211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</row>
    <row r="2565" spans="1:21" x14ac:dyDescent="0.2">
      <c r="A2565" t="s">
        <v>897</v>
      </c>
      <c r="B2565">
        <v>485</v>
      </c>
      <c r="C2565">
        <v>1</v>
      </c>
      <c r="D2565" t="s">
        <v>212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0</v>
      </c>
    </row>
    <row r="2566" spans="1:21" x14ac:dyDescent="0.2">
      <c r="A2566" t="s">
        <v>897</v>
      </c>
      <c r="B2566">
        <v>486</v>
      </c>
      <c r="C2566">
        <v>1</v>
      </c>
      <c r="D2566" t="s">
        <v>213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</row>
    <row r="2567" spans="1:21" x14ac:dyDescent="0.2">
      <c r="A2567" t="s">
        <v>897</v>
      </c>
      <c r="B2567">
        <v>487</v>
      </c>
      <c r="C2567">
        <v>1</v>
      </c>
      <c r="D2567" t="s">
        <v>214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</row>
    <row r="2568" spans="1:21" x14ac:dyDescent="0.2">
      <c r="A2568" t="s">
        <v>897</v>
      </c>
      <c r="B2568">
        <v>492</v>
      </c>
      <c r="C2568">
        <v>1</v>
      </c>
      <c r="D2568" t="s">
        <v>215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</row>
    <row r="2569" spans="1:21" x14ac:dyDescent="0.2">
      <c r="A2569" t="s">
        <v>897</v>
      </c>
      <c r="B2569">
        <v>495</v>
      </c>
      <c r="C2569">
        <v>1</v>
      </c>
      <c r="D2569" t="s">
        <v>216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</row>
    <row r="2570" spans="1:21" x14ac:dyDescent="0.2">
      <c r="A2570" t="s">
        <v>897</v>
      </c>
      <c r="B2570">
        <v>497</v>
      </c>
      <c r="C2570">
        <v>1</v>
      </c>
      <c r="D2570" t="s">
        <v>217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</row>
    <row r="2571" spans="1:21" x14ac:dyDescent="0.2">
      <c r="A2571" t="s">
        <v>897</v>
      </c>
      <c r="B2571">
        <v>499</v>
      </c>
      <c r="C2571">
        <v>1</v>
      </c>
      <c r="D2571" t="s">
        <v>218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</row>
    <row r="2572" spans="1:21" x14ac:dyDescent="0.2">
      <c r="A2572" t="s">
        <v>897</v>
      </c>
      <c r="B2572">
        <v>500</v>
      </c>
      <c r="C2572">
        <v>1</v>
      </c>
      <c r="D2572" t="s">
        <v>219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</row>
    <row r="2573" spans="1:21" x14ac:dyDescent="0.2">
      <c r="A2573" t="s">
        <v>897</v>
      </c>
      <c r="B2573">
        <v>505</v>
      </c>
      <c r="C2573">
        <v>1</v>
      </c>
      <c r="D2573" t="s">
        <v>220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  <c r="T2573" s="3">
        <v>0</v>
      </c>
      <c r="U2573" s="3">
        <v>0</v>
      </c>
    </row>
    <row r="2574" spans="1:21" x14ac:dyDescent="0.2">
      <c r="A2574" t="s">
        <v>897</v>
      </c>
      <c r="B2574">
        <v>507</v>
      </c>
      <c r="C2574">
        <v>1</v>
      </c>
      <c r="D2574" t="s">
        <v>221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</row>
    <row r="2575" spans="1:21" x14ac:dyDescent="0.2">
      <c r="A2575" t="s">
        <v>897</v>
      </c>
      <c r="B2575">
        <v>508</v>
      </c>
      <c r="C2575">
        <v>1</v>
      </c>
      <c r="D2575" t="s">
        <v>222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</row>
    <row r="2576" spans="1:21" x14ac:dyDescent="0.2">
      <c r="A2576" t="s">
        <v>897</v>
      </c>
      <c r="B2576">
        <v>511</v>
      </c>
      <c r="C2576">
        <v>1</v>
      </c>
      <c r="D2576" t="s">
        <v>223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</row>
    <row r="2577" spans="1:21" x14ac:dyDescent="0.2">
      <c r="A2577" t="s">
        <v>897</v>
      </c>
      <c r="B2577">
        <v>513</v>
      </c>
      <c r="C2577">
        <v>1</v>
      </c>
      <c r="D2577" t="s">
        <v>224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</row>
    <row r="2578" spans="1:21" x14ac:dyDescent="0.2">
      <c r="A2578" t="s">
        <v>897</v>
      </c>
      <c r="B2578">
        <v>514</v>
      </c>
      <c r="C2578">
        <v>1</v>
      </c>
      <c r="D2578" t="s">
        <v>225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</row>
    <row r="2579" spans="1:21" x14ac:dyDescent="0.2">
      <c r="A2579" t="s">
        <v>897</v>
      </c>
      <c r="B2579">
        <v>516</v>
      </c>
      <c r="C2579">
        <v>1</v>
      </c>
      <c r="D2579" t="s">
        <v>226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0</v>
      </c>
    </row>
    <row r="2580" spans="1:21" x14ac:dyDescent="0.2">
      <c r="A2580" t="s">
        <v>897</v>
      </c>
      <c r="B2580">
        <v>518</v>
      </c>
      <c r="C2580">
        <v>1</v>
      </c>
      <c r="D2580" t="s">
        <v>227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</row>
    <row r="2581" spans="1:21" x14ac:dyDescent="0.2">
      <c r="A2581" t="s">
        <v>897</v>
      </c>
      <c r="B2581">
        <v>531</v>
      </c>
      <c r="C2581">
        <v>1</v>
      </c>
      <c r="D2581" t="s">
        <v>228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</row>
    <row r="2582" spans="1:21" x14ac:dyDescent="0.2">
      <c r="A2582" t="s">
        <v>897</v>
      </c>
      <c r="B2582">
        <v>533</v>
      </c>
      <c r="C2582">
        <v>1</v>
      </c>
      <c r="D2582" t="s">
        <v>229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0</v>
      </c>
      <c r="U2582" s="3">
        <v>0</v>
      </c>
    </row>
    <row r="2583" spans="1:21" x14ac:dyDescent="0.2">
      <c r="A2583" t="s">
        <v>897</v>
      </c>
      <c r="B2583">
        <v>534</v>
      </c>
      <c r="C2583">
        <v>1</v>
      </c>
      <c r="D2583" t="s">
        <v>230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0</v>
      </c>
    </row>
    <row r="2584" spans="1:21" x14ac:dyDescent="0.2">
      <c r="A2584" t="s">
        <v>897</v>
      </c>
      <c r="B2584">
        <v>535</v>
      </c>
      <c r="C2584">
        <v>1</v>
      </c>
      <c r="D2584" t="s">
        <v>231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  <c r="S2584" s="3">
        <v>0</v>
      </c>
      <c r="T2584" s="3">
        <v>0</v>
      </c>
      <c r="U2584" s="3">
        <v>0</v>
      </c>
    </row>
    <row r="2585" spans="1:21" x14ac:dyDescent="0.2">
      <c r="A2585" t="s">
        <v>897</v>
      </c>
      <c r="B2585">
        <v>542</v>
      </c>
      <c r="C2585">
        <v>1</v>
      </c>
      <c r="D2585" t="s">
        <v>232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</row>
    <row r="2586" spans="1:21" x14ac:dyDescent="0.2">
      <c r="A2586" t="s">
        <v>897</v>
      </c>
      <c r="B2586">
        <v>544</v>
      </c>
      <c r="C2586">
        <v>1</v>
      </c>
      <c r="D2586" t="s">
        <v>233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  <c r="S2586" s="3">
        <v>0</v>
      </c>
      <c r="T2586" s="3">
        <v>0</v>
      </c>
      <c r="U2586" s="3">
        <v>0</v>
      </c>
    </row>
    <row r="2587" spans="1:21" x14ac:dyDescent="0.2">
      <c r="A2587" t="s">
        <v>897</v>
      </c>
      <c r="B2587">
        <v>545</v>
      </c>
      <c r="C2587">
        <v>1</v>
      </c>
      <c r="D2587" t="s">
        <v>234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0</v>
      </c>
    </row>
    <row r="2588" spans="1:21" x14ac:dyDescent="0.2">
      <c r="A2588" t="s">
        <v>897</v>
      </c>
      <c r="B2588">
        <v>547</v>
      </c>
      <c r="C2588">
        <v>1</v>
      </c>
      <c r="D2588" t="s">
        <v>235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 s="3">
        <v>0</v>
      </c>
    </row>
    <row r="2589" spans="1:21" x14ac:dyDescent="0.2">
      <c r="A2589" t="s">
        <v>897</v>
      </c>
      <c r="B2589">
        <v>548</v>
      </c>
      <c r="C2589">
        <v>1</v>
      </c>
      <c r="D2589" t="s">
        <v>236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</row>
    <row r="2590" spans="1:21" x14ac:dyDescent="0.2">
      <c r="A2590" t="s">
        <v>897</v>
      </c>
      <c r="B2590">
        <v>549</v>
      </c>
      <c r="C2590">
        <v>1</v>
      </c>
      <c r="D2590" t="s">
        <v>237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</row>
    <row r="2591" spans="1:21" x14ac:dyDescent="0.2">
      <c r="A2591" t="s">
        <v>897</v>
      </c>
      <c r="B2591">
        <v>550</v>
      </c>
      <c r="C2591">
        <v>1</v>
      </c>
      <c r="D2591" t="s">
        <v>238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</row>
    <row r="2592" spans="1:21" x14ac:dyDescent="0.2">
      <c r="A2592" t="s">
        <v>897</v>
      </c>
      <c r="B2592">
        <v>553</v>
      </c>
      <c r="C2592">
        <v>1</v>
      </c>
      <c r="D2592" t="s">
        <v>239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3">
        <v>0</v>
      </c>
    </row>
    <row r="2593" spans="1:21" x14ac:dyDescent="0.2">
      <c r="A2593" t="s">
        <v>897</v>
      </c>
      <c r="B2593">
        <v>561</v>
      </c>
      <c r="C2593">
        <v>1</v>
      </c>
      <c r="D2593" t="s">
        <v>240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3">
        <v>0</v>
      </c>
      <c r="R2593" s="3">
        <v>0</v>
      </c>
      <c r="S2593" s="3">
        <v>0</v>
      </c>
      <c r="T2593" s="3">
        <v>0</v>
      </c>
      <c r="U2593" s="3">
        <v>0</v>
      </c>
    </row>
    <row r="2594" spans="1:21" x14ac:dyDescent="0.2">
      <c r="A2594" t="s">
        <v>897</v>
      </c>
      <c r="B2594">
        <v>564</v>
      </c>
      <c r="C2594">
        <v>1</v>
      </c>
      <c r="D2594" t="s">
        <v>241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3">
        <v>0</v>
      </c>
      <c r="S2594" s="3">
        <v>0</v>
      </c>
      <c r="T2594" s="3">
        <v>0</v>
      </c>
      <c r="U2594" s="3">
        <v>0</v>
      </c>
    </row>
    <row r="2595" spans="1:21" x14ac:dyDescent="0.2">
      <c r="A2595" t="s">
        <v>897</v>
      </c>
      <c r="B2595">
        <v>577</v>
      </c>
      <c r="C2595">
        <v>1</v>
      </c>
      <c r="D2595" t="s">
        <v>242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</row>
    <row r="2596" spans="1:21" x14ac:dyDescent="0.2">
      <c r="A2596" t="s">
        <v>897</v>
      </c>
      <c r="B2596">
        <v>578</v>
      </c>
      <c r="C2596">
        <v>1</v>
      </c>
      <c r="D2596" t="s">
        <v>243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</row>
    <row r="2597" spans="1:21" x14ac:dyDescent="0.2">
      <c r="A2597" t="s">
        <v>897</v>
      </c>
      <c r="B2597">
        <v>581</v>
      </c>
      <c r="C2597">
        <v>1</v>
      </c>
      <c r="D2597" t="s">
        <v>244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  <c r="T2597" s="3">
        <v>0</v>
      </c>
      <c r="U2597" s="3">
        <v>0</v>
      </c>
    </row>
    <row r="2598" spans="1:21" x14ac:dyDescent="0.2">
      <c r="A2598" t="s">
        <v>897</v>
      </c>
      <c r="B2598">
        <v>584</v>
      </c>
      <c r="C2598">
        <v>1</v>
      </c>
      <c r="D2598" t="s">
        <v>245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3">
        <v>0</v>
      </c>
      <c r="T2598" s="3">
        <v>0</v>
      </c>
      <c r="U2598" s="3">
        <v>0</v>
      </c>
    </row>
    <row r="2599" spans="1:21" x14ac:dyDescent="0.2">
      <c r="A2599" t="s">
        <v>897</v>
      </c>
      <c r="B2599">
        <v>592</v>
      </c>
      <c r="C2599">
        <v>1</v>
      </c>
      <c r="D2599" t="s">
        <v>246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</row>
    <row r="2600" spans="1:21" x14ac:dyDescent="0.2">
      <c r="A2600" t="s">
        <v>897</v>
      </c>
      <c r="B2600">
        <v>593</v>
      </c>
      <c r="C2600">
        <v>1</v>
      </c>
      <c r="D2600" t="s">
        <v>247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  <c r="T2600" s="3">
        <v>0</v>
      </c>
      <c r="U2600" s="3">
        <v>0</v>
      </c>
    </row>
    <row r="2601" spans="1:21" x14ac:dyDescent="0.2">
      <c r="A2601" t="s">
        <v>897</v>
      </c>
      <c r="B2601">
        <v>595</v>
      </c>
      <c r="C2601">
        <v>1</v>
      </c>
      <c r="D2601" t="s">
        <v>248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3">
        <v>0</v>
      </c>
    </row>
    <row r="2602" spans="1:21" x14ac:dyDescent="0.2">
      <c r="A2602" t="s">
        <v>897</v>
      </c>
      <c r="B2602">
        <v>599</v>
      </c>
      <c r="C2602">
        <v>1</v>
      </c>
      <c r="D2602" t="s">
        <v>249</v>
      </c>
      <c r="E2602" s="3">
        <v>0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  <c r="T2602" s="3">
        <v>0</v>
      </c>
      <c r="U2602" s="3">
        <v>0</v>
      </c>
    </row>
    <row r="2603" spans="1:21" x14ac:dyDescent="0.2">
      <c r="A2603" t="s">
        <v>897</v>
      </c>
      <c r="B2603">
        <v>600</v>
      </c>
      <c r="C2603">
        <v>1</v>
      </c>
      <c r="D2603" t="s">
        <v>250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  <c r="T2603" s="3">
        <v>0</v>
      </c>
      <c r="U2603" s="3">
        <v>0</v>
      </c>
    </row>
    <row r="2604" spans="1:21" x14ac:dyDescent="0.2">
      <c r="A2604" t="s">
        <v>897</v>
      </c>
      <c r="B2604">
        <v>601</v>
      </c>
      <c r="C2604">
        <v>1</v>
      </c>
      <c r="D2604" t="s">
        <v>251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  <c r="T2604" s="3">
        <v>0</v>
      </c>
      <c r="U2604" s="3">
        <v>0</v>
      </c>
    </row>
    <row r="2605" spans="1:21" x14ac:dyDescent="0.2">
      <c r="A2605" t="s">
        <v>897</v>
      </c>
      <c r="B2605">
        <v>611</v>
      </c>
      <c r="C2605">
        <v>1</v>
      </c>
      <c r="D2605" t="s">
        <v>252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 s="3">
        <v>0</v>
      </c>
    </row>
    <row r="2606" spans="1:21" x14ac:dyDescent="0.2">
      <c r="A2606" t="s">
        <v>897</v>
      </c>
      <c r="B2606">
        <v>621</v>
      </c>
      <c r="C2606">
        <v>1</v>
      </c>
      <c r="D2606" t="s">
        <v>253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</row>
    <row r="2607" spans="1:21" x14ac:dyDescent="0.2">
      <c r="A2607" t="s">
        <v>897</v>
      </c>
      <c r="B2607">
        <v>622</v>
      </c>
      <c r="C2607">
        <v>1</v>
      </c>
      <c r="D2607" t="s">
        <v>254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0</v>
      </c>
      <c r="U2607" s="3">
        <v>0</v>
      </c>
    </row>
    <row r="2608" spans="1:21" x14ac:dyDescent="0.2">
      <c r="A2608" t="s">
        <v>897</v>
      </c>
      <c r="B2608">
        <v>623</v>
      </c>
      <c r="C2608">
        <v>1</v>
      </c>
      <c r="D2608" t="s">
        <v>255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3">
        <v>0</v>
      </c>
    </row>
    <row r="2609" spans="1:21" x14ac:dyDescent="0.2">
      <c r="A2609" t="s">
        <v>897</v>
      </c>
      <c r="B2609">
        <v>624</v>
      </c>
      <c r="C2609">
        <v>1</v>
      </c>
      <c r="D2609" t="s">
        <v>256</v>
      </c>
      <c r="E2609" s="3">
        <v>0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3">
        <v>0</v>
      </c>
    </row>
    <row r="2610" spans="1:21" x14ac:dyDescent="0.2">
      <c r="A2610" t="s">
        <v>897</v>
      </c>
      <c r="B2610">
        <v>625</v>
      </c>
      <c r="C2610">
        <v>1</v>
      </c>
      <c r="D2610" t="s">
        <v>257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0</v>
      </c>
      <c r="U2610" s="3">
        <v>0</v>
      </c>
    </row>
    <row r="2611" spans="1:21" x14ac:dyDescent="0.2">
      <c r="A2611" t="s">
        <v>897</v>
      </c>
      <c r="B2611">
        <v>627</v>
      </c>
      <c r="C2611">
        <v>1</v>
      </c>
      <c r="D2611" t="s">
        <v>258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 s="3">
        <v>0</v>
      </c>
    </row>
    <row r="2612" spans="1:21" x14ac:dyDescent="0.2">
      <c r="A2612" t="s">
        <v>897</v>
      </c>
      <c r="B2612">
        <v>628</v>
      </c>
      <c r="C2612">
        <v>1</v>
      </c>
      <c r="D2612" t="s">
        <v>259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806.24</v>
      </c>
      <c r="L2612" s="3">
        <v>806.24</v>
      </c>
      <c r="M2612" s="3">
        <v>474.45</v>
      </c>
      <c r="N2612" s="3">
        <v>474.45</v>
      </c>
      <c r="O2612" s="3">
        <v>474.45</v>
      </c>
      <c r="P2612" s="3">
        <v>474.45</v>
      </c>
      <c r="Q2612" s="3">
        <v>0</v>
      </c>
      <c r="R2612" s="3">
        <v>0</v>
      </c>
      <c r="S2612" s="3">
        <v>0</v>
      </c>
      <c r="T2612" s="3">
        <v>0</v>
      </c>
      <c r="U2612" s="3">
        <v>0</v>
      </c>
    </row>
    <row r="2613" spans="1:21" x14ac:dyDescent="0.2">
      <c r="A2613" t="s">
        <v>897</v>
      </c>
      <c r="B2613">
        <v>630</v>
      </c>
      <c r="C2613">
        <v>1</v>
      </c>
      <c r="D2613" t="s">
        <v>260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0</v>
      </c>
    </row>
    <row r="2614" spans="1:21" x14ac:dyDescent="0.2">
      <c r="A2614" t="s">
        <v>897</v>
      </c>
      <c r="B2614">
        <v>635</v>
      </c>
      <c r="C2614">
        <v>1</v>
      </c>
      <c r="D2614" t="s">
        <v>261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 s="3">
        <v>0</v>
      </c>
    </row>
    <row r="2615" spans="1:21" x14ac:dyDescent="0.2">
      <c r="A2615" t="s">
        <v>897</v>
      </c>
      <c r="B2615">
        <v>640</v>
      </c>
      <c r="C2615">
        <v>1</v>
      </c>
      <c r="D2615" t="s">
        <v>262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0</v>
      </c>
    </row>
    <row r="2616" spans="1:21" x14ac:dyDescent="0.2">
      <c r="A2616" t="s">
        <v>897</v>
      </c>
      <c r="B2616">
        <v>656</v>
      </c>
      <c r="C2616">
        <v>1</v>
      </c>
      <c r="D2616" t="s">
        <v>263</v>
      </c>
      <c r="E2616" s="3">
        <v>0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 s="3">
        <v>0</v>
      </c>
    </row>
    <row r="2617" spans="1:21" x14ac:dyDescent="0.2">
      <c r="A2617" t="s">
        <v>897</v>
      </c>
      <c r="B2617">
        <v>659</v>
      </c>
      <c r="C2617">
        <v>1</v>
      </c>
      <c r="D2617" t="s">
        <v>264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3">
        <v>0</v>
      </c>
    </row>
    <row r="2618" spans="1:21" x14ac:dyDescent="0.2">
      <c r="A2618" t="s">
        <v>897</v>
      </c>
      <c r="B2618">
        <v>671</v>
      </c>
      <c r="C2618">
        <v>1</v>
      </c>
      <c r="D2618" t="s">
        <v>265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</row>
    <row r="2619" spans="1:21" x14ac:dyDescent="0.2">
      <c r="A2619" t="s">
        <v>897</v>
      </c>
      <c r="B2619">
        <v>676</v>
      </c>
      <c r="C2619">
        <v>1</v>
      </c>
      <c r="D2619" t="s">
        <v>266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</row>
    <row r="2620" spans="1:21" x14ac:dyDescent="0.2">
      <c r="A2620" t="s">
        <v>897</v>
      </c>
      <c r="B2620">
        <v>682</v>
      </c>
      <c r="C2620">
        <v>1</v>
      </c>
      <c r="D2620" t="s">
        <v>267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</row>
    <row r="2621" spans="1:21" x14ac:dyDescent="0.2">
      <c r="A2621" t="s">
        <v>897</v>
      </c>
      <c r="B2621">
        <v>690</v>
      </c>
      <c r="C2621">
        <v>1</v>
      </c>
      <c r="D2621" t="s">
        <v>268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</row>
    <row r="2622" spans="1:21" x14ac:dyDescent="0.2">
      <c r="A2622" t="s">
        <v>897</v>
      </c>
      <c r="B2622">
        <v>695</v>
      </c>
      <c r="C2622">
        <v>1</v>
      </c>
      <c r="D2622" t="s">
        <v>269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</row>
    <row r="2623" spans="1:21" x14ac:dyDescent="0.2">
      <c r="A2623" t="s">
        <v>897</v>
      </c>
      <c r="B2623">
        <v>696</v>
      </c>
      <c r="C2623">
        <v>1</v>
      </c>
      <c r="D2623" t="s">
        <v>270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</row>
    <row r="2624" spans="1:21" x14ac:dyDescent="0.2">
      <c r="A2624" t="s">
        <v>897</v>
      </c>
      <c r="B2624">
        <v>698</v>
      </c>
      <c r="C2624">
        <v>1</v>
      </c>
      <c r="D2624" t="s">
        <v>271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</row>
    <row r="2625" spans="1:21" x14ac:dyDescent="0.2">
      <c r="A2625" t="s">
        <v>897</v>
      </c>
      <c r="B2625">
        <v>700</v>
      </c>
      <c r="C2625">
        <v>1</v>
      </c>
      <c r="D2625" t="s">
        <v>272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 s="3">
        <v>0</v>
      </c>
    </row>
    <row r="2626" spans="1:21" x14ac:dyDescent="0.2">
      <c r="A2626" t="s">
        <v>897</v>
      </c>
      <c r="B2626">
        <v>701</v>
      </c>
      <c r="C2626">
        <v>1</v>
      </c>
      <c r="D2626" t="s">
        <v>273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</row>
    <row r="2627" spans="1:21" x14ac:dyDescent="0.2">
      <c r="A2627" t="s">
        <v>897</v>
      </c>
      <c r="B2627">
        <v>704</v>
      </c>
      <c r="C2627">
        <v>1</v>
      </c>
      <c r="D2627" t="s">
        <v>274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</row>
    <row r="2628" spans="1:21" x14ac:dyDescent="0.2">
      <c r="A2628" t="s">
        <v>897</v>
      </c>
      <c r="B2628">
        <v>706</v>
      </c>
      <c r="C2628">
        <v>1</v>
      </c>
      <c r="D2628" t="s">
        <v>275</v>
      </c>
      <c r="E2628" s="3">
        <v>0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</row>
    <row r="2629" spans="1:21" x14ac:dyDescent="0.2">
      <c r="A2629" t="s">
        <v>897</v>
      </c>
      <c r="B2629">
        <v>707</v>
      </c>
      <c r="C2629">
        <v>1</v>
      </c>
      <c r="D2629" t="s">
        <v>276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</row>
    <row r="2630" spans="1:21" x14ac:dyDescent="0.2">
      <c r="A2630" t="s">
        <v>897</v>
      </c>
      <c r="B2630">
        <v>709</v>
      </c>
      <c r="C2630">
        <v>1</v>
      </c>
      <c r="D2630" t="s">
        <v>277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</row>
    <row r="2631" spans="1:21" x14ac:dyDescent="0.2">
      <c r="A2631" t="s">
        <v>897</v>
      </c>
      <c r="B2631">
        <v>712</v>
      </c>
      <c r="C2631">
        <v>1</v>
      </c>
      <c r="D2631" t="s">
        <v>278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</row>
    <row r="2632" spans="1:21" x14ac:dyDescent="0.2">
      <c r="A2632" t="s">
        <v>897</v>
      </c>
      <c r="B2632">
        <v>716</v>
      </c>
      <c r="C2632">
        <v>1</v>
      </c>
      <c r="D2632" t="s">
        <v>279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</row>
    <row r="2633" spans="1:21" x14ac:dyDescent="0.2">
      <c r="A2633" t="s">
        <v>897</v>
      </c>
      <c r="B2633">
        <v>717</v>
      </c>
      <c r="C2633">
        <v>1</v>
      </c>
      <c r="D2633" t="s">
        <v>280</v>
      </c>
      <c r="E2633" s="3">
        <v>0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</row>
    <row r="2634" spans="1:21" x14ac:dyDescent="0.2">
      <c r="A2634" t="s">
        <v>897</v>
      </c>
      <c r="B2634">
        <v>719</v>
      </c>
      <c r="C2634">
        <v>1</v>
      </c>
      <c r="D2634" t="s">
        <v>281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  <c r="R2634" s="3">
        <v>0</v>
      </c>
      <c r="S2634" s="3">
        <v>0</v>
      </c>
      <c r="T2634" s="3">
        <v>0</v>
      </c>
      <c r="U2634" s="3">
        <v>0</v>
      </c>
    </row>
    <row r="2635" spans="1:21" x14ac:dyDescent="0.2">
      <c r="A2635" t="s">
        <v>897</v>
      </c>
      <c r="B2635">
        <v>720</v>
      </c>
      <c r="C2635">
        <v>1</v>
      </c>
      <c r="D2635" t="s">
        <v>282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</row>
    <row r="2636" spans="1:21" x14ac:dyDescent="0.2">
      <c r="A2636" t="s">
        <v>897</v>
      </c>
      <c r="B2636">
        <v>721</v>
      </c>
      <c r="C2636">
        <v>1</v>
      </c>
      <c r="D2636" t="s">
        <v>283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</row>
    <row r="2637" spans="1:21" x14ac:dyDescent="0.2">
      <c r="A2637" t="s">
        <v>897</v>
      </c>
      <c r="B2637">
        <v>726</v>
      </c>
      <c r="C2637">
        <v>1</v>
      </c>
      <c r="D2637" t="s">
        <v>284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</row>
    <row r="2638" spans="1:21" x14ac:dyDescent="0.2">
      <c r="A2638" t="s">
        <v>897</v>
      </c>
      <c r="B2638">
        <v>727</v>
      </c>
      <c r="C2638">
        <v>1</v>
      </c>
      <c r="D2638" t="s">
        <v>285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</row>
    <row r="2639" spans="1:21" x14ac:dyDescent="0.2">
      <c r="A2639" t="s">
        <v>897</v>
      </c>
      <c r="B2639">
        <v>728</v>
      </c>
      <c r="C2639">
        <v>1</v>
      </c>
      <c r="D2639" t="s">
        <v>286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</row>
    <row r="2640" spans="1:21" x14ac:dyDescent="0.2">
      <c r="A2640" t="s">
        <v>897</v>
      </c>
      <c r="B2640">
        <v>738</v>
      </c>
      <c r="C2640">
        <v>1</v>
      </c>
      <c r="D2640" t="s">
        <v>287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302.5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</row>
    <row r="2641" spans="1:21" x14ac:dyDescent="0.2">
      <c r="A2641" t="s">
        <v>897</v>
      </c>
      <c r="B2641">
        <v>739</v>
      </c>
      <c r="C2641">
        <v>1</v>
      </c>
      <c r="D2641" t="s">
        <v>288</v>
      </c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</row>
    <row r="2642" spans="1:21" x14ac:dyDescent="0.2">
      <c r="A2642" t="s">
        <v>897</v>
      </c>
      <c r="B2642">
        <v>740</v>
      </c>
      <c r="C2642">
        <v>1</v>
      </c>
      <c r="D2642" t="s">
        <v>289</v>
      </c>
      <c r="E2642" s="3">
        <v>0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</row>
    <row r="2643" spans="1:21" x14ac:dyDescent="0.2">
      <c r="A2643" t="s">
        <v>897</v>
      </c>
      <c r="B2643">
        <v>741</v>
      </c>
      <c r="C2643">
        <v>1</v>
      </c>
      <c r="D2643" t="s">
        <v>290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</row>
    <row r="2644" spans="1:21" x14ac:dyDescent="0.2">
      <c r="A2644" t="s">
        <v>897</v>
      </c>
      <c r="B2644">
        <v>742</v>
      </c>
      <c r="C2644">
        <v>1</v>
      </c>
      <c r="D2644" t="s">
        <v>291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 s="3">
        <v>0</v>
      </c>
    </row>
    <row r="2645" spans="1:21" x14ac:dyDescent="0.2">
      <c r="A2645" t="s">
        <v>897</v>
      </c>
      <c r="B2645">
        <v>743</v>
      </c>
      <c r="C2645">
        <v>1</v>
      </c>
      <c r="D2645" t="s">
        <v>292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</row>
    <row r="2646" spans="1:21" x14ac:dyDescent="0.2">
      <c r="A2646" t="s">
        <v>897</v>
      </c>
      <c r="B2646">
        <v>745</v>
      </c>
      <c r="C2646">
        <v>1</v>
      </c>
      <c r="D2646" t="s">
        <v>293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0</v>
      </c>
    </row>
    <row r="2647" spans="1:21" x14ac:dyDescent="0.2">
      <c r="A2647" t="s">
        <v>897</v>
      </c>
      <c r="B2647">
        <v>748</v>
      </c>
      <c r="C2647">
        <v>1</v>
      </c>
      <c r="D2647" t="s">
        <v>294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</row>
    <row r="2648" spans="1:21" x14ac:dyDescent="0.2">
      <c r="A2648" t="s">
        <v>897</v>
      </c>
      <c r="B2648">
        <v>750</v>
      </c>
      <c r="C2648">
        <v>1</v>
      </c>
      <c r="D2648" t="s">
        <v>295</v>
      </c>
      <c r="E2648" s="3">
        <v>0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</row>
    <row r="2649" spans="1:21" x14ac:dyDescent="0.2">
      <c r="A2649" t="s">
        <v>897</v>
      </c>
      <c r="B2649">
        <v>756</v>
      </c>
      <c r="C2649">
        <v>1</v>
      </c>
      <c r="D2649" t="s">
        <v>296</v>
      </c>
      <c r="E2649" s="3">
        <v>0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3">
        <v>0</v>
      </c>
    </row>
    <row r="2650" spans="1:21" x14ac:dyDescent="0.2">
      <c r="A2650" t="s">
        <v>897</v>
      </c>
      <c r="B2650">
        <v>761</v>
      </c>
      <c r="C2650">
        <v>1</v>
      </c>
      <c r="D2650" t="s">
        <v>297</v>
      </c>
      <c r="E2650" s="3">
        <v>0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</row>
    <row r="2651" spans="1:21" x14ac:dyDescent="0.2">
      <c r="A2651" t="s">
        <v>897</v>
      </c>
      <c r="B2651">
        <v>763</v>
      </c>
      <c r="C2651">
        <v>1</v>
      </c>
      <c r="D2651" t="s">
        <v>298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 s="3">
        <v>0</v>
      </c>
    </row>
    <row r="2652" spans="1:21" x14ac:dyDescent="0.2">
      <c r="A2652" t="s">
        <v>897</v>
      </c>
      <c r="B2652">
        <v>768</v>
      </c>
      <c r="C2652">
        <v>1</v>
      </c>
      <c r="D2652" t="s">
        <v>299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</row>
    <row r="2653" spans="1:21" x14ac:dyDescent="0.2">
      <c r="A2653" t="s">
        <v>897</v>
      </c>
      <c r="B2653">
        <v>769</v>
      </c>
      <c r="C2653">
        <v>1</v>
      </c>
      <c r="D2653" t="s">
        <v>300</v>
      </c>
      <c r="E2653" s="3">
        <v>0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</row>
    <row r="2654" spans="1:21" x14ac:dyDescent="0.2">
      <c r="A2654" t="s">
        <v>897</v>
      </c>
      <c r="B2654">
        <v>771</v>
      </c>
      <c r="C2654">
        <v>1</v>
      </c>
      <c r="D2654" t="s">
        <v>301</v>
      </c>
      <c r="E2654" s="3">
        <v>0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</row>
    <row r="2655" spans="1:21" x14ac:dyDescent="0.2">
      <c r="A2655" t="s">
        <v>897</v>
      </c>
      <c r="B2655">
        <v>775</v>
      </c>
      <c r="C2655">
        <v>1</v>
      </c>
      <c r="D2655" t="s">
        <v>302</v>
      </c>
      <c r="E2655" s="3">
        <v>0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</row>
    <row r="2656" spans="1:21" x14ac:dyDescent="0.2">
      <c r="A2656" t="s">
        <v>897</v>
      </c>
      <c r="B2656">
        <v>777</v>
      </c>
      <c r="C2656">
        <v>1</v>
      </c>
      <c r="D2656" t="s">
        <v>303</v>
      </c>
      <c r="E2656" s="3">
        <v>0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</row>
    <row r="2657" spans="1:21" x14ac:dyDescent="0.2">
      <c r="A2657" t="s">
        <v>897</v>
      </c>
      <c r="B2657">
        <v>786</v>
      </c>
      <c r="C2657">
        <v>1</v>
      </c>
      <c r="D2657" t="s">
        <v>304</v>
      </c>
      <c r="E2657" s="3">
        <v>0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</row>
    <row r="2658" spans="1:21" x14ac:dyDescent="0.2">
      <c r="A2658" t="s">
        <v>897</v>
      </c>
      <c r="B2658">
        <v>787</v>
      </c>
      <c r="C2658">
        <v>1</v>
      </c>
      <c r="D2658" t="s">
        <v>305</v>
      </c>
      <c r="E2658" s="3">
        <v>0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</row>
    <row r="2659" spans="1:21" x14ac:dyDescent="0.2">
      <c r="A2659" t="s">
        <v>897</v>
      </c>
      <c r="B2659">
        <v>801</v>
      </c>
      <c r="C2659">
        <v>1</v>
      </c>
      <c r="D2659" t="s">
        <v>306</v>
      </c>
      <c r="E2659" s="3">
        <v>0</v>
      </c>
      <c r="F2659" s="3">
        <v>0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</row>
    <row r="2660" spans="1:21" x14ac:dyDescent="0.2">
      <c r="A2660" t="s">
        <v>897</v>
      </c>
      <c r="B2660">
        <v>803</v>
      </c>
      <c r="C2660">
        <v>1</v>
      </c>
      <c r="D2660" t="s">
        <v>307</v>
      </c>
      <c r="E2660" s="3">
        <v>0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</row>
    <row r="2661" spans="1:21" x14ac:dyDescent="0.2">
      <c r="A2661" t="s">
        <v>897</v>
      </c>
      <c r="B2661">
        <v>806</v>
      </c>
      <c r="C2661">
        <v>1</v>
      </c>
      <c r="D2661" t="s">
        <v>308</v>
      </c>
      <c r="E2661" s="3">
        <v>0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</row>
    <row r="2662" spans="1:21" x14ac:dyDescent="0.2">
      <c r="A2662" t="s">
        <v>897</v>
      </c>
      <c r="B2662">
        <v>810</v>
      </c>
      <c r="C2662">
        <v>1</v>
      </c>
      <c r="D2662" t="s">
        <v>309</v>
      </c>
      <c r="E2662" s="3">
        <v>0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</v>
      </c>
    </row>
    <row r="2663" spans="1:21" x14ac:dyDescent="0.2">
      <c r="A2663" t="s">
        <v>897</v>
      </c>
      <c r="B2663">
        <v>811</v>
      </c>
      <c r="C2663">
        <v>1</v>
      </c>
      <c r="D2663" t="s">
        <v>310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</row>
    <row r="2664" spans="1:21" x14ac:dyDescent="0.2">
      <c r="A2664" t="s">
        <v>897</v>
      </c>
      <c r="B2664">
        <v>813</v>
      </c>
      <c r="C2664">
        <v>1</v>
      </c>
      <c r="D2664" t="s">
        <v>311</v>
      </c>
      <c r="E2664" s="3">
        <v>0</v>
      </c>
      <c r="F2664" s="3">
        <v>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</row>
    <row r="2665" spans="1:21" x14ac:dyDescent="0.2">
      <c r="A2665" t="s">
        <v>897</v>
      </c>
      <c r="B2665">
        <v>815</v>
      </c>
      <c r="C2665">
        <v>2</v>
      </c>
      <c r="D2665" t="s">
        <v>312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s="45">
        <v>4100</v>
      </c>
      <c r="K2665" s="45">
        <v>4100</v>
      </c>
      <c r="L2665" s="45">
        <v>4100</v>
      </c>
      <c r="M2665" s="45">
        <v>1100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</row>
    <row r="2666" spans="1:21" x14ac:dyDescent="0.2">
      <c r="A2666" t="s">
        <v>897</v>
      </c>
      <c r="B2666">
        <v>818</v>
      </c>
      <c r="C2666">
        <v>1</v>
      </c>
      <c r="D2666" t="s">
        <v>313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</row>
    <row r="2667" spans="1:21" x14ac:dyDescent="0.2">
      <c r="A2667" t="s">
        <v>897</v>
      </c>
      <c r="B2667">
        <v>820</v>
      </c>
      <c r="C2667">
        <v>1</v>
      </c>
      <c r="D2667" t="s">
        <v>314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</row>
    <row r="2668" spans="1:21" x14ac:dyDescent="0.2">
      <c r="A2668" t="s">
        <v>897</v>
      </c>
      <c r="B2668">
        <v>821</v>
      </c>
      <c r="C2668">
        <v>1</v>
      </c>
      <c r="D2668" t="s">
        <v>315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  <c r="T2668" s="3">
        <v>0</v>
      </c>
      <c r="U2668" s="3">
        <v>0</v>
      </c>
    </row>
    <row r="2669" spans="1:21" x14ac:dyDescent="0.2">
      <c r="A2669" t="s">
        <v>897</v>
      </c>
      <c r="B2669">
        <v>829</v>
      </c>
      <c r="C2669">
        <v>1</v>
      </c>
      <c r="D2669" t="s">
        <v>316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</row>
    <row r="2670" spans="1:21" x14ac:dyDescent="0.2">
      <c r="A2670" t="s">
        <v>897</v>
      </c>
      <c r="B2670">
        <v>831</v>
      </c>
      <c r="C2670">
        <v>1</v>
      </c>
      <c r="D2670" t="s">
        <v>317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</row>
    <row r="2671" spans="1:21" x14ac:dyDescent="0.2">
      <c r="A2671" t="s">
        <v>897</v>
      </c>
      <c r="B2671">
        <v>832</v>
      </c>
      <c r="C2671">
        <v>1</v>
      </c>
      <c r="D2671" t="s">
        <v>318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</row>
    <row r="2672" spans="1:21" x14ac:dyDescent="0.2">
      <c r="A2672" t="s">
        <v>897</v>
      </c>
      <c r="B2672">
        <v>833</v>
      </c>
      <c r="C2672">
        <v>1</v>
      </c>
      <c r="D2672" t="s">
        <v>319</v>
      </c>
      <c r="E2672" s="3">
        <v>0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</row>
    <row r="2673" spans="1:21" x14ac:dyDescent="0.2">
      <c r="A2673" t="s">
        <v>897</v>
      </c>
      <c r="B2673">
        <v>834</v>
      </c>
      <c r="C2673">
        <v>1</v>
      </c>
      <c r="D2673" t="s">
        <v>320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</row>
    <row r="2674" spans="1:21" x14ac:dyDescent="0.2">
      <c r="A2674" t="s">
        <v>897</v>
      </c>
      <c r="B2674">
        <v>836</v>
      </c>
      <c r="C2674">
        <v>1</v>
      </c>
      <c r="D2674" t="s">
        <v>321</v>
      </c>
      <c r="E2674" s="3">
        <v>0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822.57</v>
      </c>
      <c r="L2674" s="3">
        <v>822.57</v>
      </c>
      <c r="M2674" s="3">
        <v>219</v>
      </c>
      <c r="N2674" s="3">
        <v>219</v>
      </c>
      <c r="O2674" s="3">
        <v>219</v>
      </c>
      <c r="P2674" s="3">
        <v>219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</row>
    <row r="2675" spans="1:21" x14ac:dyDescent="0.2">
      <c r="A2675" t="s">
        <v>897</v>
      </c>
      <c r="B2675">
        <v>837</v>
      </c>
      <c r="C2675">
        <v>1</v>
      </c>
      <c r="D2675" t="s">
        <v>322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129.06</v>
      </c>
      <c r="L2675" s="3">
        <v>129.06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</row>
    <row r="2676" spans="1:21" x14ac:dyDescent="0.2">
      <c r="A2676" t="s">
        <v>897</v>
      </c>
      <c r="B2676">
        <v>840</v>
      </c>
      <c r="C2676">
        <v>1</v>
      </c>
      <c r="D2676" t="s">
        <v>323</v>
      </c>
      <c r="E2676" s="3">
        <v>0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0</v>
      </c>
      <c r="U2676" s="3">
        <v>0</v>
      </c>
    </row>
    <row r="2677" spans="1:21" x14ac:dyDescent="0.2">
      <c r="A2677" t="s">
        <v>897</v>
      </c>
      <c r="B2677">
        <v>846</v>
      </c>
      <c r="C2677">
        <v>1</v>
      </c>
      <c r="D2677" t="s">
        <v>324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  <c r="T2677" s="3">
        <v>0</v>
      </c>
      <c r="U2677" s="3">
        <v>0</v>
      </c>
    </row>
    <row r="2678" spans="1:21" x14ac:dyDescent="0.2">
      <c r="A2678" t="s">
        <v>897</v>
      </c>
      <c r="B2678">
        <v>850</v>
      </c>
      <c r="C2678">
        <v>1</v>
      </c>
      <c r="D2678" t="s">
        <v>325</v>
      </c>
      <c r="E2678" s="3">
        <v>0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</row>
    <row r="2679" spans="1:21" x14ac:dyDescent="0.2">
      <c r="A2679" t="s">
        <v>897</v>
      </c>
      <c r="B2679">
        <v>852</v>
      </c>
      <c r="C2679">
        <v>1</v>
      </c>
      <c r="D2679" t="s">
        <v>326</v>
      </c>
      <c r="E2679" s="3">
        <v>0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3">
        <v>0</v>
      </c>
    </row>
    <row r="2680" spans="1:21" x14ac:dyDescent="0.2">
      <c r="A2680" t="s">
        <v>897</v>
      </c>
      <c r="B2680">
        <v>857</v>
      </c>
      <c r="C2680">
        <v>1</v>
      </c>
      <c r="D2680" t="s">
        <v>327</v>
      </c>
      <c r="E2680" s="3">
        <v>0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 s="3">
        <v>0</v>
      </c>
    </row>
    <row r="2681" spans="1:21" x14ac:dyDescent="0.2">
      <c r="A2681" t="s">
        <v>897</v>
      </c>
      <c r="B2681">
        <v>858</v>
      </c>
      <c r="C2681">
        <v>1</v>
      </c>
      <c r="D2681" t="s">
        <v>328</v>
      </c>
      <c r="E2681" s="3">
        <v>0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</row>
    <row r="2682" spans="1:21" x14ac:dyDescent="0.2">
      <c r="A2682" t="s">
        <v>897</v>
      </c>
      <c r="B2682">
        <v>861</v>
      </c>
      <c r="C2682">
        <v>1</v>
      </c>
      <c r="D2682" t="s">
        <v>329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484.37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  <c r="T2682" s="3">
        <v>0</v>
      </c>
      <c r="U2682" s="3">
        <v>0</v>
      </c>
    </row>
    <row r="2683" spans="1:21" x14ac:dyDescent="0.2">
      <c r="A2683" t="s">
        <v>897</v>
      </c>
      <c r="B2683">
        <v>876</v>
      </c>
      <c r="C2683">
        <v>1</v>
      </c>
      <c r="D2683" t="s">
        <v>330</v>
      </c>
      <c r="E2683" s="3">
        <v>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3">
        <v>0</v>
      </c>
    </row>
    <row r="2684" spans="1:21" x14ac:dyDescent="0.2">
      <c r="A2684" t="s">
        <v>897</v>
      </c>
      <c r="B2684">
        <v>877</v>
      </c>
      <c r="C2684">
        <v>1</v>
      </c>
      <c r="D2684" t="s">
        <v>331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  <c r="T2684" s="3">
        <v>0</v>
      </c>
      <c r="U2684" s="3">
        <v>0</v>
      </c>
    </row>
    <row r="2685" spans="1:21" x14ac:dyDescent="0.2">
      <c r="A2685" t="s">
        <v>897</v>
      </c>
      <c r="B2685">
        <v>879</v>
      </c>
      <c r="C2685">
        <v>1</v>
      </c>
      <c r="D2685" t="s">
        <v>332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</row>
    <row r="2686" spans="1:21" x14ac:dyDescent="0.2">
      <c r="A2686" t="s">
        <v>897</v>
      </c>
      <c r="B2686">
        <v>881</v>
      </c>
      <c r="C2686">
        <v>1</v>
      </c>
      <c r="D2686" t="s">
        <v>333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 s="3">
        <v>0</v>
      </c>
    </row>
    <row r="2687" spans="1:21" x14ac:dyDescent="0.2">
      <c r="A2687" t="s">
        <v>897</v>
      </c>
      <c r="B2687">
        <v>882</v>
      </c>
      <c r="C2687">
        <v>1</v>
      </c>
      <c r="D2687" t="s">
        <v>334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  <c r="T2687" s="3">
        <v>0</v>
      </c>
      <c r="U2687" s="3">
        <v>0</v>
      </c>
    </row>
    <row r="2688" spans="1:21" x14ac:dyDescent="0.2">
      <c r="A2688" t="s">
        <v>897</v>
      </c>
      <c r="B2688">
        <v>883</v>
      </c>
      <c r="C2688">
        <v>1</v>
      </c>
      <c r="D2688" t="s">
        <v>335</v>
      </c>
      <c r="E2688" s="3">
        <v>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</row>
    <row r="2689" spans="1:21" x14ac:dyDescent="0.2">
      <c r="A2689" t="s">
        <v>897</v>
      </c>
      <c r="B2689">
        <v>885</v>
      </c>
      <c r="C2689">
        <v>1</v>
      </c>
      <c r="D2689" t="s">
        <v>336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</row>
    <row r="2690" spans="1:21" x14ac:dyDescent="0.2">
      <c r="A2690" t="s">
        <v>897</v>
      </c>
      <c r="B2690">
        <v>891</v>
      </c>
      <c r="C2690">
        <v>1</v>
      </c>
      <c r="D2690" t="s">
        <v>337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</row>
    <row r="2691" spans="1:21" x14ac:dyDescent="0.2">
      <c r="A2691" t="s">
        <v>897</v>
      </c>
      <c r="B2691">
        <v>911</v>
      </c>
      <c r="C2691">
        <v>1</v>
      </c>
      <c r="D2691" t="s">
        <v>338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</row>
    <row r="2692" spans="1:21" x14ac:dyDescent="0.2">
      <c r="A2692" t="s">
        <v>897</v>
      </c>
      <c r="B2692">
        <v>912</v>
      </c>
      <c r="C2692">
        <v>1</v>
      </c>
      <c r="D2692" t="s">
        <v>339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</row>
    <row r="2693" spans="1:21" x14ac:dyDescent="0.2">
      <c r="A2693" t="s">
        <v>897</v>
      </c>
      <c r="B2693">
        <v>914</v>
      </c>
      <c r="C2693">
        <v>1</v>
      </c>
      <c r="D2693" t="s">
        <v>340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</row>
    <row r="2694" spans="1:21" x14ac:dyDescent="0.2">
      <c r="A2694" t="s">
        <v>897</v>
      </c>
      <c r="B2694">
        <v>2071</v>
      </c>
      <c r="C2694">
        <v>1</v>
      </c>
      <c r="D2694" t="s">
        <v>341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</row>
    <row r="2695" spans="1:21" x14ac:dyDescent="0.2">
      <c r="A2695" t="s">
        <v>897</v>
      </c>
      <c r="B2695">
        <v>2125</v>
      </c>
      <c r="C2695">
        <v>1</v>
      </c>
      <c r="D2695" t="s">
        <v>342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</row>
    <row r="2696" spans="1:21" x14ac:dyDescent="0.2">
      <c r="A2696" t="s">
        <v>897</v>
      </c>
      <c r="B2696">
        <v>2134</v>
      </c>
      <c r="C2696">
        <v>1</v>
      </c>
      <c r="D2696" t="s">
        <v>343</v>
      </c>
      <c r="E2696" s="3">
        <v>0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</row>
    <row r="2697" spans="1:21" x14ac:dyDescent="0.2">
      <c r="A2697" t="s">
        <v>897</v>
      </c>
      <c r="B2697">
        <v>2135</v>
      </c>
      <c r="C2697">
        <v>1</v>
      </c>
      <c r="D2697" t="s">
        <v>344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</row>
    <row r="2698" spans="1:21" x14ac:dyDescent="0.2">
      <c r="A2698" t="s">
        <v>897</v>
      </c>
      <c r="B2698">
        <v>2137</v>
      </c>
      <c r="C2698">
        <v>1</v>
      </c>
      <c r="D2698" t="s">
        <v>345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</row>
    <row r="2699" spans="1:21" x14ac:dyDescent="0.2">
      <c r="A2699" t="s">
        <v>897</v>
      </c>
      <c r="B2699">
        <v>2142</v>
      </c>
      <c r="C2699">
        <v>1</v>
      </c>
      <c r="D2699" t="s">
        <v>346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  <c r="T2699" s="3">
        <v>0</v>
      </c>
      <c r="U2699" s="3">
        <v>0</v>
      </c>
    </row>
    <row r="2700" spans="1:21" x14ac:dyDescent="0.2">
      <c r="A2700" t="s">
        <v>897</v>
      </c>
      <c r="B2700">
        <v>2143</v>
      </c>
      <c r="C2700">
        <v>1</v>
      </c>
      <c r="D2700" t="s">
        <v>347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</row>
    <row r="2701" spans="1:21" x14ac:dyDescent="0.2">
      <c r="A2701" t="s">
        <v>897</v>
      </c>
      <c r="B2701">
        <v>2144</v>
      </c>
      <c r="C2701">
        <v>1</v>
      </c>
      <c r="D2701" t="s">
        <v>348</v>
      </c>
      <c r="E2701" s="3">
        <v>0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</row>
    <row r="2702" spans="1:21" x14ac:dyDescent="0.2">
      <c r="A2702" t="s">
        <v>897</v>
      </c>
      <c r="B2702">
        <v>2149</v>
      </c>
      <c r="C2702">
        <v>1</v>
      </c>
      <c r="D2702" t="s">
        <v>349</v>
      </c>
      <c r="E2702" s="3">
        <v>0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0</v>
      </c>
      <c r="R2702" s="3">
        <v>0</v>
      </c>
      <c r="S2702" s="3">
        <v>0</v>
      </c>
      <c r="T2702" s="3">
        <v>0</v>
      </c>
      <c r="U2702" s="3">
        <v>0</v>
      </c>
    </row>
    <row r="2703" spans="1:21" x14ac:dyDescent="0.2">
      <c r="A2703" t="s">
        <v>897</v>
      </c>
      <c r="B2703">
        <v>2154</v>
      </c>
      <c r="C2703">
        <v>1</v>
      </c>
      <c r="D2703" t="s">
        <v>350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</row>
    <row r="2704" spans="1:21" x14ac:dyDescent="0.2">
      <c r="A2704" t="s">
        <v>897</v>
      </c>
      <c r="B2704">
        <v>2155</v>
      </c>
      <c r="C2704">
        <v>1</v>
      </c>
      <c r="D2704" t="s">
        <v>351</v>
      </c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3">
        <v>0</v>
      </c>
    </row>
    <row r="2705" spans="1:21" x14ac:dyDescent="0.2">
      <c r="A2705" t="s">
        <v>897</v>
      </c>
      <c r="B2705">
        <v>2159</v>
      </c>
      <c r="C2705">
        <v>1</v>
      </c>
      <c r="D2705" t="s">
        <v>352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</row>
    <row r="2706" spans="1:21" x14ac:dyDescent="0.2">
      <c r="A2706" t="s">
        <v>897</v>
      </c>
      <c r="B2706">
        <v>2164</v>
      </c>
      <c r="C2706">
        <v>1</v>
      </c>
      <c r="D2706" t="s">
        <v>353</v>
      </c>
      <c r="E2706" s="3">
        <v>0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</row>
    <row r="2707" spans="1:21" x14ac:dyDescent="0.2">
      <c r="A2707" t="s">
        <v>897</v>
      </c>
      <c r="B2707">
        <v>2165</v>
      </c>
      <c r="C2707">
        <v>1</v>
      </c>
      <c r="D2707" t="s">
        <v>354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</row>
    <row r="2708" spans="1:21" x14ac:dyDescent="0.2">
      <c r="A2708" t="s">
        <v>897</v>
      </c>
      <c r="B2708">
        <v>2167</v>
      </c>
      <c r="C2708">
        <v>1</v>
      </c>
      <c r="D2708" t="s">
        <v>355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0</v>
      </c>
    </row>
    <row r="2709" spans="1:21" x14ac:dyDescent="0.2">
      <c r="A2709" t="s">
        <v>897</v>
      </c>
      <c r="B2709">
        <v>2168</v>
      </c>
      <c r="C2709">
        <v>1</v>
      </c>
      <c r="D2709" t="s">
        <v>356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</row>
    <row r="2710" spans="1:21" x14ac:dyDescent="0.2">
      <c r="A2710" t="s">
        <v>897</v>
      </c>
      <c r="B2710">
        <v>2169</v>
      </c>
      <c r="C2710">
        <v>1</v>
      </c>
      <c r="D2710" t="s">
        <v>357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 s="3">
        <v>0</v>
      </c>
    </row>
    <row r="2711" spans="1:21" x14ac:dyDescent="0.2">
      <c r="A2711" t="s">
        <v>897</v>
      </c>
      <c r="B2711">
        <v>2170</v>
      </c>
      <c r="C2711">
        <v>1</v>
      </c>
      <c r="D2711" t="s">
        <v>358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>
        <v>0</v>
      </c>
    </row>
    <row r="2712" spans="1:21" x14ac:dyDescent="0.2">
      <c r="A2712" t="s">
        <v>897</v>
      </c>
      <c r="B2712">
        <v>2171</v>
      </c>
      <c r="C2712">
        <v>1</v>
      </c>
      <c r="D2712" t="s">
        <v>359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</row>
    <row r="2713" spans="1:21" x14ac:dyDescent="0.2">
      <c r="A2713" t="s">
        <v>897</v>
      </c>
      <c r="B2713">
        <v>2172</v>
      </c>
      <c r="C2713">
        <v>1</v>
      </c>
      <c r="D2713" t="s">
        <v>360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</row>
    <row r="2714" spans="1:21" x14ac:dyDescent="0.2">
      <c r="A2714" t="s">
        <v>897</v>
      </c>
      <c r="B2714">
        <v>2174</v>
      </c>
      <c r="C2714">
        <v>1</v>
      </c>
      <c r="D2714" t="s">
        <v>361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</row>
    <row r="2715" spans="1:21" x14ac:dyDescent="0.2">
      <c r="A2715" t="s">
        <v>897</v>
      </c>
      <c r="B2715">
        <v>2176</v>
      </c>
      <c r="C2715">
        <v>1</v>
      </c>
      <c r="D2715" t="s">
        <v>362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</row>
    <row r="2716" spans="1:21" x14ac:dyDescent="0.2">
      <c r="A2716" t="s">
        <v>897</v>
      </c>
      <c r="B2716">
        <v>2180</v>
      </c>
      <c r="C2716">
        <v>1</v>
      </c>
      <c r="D2716" t="s">
        <v>363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</row>
    <row r="2717" spans="1:21" x14ac:dyDescent="0.2">
      <c r="A2717" t="s">
        <v>897</v>
      </c>
      <c r="B2717">
        <v>2184</v>
      </c>
      <c r="C2717">
        <v>1</v>
      </c>
      <c r="D2717" t="s">
        <v>364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</row>
    <row r="2718" spans="1:21" x14ac:dyDescent="0.2">
      <c r="A2718" t="s">
        <v>897</v>
      </c>
      <c r="B2718">
        <v>2190</v>
      </c>
      <c r="C2718">
        <v>1</v>
      </c>
      <c r="D2718" t="s">
        <v>365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</row>
    <row r="2719" spans="1:21" x14ac:dyDescent="0.2">
      <c r="A2719" t="s">
        <v>897</v>
      </c>
      <c r="B2719">
        <v>2198</v>
      </c>
      <c r="C2719">
        <v>1</v>
      </c>
      <c r="D2719" t="s">
        <v>366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0</v>
      </c>
    </row>
    <row r="2720" spans="1:21" x14ac:dyDescent="0.2">
      <c r="A2720" t="s">
        <v>897</v>
      </c>
      <c r="B2720">
        <v>2215</v>
      </c>
      <c r="C2720">
        <v>1</v>
      </c>
      <c r="D2720" t="s">
        <v>367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  <c r="T2720" s="3">
        <v>0</v>
      </c>
      <c r="U2720" s="3">
        <v>0</v>
      </c>
    </row>
    <row r="2721" spans="1:21" x14ac:dyDescent="0.2">
      <c r="A2721" t="s">
        <v>897</v>
      </c>
      <c r="B2721">
        <v>2310</v>
      </c>
      <c r="C2721">
        <v>1</v>
      </c>
      <c r="D2721" t="s">
        <v>368</v>
      </c>
      <c r="E2721" s="3">
        <v>0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201.71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  <c r="T2721" s="3">
        <v>0</v>
      </c>
      <c r="U2721" s="3">
        <v>0</v>
      </c>
    </row>
    <row r="2722" spans="1:21" x14ac:dyDescent="0.2">
      <c r="A2722" t="s">
        <v>897</v>
      </c>
      <c r="B2722">
        <v>2311</v>
      </c>
      <c r="C2722">
        <v>1</v>
      </c>
      <c r="D2722" t="s">
        <v>369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</row>
    <row r="2723" spans="1:21" x14ac:dyDescent="0.2">
      <c r="A2723" t="s">
        <v>897</v>
      </c>
      <c r="B2723">
        <v>2342</v>
      </c>
      <c r="C2723">
        <v>1</v>
      </c>
      <c r="D2723" t="s">
        <v>370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</row>
    <row r="2724" spans="1:21" x14ac:dyDescent="0.2">
      <c r="A2724" t="s">
        <v>897</v>
      </c>
      <c r="B2724">
        <v>2358</v>
      </c>
      <c r="C2724">
        <v>1</v>
      </c>
      <c r="D2724" t="s">
        <v>371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</row>
    <row r="2725" spans="1:21" x14ac:dyDescent="0.2">
      <c r="A2725" t="s">
        <v>897</v>
      </c>
      <c r="B2725">
        <v>2364</v>
      </c>
      <c r="C2725">
        <v>1</v>
      </c>
      <c r="D2725" t="s">
        <v>372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</row>
    <row r="2726" spans="1:21" x14ac:dyDescent="0.2">
      <c r="A2726" t="s">
        <v>897</v>
      </c>
      <c r="B2726">
        <v>2365</v>
      </c>
      <c r="C2726">
        <v>1</v>
      </c>
      <c r="D2726" t="s">
        <v>373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</row>
    <row r="2727" spans="1:21" x14ac:dyDescent="0.2">
      <c r="A2727" t="s">
        <v>897</v>
      </c>
      <c r="B2727">
        <v>2396</v>
      </c>
      <c r="C2727">
        <v>1</v>
      </c>
      <c r="D2727" t="s">
        <v>374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</row>
    <row r="2728" spans="1:21" x14ac:dyDescent="0.2">
      <c r="A2728" t="s">
        <v>897</v>
      </c>
      <c r="B2728">
        <v>2397</v>
      </c>
      <c r="C2728">
        <v>1</v>
      </c>
      <c r="D2728" t="s">
        <v>375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3">
        <v>0</v>
      </c>
    </row>
    <row r="2729" spans="1:21" x14ac:dyDescent="0.2">
      <c r="A2729" t="s">
        <v>897</v>
      </c>
      <c r="B2729">
        <v>2448</v>
      </c>
      <c r="C2729">
        <v>1</v>
      </c>
      <c r="D2729" t="s">
        <v>376</v>
      </c>
      <c r="E2729" s="3">
        <v>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</row>
    <row r="2730" spans="1:21" x14ac:dyDescent="0.2">
      <c r="A2730" t="s">
        <v>897</v>
      </c>
      <c r="B2730">
        <v>2527</v>
      </c>
      <c r="C2730">
        <v>1</v>
      </c>
      <c r="D2730" t="s">
        <v>377</v>
      </c>
      <c r="E2730" s="3">
        <v>0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</row>
    <row r="2731" spans="1:21" x14ac:dyDescent="0.2">
      <c r="A2731" t="s">
        <v>897</v>
      </c>
      <c r="B2731">
        <v>2534</v>
      </c>
      <c r="C2731">
        <v>1</v>
      </c>
      <c r="D2731" t="s">
        <v>378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</row>
    <row r="2732" spans="1:21" x14ac:dyDescent="0.2">
      <c r="A2732" t="s">
        <v>897</v>
      </c>
      <c r="B2732">
        <v>2536</v>
      </c>
      <c r="C2732">
        <v>1</v>
      </c>
      <c r="D2732" t="s">
        <v>379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</row>
    <row r="2733" spans="1:21" x14ac:dyDescent="0.2">
      <c r="A2733" t="s">
        <v>897</v>
      </c>
      <c r="B2733">
        <v>2580</v>
      </c>
      <c r="C2733">
        <v>1</v>
      </c>
      <c r="D2733" t="s">
        <v>380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</row>
    <row r="2734" spans="1:21" x14ac:dyDescent="0.2">
      <c r="A2734" t="s">
        <v>897</v>
      </c>
      <c r="B2734">
        <v>2609</v>
      </c>
      <c r="C2734">
        <v>1</v>
      </c>
      <c r="D2734" t="s">
        <v>381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</row>
    <row r="2735" spans="1:21" x14ac:dyDescent="0.2">
      <c r="A2735" t="s">
        <v>897</v>
      </c>
      <c r="B2735">
        <v>2683</v>
      </c>
      <c r="C2735">
        <v>1</v>
      </c>
      <c r="D2735" t="s">
        <v>382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0</v>
      </c>
    </row>
    <row r="2736" spans="1:21" x14ac:dyDescent="0.2">
      <c r="A2736" t="s">
        <v>897</v>
      </c>
      <c r="B2736">
        <v>2687</v>
      </c>
      <c r="C2736">
        <v>1</v>
      </c>
      <c r="D2736" t="s">
        <v>383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</row>
    <row r="2737" spans="1:21" x14ac:dyDescent="0.2">
      <c r="A2737" t="s">
        <v>897</v>
      </c>
      <c r="B2737">
        <v>2689</v>
      </c>
      <c r="C2737">
        <v>1</v>
      </c>
      <c r="D2737" t="s">
        <v>384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</row>
    <row r="2738" spans="1:21" x14ac:dyDescent="0.2">
      <c r="A2738" t="s">
        <v>897</v>
      </c>
      <c r="B2738">
        <v>2711</v>
      </c>
      <c r="C2738">
        <v>1</v>
      </c>
      <c r="D2738" t="s">
        <v>385</v>
      </c>
      <c r="E2738" s="3">
        <v>0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  <c r="T2738" s="3">
        <v>0</v>
      </c>
      <c r="U2738" s="3">
        <v>0</v>
      </c>
    </row>
    <row r="2739" spans="1:21" x14ac:dyDescent="0.2">
      <c r="A2739" t="s">
        <v>897</v>
      </c>
      <c r="B2739">
        <v>2752</v>
      </c>
      <c r="C2739">
        <v>1</v>
      </c>
      <c r="D2739" t="s">
        <v>386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 s="3">
        <v>0</v>
      </c>
    </row>
    <row r="2740" spans="1:21" x14ac:dyDescent="0.2">
      <c r="A2740" t="s">
        <v>897</v>
      </c>
      <c r="B2740">
        <v>2753</v>
      </c>
      <c r="C2740">
        <v>1</v>
      </c>
      <c r="D2740" t="s">
        <v>387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0</v>
      </c>
    </row>
    <row r="2741" spans="1:21" x14ac:dyDescent="0.2">
      <c r="A2741" t="s">
        <v>897</v>
      </c>
      <c r="B2741">
        <v>2754</v>
      </c>
      <c r="C2741">
        <v>1</v>
      </c>
      <c r="D2741" t="s">
        <v>388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</row>
    <row r="2742" spans="1:21" x14ac:dyDescent="0.2">
      <c r="A2742" t="s">
        <v>897</v>
      </c>
      <c r="B2742">
        <v>2759</v>
      </c>
      <c r="C2742">
        <v>1</v>
      </c>
      <c r="D2742" t="s">
        <v>389</v>
      </c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</row>
    <row r="2743" spans="1:21" x14ac:dyDescent="0.2">
      <c r="A2743" t="s">
        <v>897</v>
      </c>
      <c r="B2743">
        <v>2805</v>
      </c>
      <c r="C2743">
        <v>1</v>
      </c>
      <c r="D2743" t="s">
        <v>390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</row>
    <row r="2744" spans="1:21" x14ac:dyDescent="0.2">
      <c r="A2744" t="s">
        <v>897</v>
      </c>
      <c r="B2744">
        <v>2835</v>
      </c>
      <c r="C2744">
        <v>1</v>
      </c>
      <c r="D2744" t="s">
        <v>391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</row>
    <row r="2745" spans="1:21" x14ac:dyDescent="0.2">
      <c r="A2745" t="s">
        <v>897</v>
      </c>
      <c r="B2745">
        <v>2853</v>
      </c>
      <c r="C2745">
        <v>1</v>
      </c>
      <c r="D2745" t="s">
        <v>392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503.47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  <c r="R2745" s="3">
        <v>0</v>
      </c>
      <c r="S2745" s="3">
        <v>0</v>
      </c>
      <c r="T2745" s="3">
        <v>0</v>
      </c>
      <c r="U2745" s="3">
        <v>0</v>
      </c>
    </row>
    <row r="2746" spans="1:21" x14ac:dyDescent="0.2">
      <c r="A2746" t="s">
        <v>897</v>
      </c>
      <c r="B2746">
        <v>2854</v>
      </c>
      <c r="C2746">
        <v>1</v>
      </c>
      <c r="D2746" t="s">
        <v>393</v>
      </c>
      <c r="E2746" s="3">
        <v>0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</row>
    <row r="2747" spans="1:21" x14ac:dyDescent="0.2">
      <c r="A2747" t="s">
        <v>897</v>
      </c>
      <c r="B2747">
        <v>2856</v>
      </c>
      <c r="C2747">
        <v>1</v>
      </c>
      <c r="D2747" t="s">
        <v>394</v>
      </c>
      <c r="E2747" s="3">
        <v>0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</row>
    <row r="2748" spans="1:21" x14ac:dyDescent="0.2">
      <c r="A2748" t="s">
        <v>897</v>
      </c>
      <c r="B2748">
        <v>2859</v>
      </c>
      <c r="C2748">
        <v>1</v>
      </c>
      <c r="D2748" t="s">
        <v>395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</row>
    <row r="2749" spans="1:21" x14ac:dyDescent="0.2">
      <c r="A2749" t="s">
        <v>897</v>
      </c>
      <c r="B2749">
        <v>2860</v>
      </c>
      <c r="C2749">
        <v>1</v>
      </c>
      <c r="D2749" t="s">
        <v>396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</row>
    <row r="2750" spans="1:21" x14ac:dyDescent="0.2">
      <c r="A2750" t="s">
        <v>897</v>
      </c>
      <c r="B2750">
        <v>2884</v>
      </c>
      <c r="C2750">
        <v>1</v>
      </c>
      <c r="D2750" t="s">
        <v>397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</row>
    <row r="2751" spans="1:21" x14ac:dyDescent="0.2">
      <c r="A2751" t="s">
        <v>897</v>
      </c>
      <c r="B2751">
        <v>2886</v>
      </c>
      <c r="C2751">
        <v>1</v>
      </c>
      <c r="D2751" t="s">
        <v>398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</row>
    <row r="2752" spans="1:21" x14ac:dyDescent="0.2">
      <c r="A2752" t="s">
        <v>897</v>
      </c>
      <c r="B2752">
        <v>2887</v>
      </c>
      <c r="C2752">
        <v>1</v>
      </c>
      <c r="D2752" t="s">
        <v>399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</row>
    <row r="2753" spans="1:21" x14ac:dyDescent="0.2">
      <c r="A2753" t="s">
        <v>897</v>
      </c>
      <c r="B2753">
        <v>2888</v>
      </c>
      <c r="C2753">
        <v>1</v>
      </c>
      <c r="D2753" t="s">
        <v>400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0</v>
      </c>
    </row>
    <row r="2754" spans="1:21" x14ac:dyDescent="0.2">
      <c r="A2754" t="s">
        <v>897</v>
      </c>
      <c r="B2754">
        <v>2889</v>
      </c>
      <c r="C2754">
        <v>1</v>
      </c>
      <c r="D2754" t="s">
        <v>401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  <c r="T2754" s="3">
        <v>0</v>
      </c>
      <c r="U2754" s="3">
        <v>0</v>
      </c>
    </row>
    <row r="2755" spans="1:21" x14ac:dyDescent="0.2">
      <c r="A2755" t="s">
        <v>897</v>
      </c>
      <c r="B2755">
        <v>2890</v>
      </c>
      <c r="C2755">
        <v>1</v>
      </c>
      <c r="D2755" t="s">
        <v>402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0</v>
      </c>
      <c r="U2755" s="3">
        <v>0</v>
      </c>
    </row>
    <row r="2756" spans="1:21" x14ac:dyDescent="0.2">
      <c r="A2756" t="s">
        <v>897</v>
      </c>
      <c r="B2756">
        <v>2895</v>
      </c>
      <c r="C2756">
        <v>1</v>
      </c>
      <c r="D2756" t="s">
        <v>403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</row>
    <row r="2757" spans="1:21" x14ac:dyDescent="0.2">
      <c r="A2757" t="s">
        <v>897</v>
      </c>
      <c r="B2757">
        <v>2897</v>
      </c>
      <c r="C2757">
        <v>1</v>
      </c>
      <c r="D2757" t="s">
        <v>404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</row>
    <row r="2758" spans="1:21" x14ac:dyDescent="0.2">
      <c r="A2758" t="s">
        <v>897</v>
      </c>
      <c r="B2758">
        <v>2898</v>
      </c>
      <c r="C2758">
        <v>1</v>
      </c>
      <c r="D2758" t="s">
        <v>405</v>
      </c>
      <c r="E2758" s="3">
        <v>0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  <c r="T2758" s="3">
        <v>0</v>
      </c>
      <c r="U2758" s="3">
        <v>0</v>
      </c>
    </row>
    <row r="2759" spans="1:21" x14ac:dyDescent="0.2"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</row>
    <row r="2760" spans="1:21" x14ac:dyDescent="0.2">
      <c r="A2760" t="s">
        <v>32</v>
      </c>
      <c r="B2760">
        <v>1</v>
      </c>
      <c r="C2760">
        <v>1</v>
      </c>
      <c r="D2760" t="s">
        <v>63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</row>
    <row r="2761" spans="1:21" x14ac:dyDescent="0.2">
      <c r="A2761" t="s">
        <v>32</v>
      </c>
      <c r="B2761">
        <v>1.2</v>
      </c>
      <c r="C2761">
        <v>3</v>
      </c>
      <c r="D2761" t="s">
        <v>64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</row>
    <row r="2762" spans="1:21" x14ac:dyDescent="0.2">
      <c r="A2762" t="s">
        <v>32</v>
      </c>
      <c r="B2762">
        <v>2</v>
      </c>
      <c r="C2762">
        <v>1</v>
      </c>
      <c r="D2762" t="s">
        <v>65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</row>
    <row r="2763" spans="1:21" x14ac:dyDescent="0.2">
      <c r="A2763" t="s">
        <v>32</v>
      </c>
      <c r="B2763">
        <v>4</v>
      </c>
      <c r="C2763">
        <v>1</v>
      </c>
      <c r="D2763" t="s">
        <v>66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3">
        <v>0</v>
      </c>
    </row>
    <row r="2764" spans="1:21" x14ac:dyDescent="0.2">
      <c r="A2764" t="s">
        <v>32</v>
      </c>
      <c r="B2764">
        <v>6</v>
      </c>
      <c r="C2764">
        <v>3</v>
      </c>
      <c r="D2764" t="s">
        <v>67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 s="3">
        <v>0</v>
      </c>
    </row>
    <row r="2765" spans="1:21" x14ac:dyDescent="0.2">
      <c r="A2765" t="s">
        <v>32</v>
      </c>
      <c r="B2765">
        <v>11</v>
      </c>
      <c r="C2765">
        <v>1</v>
      </c>
      <c r="D2765" t="s">
        <v>68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3">
        <v>0</v>
      </c>
    </row>
    <row r="2766" spans="1:21" x14ac:dyDescent="0.2">
      <c r="A2766" t="s">
        <v>32</v>
      </c>
      <c r="B2766">
        <v>12</v>
      </c>
      <c r="C2766">
        <v>1</v>
      </c>
      <c r="D2766" t="s">
        <v>69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650</v>
      </c>
      <c r="L2766" s="3">
        <v>650</v>
      </c>
      <c r="M2766" s="3">
        <v>650</v>
      </c>
      <c r="N2766" s="3">
        <v>650</v>
      </c>
      <c r="O2766" s="3">
        <v>650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</row>
    <row r="2767" spans="1:21" x14ac:dyDescent="0.2">
      <c r="A2767" t="s">
        <v>32</v>
      </c>
      <c r="B2767">
        <v>13</v>
      </c>
      <c r="C2767">
        <v>1</v>
      </c>
      <c r="D2767" t="s">
        <v>70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879</v>
      </c>
      <c r="L2767" s="3">
        <v>879</v>
      </c>
      <c r="M2767" s="3">
        <v>879</v>
      </c>
      <c r="N2767" s="3">
        <v>879</v>
      </c>
      <c r="O2767" s="3">
        <v>879</v>
      </c>
      <c r="P2767" s="3">
        <v>879</v>
      </c>
      <c r="Q2767" s="3">
        <v>879</v>
      </c>
      <c r="R2767" s="3">
        <v>879</v>
      </c>
      <c r="S2767" s="3">
        <v>879</v>
      </c>
      <c r="T2767" s="3">
        <v>879</v>
      </c>
      <c r="U2767" s="3">
        <v>0</v>
      </c>
    </row>
    <row r="2768" spans="1:21" x14ac:dyDescent="0.2">
      <c r="A2768" t="s">
        <v>32</v>
      </c>
      <c r="B2768">
        <v>14</v>
      </c>
      <c r="C2768">
        <v>1</v>
      </c>
      <c r="D2768" t="s">
        <v>71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584.54999999999995</v>
      </c>
      <c r="L2768" s="3">
        <v>584.54999999999995</v>
      </c>
      <c r="M2768" s="3">
        <v>584.54999999999995</v>
      </c>
      <c r="N2768" s="3">
        <v>584.54999999999995</v>
      </c>
      <c r="O2768" s="3">
        <v>584.54999999999995</v>
      </c>
      <c r="P2768" s="3">
        <v>584.54999999999995</v>
      </c>
      <c r="Q2768" s="3">
        <v>584.54999999999995</v>
      </c>
      <c r="R2768" s="3">
        <v>584.54999999999995</v>
      </c>
      <c r="S2768" s="3">
        <v>584.54999999999995</v>
      </c>
      <c r="T2768" s="3">
        <v>584.54999999999995</v>
      </c>
      <c r="U2768" s="3">
        <v>0</v>
      </c>
    </row>
    <row r="2769" spans="1:21" x14ac:dyDescent="0.2">
      <c r="A2769" t="s">
        <v>32</v>
      </c>
      <c r="B2769">
        <v>15</v>
      </c>
      <c r="C2769">
        <v>1</v>
      </c>
      <c r="D2769" t="s">
        <v>72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</row>
    <row r="2770" spans="1:21" x14ac:dyDescent="0.2">
      <c r="A2770" t="s">
        <v>32</v>
      </c>
      <c r="B2770">
        <v>16</v>
      </c>
      <c r="C2770">
        <v>1</v>
      </c>
      <c r="D2770" t="s">
        <v>73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</row>
    <row r="2771" spans="1:21" x14ac:dyDescent="0.2">
      <c r="A2771" t="s">
        <v>32</v>
      </c>
      <c r="B2771">
        <v>22</v>
      </c>
      <c r="C2771">
        <v>1</v>
      </c>
      <c r="D2771" t="s">
        <v>74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3">
        <v>0</v>
      </c>
    </row>
    <row r="2772" spans="1:21" x14ac:dyDescent="0.2">
      <c r="A2772" t="s">
        <v>32</v>
      </c>
      <c r="B2772">
        <v>23</v>
      </c>
      <c r="C2772">
        <v>1</v>
      </c>
      <c r="D2772" t="s">
        <v>75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 s="3">
        <v>0</v>
      </c>
    </row>
    <row r="2773" spans="1:21" x14ac:dyDescent="0.2">
      <c r="A2773" t="s">
        <v>32</v>
      </c>
      <c r="B2773">
        <v>25</v>
      </c>
      <c r="C2773">
        <v>1</v>
      </c>
      <c r="D2773" t="s">
        <v>76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</row>
    <row r="2774" spans="1:21" x14ac:dyDescent="0.2">
      <c r="A2774" t="s">
        <v>32</v>
      </c>
      <c r="B2774">
        <v>31</v>
      </c>
      <c r="C2774">
        <v>1</v>
      </c>
      <c r="D2774" t="s">
        <v>77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</row>
    <row r="2775" spans="1:21" x14ac:dyDescent="0.2">
      <c r="A2775" t="s">
        <v>32</v>
      </c>
      <c r="B2775">
        <v>32</v>
      </c>
      <c r="C2775">
        <v>1</v>
      </c>
      <c r="D2775" t="s">
        <v>78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 s="3">
        <v>0</v>
      </c>
    </row>
    <row r="2776" spans="1:21" x14ac:dyDescent="0.2">
      <c r="A2776" t="s">
        <v>32</v>
      </c>
      <c r="B2776">
        <v>36</v>
      </c>
      <c r="C2776">
        <v>1</v>
      </c>
      <c r="D2776" t="s">
        <v>79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50</v>
      </c>
      <c r="L2776" s="3">
        <v>50</v>
      </c>
      <c r="M2776" s="3">
        <v>50</v>
      </c>
      <c r="N2776" s="3">
        <v>50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</row>
    <row r="2777" spans="1:21" x14ac:dyDescent="0.2">
      <c r="A2777" t="s">
        <v>32</v>
      </c>
      <c r="B2777">
        <v>38</v>
      </c>
      <c r="C2777">
        <v>1</v>
      </c>
      <c r="D2777" t="s">
        <v>80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447.1</v>
      </c>
      <c r="L2777" s="3">
        <v>447.1</v>
      </c>
      <c r="M2777" s="3">
        <v>447.1</v>
      </c>
      <c r="N2777" s="3">
        <v>447.1</v>
      </c>
      <c r="O2777" s="3">
        <v>447.1</v>
      </c>
      <c r="P2777" s="3">
        <v>447.1</v>
      </c>
      <c r="Q2777" s="3">
        <v>447.1</v>
      </c>
      <c r="R2777" s="3">
        <v>447.1</v>
      </c>
      <c r="S2777" s="3">
        <v>447.1</v>
      </c>
      <c r="T2777" s="3">
        <v>447.1</v>
      </c>
      <c r="U2777" s="3">
        <v>0</v>
      </c>
    </row>
    <row r="2778" spans="1:21" x14ac:dyDescent="0.2">
      <c r="A2778" t="s">
        <v>32</v>
      </c>
      <c r="B2778">
        <v>47</v>
      </c>
      <c r="C2778">
        <v>1</v>
      </c>
      <c r="D2778" t="s">
        <v>81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</row>
    <row r="2779" spans="1:21" x14ac:dyDescent="0.2">
      <c r="A2779" t="s">
        <v>32</v>
      </c>
      <c r="B2779">
        <v>51</v>
      </c>
      <c r="C2779">
        <v>1</v>
      </c>
      <c r="D2779" t="s">
        <v>82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235</v>
      </c>
      <c r="L2779" s="3">
        <v>235</v>
      </c>
      <c r="M2779" s="3">
        <v>235</v>
      </c>
      <c r="N2779" s="3">
        <v>235</v>
      </c>
      <c r="O2779" s="3">
        <v>235</v>
      </c>
      <c r="P2779" s="3">
        <v>235</v>
      </c>
      <c r="Q2779" s="3">
        <v>235</v>
      </c>
      <c r="R2779" s="3">
        <v>0</v>
      </c>
      <c r="S2779" s="3">
        <v>0</v>
      </c>
      <c r="T2779" s="3">
        <v>0</v>
      </c>
      <c r="U2779" s="3">
        <v>0</v>
      </c>
    </row>
    <row r="2780" spans="1:21" x14ac:dyDescent="0.2">
      <c r="A2780" t="s">
        <v>32</v>
      </c>
      <c r="B2780">
        <v>62</v>
      </c>
      <c r="C2780">
        <v>1</v>
      </c>
      <c r="D2780" t="s">
        <v>83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900</v>
      </c>
      <c r="M2780" s="3">
        <v>900</v>
      </c>
      <c r="N2780" s="3">
        <v>900</v>
      </c>
      <c r="O2780" s="3">
        <v>900</v>
      </c>
      <c r="P2780" s="3">
        <v>900</v>
      </c>
      <c r="Q2780" s="3">
        <v>900</v>
      </c>
      <c r="R2780" s="3">
        <v>900</v>
      </c>
      <c r="S2780" s="3">
        <v>900</v>
      </c>
      <c r="T2780" s="3">
        <v>900</v>
      </c>
      <c r="U2780" s="3">
        <v>900</v>
      </c>
    </row>
    <row r="2781" spans="1:21" x14ac:dyDescent="0.2">
      <c r="A2781" t="s">
        <v>32</v>
      </c>
      <c r="B2781">
        <v>75</v>
      </c>
      <c r="C2781">
        <v>1</v>
      </c>
      <c r="D2781" t="s">
        <v>84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 s="3">
        <v>0</v>
      </c>
    </row>
    <row r="2782" spans="1:21" x14ac:dyDescent="0.2">
      <c r="A2782" t="s">
        <v>32</v>
      </c>
      <c r="B2782">
        <v>77</v>
      </c>
      <c r="C2782">
        <v>1</v>
      </c>
      <c r="D2782" t="s">
        <v>85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  <c r="T2782" s="3">
        <v>0</v>
      </c>
      <c r="U2782" s="3">
        <v>0</v>
      </c>
    </row>
    <row r="2783" spans="1:21" x14ac:dyDescent="0.2">
      <c r="A2783" t="s">
        <v>32</v>
      </c>
      <c r="B2783">
        <v>81</v>
      </c>
      <c r="C2783">
        <v>1</v>
      </c>
      <c r="D2783" t="s">
        <v>86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500</v>
      </c>
      <c r="L2783" s="3">
        <v>500</v>
      </c>
      <c r="M2783" s="3">
        <v>500</v>
      </c>
      <c r="N2783" s="3">
        <v>500</v>
      </c>
      <c r="O2783" s="3">
        <v>500</v>
      </c>
      <c r="P2783" s="3">
        <v>500</v>
      </c>
      <c r="Q2783" s="3">
        <v>500</v>
      </c>
      <c r="R2783" s="3">
        <v>500</v>
      </c>
      <c r="S2783" s="3">
        <v>500</v>
      </c>
      <c r="T2783" s="3">
        <v>500</v>
      </c>
      <c r="U2783" s="3">
        <v>0</v>
      </c>
    </row>
    <row r="2784" spans="1:21" x14ac:dyDescent="0.2">
      <c r="A2784" t="s">
        <v>32</v>
      </c>
      <c r="B2784">
        <v>84</v>
      </c>
      <c r="C2784">
        <v>1</v>
      </c>
      <c r="D2784" t="s">
        <v>87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0</v>
      </c>
    </row>
    <row r="2785" spans="1:21" x14ac:dyDescent="0.2">
      <c r="A2785" t="s">
        <v>32</v>
      </c>
      <c r="B2785">
        <v>85</v>
      </c>
      <c r="C2785">
        <v>1</v>
      </c>
      <c r="D2785" t="s">
        <v>88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 s="3">
        <v>0</v>
      </c>
    </row>
    <row r="2786" spans="1:21" x14ac:dyDescent="0.2">
      <c r="A2786" t="s">
        <v>32</v>
      </c>
      <c r="B2786">
        <v>88</v>
      </c>
      <c r="C2786">
        <v>1</v>
      </c>
      <c r="D2786" t="s">
        <v>89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</row>
    <row r="2787" spans="1:21" x14ac:dyDescent="0.2">
      <c r="A2787" t="s">
        <v>32</v>
      </c>
      <c r="B2787">
        <v>91</v>
      </c>
      <c r="C2787">
        <v>1</v>
      </c>
      <c r="D2787" t="s">
        <v>90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</row>
    <row r="2788" spans="1:21" x14ac:dyDescent="0.2">
      <c r="A2788" t="s">
        <v>32</v>
      </c>
      <c r="B2788">
        <v>93</v>
      </c>
      <c r="C2788">
        <v>1</v>
      </c>
      <c r="D2788" t="s">
        <v>91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0</v>
      </c>
    </row>
    <row r="2789" spans="1:21" x14ac:dyDescent="0.2">
      <c r="A2789" t="s">
        <v>32</v>
      </c>
      <c r="B2789">
        <v>94</v>
      </c>
      <c r="C2789">
        <v>1</v>
      </c>
      <c r="D2789" t="s">
        <v>92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</row>
    <row r="2790" spans="1:21" x14ac:dyDescent="0.2">
      <c r="A2790" t="s">
        <v>32</v>
      </c>
      <c r="B2790">
        <v>95</v>
      </c>
      <c r="C2790">
        <v>1</v>
      </c>
      <c r="D2790" t="s">
        <v>93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0</v>
      </c>
    </row>
    <row r="2791" spans="1:21" x14ac:dyDescent="0.2">
      <c r="A2791" t="s">
        <v>32</v>
      </c>
      <c r="B2791">
        <v>97</v>
      </c>
      <c r="C2791">
        <v>1</v>
      </c>
      <c r="D2791" t="s">
        <v>94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0</v>
      </c>
    </row>
    <row r="2792" spans="1:21" x14ac:dyDescent="0.2">
      <c r="A2792" t="s">
        <v>32</v>
      </c>
      <c r="B2792">
        <v>99</v>
      </c>
      <c r="C2792">
        <v>1</v>
      </c>
      <c r="D2792" t="s">
        <v>95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</row>
    <row r="2793" spans="1:21" x14ac:dyDescent="0.2">
      <c r="A2793" t="s">
        <v>32</v>
      </c>
      <c r="B2793">
        <v>100</v>
      </c>
      <c r="C2793">
        <v>1</v>
      </c>
      <c r="D2793" t="s">
        <v>96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</row>
    <row r="2794" spans="1:21" x14ac:dyDescent="0.2">
      <c r="A2794" t="s">
        <v>32</v>
      </c>
      <c r="B2794">
        <v>108</v>
      </c>
      <c r="C2794">
        <v>1</v>
      </c>
      <c r="D2794" t="s">
        <v>97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</row>
    <row r="2795" spans="1:21" x14ac:dyDescent="0.2">
      <c r="A2795" t="s">
        <v>32</v>
      </c>
      <c r="B2795">
        <v>110</v>
      </c>
      <c r="C2795">
        <v>1</v>
      </c>
      <c r="D2795" t="s">
        <v>98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  <c r="T2795" s="3">
        <v>0</v>
      </c>
      <c r="U2795" s="3">
        <v>0</v>
      </c>
    </row>
    <row r="2796" spans="1:21" x14ac:dyDescent="0.2">
      <c r="A2796" t="s">
        <v>32</v>
      </c>
      <c r="B2796">
        <v>111</v>
      </c>
      <c r="C2796">
        <v>1</v>
      </c>
      <c r="D2796" t="s">
        <v>99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</row>
    <row r="2797" spans="1:21" x14ac:dyDescent="0.2">
      <c r="A2797" t="s">
        <v>32</v>
      </c>
      <c r="B2797">
        <v>112</v>
      </c>
      <c r="C2797">
        <v>1</v>
      </c>
      <c r="D2797" t="s">
        <v>100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</row>
    <row r="2798" spans="1:21" x14ac:dyDescent="0.2">
      <c r="A2798" t="s">
        <v>32</v>
      </c>
      <c r="B2798">
        <v>113</v>
      </c>
      <c r="C2798">
        <v>1</v>
      </c>
      <c r="D2798" t="s">
        <v>101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</row>
    <row r="2799" spans="1:21" x14ac:dyDescent="0.2">
      <c r="A2799" t="s">
        <v>32</v>
      </c>
      <c r="B2799">
        <v>115</v>
      </c>
      <c r="C2799">
        <v>1</v>
      </c>
      <c r="D2799" t="s">
        <v>102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</row>
    <row r="2800" spans="1:21" x14ac:dyDescent="0.2">
      <c r="A2800" t="s">
        <v>32</v>
      </c>
      <c r="B2800">
        <v>116</v>
      </c>
      <c r="C2800">
        <v>1</v>
      </c>
      <c r="D2800" t="s">
        <v>103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 s="3">
        <v>0</v>
      </c>
    </row>
    <row r="2801" spans="1:21" x14ac:dyDescent="0.2">
      <c r="A2801" t="s">
        <v>32</v>
      </c>
      <c r="B2801">
        <v>118</v>
      </c>
      <c r="C2801">
        <v>1</v>
      </c>
      <c r="D2801" t="s">
        <v>104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3">
        <v>0</v>
      </c>
    </row>
    <row r="2802" spans="1:21" x14ac:dyDescent="0.2">
      <c r="A2802" t="s">
        <v>32</v>
      </c>
      <c r="B2802">
        <v>129</v>
      </c>
      <c r="C2802">
        <v>1</v>
      </c>
      <c r="D2802" t="s">
        <v>105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</row>
    <row r="2803" spans="1:21" x14ac:dyDescent="0.2">
      <c r="A2803" t="s">
        <v>32</v>
      </c>
      <c r="B2803">
        <v>138</v>
      </c>
      <c r="C2803">
        <v>1</v>
      </c>
      <c r="D2803" t="s">
        <v>106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</row>
    <row r="2804" spans="1:21" x14ac:dyDescent="0.2">
      <c r="A2804" t="s">
        <v>32</v>
      </c>
      <c r="B2804">
        <v>139</v>
      </c>
      <c r="C2804">
        <v>1</v>
      </c>
      <c r="D2804" t="s">
        <v>107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</row>
    <row r="2805" spans="1:21" x14ac:dyDescent="0.2">
      <c r="A2805" t="s">
        <v>32</v>
      </c>
      <c r="B2805">
        <v>146</v>
      </c>
      <c r="C2805">
        <v>1</v>
      </c>
      <c r="D2805" t="s">
        <v>108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950</v>
      </c>
      <c r="L2805" s="3">
        <v>950</v>
      </c>
      <c r="M2805" s="3">
        <v>950</v>
      </c>
      <c r="N2805" s="3">
        <v>950</v>
      </c>
      <c r="O2805" s="3">
        <v>950</v>
      </c>
      <c r="P2805" s="3">
        <v>950</v>
      </c>
      <c r="Q2805" s="3">
        <v>950</v>
      </c>
      <c r="R2805" s="3">
        <v>950</v>
      </c>
      <c r="S2805" s="3">
        <v>950</v>
      </c>
      <c r="T2805" s="3">
        <v>950</v>
      </c>
      <c r="U2805" s="3">
        <v>0</v>
      </c>
    </row>
    <row r="2806" spans="1:21" x14ac:dyDescent="0.2">
      <c r="A2806" t="s">
        <v>32</v>
      </c>
      <c r="B2806">
        <v>150</v>
      </c>
      <c r="C2806">
        <v>1</v>
      </c>
      <c r="D2806" t="s">
        <v>109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</row>
    <row r="2807" spans="1:21" x14ac:dyDescent="0.2">
      <c r="A2807" t="s">
        <v>32</v>
      </c>
      <c r="B2807">
        <v>152</v>
      </c>
      <c r="C2807">
        <v>1</v>
      </c>
      <c r="D2807" t="s">
        <v>110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 s="3">
        <v>0</v>
      </c>
    </row>
    <row r="2808" spans="1:21" x14ac:dyDescent="0.2">
      <c r="A2808" t="s">
        <v>32</v>
      </c>
      <c r="B2808">
        <v>162</v>
      </c>
      <c r="C2808">
        <v>1</v>
      </c>
      <c r="D2808" t="s">
        <v>111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</row>
    <row r="2809" spans="1:21" x14ac:dyDescent="0.2">
      <c r="A2809" t="s">
        <v>32</v>
      </c>
      <c r="B2809">
        <v>166</v>
      </c>
      <c r="C2809">
        <v>1</v>
      </c>
      <c r="D2809" t="s">
        <v>112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</row>
    <row r="2810" spans="1:21" x14ac:dyDescent="0.2">
      <c r="A2810" t="s">
        <v>32</v>
      </c>
      <c r="B2810">
        <v>173</v>
      </c>
      <c r="C2810">
        <v>1</v>
      </c>
      <c r="D2810" t="s">
        <v>113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</row>
    <row r="2811" spans="1:21" x14ac:dyDescent="0.2">
      <c r="A2811" t="s">
        <v>32</v>
      </c>
      <c r="B2811">
        <v>177</v>
      </c>
      <c r="C2811">
        <v>1</v>
      </c>
      <c r="D2811" t="s">
        <v>114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</row>
    <row r="2812" spans="1:21" x14ac:dyDescent="0.2">
      <c r="A2812" t="s">
        <v>32</v>
      </c>
      <c r="B2812">
        <v>181</v>
      </c>
      <c r="C2812">
        <v>1</v>
      </c>
      <c r="D2812" t="s">
        <v>115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0</v>
      </c>
    </row>
    <row r="2813" spans="1:21" x14ac:dyDescent="0.2">
      <c r="A2813" t="s">
        <v>32</v>
      </c>
      <c r="B2813">
        <v>182</v>
      </c>
      <c r="C2813">
        <v>1</v>
      </c>
      <c r="D2813" t="s">
        <v>116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</row>
    <row r="2814" spans="1:21" x14ac:dyDescent="0.2">
      <c r="A2814" t="s">
        <v>32</v>
      </c>
      <c r="B2814">
        <v>186</v>
      </c>
      <c r="C2814">
        <v>1</v>
      </c>
      <c r="D2814" t="s">
        <v>117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</row>
    <row r="2815" spans="1:21" x14ac:dyDescent="0.2">
      <c r="A2815" t="s">
        <v>32</v>
      </c>
      <c r="B2815">
        <v>191</v>
      </c>
      <c r="C2815">
        <v>1</v>
      </c>
      <c r="D2815" t="s">
        <v>118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</row>
    <row r="2816" spans="1:21" x14ac:dyDescent="0.2">
      <c r="A2816" t="s">
        <v>32</v>
      </c>
      <c r="B2816">
        <v>192</v>
      </c>
      <c r="C2816">
        <v>1</v>
      </c>
      <c r="D2816" t="s">
        <v>119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</row>
    <row r="2817" spans="1:21" x14ac:dyDescent="0.2">
      <c r="A2817" t="s">
        <v>32</v>
      </c>
      <c r="B2817">
        <v>194</v>
      </c>
      <c r="C2817">
        <v>1</v>
      </c>
      <c r="D2817" t="s">
        <v>120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</row>
    <row r="2818" spans="1:21" x14ac:dyDescent="0.2">
      <c r="A2818" t="s">
        <v>32</v>
      </c>
      <c r="B2818">
        <v>195</v>
      </c>
      <c r="C2818">
        <v>1</v>
      </c>
      <c r="D2818" t="s">
        <v>121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580.44000000000005</v>
      </c>
      <c r="L2818" s="3">
        <v>580.44000000000005</v>
      </c>
      <c r="M2818" s="3">
        <v>580.44000000000005</v>
      </c>
      <c r="N2818" s="3">
        <v>580.44000000000005</v>
      </c>
      <c r="O2818" s="3">
        <v>580.44000000000005</v>
      </c>
      <c r="P2818" s="3">
        <v>580.44000000000005</v>
      </c>
      <c r="Q2818" s="3">
        <v>580.44000000000005</v>
      </c>
      <c r="R2818" s="3">
        <v>580.44000000000005</v>
      </c>
      <c r="S2818" s="3">
        <v>580.44000000000005</v>
      </c>
      <c r="T2818" s="3">
        <v>580.44000000000005</v>
      </c>
      <c r="U2818" s="3">
        <v>0</v>
      </c>
    </row>
    <row r="2819" spans="1:21" x14ac:dyDescent="0.2">
      <c r="A2819" t="s">
        <v>32</v>
      </c>
      <c r="B2819">
        <v>196</v>
      </c>
      <c r="C2819">
        <v>1</v>
      </c>
      <c r="D2819" t="s">
        <v>122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s="3">
        <v>0</v>
      </c>
      <c r="K2819" s="3">
        <v>535.82000000000005</v>
      </c>
      <c r="L2819" s="3">
        <v>1042.3900000000001</v>
      </c>
      <c r="M2819" s="3">
        <v>1042.3900000000001</v>
      </c>
      <c r="N2819" s="3">
        <v>1042.3900000000001</v>
      </c>
      <c r="O2819" s="3">
        <v>1042.3900000000001</v>
      </c>
      <c r="P2819" s="3">
        <v>1042.3900000000001</v>
      </c>
      <c r="Q2819" s="3">
        <v>1042.3900000000001</v>
      </c>
      <c r="R2819" s="3">
        <v>1042.3900000000001</v>
      </c>
      <c r="S2819" s="3">
        <v>1042.3900000000001</v>
      </c>
      <c r="T2819" s="3">
        <v>1042.3900000000001</v>
      </c>
      <c r="U2819" s="3">
        <v>506.57</v>
      </c>
    </row>
    <row r="2820" spans="1:21" x14ac:dyDescent="0.2">
      <c r="A2820" t="s">
        <v>32</v>
      </c>
      <c r="B2820">
        <v>197</v>
      </c>
      <c r="C2820">
        <v>1</v>
      </c>
      <c r="D2820" t="s">
        <v>123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3">
        <v>0</v>
      </c>
    </row>
    <row r="2821" spans="1:21" x14ac:dyDescent="0.2">
      <c r="A2821" t="s">
        <v>32</v>
      </c>
      <c r="B2821">
        <v>199</v>
      </c>
      <c r="C2821">
        <v>1</v>
      </c>
      <c r="D2821" t="s">
        <v>124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</row>
    <row r="2822" spans="1:21" x14ac:dyDescent="0.2">
      <c r="A2822" t="s">
        <v>32</v>
      </c>
      <c r="B2822">
        <v>200</v>
      </c>
      <c r="C2822">
        <v>1</v>
      </c>
      <c r="D2822" t="s">
        <v>125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500</v>
      </c>
      <c r="L2822" s="3">
        <v>536</v>
      </c>
      <c r="M2822" s="3">
        <v>572</v>
      </c>
      <c r="N2822" s="3">
        <v>610</v>
      </c>
      <c r="O2822" s="3">
        <v>649</v>
      </c>
      <c r="P2822" s="3">
        <v>690</v>
      </c>
      <c r="Q2822" s="3">
        <v>731</v>
      </c>
      <c r="R2822" s="3">
        <v>774</v>
      </c>
      <c r="S2822" s="3">
        <v>0</v>
      </c>
      <c r="T2822" s="3">
        <v>0</v>
      </c>
      <c r="U2822" s="3">
        <v>0</v>
      </c>
    </row>
    <row r="2823" spans="1:21" x14ac:dyDescent="0.2">
      <c r="A2823" t="s">
        <v>32</v>
      </c>
      <c r="B2823">
        <v>203</v>
      </c>
      <c r="C2823">
        <v>1</v>
      </c>
      <c r="D2823" t="s">
        <v>126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</row>
    <row r="2824" spans="1:21" x14ac:dyDescent="0.2">
      <c r="A2824" t="s">
        <v>32</v>
      </c>
      <c r="B2824">
        <v>204</v>
      </c>
      <c r="C2824">
        <v>1</v>
      </c>
      <c r="D2824" t="s">
        <v>127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350</v>
      </c>
      <c r="L2824" s="3">
        <v>350</v>
      </c>
      <c r="M2824" s="3">
        <v>350</v>
      </c>
      <c r="N2824" s="3">
        <v>350</v>
      </c>
      <c r="O2824" s="3">
        <v>350</v>
      </c>
      <c r="P2824" s="3">
        <v>350</v>
      </c>
      <c r="Q2824" s="3">
        <v>350</v>
      </c>
      <c r="R2824" s="3">
        <v>350</v>
      </c>
      <c r="S2824" s="3">
        <v>350</v>
      </c>
      <c r="T2824" s="3">
        <v>350</v>
      </c>
      <c r="U2824" s="3">
        <v>0</v>
      </c>
    </row>
    <row r="2825" spans="1:21" x14ac:dyDescent="0.2">
      <c r="A2825" t="s">
        <v>32</v>
      </c>
      <c r="B2825">
        <v>206</v>
      </c>
      <c r="C2825">
        <v>1</v>
      </c>
      <c r="D2825" t="s">
        <v>128</v>
      </c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3">
        <v>0</v>
      </c>
    </row>
    <row r="2826" spans="1:21" x14ac:dyDescent="0.2">
      <c r="A2826" t="s">
        <v>32</v>
      </c>
      <c r="B2826">
        <v>207</v>
      </c>
      <c r="C2826">
        <v>1</v>
      </c>
      <c r="D2826" t="s">
        <v>129</v>
      </c>
      <c r="E2826" s="3">
        <v>0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</row>
    <row r="2827" spans="1:21" x14ac:dyDescent="0.2">
      <c r="A2827" t="s">
        <v>32</v>
      </c>
      <c r="B2827">
        <v>208</v>
      </c>
      <c r="C2827">
        <v>1</v>
      </c>
      <c r="D2827" t="s">
        <v>130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1373.71</v>
      </c>
      <c r="L2827" s="3">
        <v>1373.71</v>
      </c>
      <c r="M2827" s="3">
        <v>1373.71</v>
      </c>
      <c r="N2827" s="3">
        <v>1373.71</v>
      </c>
      <c r="O2827" s="3">
        <v>1373.71</v>
      </c>
      <c r="P2827" s="3">
        <v>1373.71</v>
      </c>
      <c r="Q2827" s="3">
        <v>1373.71</v>
      </c>
      <c r="R2827" s="3">
        <v>1373.71</v>
      </c>
      <c r="S2827" s="3">
        <v>1373.71</v>
      </c>
      <c r="T2827" s="3">
        <v>1373.71</v>
      </c>
      <c r="U2827" s="3">
        <v>0</v>
      </c>
    </row>
    <row r="2828" spans="1:21" x14ac:dyDescent="0.2">
      <c r="A2828" t="s">
        <v>32</v>
      </c>
      <c r="B2828">
        <v>213</v>
      </c>
      <c r="C2828">
        <v>1</v>
      </c>
      <c r="D2828" t="s">
        <v>131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</row>
    <row r="2829" spans="1:21" x14ac:dyDescent="0.2">
      <c r="A2829" t="s">
        <v>32</v>
      </c>
      <c r="B2829">
        <v>227</v>
      </c>
      <c r="C2829">
        <v>1</v>
      </c>
      <c r="D2829" t="s">
        <v>132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</row>
    <row r="2830" spans="1:21" x14ac:dyDescent="0.2">
      <c r="A2830" t="s">
        <v>32</v>
      </c>
      <c r="B2830">
        <v>229</v>
      </c>
      <c r="C2830">
        <v>1</v>
      </c>
      <c r="D2830" t="s">
        <v>133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</row>
    <row r="2831" spans="1:21" x14ac:dyDescent="0.2">
      <c r="A2831" t="s">
        <v>32</v>
      </c>
      <c r="B2831">
        <v>238</v>
      </c>
      <c r="C2831">
        <v>1</v>
      </c>
      <c r="D2831" t="s">
        <v>134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1207.96</v>
      </c>
      <c r="L2831" s="3">
        <v>1207.96</v>
      </c>
      <c r="M2831" s="3">
        <v>1207.96</v>
      </c>
      <c r="N2831" s="3">
        <v>1207.96</v>
      </c>
      <c r="O2831" s="3">
        <v>1207.96</v>
      </c>
      <c r="P2831" s="3">
        <v>1207.96</v>
      </c>
      <c r="Q2831" s="3">
        <v>0</v>
      </c>
      <c r="R2831" s="3">
        <v>0</v>
      </c>
      <c r="S2831" s="3">
        <v>0</v>
      </c>
      <c r="T2831" s="3">
        <v>0</v>
      </c>
      <c r="U2831" s="3">
        <v>0</v>
      </c>
    </row>
    <row r="2832" spans="1:21" x14ac:dyDescent="0.2">
      <c r="A2832" t="s">
        <v>32</v>
      </c>
      <c r="B2832">
        <v>239</v>
      </c>
      <c r="C2832">
        <v>1</v>
      </c>
      <c r="D2832" t="s">
        <v>135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</row>
    <row r="2833" spans="1:21" x14ac:dyDescent="0.2">
      <c r="A2833" t="s">
        <v>32</v>
      </c>
      <c r="B2833">
        <v>241</v>
      </c>
      <c r="C2833">
        <v>1</v>
      </c>
      <c r="D2833" t="s">
        <v>136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</row>
    <row r="2834" spans="1:21" x14ac:dyDescent="0.2">
      <c r="A2834" t="s">
        <v>32</v>
      </c>
      <c r="B2834">
        <v>242</v>
      </c>
      <c r="C2834">
        <v>1</v>
      </c>
      <c r="D2834" t="s">
        <v>137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</row>
    <row r="2835" spans="1:21" x14ac:dyDescent="0.2">
      <c r="A2835" t="s">
        <v>32</v>
      </c>
      <c r="B2835">
        <v>252</v>
      </c>
      <c r="C2835">
        <v>1</v>
      </c>
      <c r="D2835" t="s">
        <v>138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</row>
    <row r="2836" spans="1:21" x14ac:dyDescent="0.2">
      <c r="A2836" t="s">
        <v>32</v>
      </c>
      <c r="B2836">
        <v>253</v>
      </c>
      <c r="C2836">
        <v>1</v>
      </c>
      <c r="D2836" t="s">
        <v>139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</row>
    <row r="2837" spans="1:21" x14ac:dyDescent="0.2">
      <c r="A2837" t="s">
        <v>32</v>
      </c>
      <c r="B2837">
        <v>255</v>
      </c>
      <c r="C2837">
        <v>1</v>
      </c>
      <c r="D2837" t="s">
        <v>140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</row>
    <row r="2838" spans="1:21" x14ac:dyDescent="0.2">
      <c r="A2838" t="s">
        <v>32</v>
      </c>
      <c r="B2838">
        <v>256</v>
      </c>
      <c r="C2838">
        <v>1</v>
      </c>
      <c r="D2838" t="s">
        <v>141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</row>
    <row r="2839" spans="1:21" x14ac:dyDescent="0.2">
      <c r="A2839" t="s">
        <v>32</v>
      </c>
      <c r="B2839">
        <v>261</v>
      </c>
      <c r="C2839">
        <v>1</v>
      </c>
      <c r="D2839" t="s">
        <v>142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</row>
    <row r="2840" spans="1:21" x14ac:dyDescent="0.2">
      <c r="A2840" t="s">
        <v>32</v>
      </c>
      <c r="B2840">
        <v>264</v>
      </c>
      <c r="C2840">
        <v>1</v>
      </c>
      <c r="D2840" t="s">
        <v>143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</row>
    <row r="2841" spans="1:21" x14ac:dyDescent="0.2">
      <c r="A2841" t="s">
        <v>32</v>
      </c>
      <c r="B2841">
        <v>270</v>
      </c>
      <c r="C2841">
        <v>1</v>
      </c>
      <c r="D2841" t="s">
        <v>144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1507.31</v>
      </c>
      <c r="L2841" s="3">
        <v>1551.52</v>
      </c>
      <c r="M2841" s="3">
        <v>1590.31</v>
      </c>
      <c r="N2841" s="3">
        <v>1630.07</v>
      </c>
      <c r="O2841" s="3">
        <v>1670.82</v>
      </c>
      <c r="P2841" s="3">
        <v>1712.59</v>
      </c>
      <c r="Q2841" s="3">
        <v>1755.4</v>
      </c>
      <c r="R2841" s="3">
        <v>1799.29</v>
      </c>
      <c r="S2841" s="3">
        <v>1812.17</v>
      </c>
      <c r="T2841" s="3">
        <v>1821.54</v>
      </c>
      <c r="U2841" s="3">
        <v>0</v>
      </c>
    </row>
    <row r="2842" spans="1:21" x14ac:dyDescent="0.2">
      <c r="A2842" t="s">
        <v>32</v>
      </c>
      <c r="B2842">
        <v>271</v>
      </c>
      <c r="C2842">
        <v>1</v>
      </c>
      <c r="D2842" t="s">
        <v>145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</row>
    <row r="2843" spans="1:21" x14ac:dyDescent="0.2">
      <c r="A2843" t="s">
        <v>32</v>
      </c>
      <c r="B2843">
        <v>272</v>
      </c>
      <c r="C2843">
        <v>1</v>
      </c>
      <c r="D2843" t="s">
        <v>146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</row>
    <row r="2844" spans="1:21" x14ac:dyDescent="0.2">
      <c r="A2844" t="s">
        <v>32</v>
      </c>
      <c r="B2844">
        <v>273</v>
      </c>
      <c r="C2844">
        <v>1</v>
      </c>
      <c r="D2844" t="s">
        <v>147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</row>
    <row r="2845" spans="1:21" x14ac:dyDescent="0.2">
      <c r="A2845" t="s">
        <v>32</v>
      </c>
      <c r="B2845">
        <v>276</v>
      </c>
      <c r="C2845">
        <v>1</v>
      </c>
      <c r="D2845" t="s">
        <v>148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</row>
    <row r="2846" spans="1:21" x14ac:dyDescent="0.2">
      <c r="A2846" t="s">
        <v>32</v>
      </c>
      <c r="B2846">
        <v>277</v>
      </c>
      <c r="C2846">
        <v>1</v>
      </c>
      <c r="D2846" t="s">
        <v>149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</row>
    <row r="2847" spans="1:21" x14ac:dyDescent="0.2">
      <c r="A2847" t="s">
        <v>32</v>
      </c>
      <c r="B2847">
        <v>278</v>
      </c>
      <c r="C2847">
        <v>1</v>
      </c>
      <c r="D2847" t="s">
        <v>150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</row>
    <row r="2848" spans="1:21" x14ac:dyDescent="0.2">
      <c r="A2848" t="s">
        <v>32</v>
      </c>
      <c r="B2848">
        <v>279</v>
      </c>
      <c r="C2848">
        <v>1</v>
      </c>
      <c r="D2848" t="s">
        <v>151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 s="3">
        <v>0</v>
      </c>
    </row>
    <row r="2849" spans="1:21" x14ac:dyDescent="0.2">
      <c r="A2849" t="s">
        <v>32</v>
      </c>
      <c r="B2849">
        <v>280</v>
      </c>
      <c r="C2849">
        <v>1</v>
      </c>
      <c r="D2849" t="s">
        <v>152</v>
      </c>
      <c r="E2849" s="3">
        <v>0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798.38</v>
      </c>
      <c r="L2849" s="3">
        <v>798.38</v>
      </c>
      <c r="M2849" s="3">
        <v>798.38</v>
      </c>
      <c r="N2849" s="3">
        <v>798.38</v>
      </c>
      <c r="O2849" s="3">
        <v>798.38</v>
      </c>
      <c r="P2849" s="3">
        <v>798.38</v>
      </c>
      <c r="Q2849" s="3">
        <v>798.38</v>
      </c>
      <c r="R2849" s="3">
        <v>798.38</v>
      </c>
      <c r="S2849" s="3">
        <v>798.38</v>
      </c>
      <c r="T2849" s="3">
        <v>798.38</v>
      </c>
      <c r="U2849" s="3">
        <v>0</v>
      </c>
    </row>
    <row r="2850" spans="1:21" x14ac:dyDescent="0.2">
      <c r="A2850" t="s">
        <v>32</v>
      </c>
      <c r="B2850">
        <v>281</v>
      </c>
      <c r="C2850">
        <v>1</v>
      </c>
      <c r="D2850" t="s">
        <v>153</v>
      </c>
      <c r="E2850" s="3">
        <v>0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</row>
    <row r="2851" spans="1:21" x14ac:dyDescent="0.2">
      <c r="A2851" t="s">
        <v>32</v>
      </c>
      <c r="B2851">
        <v>282</v>
      </c>
      <c r="C2851">
        <v>1</v>
      </c>
      <c r="D2851" t="s">
        <v>154</v>
      </c>
      <c r="E2851" s="3">
        <v>0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1985</v>
      </c>
      <c r="L2851" s="3">
        <v>1985</v>
      </c>
      <c r="M2851" s="3">
        <v>1985</v>
      </c>
      <c r="N2851" s="3">
        <v>1985</v>
      </c>
      <c r="O2851" s="3">
        <v>1985</v>
      </c>
      <c r="P2851" s="3">
        <v>1985</v>
      </c>
      <c r="Q2851" s="3">
        <v>1985</v>
      </c>
      <c r="R2851" s="3">
        <v>1985</v>
      </c>
      <c r="S2851" s="3">
        <v>1985</v>
      </c>
      <c r="T2851" s="3">
        <v>1985</v>
      </c>
      <c r="U2851" s="3">
        <v>0</v>
      </c>
    </row>
    <row r="2852" spans="1:21" x14ac:dyDescent="0.2">
      <c r="A2852" t="s">
        <v>32</v>
      </c>
      <c r="B2852">
        <v>283</v>
      </c>
      <c r="C2852">
        <v>1</v>
      </c>
      <c r="D2852" t="s">
        <v>155</v>
      </c>
      <c r="E2852" s="3">
        <v>0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3">
        <v>0</v>
      </c>
    </row>
    <row r="2853" spans="1:21" x14ac:dyDescent="0.2">
      <c r="A2853" t="s">
        <v>32</v>
      </c>
      <c r="B2853">
        <v>284</v>
      </c>
      <c r="C2853">
        <v>1</v>
      </c>
      <c r="D2853" t="s">
        <v>156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629</v>
      </c>
      <c r="L2853" s="3">
        <v>629</v>
      </c>
      <c r="M2853" s="3">
        <v>629</v>
      </c>
      <c r="N2853" s="3">
        <v>629</v>
      </c>
      <c r="O2853" s="3">
        <v>629</v>
      </c>
      <c r="P2853" s="3">
        <v>629</v>
      </c>
      <c r="Q2853" s="3">
        <v>629</v>
      </c>
      <c r="R2853" s="3">
        <v>629</v>
      </c>
      <c r="S2853" s="3">
        <v>629</v>
      </c>
      <c r="T2853" s="3">
        <v>629</v>
      </c>
      <c r="U2853" s="3">
        <v>0</v>
      </c>
    </row>
    <row r="2854" spans="1:21" x14ac:dyDescent="0.2">
      <c r="A2854" t="s">
        <v>32</v>
      </c>
      <c r="B2854">
        <v>286</v>
      </c>
      <c r="C2854">
        <v>1</v>
      </c>
      <c r="D2854" t="s">
        <v>157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</row>
    <row r="2855" spans="1:21" x14ac:dyDescent="0.2">
      <c r="A2855" t="s">
        <v>32</v>
      </c>
      <c r="B2855">
        <v>294</v>
      </c>
      <c r="C2855">
        <v>1</v>
      </c>
      <c r="D2855" t="s">
        <v>158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</row>
    <row r="2856" spans="1:21" x14ac:dyDescent="0.2">
      <c r="A2856" t="s">
        <v>32</v>
      </c>
      <c r="B2856">
        <v>297</v>
      </c>
      <c r="C2856">
        <v>1</v>
      </c>
      <c r="D2856" t="s">
        <v>159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1388</v>
      </c>
      <c r="L2856" s="3">
        <v>1388</v>
      </c>
      <c r="M2856" s="3">
        <v>1388</v>
      </c>
      <c r="N2856" s="3">
        <v>1388</v>
      </c>
      <c r="O2856" s="3">
        <v>1388</v>
      </c>
      <c r="P2856" s="3">
        <v>1388</v>
      </c>
      <c r="Q2856" s="3">
        <v>1388</v>
      </c>
      <c r="R2856" s="3">
        <v>1388</v>
      </c>
      <c r="S2856" s="3">
        <v>1388</v>
      </c>
      <c r="T2856" s="3">
        <v>1388</v>
      </c>
      <c r="U2856" s="3">
        <v>0</v>
      </c>
    </row>
    <row r="2857" spans="1:21" x14ac:dyDescent="0.2">
      <c r="A2857" t="s">
        <v>32</v>
      </c>
      <c r="B2857">
        <v>299</v>
      </c>
      <c r="C2857">
        <v>1</v>
      </c>
      <c r="D2857" t="s">
        <v>160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</row>
    <row r="2858" spans="1:21" x14ac:dyDescent="0.2">
      <c r="A2858" t="s">
        <v>32</v>
      </c>
      <c r="B2858">
        <v>300</v>
      </c>
      <c r="C2858">
        <v>1</v>
      </c>
      <c r="D2858" t="s">
        <v>161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</row>
    <row r="2859" spans="1:21" x14ac:dyDescent="0.2">
      <c r="A2859" t="s">
        <v>32</v>
      </c>
      <c r="B2859">
        <v>306</v>
      </c>
      <c r="C2859">
        <v>1</v>
      </c>
      <c r="D2859" t="s">
        <v>162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</row>
    <row r="2860" spans="1:21" x14ac:dyDescent="0.2">
      <c r="A2860" t="s">
        <v>32</v>
      </c>
      <c r="B2860">
        <v>308</v>
      </c>
      <c r="C2860">
        <v>1</v>
      </c>
      <c r="D2860" t="s">
        <v>163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</row>
    <row r="2861" spans="1:21" x14ac:dyDescent="0.2">
      <c r="A2861" t="s">
        <v>32</v>
      </c>
      <c r="B2861">
        <v>309</v>
      </c>
      <c r="C2861">
        <v>1</v>
      </c>
      <c r="D2861" t="s">
        <v>164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</row>
    <row r="2862" spans="1:21" x14ac:dyDescent="0.2">
      <c r="A2862" t="s">
        <v>32</v>
      </c>
      <c r="B2862">
        <v>314</v>
      </c>
      <c r="C2862">
        <v>1</v>
      </c>
      <c r="D2862" t="s">
        <v>165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</row>
    <row r="2863" spans="1:21" x14ac:dyDescent="0.2">
      <c r="A2863" t="s">
        <v>32</v>
      </c>
      <c r="B2863">
        <v>316</v>
      </c>
      <c r="C2863">
        <v>1</v>
      </c>
      <c r="D2863" t="s">
        <v>166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</row>
    <row r="2864" spans="1:21" x14ac:dyDescent="0.2">
      <c r="A2864" t="s">
        <v>32</v>
      </c>
      <c r="B2864">
        <v>317</v>
      </c>
      <c r="C2864">
        <v>1</v>
      </c>
      <c r="D2864" t="s">
        <v>167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</row>
    <row r="2865" spans="1:21" x14ac:dyDescent="0.2">
      <c r="A2865" t="s">
        <v>32</v>
      </c>
      <c r="B2865">
        <v>318</v>
      </c>
      <c r="C2865">
        <v>1</v>
      </c>
      <c r="D2865" t="s">
        <v>168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 s="3">
        <v>0</v>
      </c>
    </row>
    <row r="2866" spans="1:21" x14ac:dyDescent="0.2">
      <c r="A2866" t="s">
        <v>32</v>
      </c>
      <c r="B2866">
        <v>319</v>
      </c>
      <c r="C2866">
        <v>1</v>
      </c>
      <c r="D2866" t="s">
        <v>169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</row>
    <row r="2867" spans="1:21" x14ac:dyDescent="0.2">
      <c r="A2867" t="s">
        <v>32</v>
      </c>
      <c r="B2867">
        <v>323</v>
      </c>
      <c r="C2867">
        <v>2</v>
      </c>
      <c r="D2867" t="s">
        <v>170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1400</v>
      </c>
      <c r="L2867" s="3">
        <v>1400</v>
      </c>
      <c r="M2867" s="3">
        <v>1400</v>
      </c>
      <c r="N2867" s="3">
        <v>1400</v>
      </c>
      <c r="O2867" s="3">
        <v>1400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</row>
    <row r="2868" spans="1:21" x14ac:dyDescent="0.2">
      <c r="A2868" t="s">
        <v>32</v>
      </c>
      <c r="B2868">
        <v>330</v>
      </c>
      <c r="C2868">
        <v>1</v>
      </c>
      <c r="D2868" t="s">
        <v>171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</row>
    <row r="2869" spans="1:21" x14ac:dyDescent="0.2">
      <c r="A2869" t="s">
        <v>32</v>
      </c>
      <c r="B2869">
        <v>332</v>
      </c>
      <c r="C2869">
        <v>1</v>
      </c>
      <c r="D2869" t="s">
        <v>172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</row>
    <row r="2870" spans="1:21" x14ac:dyDescent="0.2">
      <c r="A2870" t="s">
        <v>32</v>
      </c>
      <c r="B2870">
        <v>333</v>
      </c>
      <c r="C2870">
        <v>1</v>
      </c>
      <c r="D2870" t="s">
        <v>173</v>
      </c>
      <c r="E2870" s="3">
        <v>0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</row>
    <row r="2871" spans="1:21" x14ac:dyDescent="0.2">
      <c r="A2871" t="s">
        <v>32</v>
      </c>
      <c r="B2871">
        <v>345</v>
      </c>
      <c r="C2871">
        <v>1</v>
      </c>
      <c r="D2871" t="s">
        <v>174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</row>
    <row r="2872" spans="1:21" x14ac:dyDescent="0.2">
      <c r="A2872" t="s">
        <v>32</v>
      </c>
      <c r="B2872">
        <v>347</v>
      </c>
      <c r="C2872">
        <v>1</v>
      </c>
      <c r="D2872" t="s">
        <v>175</v>
      </c>
      <c r="E2872" s="3">
        <v>0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</row>
    <row r="2873" spans="1:21" x14ac:dyDescent="0.2">
      <c r="A2873" t="s">
        <v>32</v>
      </c>
      <c r="B2873">
        <v>356</v>
      </c>
      <c r="C2873">
        <v>1</v>
      </c>
      <c r="D2873" t="s">
        <v>176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  <c r="R2873" s="3">
        <v>0</v>
      </c>
      <c r="S2873" s="3">
        <v>0</v>
      </c>
      <c r="T2873" s="3">
        <v>0</v>
      </c>
      <c r="U2873" s="3">
        <v>0</v>
      </c>
    </row>
    <row r="2874" spans="1:21" x14ac:dyDescent="0.2">
      <c r="A2874" t="s">
        <v>32</v>
      </c>
      <c r="B2874">
        <v>361</v>
      </c>
      <c r="C2874">
        <v>1</v>
      </c>
      <c r="D2874" t="s">
        <v>177</v>
      </c>
      <c r="E2874" s="3">
        <v>0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</row>
    <row r="2875" spans="1:21" x14ac:dyDescent="0.2">
      <c r="A2875" t="s">
        <v>32</v>
      </c>
      <c r="B2875">
        <v>362</v>
      </c>
      <c r="C2875">
        <v>1</v>
      </c>
      <c r="D2875" t="s">
        <v>178</v>
      </c>
      <c r="E2875" s="3">
        <v>0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</row>
    <row r="2876" spans="1:21" x14ac:dyDescent="0.2">
      <c r="A2876" t="s">
        <v>32</v>
      </c>
      <c r="B2876">
        <v>363</v>
      </c>
      <c r="C2876">
        <v>1</v>
      </c>
      <c r="D2876" t="s">
        <v>179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0</v>
      </c>
      <c r="U2876" s="3">
        <v>0</v>
      </c>
    </row>
    <row r="2877" spans="1:21" x14ac:dyDescent="0.2">
      <c r="A2877" t="s">
        <v>32</v>
      </c>
      <c r="B2877">
        <v>371</v>
      </c>
      <c r="C2877">
        <v>1</v>
      </c>
      <c r="D2877" t="s">
        <v>180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</row>
    <row r="2878" spans="1:21" x14ac:dyDescent="0.2">
      <c r="A2878" t="s">
        <v>32</v>
      </c>
      <c r="B2878">
        <v>378</v>
      </c>
      <c r="C2878">
        <v>1</v>
      </c>
      <c r="D2878" t="s">
        <v>181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</row>
    <row r="2879" spans="1:21" x14ac:dyDescent="0.2">
      <c r="A2879" t="s">
        <v>32</v>
      </c>
      <c r="B2879">
        <v>381</v>
      </c>
      <c r="C2879">
        <v>1</v>
      </c>
      <c r="D2879" t="s">
        <v>182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</row>
    <row r="2880" spans="1:21" x14ac:dyDescent="0.2">
      <c r="A2880" t="s">
        <v>32</v>
      </c>
      <c r="B2880">
        <v>390</v>
      </c>
      <c r="C2880">
        <v>1</v>
      </c>
      <c r="D2880" t="s">
        <v>183</v>
      </c>
      <c r="E2880" s="3">
        <v>0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</row>
    <row r="2881" spans="1:21" x14ac:dyDescent="0.2">
      <c r="A2881" t="s">
        <v>32</v>
      </c>
      <c r="B2881">
        <v>391</v>
      </c>
      <c r="C2881">
        <v>1</v>
      </c>
      <c r="D2881" t="s">
        <v>184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350</v>
      </c>
      <c r="L2881" s="3">
        <v>350</v>
      </c>
      <c r="M2881" s="3">
        <v>350</v>
      </c>
      <c r="N2881" s="3">
        <v>350</v>
      </c>
      <c r="O2881" s="3">
        <v>350</v>
      </c>
      <c r="P2881" s="3">
        <v>350</v>
      </c>
      <c r="Q2881" s="3">
        <v>350</v>
      </c>
      <c r="R2881" s="3">
        <v>350</v>
      </c>
      <c r="S2881" s="3">
        <v>350</v>
      </c>
      <c r="T2881" s="3">
        <v>350</v>
      </c>
      <c r="U2881" s="3">
        <v>0</v>
      </c>
    </row>
    <row r="2882" spans="1:21" x14ac:dyDescent="0.2">
      <c r="A2882" t="s">
        <v>32</v>
      </c>
      <c r="B2882">
        <v>392</v>
      </c>
      <c r="C2882">
        <v>1</v>
      </c>
      <c r="D2882" t="s">
        <v>185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350</v>
      </c>
      <c r="L2882" s="3">
        <v>350</v>
      </c>
      <c r="M2882" s="3">
        <v>350</v>
      </c>
      <c r="N2882" s="3">
        <v>350</v>
      </c>
      <c r="O2882" s="3">
        <v>350</v>
      </c>
      <c r="P2882" s="3">
        <v>350</v>
      </c>
      <c r="Q2882" s="3">
        <v>350</v>
      </c>
      <c r="R2882" s="3">
        <v>350</v>
      </c>
      <c r="S2882" s="3">
        <v>350</v>
      </c>
      <c r="T2882" s="3">
        <v>350</v>
      </c>
      <c r="U2882" s="3">
        <v>0</v>
      </c>
    </row>
    <row r="2883" spans="1:21" x14ac:dyDescent="0.2">
      <c r="A2883" t="s">
        <v>32</v>
      </c>
      <c r="B2883">
        <v>394</v>
      </c>
      <c r="C2883">
        <v>1</v>
      </c>
      <c r="D2883" t="s">
        <v>186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 s="3">
        <v>0</v>
      </c>
    </row>
    <row r="2884" spans="1:21" x14ac:dyDescent="0.2">
      <c r="A2884" t="s">
        <v>32</v>
      </c>
      <c r="B2884">
        <v>402</v>
      </c>
      <c r="C2884">
        <v>1</v>
      </c>
      <c r="D2884" t="s">
        <v>187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</row>
    <row r="2885" spans="1:21" x14ac:dyDescent="0.2">
      <c r="A2885" t="s">
        <v>32</v>
      </c>
      <c r="B2885">
        <v>403</v>
      </c>
      <c r="C2885">
        <v>1</v>
      </c>
      <c r="D2885" t="s">
        <v>188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  <c r="T2885" s="3">
        <v>0</v>
      </c>
      <c r="U2885" s="3">
        <v>0</v>
      </c>
    </row>
    <row r="2886" spans="1:21" x14ac:dyDescent="0.2">
      <c r="A2886" t="s">
        <v>32</v>
      </c>
      <c r="B2886">
        <v>404</v>
      </c>
      <c r="C2886">
        <v>1</v>
      </c>
      <c r="D2886" t="s">
        <v>189</v>
      </c>
      <c r="E2886" s="3">
        <v>0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  <c r="R2886" s="3">
        <v>0</v>
      </c>
      <c r="S2886" s="3">
        <v>0</v>
      </c>
      <c r="T2886" s="3">
        <v>0</v>
      </c>
      <c r="U2886" s="3">
        <v>0</v>
      </c>
    </row>
    <row r="2887" spans="1:21" x14ac:dyDescent="0.2">
      <c r="A2887" t="s">
        <v>32</v>
      </c>
      <c r="B2887">
        <v>409</v>
      </c>
      <c r="C2887">
        <v>1</v>
      </c>
      <c r="D2887" t="s">
        <v>190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708.12</v>
      </c>
      <c r="L2887" s="3">
        <v>708.12</v>
      </c>
      <c r="M2887" s="3">
        <v>708.12</v>
      </c>
      <c r="N2887" s="3">
        <v>708.12</v>
      </c>
      <c r="O2887" s="3">
        <v>708.12</v>
      </c>
      <c r="P2887" s="3">
        <v>708.12</v>
      </c>
      <c r="Q2887" s="3">
        <v>708.12</v>
      </c>
      <c r="R2887" s="3">
        <v>708.12</v>
      </c>
      <c r="S2887" s="3">
        <v>708.12</v>
      </c>
      <c r="T2887" s="3">
        <v>708.12</v>
      </c>
      <c r="U2887" s="3">
        <v>0</v>
      </c>
    </row>
    <row r="2888" spans="1:21" x14ac:dyDescent="0.2">
      <c r="A2888" t="s">
        <v>32</v>
      </c>
      <c r="B2888">
        <v>411</v>
      </c>
      <c r="C2888">
        <v>1</v>
      </c>
      <c r="D2888" t="s">
        <v>191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0</v>
      </c>
      <c r="O2888" s="3">
        <v>0</v>
      </c>
      <c r="P2888" s="3">
        <v>0</v>
      </c>
      <c r="Q2888" s="3">
        <v>0</v>
      </c>
      <c r="R2888" s="3">
        <v>0</v>
      </c>
      <c r="S2888" s="3">
        <v>0</v>
      </c>
      <c r="T2888" s="3">
        <v>0</v>
      </c>
      <c r="U2888" s="3">
        <v>0</v>
      </c>
    </row>
    <row r="2889" spans="1:21" x14ac:dyDescent="0.2">
      <c r="A2889" t="s">
        <v>32</v>
      </c>
      <c r="B2889">
        <v>413</v>
      </c>
      <c r="C2889">
        <v>1</v>
      </c>
      <c r="D2889" t="s">
        <v>192</v>
      </c>
      <c r="E2889" s="3">
        <v>0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</row>
    <row r="2890" spans="1:21" x14ac:dyDescent="0.2">
      <c r="A2890" t="s">
        <v>32</v>
      </c>
      <c r="B2890">
        <v>414</v>
      </c>
      <c r="C2890">
        <v>1</v>
      </c>
      <c r="D2890" t="s">
        <v>193</v>
      </c>
      <c r="E2890" s="3">
        <v>0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  <c r="S2890" s="3">
        <v>0</v>
      </c>
      <c r="T2890" s="3">
        <v>0</v>
      </c>
      <c r="U2890" s="3">
        <v>0</v>
      </c>
    </row>
    <row r="2891" spans="1:21" x14ac:dyDescent="0.2">
      <c r="A2891" t="s">
        <v>32</v>
      </c>
      <c r="B2891">
        <v>415</v>
      </c>
      <c r="C2891">
        <v>1</v>
      </c>
      <c r="D2891" t="s">
        <v>194</v>
      </c>
      <c r="E2891" s="3">
        <v>0</v>
      </c>
      <c r="F2891" s="3">
        <v>0</v>
      </c>
      <c r="G2891" s="3">
        <v>0</v>
      </c>
      <c r="H2891" s="3">
        <v>0</v>
      </c>
      <c r="I2891" s="3">
        <v>0</v>
      </c>
      <c r="J2891" s="3">
        <v>0</v>
      </c>
      <c r="K2891" s="3">
        <v>1000</v>
      </c>
      <c r="L2891" s="3">
        <v>1000</v>
      </c>
      <c r="M2891" s="3">
        <v>1000</v>
      </c>
      <c r="N2891" s="3">
        <v>1000</v>
      </c>
      <c r="O2891" s="3">
        <v>1000</v>
      </c>
      <c r="P2891" s="3">
        <v>1000</v>
      </c>
      <c r="Q2891" s="3">
        <v>1000</v>
      </c>
      <c r="R2891" s="3">
        <v>1000</v>
      </c>
      <c r="S2891" s="3">
        <v>1000</v>
      </c>
      <c r="T2891" s="3">
        <v>1000</v>
      </c>
      <c r="U2891" s="3">
        <v>0</v>
      </c>
    </row>
    <row r="2892" spans="1:21" x14ac:dyDescent="0.2">
      <c r="A2892" t="s">
        <v>32</v>
      </c>
      <c r="B2892">
        <v>417</v>
      </c>
      <c r="C2892">
        <v>1</v>
      </c>
      <c r="D2892" t="s">
        <v>195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425</v>
      </c>
      <c r="L2892" s="3">
        <v>425</v>
      </c>
      <c r="M2892" s="3">
        <v>425</v>
      </c>
      <c r="N2892" s="3">
        <v>425</v>
      </c>
      <c r="O2892" s="3">
        <v>425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</row>
    <row r="2893" spans="1:21" x14ac:dyDescent="0.2">
      <c r="A2893" t="s">
        <v>32</v>
      </c>
      <c r="B2893">
        <v>418</v>
      </c>
      <c r="C2893">
        <v>1</v>
      </c>
      <c r="D2893" t="s">
        <v>196</v>
      </c>
      <c r="E2893" s="3">
        <v>0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209.44</v>
      </c>
      <c r="L2893" s="3">
        <v>209.44</v>
      </c>
      <c r="M2893" s="3">
        <v>209.44</v>
      </c>
      <c r="N2893" s="3">
        <v>209.44</v>
      </c>
      <c r="O2893" s="3">
        <v>209.44</v>
      </c>
      <c r="P2893" s="3">
        <v>209.44</v>
      </c>
      <c r="Q2893" s="3">
        <v>209.44</v>
      </c>
      <c r="R2893" s="3">
        <v>209.44</v>
      </c>
      <c r="S2893" s="3">
        <v>0</v>
      </c>
      <c r="T2893" s="3">
        <v>0</v>
      </c>
      <c r="U2893" s="3">
        <v>0</v>
      </c>
    </row>
    <row r="2894" spans="1:21" x14ac:dyDescent="0.2">
      <c r="A2894" t="s">
        <v>32</v>
      </c>
      <c r="B2894">
        <v>423</v>
      </c>
      <c r="C2894">
        <v>1</v>
      </c>
      <c r="D2894" t="s">
        <v>197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</row>
    <row r="2895" spans="1:21" x14ac:dyDescent="0.2">
      <c r="A2895" t="s">
        <v>32</v>
      </c>
      <c r="B2895">
        <v>424</v>
      </c>
      <c r="C2895">
        <v>1</v>
      </c>
      <c r="D2895" t="s">
        <v>198</v>
      </c>
      <c r="E2895" s="3">
        <v>0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</row>
    <row r="2896" spans="1:21" x14ac:dyDescent="0.2">
      <c r="A2896" t="s">
        <v>32</v>
      </c>
      <c r="B2896">
        <v>432</v>
      </c>
      <c r="C2896">
        <v>1</v>
      </c>
      <c r="D2896" t="s">
        <v>199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0</v>
      </c>
      <c r="T2896" s="3">
        <v>0</v>
      </c>
      <c r="U2896" s="3">
        <v>0</v>
      </c>
    </row>
    <row r="2897" spans="1:21" x14ac:dyDescent="0.2">
      <c r="A2897" t="s">
        <v>32</v>
      </c>
      <c r="B2897">
        <v>435</v>
      </c>
      <c r="C2897">
        <v>1</v>
      </c>
      <c r="D2897" t="s">
        <v>200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</row>
    <row r="2898" spans="1:21" x14ac:dyDescent="0.2">
      <c r="A2898" t="s">
        <v>32</v>
      </c>
      <c r="B2898">
        <v>441</v>
      </c>
      <c r="C2898">
        <v>1</v>
      </c>
      <c r="D2898" t="s">
        <v>201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</row>
    <row r="2899" spans="1:21" x14ac:dyDescent="0.2">
      <c r="A2899" t="s">
        <v>32</v>
      </c>
      <c r="B2899">
        <v>447</v>
      </c>
      <c r="C2899">
        <v>1</v>
      </c>
      <c r="D2899" t="s">
        <v>202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3">
        <v>0</v>
      </c>
      <c r="R2899" s="3">
        <v>0</v>
      </c>
      <c r="S2899" s="3">
        <v>0</v>
      </c>
      <c r="T2899" s="3">
        <v>0</v>
      </c>
      <c r="U2899" s="3">
        <v>0</v>
      </c>
    </row>
    <row r="2900" spans="1:21" x14ac:dyDescent="0.2">
      <c r="A2900" t="s">
        <v>32</v>
      </c>
      <c r="B2900">
        <v>458</v>
      </c>
      <c r="C2900">
        <v>1</v>
      </c>
      <c r="D2900" t="s">
        <v>203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  <c r="S2900" s="3">
        <v>0</v>
      </c>
      <c r="T2900" s="3">
        <v>0</v>
      </c>
      <c r="U2900" s="3">
        <v>0</v>
      </c>
    </row>
    <row r="2901" spans="1:21" x14ac:dyDescent="0.2">
      <c r="A2901" t="s">
        <v>32</v>
      </c>
      <c r="B2901">
        <v>463</v>
      </c>
      <c r="C2901">
        <v>1</v>
      </c>
      <c r="D2901" t="s">
        <v>204</v>
      </c>
      <c r="E2901" s="3">
        <v>0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450</v>
      </c>
      <c r="L2901" s="3">
        <v>450</v>
      </c>
      <c r="M2901" s="3">
        <v>450</v>
      </c>
      <c r="N2901" s="3">
        <v>450</v>
      </c>
      <c r="O2901" s="3">
        <v>450</v>
      </c>
      <c r="P2901" s="3">
        <v>450</v>
      </c>
      <c r="Q2901" s="3">
        <v>0</v>
      </c>
      <c r="R2901" s="3">
        <v>0</v>
      </c>
      <c r="S2901" s="3">
        <v>0</v>
      </c>
      <c r="T2901" s="3">
        <v>0</v>
      </c>
      <c r="U2901" s="3">
        <v>0</v>
      </c>
    </row>
    <row r="2902" spans="1:21" x14ac:dyDescent="0.2">
      <c r="A2902" t="s">
        <v>32</v>
      </c>
      <c r="B2902">
        <v>465</v>
      </c>
      <c r="C2902">
        <v>1</v>
      </c>
      <c r="D2902" t="s">
        <v>205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</row>
    <row r="2903" spans="1:21" x14ac:dyDescent="0.2">
      <c r="A2903" t="s">
        <v>32</v>
      </c>
      <c r="B2903">
        <v>466</v>
      </c>
      <c r="C2903">
        <v>1</v>
      </c>
      <c r="D2903" t="s">
        <v>206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3">
        <v>0</v>
      </c>
      <c r="T2903" s="3">
        <v>0</v>
      </c>
      <c r="U2903" s="3">
        <v>0</v>
      </c>
    </row>
    <row r="2904" spans="1:21" x14ac:dyDescent="0.2">
      <c r="A2904" t="s">
        <v>32</v>
      </c>
      <c r="B2904">
        <v>473</v>
      </c>
      <c r="C2904">
        <v>1</v>
      </c>
      <c r="D2904" t="s">
        <v>207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</row>
    <row r="2905" spans="1:21" x14ac:dyDescent="0.2">
      <c r="A2905" t="s">
        <v>32</v>
      </c>
      <c r="B2905">
        <v>477</v>
      </c>
      <c r="C2905">
        <v>1</v>
      </c>
      <c r="D2905" t="s">
        <v>208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325</v>
      </c>
      <c r="L2905" s="3">
        <v>325</v>
      </c>
      <c r="M2905" s="3">
        <v>325</v>
      </c>
      <c r="N2905" s="3">
        <v>325</v>
      </c>
      <c r="O2905" s="3">
        <v>325</v>
      </c>
      <c r="P2905" s="3">
        <v>325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</row>
    <row r="2906" spans="1:21" x14ac:dyDescent="0.2">
      <c r="A2906" t="s">
        <v>32</v>
      </c>
      <c r="B2906">
        <v>480</v>
      </c>
      <c r="C2906">
        <v>1</v>
      </c>
      <c r="D2906" t="s">
        <v>209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</row>
    <row r="2907" spans="1:21" x14ac:dyDescent="0.2">
      <c r="A2907" t="s">
        <v>32</v>
      </c>
      <c r="B2907">
        <v>482</v>
      </c>
      <c r="C2907">
        <v>1</v>
      </c>
      <c r="D2907" t="s">
        <v>210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</row>
    <row r="2908" spans="1:21" x14ac:dyDescent="0.2">
      <c r="A2908" t="s">
        <v>32</v>
      </c>
      <c r="B2908">
        <v>484</v>
      </c>
      <c r="C2908">
        <v>1</v>
      </c>
      <c r="D2908" t="s">
        <v>211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</row>
    <row r="2909" spans="1:21" x14ac:dyDescent="0.2">
      <c r="A2909" t="s">
        <v>32</v>
      </c>
      <c r="B2909">
        <v>485</v>
      </c>
      <c r="C2909">
        <v>1</v>
      </c>
      <c r="D2909" t="s">
        <v>212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</row>
    <row r="2910" spans="1:21" x14ac:dyDescent="0.2">
      <c r="A2910" t="s">
        <v>32</v>
      </c>
      <c r="B2910">
        <v>486</v>
      </c>
      <c r="C2910">
        <v>1</v>
      </c>
      <c r="D2910" t="s">
        <v>213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</row>
    <row r="2911" spans="1:21" x14ac:dyDescent="0.2">
      <c r="A2911" t="s">
        <v>32</v>
      </c>
      <c r="B2911">
        <v>487</v>
      </c>
      <c r="C2911">
        <v>1</v>
      </c>
      <c r="D2911" t="s">
        <v>214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</row>
    <row r="2912" spans="1:21" x14ac:dyDescent="0.2">
      <c r="A2912" t="s">
        <v>32</v>
      </c>
      <c r="B2912">
        <v>492</v>
      </c>
      <c r="C2912">
        <v>1</v>
      </c>
      <c r="D2912" t="s">
        <v>215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</row>
    <row r="2913" spans="1:21" x14ac:dyDescent="0.2">
      <c r="A2913" t="s">
        <v>32</v>
      </c>
      <c r="B2913">
        <v>495</v>
      </c>
      <c r="C2913">
        <v>1</v>
      </c>
      <c r="D2913" t="s">
        <v>216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</row>
    <row r="2914" spans="1:21" x14ac:dyDescent="0.2">
      <c r="A2914" t="s">
        <v>32</v>
      </c>
      <c r="B2914">
        <v>497</v>
      </c>
      <c r="C2914">
        <v>1</v>
      </c>
      <c r="D2914" t="s">
        <v>217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</row>
    <row r="2915" spans="1:21" x14ac:dyDescent="0.2">
      <c r="A2915" t="s">
        <v>32</v>
      </c>
      <c r="B2915">
        <v>499</v>
      </c>
      <c r="C2915">
        <v>1</v>
      </c>
      <c r="D2915" t="s">
        <v>218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</row>
    <row r="2916" spans="1:21" x14ac:dyDescent="0.2">
      <c r="A2916" t="s">
        <v>32</v>
      </c>
      <c r="B2916">
        <v>500</v>
      </c>
      <c r="C2916">
        <v>1</v>
      </c>
      <c r="D2916" t="s">
        <v>219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3">
        <v>0</v>
      </c>
      <c r="R2916" s="3">
        <v>0</v>
      </c>
      <c r="S2916" s="3">
        <v>0</v>
      </c>
      <c r="T2916" s="3">
        <v>0</v>
      </c>
      <c r="U2916" s="3">
        <v>0</v>
      </c>
    </row>
    <row r="2917" spans="1:21" x14ac:dyDescent="0.2">
      <c r="A2917" t="s">
        <v>32</v>
      </c>
      <c r="B2917">
        <v>505</v>
      </c>
      <c r="C2917">
        <v>1</v>
      </c>
      <c r="D2917" t="s">
        <v>220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  <c r="T2917" s="3">
        <v>0</v>
      </c>
      <c r="U2917" s="3">
        <v>0</v>
      </c>
    </row>
    <row r="2918" spans="1:21" x14ac:dyDescent="0.2">
      <c r="A2918" t="s">
        <v>32</v>
      </c>
      <c r="B2918">
        <v>507</v>
      </c>
      <c r="C2918">
        <v>1</v>
      </c>
      <c r="D2918" t="s">
        <v>221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</row>
    <row r="2919" spans="1:21" x14ac:dyDescent="0.2">
      <c r="A2919" t="s">
        <v>32</v>
      </c>
      <c r="B2919">
        <v>508</v>
      </c>
      <c r="C2919">
        <v>1</v>
      </c>
      <c r="D2919" t="s">
        <v>222</v>
      </c>
      <c r="E2919" s="3">
        <v>0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315</v>
      </c>
      <c r="L2919" s="3">
        <v>315</v>
      </c>
      <c r="M2919" s="3">
        <v>315</v>
      </c>
      <c r="N2919" s="3">
        <v>315</v>
      </c>
      <c r="O2919" s="3">
        <v>315</v>
      </c>
      <c r="P2919" s="3">
        <v>315</v>
      </c>
      <c r="Q2919" s="3">
        <v>315</v>
      </c>
      <c r="R2919" s="3">
        <v>315</v>
      </c>
      <c r="S2919" s="3">
        <v>315</v>
      </c>
      <c r="T2919" s="3">
        <v>315</v>
      </c>
      <c r="U2919" s="3">
        <v>0</v>
      </c>
    </row>
    <row r="2920" spans="1:21" x14ac:dyDescent="0.2">
      <c r="A2920" t="s">
        <v>32</v>
      </c>
      <c r="B2920">
        <v>511</v>
      </c>
      <c r="C2920">
        <v>1</v>
      </c>
      <c r="D2920" t="s">
        <v>223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  <c r="T2920" s="3">
        <v>0</v>
      </c>
      <c r="U2920" s="3">
        <v>0</v>
      </c>
    </row>
    <row r="2921" spans="1:21" x14ac:dyDescent="0.2">
      <c r="A2921" t="s">
        <v>32</v>
      </c>
      <c r="B2921">
        <v>513</v>
      </c>
      <c r="C2921">
        <v>1</v>
      </c>
      <c r="D2921" t="s">
        <v>224</v>
      </c>
      <c r="E2921" s="3">
        <v>0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1500</v>
      </c>
      <c r="L2921" s="3">
        <v>1500</v>
      </c>
      <c r="M2921" s="3">
        <v>1500</v>
      </c>
      <c r="N2921" s="3">
        <v>1500</v>
      </c>
      <c r="O2921" s="3">
        <v>1500</v>
      </c>
      <c r="P2921" s="3">
        <v>1500</v>
      </c>
      <c r="Q2921" s="3">
        <v>1500</v>
      </c>
      <c r="R2921" s="3">
        <v>1500</v>
      </c>
      <c r="S2921" s="3">
        <v>1500</v>
      </c>
      <c r="T2921" s="3">
        <v>1500</v>
      </c>
      <c r="U2921" s="3">
        <v>0</v>
      </c>
    </row>
    <row r="2922" spans="1:21" x14ac:dyDescent="0.2">
      <c r="A2922" t="s">
        <v>32</v>
      </c>
      <c r="B2922">
        <v>514</v>
      </c>
      <c r="C2922">
        <v>1</v>
      </c>
      <c r="D2922" t="s">
        <v>225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573.12</v>
      </c>
      <c r="L2922" s="3">
        <v>573.12</v>
      </c>
      <c r="M2922" s="3">
        <v>573.12</v>
      </c>
      <c r="N2922" s="3">
        <v>573.12</v>
      </c>
      <c r="O2922" s="3">
        <v>573.12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0</v>
      </c>
    </row>
    <row r="2923" spans="1:21" x14ac:dyDescent="0.2">
      <c r="A2923" t="s">
        <v>32</v>
      </c>
      <c r="B2923">
        <v>516</v>
      </c>
      <c r="C2923">
        <v>1</v>
      </c>
      <c r="D2923" t="s">
        <v>226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1500</v>
      </c>
      <c r="L2923" s="3">
        <v>1500</v>
      </c>
      <c r="M2923" s="3">
        <v>1500</v>
      </c>
      <c r="N2923" s="3">
        <v>1500</v>
      </c>
      <c r="O2923" s="3">
        <v>1500</v>
      </c>
      <c r="P2923" s="3">
        <v>1500</v>
      </c>
      <c r="Q2923" s="3">
        <v>1500</v>
      </c>
      <c r="R2923" s="3">
        <v>1500</v>
      </c>
      <c r="S2923" s="3">
        <v>1500</v>
      </c>
      <c r="T2923" s="3">
        <v>1500</v>
      </c>
      <c r="U2923" s="3">
        <v>0</v>
      </c>
    </row>
    <row r="2924" spans="1:21" x14ac:dyDescent="0.2">
      <c r="A2924" t="s">
        <v>32</v>
      </c>
      <c r="B2924">
        <v>518</v>
      </c>
      <c r="C2924">
        <v>1</v>
      </c>
      <c r="D2924" t="s">
        <v>227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  <c r="T2924" s="3">
        <v>0</v>
      </c>
      <c r="U2924" s="3">
        <v>0</v>
      </c>
    </row>
    <row r="2925" spans="1:21" x14ac:dyDescent="0.2">
      <c r="A2925" t="s">
        <v>32</v>
      </c>
      <c r="B2925">
        <v>531</v>
      </c>
      <c r="C2925">
        <v>1</v>
      </c>
      <c r="D2925" t="s">
        <v>228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</row>
    <row r="2926" spans="1:21" x14ac:dyDescent="0.2">
      <c r="A2926" t="s">
        <v>32</v>
      </c>
      <c r="B2926">
        <v>533</v>
      </c>
      <c r="C2926">
        <v>1</v>
      </c>
      <c r="D2926" t="s">
        <v>229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</row>
    <row r="2927" spans="1:21" x14ac:dyDescent="0.2">
      <c r="A2927" t="s">
        <v>32</v>
      </c>
      <c r="B2927">
        <v>534</v>
      </c>
      <c r="C2927">
        <v>1</v>
      </c>
      <c r="D2927" t="s">
        <v>230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</row>
    <row r="2928" spans="1:21" x14ac:dyDescent="0.2">
      <c r="A2928" t="s">
        <v>32</v>
      </c>
      <c r="B2928">
        <v>535</v>
      </c>
      <c r="C2928">
        <v>1</v>
      </c>
      <c r="D2928" t="s">
        <v>231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</row>
    <row r="2929" spans="1:21" x14ac:dyDescent="0.2">
      <c r="A2929" t="s">
        <v>32</v>
      </c>
      <c r="B2929">
        <v>542</v>
      </c>
      <c r="C2929">
        <v>1</v>
      </c>
      <c r="D2929" t="s">
        <v>232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</row>
    <row r="2930" spans="1:21" x14ac:dyDescent="0.2">
      <c r="A2930" t="s">
        <v>32</v>
      </c>
      <c r="B2930">
        <v>544</v>
      </c>
      <c r="C2930">
        <v>1</v>
      </c>
      <c r="D2930" t="s">
        <v>233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3">
        <v>0</v>
      </c>
      <c r="T2930" s="3">
        <v>0</v>
      </c>
      <c r="U2930" s="3">
        <v>0</v>
      </c>
    </row>
    <row r="2931" spans="1:21" x14ac:dyDescent="0.2">
      <c r="A2931" t="s">
        <v>32</v>
      </c>
      <c r="B2931">
        <v>545</v>
      </c>
      <c r="C2931">
        <v>1</v>
      </c>
      <c r="D2931" t="s">
        <v>234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</row>
    <row r="2932" spans="1:21" x14ac:dyDescent="0.2">
      <c r="A2932" t="s">
        <v>32</v>
      </c>
      <c r="B2932">
        <v>547</v>
      </c>
      <c r="C2932">
        <v>1</v>
      </c>
      <c r="D2932" t="s">
        <v>235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</row>
    <row r="2933" spans="1:21" x14ac:dyDescent="0.2">
      <c r="A2933" t="s">
        <v>32</v>
      </c>
      <c r="B2933">
        <v>548</v>
      </c>
      <c r="C2933">
        <v>1</v>
      </c>
      <c r="D2933" t="s">
        <v>236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 s="3">
        <v>0</v>
      </c>
    </row>
    <row r="2934" spans="1:21" x14ac:dyDescent="0.2">
      <c r="A2934" t="s">
        <v>32</v>
      </c>
      <c r="B2934">
        <v>549</v>
      </c>
      <c r="C2934">
        <v>1</v>
      </c>
      <c r="D2934" t="s">
        <v>237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</row>
    <row r="2935" spans="1:21" x14ac:dyDescent="0.2">
      <c r="A2935" t="s">
        <v>32</v>
      </c>
      <c r="B2935">
        <v>550</v>
      </c>
      <c r="C2935">
        <v>1</v>
      </c>
      <c r="D2935" t="s">
        <v>238</v>
      </c>
      <c r="E2935" s="3">
        <v>0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3">
        <v>0</v>
      </c>
      <c r="T2935" s="3">
        <v>0</v>
      </c>
      <c r="U2935" s="3">
        <v>0</v>
      </c>
    </row>
    <row r="2936" spans="1:21" x14ac:dyDescent="0.2">
      <c r="A2936" t="s">
        <v>32</v>
      </c>
      <c r="B2936">
        <v>553</v>
      </c>
      <c r="C2936">
        <v>1</v>
      </c>
      <c r="D2936" t="s">
        <v>239</v>
      </c>
      <c r="E2936" s="3">
        <v>0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  <c r="T2936" s="3">
        <v>0</v>
      </c>
      <c r="U2936" s="3">
        <v>0</v>
      </c>
    </row>
    <row r="2937" spans="1:21" x14ac:dyDescent="0.2">
      <c r="A2937" t="s">
        <v>32</v>
      </c>
      <c r="B2937">
        <v>561</v>
      </c>
      <c r="C2937">
        <v>1</v>
      </c>
      <c r="D2937" t="s">
        <v>240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</row>
    <row r="2938" spans="1:21" x14ac:dyDescent="0.2">
      <c r="A2938" t="s">
        <v>32</v>
      </c>
      <c r="B2938">
        <v>564</v>
      </c>
      <c r="C2938">
        <v>1</v>
      </c>
      <c r="D2938" t="s">
        <v>241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</row>
    <row r="2939" spans="1:21" x14ac:dyDescent="0.2">
      <c r="A2939" t="s">
        <v>32</v>
      </c>
      <c r="B2939">
        <v>577</v>
      </c>
      <c r="C2939">
        <v>1</v>
      </c>
      <c r="D2939" t="s">
        <v>242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</row>
    <row r="2940" spans="1:21" x14ac:dyDescent="0.2">
      <c r="A2940" t="s">
        <v>32</v>
      </c>
      <c r="B2940">
        <v>578</v>
      </c>
      <c r="C2940">
        <v>1</v>
      </c>
      <c r="D2940" t="s">
        <v>243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</row>
    <row r="2941" spans="1:21" x14ac:dyDescent="0.2">
      <c r="A2941" t="s">
        <v>32</v>
      </c>
      <c r="B2941">
        <v>581</v>
      </c>
      <c r="C2941">
        <v>1</v>
      </c>
      <c r="D2941" t="s">
        <v>244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</row>
    <row r="2942" spans="1:21" x14ac:dyDescent="0.2">
      <c r="A2942" t="s">
        <v>32</v>
      </c>
      <c r="B2942">
        <v>584</v>
      </c>
      <c r="C2942">
        <v>1</v>
      </c>
      <c r="D2942" t="s">
        <v>245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</row>
    <row r="2943" spans="1:21" x14ac:dyDescent="0.2">
      <c r="A2943" t="s">
        <v>32</v>
      </c>
      <c r="B2943">
        <v>592</v>
      </c>
      <c r="C2943">
        <v>1</v>
      </c>
      <c r="D2943" t="s">
        <v>246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</row>
    <row r="2944" spans="1:21" x14ac:dyDescent="0.2">
      <c r="A2944" t="s">
        <v>32</v>
      </c>
      <c r="B2944">
        <v>593</v>
      </c>
      <c r="C2944">
        <v>1</v>
      </c>
      <c r="D2944" t="s">
        <v>247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</row>
    <row r="2945" spans="1:21" x14ac:dyDescent="0.2">
      <c r="A2945" t="s">
        <v>32</v>
      </c>
      <c r="B2945">
        <v>595</v>
      </c>
      <c r="C2945">
        <v>1</v>
      </c>
      <c r="D2945" t="s">
        <v>248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</row>
    <row r="2946" spans="1:21" x14ac:dyDescent="0.2">
      <c r="A2946" t="s">
        <v>32</v>
      </c>
      <c r="B2946">
        <v>599</v>
      </c>
      <c r="C2946">
        <v>1</v>
      </c>
      <c r="D2946" t="s">
        <v>249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 s="3">
        <v>0</v>
      </c>
    </row>
    <row r="2947" spans="1:21" x14ac:dyDescent="0.2">
      <c r="A2947" t="s">
        <v>32</v>
      </c>
      <c r="B2947">
        <v>600</v>
      </c>
      <c r="C2947">
        <v>1</v>
      </c>
      <c r="D2947" t="s">
        <v>250</v>
      </c>
      <c r="E2947" s="3">
        <v>0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</row>
    <row r="2948" spans="1:21" x14ac:dyDescent="0.2">
      <c r="A2948" t="s">
        <v>32</v>
      </c>
      <c r="B2948">
        <v>601</v>
      </c>
      <c r="C2948">
        <v>1</v>
      </c>
      <c r="D2948" t="s">
        <v>251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700</v>
      </c>
      <c r="L2948" s="3">
        <v>700</v>
      </c>
      <c r="M2948" s="3">
        <v>700</v>
      </c>
      <c r="N2948" s="3">
        <v>700</v>
      </c>
      <c r="O2948" s="3">
        <v>700</v>
      </c>
      <c r="P2948" s="3">
        <v>700</v>
      </c>
      <c r="Q2948" s="3">
        <v>700</v>
      </c>
      <c r="R2948" s="3">
        <v>700</v>
      </c>
      <c r="S2948" s="3">
        <v>700</v>
      </c>
      <c r="T2948" s="3">
        <v>700</v>
      </c>
      <c r="U2948" s="3">
        <v>0</v>
      </c>
    </row>
    <row r="2949" spans="1:21" x14ac:dyDescent="0.2">
      <c r="A2949" t="s">
        <v>32</v>
      </c>
      <c r="B2949">
        <v>611</v>
      </c>
      <c r="C2949">
        <v>1</v>
      </c>
      <c r="D2949" t="s">
        <v>252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696.62</v>
      </c>
      <c r="L2949" s="3">
        <v>696.62</v>
      </c>
      <c r="M2949" s="3">
        <v>696.62</v>
      </c>
      <c r="N2949" s="3">
        <v>696.62</v>
      </c>
      <c r="O2949" s="3">
        <v>696.62</v>
      </c>
      <c r="P2949" s="3">
        <v>446.62</v>
      </c>
      <c r="Q2949" s="3">
        <v>446.62</v>
      </c>
      <c r="R2949" s="3">
        <v>446.62</v>
      </c>
      <c r="S2949" s="3">
        <v>446.62</v>
      </c>
      <c r="T2949" s="3">
        <v>446.62</v>
      </c>
      <c r="U2949" s="3">
        <v>0</v>
      </c>
    </row>
    <row r="2950" spans="1:21" x14ac:dyDescent="0.2">
      <c r="A2950" t="s">
        <v>32</v>
      </c>
      <c r="B2950">
        <v>621</v>
      </c>
      <c r="C2950">
        <v>1</v>
      </c>
      <c r="D2950" t="s">
        <v>253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0</v>
      </c>
    </row>
    <row r="2951" spans="1:21" x14ac:dyDescent="0.2">
      <c r="A2951" t="s">
        <v>32</v>
      </c>
      <c r="B2951">
        <v>622</v>
      </c>
      <c r="C2951">
        <v>1</v>
      </c>
      <c r="D2951" t="s">
        <v>254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</row>
    <row r="2952" spans="1:21" x14ac:dyDescent="0.2">
      <c r="A2952" t="s">
        <v>32</v>
      </c>
      <c r="B2952">
        <v>623</v>
      </c>
      <c r="C2952">
        <v>1</v>
      </c>
      <c r="D2952" t="s">
        <v>255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0</v>
      </c>
    </row>
    <row r="2953" spans="1:21" x14ac:dyDescent="0.2">
      <c r="A2953" t="s">
        <v>32</v>
      </c>
      <c r="B2953">
        <v>624</v>
      </c>
      <c r="C2953">
        <v>1</v>
      </c>
      <c r="D2953" t="s">
        <v>256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</row>
    <row r="2954" spans="1:21" x14ac:dyDescent="0.2">
      <c r="A2954" t="s">
        <v>32</v>
      </c>
      <c r="B2954">
        <v>625</v>
      </c>
      <c r="C2954">
        <v>1</v>
      </c>
      <c r="D2954" t="s">
        <v>257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0</v>
      </c>
    </row>
    <row r="2955" spans="1:21" x14ac:dyDescent="0.2">
      <c r="A2955" t="s">
        <v>32</v>
      </c>
      <c r="B2955">
        <v>627</v>
      </c>
      <c r="C2955">
        <v>1</v>
      </c>
      <c r="D2955" t="s">
        <v>258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1000</v>
      </c>
      <c r="L2955" s="3">
        <v>1000</v>
      </c>
      <c r="M2955" s="3">
        <v>1000</v>
      </c>
      <c r="N2955" s="3">
        <v>1000</v>
      </c>
      <c r="O2955" s="3">
        <v>1000</v>
      </c>
      <c r="P2955" s="3">
        <v>1000</v>
      </c>
      <c r="Q2955" s="3">
        <v>1000</v>
      </c>
      <c r="R2955" s="3">
        <v>1000</v>
      </c>
      <c r="S2955" s="3">
        <v>1000</v>
      </c>
      <c r="T2955" s="3">
        <v>1000</v>
      </c>
      <c r="U2955" s="3">
        <v>0</v>
      </c>
    </row>
    <row r="2956" spans="1:21" x14ac:dyDescent="0.2">
      <c r="A2956" t="s">
        <v>32</v>
      </c>
      <c r="B2956">
        <v>628</v>
      </c>
      <c r="C2956">
        <v>1</v>
      </c>
      <c r="D2956" t="s">
        <v>259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1293.24</v>
      </c>
      <c r="L2956" s="3">
        <v>1293.24</v>
      </c>
      <c r="M2956" s="3">
        <v>1293.24</v>
      </c>
      <c r="N2956" s="3">
        <v>1293.24</v>
      </c>
      <c r="O2956" s="3">
        <v>1293.24</v>
      </c>
      <c r="P2956" s="3">
        <v>1293.24</v>
      </c>
      <c r="Q2956" s="3">
        <v>1293.24</v>
      </c>
      <c r="R2956" s="3">
        <v>1293.24</v>
      </c>
      <c r="S2956" s="3">
        <v>1293.24</v>
      </c>
      <c r="T2956" s="3">
        <v>1293.24</v>
      </c>
      <c r="U2956" s="3">
        <v>0</v>
      </c>
    </row>
    <row r="2957" spans="1:21" x14ac:dyDescent="0.2">
      <c r="A2957" t="s">
        <v>32</v>
      </c>
      <c r="B2957">
        <v>630</v>
      </c>
      <c r="C2957">
        <v>1</v>
      </c>
      <c r="D2957" t="s">
        <v>260</v>
      </c>
      <c r="E2957" s="3">
        <v>0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  <c r="T2957" s="3">
        <v>0</v>
      </c>
      <c r="U2957" s="3">
        <v>0</v>
      </c>
    </row>
    <row r="2958" spans="1:21" x14ac:dyDescent="0.2">
      <c r="A2958" t="s">
        <v>32</v>
      </c>
      <c r="B2958">
        <v>635</v>
      </c>
      <c r="C2958">
        <v>1</v>
      </c>
      <c r="D2958" t="s">
        <v>261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  <c r="T2958" s="3">
        <v>0</v>
      </c>
      <c r="U2958" s="3">
        <v>0</v>
      </c>
    </row>
    <row r="2959" spans="1:21" x14ac:dyDescent="0.2">
      <c r="A2959" t="s">
        <v>32</v>
      </c>
      <c r="B2959">
        <v>640</v>
      </c>
      <c r="C2959">
        <v>1</v>
      </c>
      <c r="D2959" t="s">
        <v>262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0</v>
      </c>
    </row>
    <row r="2960" spans="1:21" x14ac:dyDescent="0.2">
      <c r="A2960" t="s">
        <v>32</v>
      </c>
      <c r="B2960">
        <v>656</v>
      </c>
      <c r="C2960">
        <v>1</v>
      </c>
      <c r="D2960" t="s">
        <v>263</v>
      </c>
      <c r="E2960" s="3">
        <v>0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385</v>
      </c>
      <c r="L2960" s="3">
        <v>385</v>
      </c>
      <c r="M2960" s="3">
        <v>385</v>
      </c>
      <c r="N2960" s="3">
        <v>385</v>
      </c>
      <c r="O2960" s="3">
        <v>385</v>
      </c>
      <c r="P2960" s="3">
        <v>0</v>
      </c>
      <c r="Q2960" s="3">
        <v>0</v>
      </c>
      <c r="R2960" s="3">
        <v>0</v>
      </c>
      <c r="S2960" s="3">
        <v>0</v>
      </c>
      <c r="T2960" s="3">
        <v>0</v>
      </c>
      <c r="U2960" s="3">
        <v>0</v>
      </c>
    </row>
    <row r="2961" spans="1:21" x14ac:dyDescent="0.2">
      <c r="A2961" t="s">
        <v>32</v>
      </c>
      <c r="B2961">
        <v>659</v>
      </c>
      <c r="C2961">
        <v>1</v>
      </c>
      <c r="D2961" t="s">
        <v>264</v>
      </c>
      <c r="E2961" s="3">
        <v>0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0</v>
      </c>
      <c r="U2961" s="3">
        <v>0</v>
      </c>
    </row>
    <row r="2962" spans="1:21" x14ac:dyDescent="0.2">
      <c r="A2962" t="s">
        <v>32</v>
      </c>
      <c r="B2962">
        <v>671</v>
      </c>
      <c r="C2962">
        <v>1</v>
      </c>
      <c r="D2962" t="s">
        <v>265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  <c r="T2962" s="3">
        <v>0</v>
      </c>
      <c r="U2962" s="3">
        <v>0</v>
      </c>
    </row>
    <row r="2963" spans="1:21" x14ac:dyDescent="0.2">
      <c r="A2963" t="s">
        <v>32</v>
      </c>
      <c r="B2963">
        <v>676</v>
      </c>
      <c r="C2963">
        <v>1</v>
      </c>
      <c r="D2963" t="s">
        <v>266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3">
        <v>0</v>
      </c>
      <c r="T2963" s="3">
        <v>0</v>
      </c>
      <c r="U2963" s="3">
        <v>0</v>
      </c>
    </row>
    <row r="2964" spans="1:21" x14ac:dyDescent="0.2">
      <c r="A2964" t="s">
        <v>32</v>
      </c>
      <c r="B2964">
        <v>682</v>
      </c>
      <c r="C2964">
        <v>1</v>
      </c>
      <c r="D2964" t="s">
        <v>267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373.96</v>
      </c>
      <c r="L2964" s="3">
        <v>373.96</v>
      </c>
      <c r="M2964" s="3">
        <v>373.96</v>
      </c>
      <c r="N2964" s="3">
        <v>373.96</v>
      </c>
      <c r="O2964" s="3">
        <v>373.96</v>
      </c>
      <c r="P2964" s="3">
        <v>373.96</v>
      </c>
      <c r="Q2964" s="3">
        <v>373.96</v>
      </c>
      <c r="R2964" s="3">
        <v>373.96</v>
      </c>
      <c r="S2964" s="3">
        <v>373.96</v>
      </c>
      <c r="T2964" s="3">
        <v>373.96</v>
      </c>
      <c r="U2964" s="3">
        <v>0</v>
      </c>
    </row>
    <row r="2965" spans="1:21" x14ac:dyDescent="0.2">
      <c r="A2965" t="s">
        <v>32</v>
      </c>
      <c r="B2965">
        <v>690</v>
      </c>
      <c r="C2965">
        <v>1</v>
      </c>
      <c r="D2965" t="s">
        <v>268</v>
      </c>
      <c r="E2965" s="3">
        <v>0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473.26</v>
      </c>
      <c r="L2965" s="3">
        <v>473.26</v>
      </c>
      <c r="M2965" s="3">
        <v>473.26</v>
      </c>
      <c r="N2965" s="3">
        <v>473.26</v>
      </c>
      <c r="O2965" s="3">
        <v>473.26</v>
      </c>
      <c r="P2965" s="3">
        <v>473.26</v>
      </c>
      <c r="Q2965" s="3">
        <v>473.26</v>
      </c>
      <c r="R2965" s="3">
        <v>473.26</v>
      </c>
      <c r="S2965" s="3">
        <v>473.26</v>
      </c>
      <c r="T2965" s="3">
        <v>473.26</v>
      </c>
      <c r="U2965" s="3">
        <v>0</v>
      </c>
    </row>
    <row r="2966" spans="1:21" x14ac:dyDescent="0.2">
      <c r="A2966" t="s">
        <v>32</v>
      </c>
      <c r="B2966">
        <v>695</v>
      </c>
      <c r="C2966">
        <v>1</v>
      </c>
      <c r="D2966" t="s">
        <v>269</v>
      </c>
      <c r="E2966" s="3">
        <v>0</v>
      </c>
      <c r="F2966" s="3">
        <v>0</v>
      </c>
      <c r="G2966" s="3">
        <v>0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</row>
    <row r="2967" spans="1:21" x14ac:dyDescent="0.2">
      <c r="A2967" t="s">
        <v>32</v>
      </c>
      <c r="B2967">
        <v>696</v>
      </c>
      <c r="C2967">
        <v>1</v>
      </c>
      <c r="D2967" t="s">
        <v>270</v>
      </c>
      <c r="E2967" s="3">
        <v>0</v>
      </c>
      <c r="F2967" s="3">
        <v>0</v>
      </c>
      <c r="G2967" s="3">
        <v>0</v>
      </c>
      <c r="H2967" s="3">
        <v>0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>
        <v>0</v>
      </c>
    </row>
    <row r="2968" spans="1:21" x14ac:dyDescent="0.2">
      <c r="A2968" t="s">
        <v>32</v>
      </c>
      <c r="B2968">
        <v>698</v>
      </c>
      <c r="C2968">
        <v>1</v>
      </c>
      <c r="D2968" t="s">
        <v>271</v>
      </c>
      <c r="E2968" s="3">
        <v>0</v>
      </c>
      <c r="F2968" s="3">
        <v>0</v>
      </c>
      <c r="G2968" s="3">
        <v>0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</row>
    <row r="2969" spans="1:21" x14ac:dyDescent="0.2">
      <c r="A2969" t="s">
        <v>32</v>
      </c>
      <c r="B2969">
        <v>700</v>
      </c>
      <c r="C2969">
        <v>1</v>
      </c>
      <c r="D2969" t="s">
        <v>272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3">
        <v>0</v>
      </c>
      <c r="T2969" s="3">
        <v>0</v>
      </c>
      <c r="U2969" s="3">
        <v>0</v>
      </c>
    </row>
    <row r="2970" spans="1:21" x14ac:dyDescent="0.2">
      <c r="A2970" t="s">
        <v>32</v>
      </c>
      <c r="B2970">
        <v>701</v>
      </c>
      <c r="C2970">
        <v>1</v>
      </c>
      <c r="D2970" t="s">
        <v>273</v>
      </c>
      <c r="E2970" s="3">
        <v>0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  <c r="R2970" s="3">
        <v>0</v>
      </c>
      <c r="S2970" s="3">
        <v>0</v>
      </c>
      <c r="T2970" s="3">
        <v>0</v>
      </c>
      <c r="U2970" s="3">
        <v>0</v>
      </c>
    </row>
    <row r="2971" spans="1:21" x14ac:dyDescent="0.2">
      <c r="A2971" t="s">
        <v>32</v>
      </c>
      <c r="B2971">
        <v>704</v>
      </c>
      <c r="C2971">
        <v>1</v>
      </c>
      <c r="D2971" t="s">
        <v>274</v>
      </c>
      <c r="E2971" s="3">
        <v>0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  <c r="T2971" s="3">
        <v>0</v>
      </c>
      <c r="U2971" s="3">
        <v>0</v>
      </c>
    </row>
    <row r="2972" spans="1:21" x14ac:dyDescent="0.2">
      <c r="A2972" t="s">
        <v>32</v>
      </c>
      <c r="B2972">
        <v>706</v>
      </c>
      <c r="C2972">
        <v>1</v>
      </c>
      <c r="D2972" t="s">
        <v>275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800</v>
      </c>
      <c r="L2972" s="3">
        <v>800</v>
      </c>
      <c r="M2972" s="3">
        <v>800</v>
      </c>
      <c r="N2972" s="3">
        <v>800</v>
      </c>
      <c r="O2972" s="3">
        <v>800</v>
      </c>
      <c r="P2972" s="3">
        <v>800</v>
      </c>
      <c r="Q2972" s="3">
        <v>800</v>
      </c>
      <c r="R2972" s="3">
        <v>0</v>
      </c>
      <c r="S2972" s="3">
        <v>0</v>
      </c>
      <c r="T2972" s="3">
        <v>0</v>
      </c>
      <c r="U2972" s="3">
        <v>0</v>
      </c>
    </row>
    <row r="2973" spans="1:21" x14ac:dyDescent="0.2">
      <c r="A2973" t="s">
        <v>32</v>
      </c>
      <c r="B2973">
        <v>707</v>
      </c>
      <c r="C2973">
        <v>1</v>
      </c>
      <c r="D2973" t="s">
        <v>276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</row>
    <row r="2974" spans="1:21" x14ac:dyDescent="0.2">
      <c r="A2974" t="s">
        <v>32</v>
      </c>
      <c r="B2974">
        <v>709</v>
      </c>
      <c r="C2974">
        <v>1</v>
      </c>
      <c r="D2974" t="s">
        <v>277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  <c r="T2974" s="3">
        <v>0</v>
      </c>
      <c r="U2974" s="3">
        <v>0</v>
      </c>
    </row>
    <row r="2975" spans="1:21" x14ac:dyDescent="0.2">
      <c r="A2975" t="s">
        <v>32</v>
      </c>
      <c r="B2975">
        <v>712</v>
      </c>
      <c r="C2975">
        <v>1</v>
      </c>
      <c r="D2975" t="s">
        <v>278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  <c r="S2975" s="3">
        <v>0</v>
      </c>
      <c r="T2975" s="3">
        <v>0</v>
      </c>
      <c r="U2975" s="3">
        <v>0</v>
      </c>
    </row>
    <row r="2976" spans="1:21" x14ac:dyDescent="0.2">
      <c r="A2976" t="s">
        <v>32</v>
      </c>
      <c r="B2976">
        <v>716</v>
      </c>
      <c r="C2976">
        <v>1</v>
      </c>
      <c r="D2976" t="s">
        <v>279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</row>
    <row r="2977" spans="1:21" x14ac:dyDescent="0.2">
      <c r="A2977" t="s">
        <v>32</v>
      </c>
      <c r="B2977">
        <v>717</v>
      </c>
      <c r="C2977">
        <v>1</v>
      </c>
      <c r="D2977" t="s">
        <v>280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0</v>
      </c>
    </row>
    <row r="2978" spans="1:21" x14ac:dyDescent="0.2">
      <c r="A2978" t="s">
        <v>32</v>
      </c>
      <c r="B2978">
        <v>719</v>
      </c>
      <c r="C2978">
        <v>1</v>
      </c>
      <c r="D2978" t="s">
        <v>281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0</v>
      </c>
    </row>
    <row r="2979" spans="1:21" x14ac:dyDescent="0.2">
      <c r="A2979" t="s">
        <v>32</v>
      </c>
      <c r="B2979">
        <v>720</v>
      </c>
      <c r="C2979">
        <v>1</v>
      </c>
      <c r="D2979" t="s">
        <v>282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0</v>
      </c>
    </row>
    <row r="2980" spans="1:21" x14ac:dyDescent="0.2">
      <c r="A2980" t="s">
        <v>32</v>
      </c>
      <c r="B2980">
        <v>721</v>
      </c>
      <c r="C2980">
        <v>1</v>
      </c>
      <c r="D2980" t="s">
        <v>283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</row>
    <row r="2981" spans="1:21" x14ac:dyDescent="0.2">
      <c r="A2981" t="s">
        <v>32</v>
      </c>
      <c r="B2981">
        <v>726</v>
      </c>
      <c r="C2981">
        <v>1</v>
      </c>
      <c r="D2981" t="s">
        <v>284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3">
        <v>0</v>
      </c>
      <c r="T2981" s="3">
        <v>0</v>
      </c>
      <c r="U2981" s="3">
        <v>0</v>
      </c>
    </row>
    <row r="2982" spans="1:21" x14ac:dyDescent="0.2">
      <c r="A2982" t="s">
        <v>32</v>
      </c>
      <c r="B2982">
        <v>727</v>
      </c>
      <c r="C2982">
        <v>1</v>
      </c>
      <c r="D2982" t="s">
        <v>285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</row>
    <row r="2983" spans="1:21" x14ac:dyDescent="0.2">
      <c r="A2983" t="s">
        <v>32</v>
      </c>
      <c r="B2983">
        <v>728</v>
      </c>
      <c r="C2983">
        <v>1</v>
      </c>
      <c r="D2983" t="s">
        <v>286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</row>
    <row r="2984" spans="1:21" x14ac:dyDescent="0.2">
      <c r="A2984" t="s">
        <v>32</v>
      </c>
      <c r="B2984">
        <v>738</v>
      </c>
      <c r="C2984">
        <v>1</v>
      </c>
      <c r="D2984" t="s">
        <v>287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500</v>
      </c>
      <c r="L2984" s="3">
        <v>500</v>
      </c>
      <c r="M2984" s="3">
        <v>500</v>
      </c>
      <c r="N2984" s="3">
        <v>500</v>
      </c>
      <c r="O2984" s="3">
        <v>500</v>
      </c>
      <c r="P2984" s="3">
        <v>0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</row>
    <row r="2985" spans="1:21" x14ac:dyDescent="0.2">
      <c r="A2985" t="s">
        <v>32</v>
      </c>
      <c r="B2985">
        <v>739</v>
      </c>
      <c r="C2985">
        <v>1</v>
      </c>
      <c r="D2985" t="s">
        <v>288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275</v>
      </c>
      <c r="L2985" s="3">
        <v>275</v>
      </c>
      <c r="M2985" s="3">
        <v>275</v>
      </c>
      <c r="N2985" s="3">
        <v>275</v>
      </c>
      <c r="O2985" s="3">
        <v>275</v>
      </c>
      <c r="P2985" s="3">
        <v>275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</row>
    <row r="2986" spans="1:21" x14ac:dyDescent="0.2">
      <c r="A2986" t="s">
        <v>32</v>
      </c>
      <c r="B2986">
        <v>740</v>
      </c>
      <c r="C2986">
        <v>1</v>
      </c>
      <c r="D2986" t="s">
        <v>289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700</v>
      </c>
      <c r="L2986" s="3">
        <v>700</v>
      </c>
      <c r="M2986" s="3">
        <v>700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  <c r="T2986" s="3">
        <v>0</v>
      </c>
      <c r="U2986" s="3">
        <v>0</v>
      </c>
    </row>
    <row r="2987" spans="1:21" x14ac:dyDescent="0.2">
      <c r="A2987" t="s">
        <v>32</v>
      </c>
      <c r="B2987">
        <v>741</v>
      </c>
      <c r="C2987">
        <v>1</v>
      </c>
      <c r="D2987" t="s">
        <v>290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  <c r="T2987" s="3">
        <v>0</v>
      </c>
      <c r="U2987" s="3">
        <v>0</v>
      </c>
    </row>
    <row r="2988" spans="1:21" x14ac:dyDescent="0.2">
      <c r="A2988" t="s">
        <v>32</v>
      </c>
      <c r="B2988">
        <v>742</v>
      </c>
      <c r="C2988">
        <v>1</v>
      </c>
      <c r="D2988" t="s">
        <v>291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  <c r="T2988" s="3">
        <v>0</v>
      </c>
      <c r="U2988" s="3">
        <v>0</v>
      </c>
    </row>
    <row r="2989" spans="1:21" x14ac:dyDescent="0.2">
      <c r="A2989" t="s">
        <v>32</v>
      </c>
      <c r="B2989">
        <v>743</v>
      </c>
      <c r="C2989">
        <v>1</v>
      </c>
      <c r="D2989" t="s">
        <v>292</v>
      </c>
      <c r="E2989" s="3">
        <v>0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  <c r="T2989" s="3">
        <v>0</v>
      </c>
      <c r="U2989" s="3">
        <v>0</v>
      </c>
    </row>
    <row r="2990" spans="1:21" x14ac:dyDescent="0.2">
      <c r="A2990" t="s">
        <v>32</v>
      </c>
      <c r="B2990">
        <v>745</v>
      </c>
      <c r="C2990">
        <v>1</v>
      </c>
      <c r="D2990" t="s">
        <v>293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  <c r="T2990" s="3">
        <v>0</v>
      </c>
      <c r="U2990" s="3">
        <v>0</v>
      </c>
    </row>
    <row r="2991" spans="1:21" x14ac:dyDescent="0.2">
      <c r="A2991" t="s">
        <v>32</v>
      </c>
      <c r="B2991">
        <v>748</v>
      </c>
      <c r="C2991">
        <v>1</v>
      </c>
      <c r="D2991" t="s">
        <v>294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  <c r="T2991" s="3">
        <v>0</v>
      </c>
      <c r="U2991" s="3">
        <v>0</v>
      </c>
    </row>
    <row r="2992" spans="1:21" x14ac:dyDescent="0.2">
      <c r="A2992" t="s">
        <v>32</v>
      </c>
      <c r="B2992">
        <v>750</v>
      </c>
      <c r="C2992">
        <v>1</v>
      </c>
      <c r="D2992" t="s">
        <v>295</v>
      </c>
      <c r="E2992" s="3">
        <v>0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0</v>
      </c>
    </row>
    <row r="2993" spans="1:21" x14ac:dyDescent="0.2">
      <c r="A2993" t="s">
        <v>32</v>
      </c>
      <c r="B2993">
        <v>756</v>
      </c>
      <c r="C2993">
        <v>1</v>
      </c>
      <c r="D2993" t="s">
        <v>296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</row>
    <row r="2994" spans="1:21" x14ac:dyDescent="0.2">
      <c r="A2994" t="s">
        <v>32</v>
      </c>
      <c r="B2994">
        <v>761</v>
      </c>
      <c r="C2994">
        <v>1</v>
      </c>
      <c r="D2994" t="s">
        <v>297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  <c r="T2994" s="3">
        <v>0</v>
      </c>
      <c r="U2994" s="3">
        <v>0</v>
      </c>
    </row>
    <row r="2995" spans="1:21" x14ac:dyDescent="0.2">
      <c r="A2995" t="s">
        <v>32</v>
      </c>
      <c r="B2995">
        <v>763</v>
      </c>
      <c r="C2995">
        <v>1</v>
      </c>
      <c r="D2995" t="s">
        <v>298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</row>
    <row r="2996" spans="1:21" x14ac:dyDescent="0.2">
      <c r="A2996" t="s">
        <v>32</v>
      </c>
      <c r="B2996">
        <v>768</v>
      </c>
      <c r="C2996">
        <v>1</v>
      </c>
      <c r="D2996" t="s">
        <v>299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</row>
    <row r="2997" spans="1:21" x14ac:dyDescent="0.2">
      <c r="A2997" t="s">
        <v>32</v>
      </c>
      <c r="B2997">
        <v>769</v>
      </c>
      <c r="C2997">
        <v>1</v>
      </c>
      <c r="D2997" t="s">
        <v>300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385</v>
      </c>
      <c r="L2997" s="3">
        <v>385</v>
      </c>
      <c r="M2997" s="3">
        <v>385</v>
      </c>
      <c r="N2997" s="3">
        <v>385</v>
      </c>
      <c r="O2997" s="3">
        <v>385</v>
      </c>
      <c r="P2997" s="3">
        <v>385</v>
      </c>
      <c r="Q2997" s="3">
        <v>385</v>
      </c>
      <c r="R2997" s="3">
        <v>385</v>
      </c>
      <c r="S2997" s="3">
        <v>385</v>
      </c>
      <c r="T2997" s="3">
        <v>385</v>
      </c>
      <c r="U2997" s="3">
        <v>0</v>
      </c>
    </row>
    <row r="2998" spans="1:21" x14ac:dyDescent="0.2">
      <c r="A2998" t="s">
        <v>32</v>
      </c>
      <c r="B2998">
        <v>771</v>
      </c>
      <c r="C2998">
        <v>1</v>
      </c>
      <c r="D2998" t="s">
        <v>301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</row>
    <row r="2999" spans="1:21" x14ac:dyDescent="0.2">
      <c r="A2999" t="s">
        <v>32</v>
      </c>
      <c r="B2999">
        <v>775</v>
      </c>
      <c r="C2999">
        <v>1</v>
      </c>
      <c r="D2999" t="s">
        <v>302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  <c r="T2999" s="3">
        <v>0</v>
      </c>
      <c r="U2999" s="3">
        <v>0</v>
      </c>
    </row>
    <row r="3000" spans="1:21" x14ac:dyDescent="0.2">
      <c r="A3000" t="s">
        <v>32</v>
      </c>
      <c r="B3000">
        <v>777</v>
      </c>
      <c r="C3000">
        <v>1</v>
      </c>
      <c r="D3000" t="s">
        <v>303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</row>
    <row r="3001" spans="1:21" x14ac:dyDescent="0.2">
      <c r="A3001" t="s">
        <v>32</v>
      </c>
      <c r="B3001">
        <v>786</v>
      </c>
      <c r="C3001">
        <v>1</v>
      </c>
      <c r="D3001" t="s">
        <v>304</v>
      </c>
      <c r="E3001" s="3">
        <v>0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  <c r="T3001" s="3">
        <v>0</v>
      </c>
      <c r="U3001" s="3">
        <v>0</v>
      </c>
    </row>
    <row r="3002" spans="1:21" x14ac:dyDescent="0.2">
      <c r="A3002" t="s">
        <v>32</v>
      </c>
      <c r="B3002">
        <v>787</v>
      </c>
      <c r="C3002">
        <v>1</v>
      </c>
      <c r="D3002" t="s">
        <v>305</v>
      </c>
      <c r="E3002" s="3">
        <v>0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</row>
    <row r="3003" spans="1:21" x14ac:dyDescent="0.2">
      <c r="A3003" t="s">
        <v>32</v>
      </c>
      <c r="B3003">
        <v>801</v>
      </c>
      <c r="C3003">
        <v>1</v>
      </c>
      <c r="D3003" t="s">
        <v>306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</row>
    <row r="3004" spans="1:21" x14ac:dyDescent="0.2">
      <c r="A3004" t="s">
        <v>32</v>
      </c>
      <c r="B3004">
        <v>803</v>
      </c>
      <c r="C3004">
        <v>1</v>
      </c>
      <c r="D3004" t="s">
        <v>307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</row>
    <row r="3005" spans="1:21" x14ac:dyDescent="0.2">
      <c r="A3005" t="s">
        <v>32</v>
      </c>
      <c r="B3005">
        <v>806</v>
      </c>
      <c r="C3005">
        <v>1</v>
      </c>
      <c r="D3005" t="s">
        <v>308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</row>
    <row r="3006" spans="1:21" x14ac:dyDescent="0.2">
      <c r="A3006" t="s">
        <v>32</v>
      </c>
      <c r="B3006">
        <v>810</v>
      </c>
      <c r="C3006">
        <v>1</v>
      </c>
      <c r="D3006" t="s">
        <v>309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</row>
    <row r="3007" spans="1:21" x14ac:dyDescent="0.2">
      <c r="A3007" t="s">
        <v>32</v>
      </c>
      <c r="B3007">
        <v>811</v>
      </c>
      <c r="C3007">
        <v>1</v>
      </c>
      <c r="D3007" t="s">
        <v>310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989</v>
      </c>
      <c r="L3007" s="3">
        <v>989</v>
      </c>
      <c r="M3007" s="3">
        <v>989</v>
      </c>
      <c r="N3007" s="3">
        <v>989</v>
      </c>
      <c r="O3007" s="3">
        <v>989</v>
      </c>
      <c r="P3007" s="3">
        <v>989</v>
      </c>
      <c r="Q3007" s="3">
        <v>989</v>
      </c>
      <c r="R3007" s="3">
        <v>989</v>
      </c>
      <c r="S3007" s="3">
        <v>989</v>
      </c>
      <c r="T3007" s="3">
        <v>989</v>
      </c>
      <c r="U3007" s="3">
        <v>0</v>
      </c>
    </row>
    <row r="3008" spans="1:21" x14ac:dyDescent="0.2">
      <c r="A3008" t="s">
        <v>32</v>
      </c>
      <c r="B3008">
        <v>813</v>
      </c>
      <c r="C3008">
        <v>1</v>
      </c>
      <c r="D3008" t="s">
        <v>311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</row>
    <row r="3009" spans="1:21" x14ac:dyDescent="0.2">
      <c r="A3009" t="s">
        <v>32</v>
      </c>
      <c r="B3009">
        <v>815</v>
      </c>
      <c r="C3009">
        <v>2</v>
      </c>
      <c r="D3009" t="s">
        <v>312</v>
      </c>
      <c r="E3009" s="3">
        <v>0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</row>
    <row r="3010" spans="1:21" x14ac:dyDescent="0.2">
      <c r="A3010" t="s">
        <v>32</v>
      </c>
      <c r="B3010">
        <v>818</v>
      </c>
      <c r="C3010">
        <v>1</v>
      </c>
      <c r="D3010" t="s">
        <v>313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</row>
    <row r="3011" spans="1:21" x14ac:dyDescent="0.2">
      <c r="A3011" t="s">
        <v>32</v>
      </c>
      <c r="B3011">
        <v>820</v>
      </c>
      <c r="C3011">
        <v>1</v>
      </c>
      <c r="D3011" t="s">
        <v>314</v>
      </c>
      <c r="E3011" s="3">
        <v>0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0</v>
      </c>
      <c r="U3011" s="3">
        <v>0</v>
      </c>
    </row>
    <row r="3012" spans="1:21" x14ac:dyDescent="0.2">
      <c r="A3012" t="s">
        <v>32</v>
      </c>
      <c r="B3012">
        <v>821</v>
      </c>
      <c r="C3012">
        <v>1</v>
      </c>
      <c r="D3012" t="s">
        <v>315</v>
      </c>
      <c r="E3012" s="3">
        <v>0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</row>
    <row r="3013" spans="1:21" x14ac:dyDescent="0.2">
      <c r="A3013" t="s">
        <v>32</v>
      </c>
      <c r="B3013">
        <v>829</v>
      </c>
      <c r="C3013">
        <v>1</v>
      </c>
      <c r="D3013" t="s">
        <v>316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</row>
    <row r="3014" spans="1:21" x14ac:dyDescent="0.2">
      <c r="A3014" t="s">
        <v>32</v>
      </c>
      <c r="B3014">
        <v>831</v>
      </c>
      <c r="C3014">
        <v>1</v>
      </c>
      <c r="D3014" t="s">
        <v>317</v>
      </c>
      <c r="E3014" s="3">
        <v>0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0</v>
      </c>
      <c r="U3014" s="3">
        <v>0</v>
      </c>
    </row>
    <row r="3015" spans="1:21" x14ac:dyDescent="0.2">
      <c r="A3015" t="s">
        <v>32</v>
      </c>
      <c r="B3015">
        <v>832</v>
      </c>
      <c r="C3015">
        <v>1</v>
      </c>
      <c r="D3015" t="s">
        <v>318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  <c r="T3015" s="3">
        <v>0</v>
      </c>
      <c r="U3015" s="3">
        <v>0</v>
      </c>
    </row>
    <row r="3016" spans="1:21" x14ac:dyDescent="0.2">
      <c r="A3016" t="s">
        <v>32</v>
      </c>
      <c r="B3016">
        <v>833</v>
      </c>
      <c r="C3016">
        <v>1</v>
      </c>
      <c r="D3016" t="s">
        <v>319</v>
      </c>
      <c r="E3016" s="3">
        <v>0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</row>
    <row r="3017" spans="1:21" x14ac:dyDescent="0.2">
      <c r="A3017" t="s">
        <v>32</v>
      </c>
      <c r="B3017">
        <v>834</v>
      </c>
      <c r="C3017">
        <v>1</v>
      </c>
      <c r="D3017" t="s">
        <v>320</v>
      </c>
      <c r="E3017" s="3">
        <v>0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0</v>
      </c>
      <c r="U3017" s="3">
        <v>0</v>
      </c>
    </row>
    <row r="3018" spans="1:21" x14ac:dyDescent="0.2">
      <c r="A3018" t="s">
        <v>32</v>
      </c>
      <c r="B3018">
        <v>836</v>
      </c>
      <c r="C3018">
        <v>1</v>
      </c>
      <c r="D3018" t="s">
        <v>321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1296.68</v>
      </c>
      <c r="L3018" s="3">
        <v>1296.68</v>
      </c>
      <c r="M3018" s="3">
        <v>1296.68</v>
      </c>
      <c r="N3018" s="3">
        <v>1296.68</v>
      </c>
      <c r="O3018" s="3">
        <v>1296.68</v>
      </c>
      <c r="P3018" s="3">
        <v>1296.68</v>
      </c>
      <c r="Q3018" s="3">
        <v>1296.68</v>
      </c>
      <c r="R3018" s="3">
        <v>1296.68</v>
      </c>
      <c r="S3018" s="3">
        <v>1296.68</v>
      </c>
      <c r="T3018" s="3">
        <v>1296.68</v>
      </c>
      <c r="U3018" s="3">
        <v>0</v>
      </c>
    </row>
    <row r="3019" spans="1:21" x14ac:dyDescent="0.2">
      <c r="A3019" t="s">
        <v>32</v>
      </c>
      <c r="B3019">
        <v>837</v>
      </c>
      <c r="C3019">
        <v>1</v>
      </c>
      <c r="D3019" t="s">
        <v>322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700</v>
      </c>
      <c r="L3019" s="3">
        <v>700</v>
      </c>
      <c r="M3019" s="3">
        <v>700</v>
      </c>
      <c r="N3019" s="3">
        <v>700</v>
      </c>
      <c r="O3019" s="3">
        <v>700</v>
      </c>
      <c r="P3019" s="3">
        <v>700</v>
      </c>
      <c r="Q3019" s="3">
        <v>700</v>
      </c>
      <c r="R3019" s="3">
        <v>700</v>
      </c>
      <c r="S3019" s="3">
        <v>700</v>
      </c>
      <c r="T3019" s="3">
        <v>700</v>
      </c>
      <c r="U3019" s="3">
        <v>0</v>
      </c>
    </row>
    <row r="3020" spans="1:21" x14ac:dyDescent="0.2">
      <c r="A3020" t="s">
        <v>32</v>
      </c>
      <c r="B3020">
        <v>840</v>
      </c>
      <c r="C3020">
        <v>1</v>
      </c>
      <c r="D3020" t="s">
        <v>323</v>
      </c>
      <c r="E3020" s="3">
        <v>0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</row>
    <row r="3021" spans="1:21" x14ac:dyDescent="0.2">
      <c r="A3021" t="s">
        <v>32</v>
      </c>
      <c r="B3021">
        <v>846</v>
      </c>
      <c r="C3021">
        <v>1</v>
      </c>
      <c r="D3021" t="s">
        <v>324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0</v>
      </c>
      <c r="U3021" s="3">
        <v>0</v>
      </c>
    </row>
    <row r="3022" spans="1:21" x14ac:dyDescent="0.2">
      <c r="A3022" t="s">
        <v>32</v>
      </c>
      <c r="B3022">
        <v>850</v>
      </c>
      <c r="C3022">
        <v>1</v>
      </c>
      <c r="D3022" t="s">
        <v>325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</row>
    <row r="3023" spans="1:21" x14ac:dyDescent="0.2">
      <c r="A3023" t="s">
        <v>32</v>
      </c>
      <c r="B3023">
        <v>852</v>
      </c>
      <c r="C3023">
        <v>1</v>
      </c>
      <c r="D3023" t="s">
        <v>326</v>
      </c>
      <c r="E3023" s="3">
        <v>0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</row>
    <row r="3024" spans="1:21" x14ac:dyDescent="0.2">
      <c r="A3024" t="s">
        <v>32</v>
      </c>
      <c r="B3024">
        <v>857</v>
      </c>
      <c r="C3024">
        <v>1</v>
      </c>
      <c r="D3024" t="s">
        <v>327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315</v>
      </c>
      <c r="L3024" s="3">
        <v>315</v>
      </c>
      <c r="M3024" s="3">
        <v>315</v>
      </c>
      <c r="N3024" s="3">
        <v>315</v>
      </c>
      <c r="O3024" s="3">
        <v>315</v>
      </c>
      <c r="P3024" s="3">
        <v>315</v>
      </c>
      <c r="Q3024" s="3">
        <v>315</v>
      </c>
      <c r="R3024" s="3">
        <v>315</v>
      </c>
      <c r="S3024" s="3">
        <v>315</v>
      </c>
      <c r="T3024" s="3">
        <v>315</v>
      </c>
      <c r="U3024" s="3">
        <v>0</v>
      </c>
    </row>
    <row r="3025" spans="1:21" x14ac:dyDescent="0.2">
      <c r="A3025" t="s">
        <v>32</v>
      </c>
      <c r="B3025">
        <v>858</v>
      </c>
      <c r="C3025">
        <v>1</v>
      </c>
      <c r="D3025" t="s">
        <v>328</v>
      </c>
      <c r="E3025" s="3">
        <v>0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</row>
    <row r="3026" spans="1:21" x14ac:dyDescent="0.2">
      <c r="A3026" t="s">
        <v>32</v>
      </c>
      <c r="B3026">
        <v>861</v>
      </c>
      <c r="C3026">
        <v>1</v>
      </c>
      <c r="D3026" t="s">
        <v>329</v>
      </c>
      <c r="E3026" s="3">
        <v>0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1550</v>
      </c>
      <c r="L3026" s="3">
        <v>1550</v>
      </c>
      <c r="M3026" s="3">
        <v>1550</v>
      </c>
      <c r="N3026" s="3">
        <v>1550</v>
      </c>
      <c r="O3026" s="3">
        <v>1550</v>
      </c>
      <c r="P3026" s="3">
        <v>1550</v>
      </c>
      <c r="Q3026" s="3">
        <v>0</v>
      </c>
      <c r="R3026" s="3">
        <v>0</v>
      </c>
      <c r="S3026" s="3">
        <v>0</v>
      </c>
      <c r="T3026" s="3">
        <v>0</v>
      </c>
      <c r="U3026" s="3">
        <v>0</v>
      </c>
    </row>
    <row r="3027" spans="1:21" x14ac:dyDescent="0.2">
      <c r="A3027" t="s">
        <v>32</v>
      </c>
      <c r="B3027">
        <v>876</v>
      </c>
      <c r="C3027">
        <v>1</v>
      </c>
      <c r="D3027" t="s">
        <v>330</v>
      </c>
      <c r="E3027" s="3">
        <v>0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</row>
    <row r="3028" spans="1:21" x14ac:dyDescent="0.2">
      <c r="A3028" t="s">
        <v>32</v>
      </c>
      <c r="B3028">
        <v>877</v>
      </c>
      <c r="C3028">
        <v>1</v>
      </c>
      <c r="D3028" t="s">
        <v>331</v>
      </c>
      <c r="E3028" s="3">
        <v>0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  <c r="T3028" s="3">
        <v>0</v>
      </c>
      <c r="U3028" s="3">
        <v>0</v>
      </c>
    </row>
    <row r="3029" spans="1:21" x14ac:dyDescent="0.2">
      <c r="A3029" t="s">
        <v>32</v>
      </c>
      <c r="B3029">
        <v>879</v>
      </c>
      <c r="C3029">
        <v>1</v>
      </c>
      <c r="D3029" t="s">
        <v>332</v>
      </c>
      <c r="E3029" s="3">
        <v>0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</row>
    <row r="3030" spans="1:21" x14ac:dyDescent="0.2">
      <c r="A3030" t="s">
        <v>32</v>
      </c>
      <c r="B3030">
        <v>881</v>
      </c>
      <c r="C3030">
        <v>1</v>
      </c>
      <c r="D3030" t="s">
        <v>333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  <c r="T3030" s="3">
        <v>0</v>
      </c>
      <c r="U3030" s="3">
        <v>0</v>
      </c>
    </row>
    <row r="3031" spans="1:21" x14ac:dyDescent="0.2">
      <c r="A3031" t="s">
        <v>32</v>
      </c>
      <c r="B3031">
        <v>882</v>
      </c>
      <c r="C3031">
        <v>1</v>
      </c>
      <c r="D3031" t="s">
        <v>334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  <c r="S3031" s="3">
        <v>0</v>
      </c>
      <c r="T3031" s="3">
        <v>0</v>
      </c>
      <c r="U3031" s="3">
        <v>0</v>
      </c>
    </row>
    <row r="3032" spans="1:21" x14ac:dyDescent="0.2">
      <c r="A3032" t="s">
        <v>32</v>
      </c>
      <c r="B3032">
        <v>883</v>
      </c>
      <c r="C3032">
        <v>1</v>
      </c>
      <c r="D3032" t="s">
        <v>335</v>
      </c>
      <c r="E3032" s="3">
        <v>0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</row>
    <row r="3033" spans="1:21" x14ac:dyDescent="0.2">
      <c r="A3033" t="s">
        <v>32</v>
      </c>
      <c r="B3033">
        <v>885</v>
      </c>
      <c r="C3033">
        <v>1</v>
      </c>
      <c r="D3033" t="s">
        <v>336</v>
      </c>
      <c r="E3033" s="3">
        <v>0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  <c r="T3033" s="3">
        <v>0</v>
      </c>
      <c r="U3033" s="3">
        <v>0</v>
      </c>
    </row>
    <row r="3034" spans="1:21" x14ac:dyDescent="0.2">
      <c r="A3034" t="s">
        <v>32</v>
      </c>
      <c r="B3034">
        <v>891</v>
      </c>
      <c r="C3034">
        <v>1</v>
      </c>
      <c r="D3034" t="s">
        <v>337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  <c r="T3034" s="3">
        <v>0</v>
      </c>
      <c r="U3034" s="3">
        <v>0</v>
      </c>
    </row>
    <row r="3035" spans="1:21" x14ac:dyDescent="0.2">
      <c r="A3035" t="s">
        <v>32</v>
      </c>
      <c r="B3035">
        <v>911</v>
      </c>
      <c r="C3035">
        <v>1</v>
      </c>
      <c r="D3035" t="s">
        <v>338</v>
      </c>
      <c r="E3035" s="3">
        <v>0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  <c r="T3035" s="3">
        <v>0</v>
      </c>
      <c r="U3035" s="3">
        <v>0</v>
      </c>
    </row>
    <row r="3036" spans="1:21" x14ac:dyDescent="0.2">
      <c r="A3036" t="s">
        <v>32</v>
      </c>
      <c r="B3036">
        <v>912</v>
      </c>
      <c r="C3036">
        <v>1</v>
      </c>
      <c r="D3036" t="s">
        <v>339</v>
      </c>
      <c r="E3036" s="3">
        <v>0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  <c r="S3036" s="3">
        <v>0</v>
      </c>
      <c r="T3036" s="3">
        <v>0</v>
      </c>
      <c r="U3036" s="3">
        <v>0</v>
      </c>
    </row>
    <row r="3037" spans="1:21" x14ac:dyDescent="0.2">
      <c r="A3037" t="s">
        <v>32</v>
      </c>
      <c r="B3037">
        <v>914</v>
      </c>
      <c r="C3037">
        <v>1</v>
      </c>
      <c r="D3037" t="s">
        <v>340</v>
      </c>
      <c r="E3037" s="3">
        <v>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1700</v>
      </c>
      <c r="L3037" s="3">
        <v>1700</v>
      </c>
      <c r="M3037" s="3">
        <v>1700</v>
      </c>
      <c r="N3037" s="3">
        <v>1700</v>
      </c>
      <c r="O3037" s="3">
        <v>1700</v>
      </c>
      <c r="P3037" s="3">
        <v>0</v>
      </c>
      <c r="Q3037" s="3">
        <v>0</v>
      </c>
      <c r="R3037" s="3">
        <v>0</v>
      </c>
      <c r="S3037" s="3">
        <v>0</v>
      </c>
      <c r="T3037" s="3">
        <v>0</v>
      </c>
      <c r="U3037" s="3">
        <v>0</v>
      </c>
    </row>
    <row r="3038" spans="1:21" x14ac:dyDescent="0.2">
      <c r="A3038" t="s">
        <v>32</v>
      </c>
      <c r="B3038">
        <v>2071</v>
      </c>
      <c r="C3038">
        <v>1</v>
      </c>
      <c r="D3038" t="s">
        <v>341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319.49</v>
      </c>
      <c r="L3038" s="3">
        <v>319.49</v>
      </c>
      <c r="M3038" s="3">
        <v>319.49</v>
      </c>
      <c r="N3038" s="3">
        <v>319.49</v>
      </c>
      <c r="O3038" s="3">
        <v>319.49</v>
      </c>
      <c r="P3038" s="3">
        <v>319.49</v>
      </c>
      <c r="Q3038" s="3">
        <v>319.49</v>
      </c>
      <c r="R3038" s="3">
        <v>319.49</v>
      </c>
      <c r="S3038" s="3">
        <v>319.49</v>
      </c>
      <c r="T3038" s="3">
        <v>319.49</v>
      </c>
      <c r="U3038" s="3">
        <v>0</v>
      </c>
    </row>
    <row r="3039" spans="1:21" x14ac:dyDescent="0.2">
      <c r="A3039" t="s">
        <v>32</v>
      </c>
      <c r="B3039">
        <v>2125</v>
      </c>
      <c r="C3039">
        <v>1</v>
      </c>
      <c r="D3039" t="s">
        <v>342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  <c r="R3039" s="3">
        <v>0</v>
      </c>
      <c r="S3039" s="3">
        <v>0</v>
      </c>
      <c r="T3039" s="3">
        <v>0</v>
      </c>
      <c r="U3039" s="3">
        <v>0</v>
      </c>
    </row>
    <row r="3040" spans="1:21" x14ac:dyDescent="0.2">
      <c r="A3040" t="s">
        <v>32</v>
      </c>
      <c r="B3040">
        <v>2134</v>
      </c>
      <c r="C3040">
        <v>1</v>
      </c>
      <c r="D3040" t="s">
        <v>343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</row>
    <row r="3041" spans="1:21" x14ac:dyDescent="0.2">
      <c r="A3041" t="s">
        <v>32</v>
      </c>
      <c r="B3041">
        <v>2135</v>
      </c>
      <c r="C3041">
        <v>1</v>
      </c>
      <c r="D3041" t="s">
        <v>344</v>
      </c>
      <c r="E3041" s="3">
        <v>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  <c r="T3041" s="3">
        <v>0</v>
      </c>
      <c r="U3041" s="3">
        <v>0</v>
      </c>
    </row>
    <row r="3042" spans="1:21" x14ac:dyDescent="0.2">
      <c r="A3042" t="s">
        <v>32</v>
      </c>
      <c r="B3042">
        <v>2137</v>
      </c>
      <c r="C3042">
        <v>1</v>
      </c>
      <c r="D3042" t="s">
        <v>345</v>
      </c>
      <c r="E3042" s="3">
        <v>0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</row>
    <row r="3043" spans="1:21" x14ac:dyDescent="0.2">
      <c r="A3043" t="s">
        <v>32</v>
      </c>
      <c r="B3043">
        <v>2142</v>
      </c>
      <c r="C3043">
        <v>1</v>
      </c>
      <c r="D3043" t="s">
        <v>346</v>
      </c>
      <c r="E3043" s="3">
        <v>0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  <c r="T3043" s="3">
        <v>0</v>
      </c>
      <c r="U3043" s="3">
        <v>0</v>
      </c>
    </row>
    <row r="3044" spans="1:21" x14ac:dyDescent="0.2">
      <c r="A3044" t="s">
        <v>32</v>
      </c>
      <c r="B3044">
        <v>2143</v>
      </c>
      <c r="C3044">
        <v>1</v>
      </c>
      <c r="D3044" t="s">
        <v>347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  <c r="T3044" s="3">
        <v>0</v>
      </c>
      <c r="U3044" s="3">
        <v>0</v>
      </c>
    </row>
    <row r="3045" spans="1:21" x14ac:dyDescent="0.2">
      <c r="A3045" t="s">
        <v>32</v>
      </c>
      <c r="B3045">
        <v>2144</v>
      </c>
      <c r="C3045">
        <v>1</v>
      </c>
      <c r="D3045" t="s">
        <v>348</v>
      </c>
      <c r="E3045" s="3">
        <v>0</v>
      </c>
      <c r="F3045" s="3">
        <v>0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 s="3">
        <v>0</v>
      </c>
    </row>
    <row r="3046" spans="1:21" x14ac:dyDescent="0.2">
      <c r="A3046" t="s">
        <v>32</v>
      </c>
      <c r="B3046">
        <v>2149</v>
      </c>
      <c r="C3046">
        <v>1</v>
      </c>
      <c r="D3046" t="s">
        <v>349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</row>
    <row r="3047" spans="1:21" x14ac:dyDescent="0.2">
      <c r="A3047" t="s">
        <v>32</v>
      </c>
      <c r="B3047">
        <v>2154</v>
      </c>
      <c r="C3047">
        <v>1</v>
      </c>
      <c r="D3047" t="s">
        <v>350</v>
      </c>
      <c r="E3047" s="3">
        <v>0</v>
      </c>
      <c r="F3047" s="3">
        <v>0</v>
      </c>
      <c r="G3047" s="3">
        <v>0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</row>
    <row r="3048" spans="1:21" x14ac:dyDescent="0.2">
      <c r="A3048" t="s">
        <v>32</v>
      </c>
      <c r="B3048">
        <v>2155</v>
      </c>
      <c r="C3048">
        <v>1</v>
      </c>
      <c r="D3048" t="s">
        <v>351</v>
      </c>
      <c r="E3048" s="3">
        <v>0</v>
      </c>
      <c r="F3048" s="3">
        <v>0</v>
      </c>
      <c r="G3048" s="3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  <c r="T3048" s="3">
        <v>0</v>
      </c>
      <c r="U3048" s="3">
        <v>0</v>
      </c>
    </row>
    <row r="3049" spans="1:21" x14ac:dyDescent="0.2">
      <c r="A3049" t="s">
        <v>32</v>
      </c>
      <c r="B3049">
        <v>2159</v>
      </c>
      <c r="C3049">
        <v>1</v>
      </c>
      <c r="D3049" t="s">
        <v>352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</row>
    <row r="3050" spans="1:21" x14ac:dyDescent="0.2">
      <c r="A3050" t="s">
        <v>32</v>
      </c>
      <c r="B3050">
        <v>2164</v>
      </c>
      <c r="C3050">
        <v>1</v>
      </c>
      <c r="D3050" t="s">
        <v>353</v>
      </c>
      <c r="E3050" s="3">
        <v>0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</row>
    <row r="3051" spans="1:21" x14ac:dyDescent="0.2">
      <c r="A3051" t="s">
        <v>32</v>
      </c>
      <c r="B3051">
        <v>2165</v>
      </c>
      <c r="C3051">
        <v>1</v>
      </c>
      <c r="D3051" t="s">
        <v>354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</v>
      </c>
    </row>
    <row r="3052" spans="1:21" x14ac:dyDescent="0.2">
      <c r="A3052" t="s">
        <v>32</v>
      </c>
      <c r="B3052">
        <v>2167</v>
      </c>
      <c r="C3052">
        <v>1</v>
      </c>
      <c r="D3052" t="s">
        <v>355</v>
      </c>
      <c r="E3052" s="3">
        <v>0</v>
      </c>
      <c r="F3052" s="3">
        <v>0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</row>
    <row r="3053" spans="1:21" x14ac:dyDescent="0.2">
      <c r="A3053" t="s">
        <v>32</v>
      </c>
      <c r="B3053">
        <v>2168</v>
      </c>
      <c r="C3053">
        <v>1</v>
      </c>
      <c r="D3053" t="s">
        <v>356</v>
      </c>
      <c r="E3053" s="3">
        <v>0</v>
      </c>
      <c r="F3053" s="3">
        <v>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 s="3">
        <v>0</v>
      </c>
    </row>
    <row r="3054" spans="1:21" x14ac:dyDescent="0.2">
      <c r="A3054" t="s">
        <v>32</v>
      </c>
      <c r="B3054">
        <v>2169</v>
      </c>
      <c r="C3054">
        <v>1</v>
      </c>
      <c r="D3054" t="s">
        <v>357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</row>
    <row r="3055" spans="1:21" x14ac:dyDescent="0.2">
      <c r="A3055" t="s">
        <v>32</v>
      </c>
      <c r="B3055">
        <v>2170</v>
      </c>
      <c r="C3055">
        <v>1</v>
      </c>
      <c r="D3055" t="s">
        <v>358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0</v>
      </c>
    </row>
    <row r="3056" spans="1:21" x14ac:dyDescent="0.2">
      <c r="A3056" t="s">
        <v>32</v>
      </c>
      <c r="B3056">
        <v>2171</v>
      </c>
      <c r="C3056">
        <v>1</v>
      </c>
      <c r="D3056" t="s">
        <v>359</v>
      </c>
      <c r="E3056" s="3">
        <v>0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</row>
    <row r="3057" spans="1:21" x14ac:dyDescent="0.2">
      <c r="A3057" t="s">
        <v>32</v>
      </c>
      <c r="B3057">
        <v>2172</v>
      </c>
      <c r="C3057">
        <v>1</v>
      </c>
      <c r="D3057" t="s">
        <v>360</v>
      </c>
      <c r="E3057" s="3">
        <v>0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 s="3">
        <v>0</v>
      </c>
    </row>
    <row r="3058" spans="1:21" x14ac:dyDescent="0.2">
      <c r="A3058" t="s">
        <v>32</v>
      </c>
      <c r="B3058">
        <v>2174</v>
      </c>
      <c r="C3058">
        <v>1</v>
      </c>
      <c r="D3058" t="s">
        <v>361</v>
      </c>
      <c r="E3058" s="3">
        <v>0</v>
      </c>
      <c r="F3058" s="3">
        <v>0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0</v>
      </c>
      <c r="U3058" s="3">
        <v>0</v>
      </c>
    </row>
    <row r="3059" spans="1:21" x14ac:dyDescent="0.2">
      <c r="A3059" t="s">
        <v>32</v>
      </c>
      <c r="B3059">
        <v>2176</v>
      </c>
      <c r="C3059">
        <v>1</v>
      </c>
      <c r="D3059" t="s">
        <v>362</v>
      </c>
      <c r="E3059" s="3">
        <v>0</v>
      </c>
      <c r="F3059" s="3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</row>
    <row r="3060" spans="1:21" x14ac:dyDescent="0.2">
      <c r="A3060" t="s">
        <v>32</v>
      </c>
      <c r="B3060">
        <v>2180</v>
      </c>
      <c r="C3060">
        <v>1</v>
      </c>
      <c r="D3060" t="s">
        <v>363</v>
      </c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s="3">
        <v>0</v>
      </c>
      <c r="K3060" s="3">
        <v>270</v>
      </c>
      <c r="L3060" s="3">
        <v>270</v>
      </c>
      <c r="M3060" s="3">
        <v>270</v>
      </c>
      <c r="N3060" s="3">
        <v>270</v>
      </c>
      <c r="O3060" s="3">
        <v>270</v>
      </c>
      <c r="P3060" s="3">
        <v>270</v>
      </c>
      <c r="Q3060" s="3">
        <v>270</v>
      </c>
      <c r="R3060" s="3">
        <v>270</v>
      </c>
      <c r="S3060" s="3">
        <v>270</v>
      </c>
      <c r="T3060" s="3">
        <v>270</v>
      </c>
      <c r="U3060" s="3">
        <v>0</v>
      </c>
    </row>
    <row r="3061" spans="1:21" x14ac:dyDescent="0.2">
      <c r="A3061" t="s">
        <v>32</v>
      </c>
      <c r="B3061">
        <v>2184</v>
      </c>
      <c r="C3061">
        <v>1</v>
      </c>
      <c r="D3061" t="s">
        <v>364</v>
      </c>
      <c r="E3061" s="3">
        <v>0</v>
      </c>
      <c r="F3061" s="3">
        <v>0</v>
      </c>
      <c r="G3061" s="3">
        <v>0</v>
      </c>
      <c r="H3061" s="3">
        <v>0</v>
      </c>
      <c r="I3061" s="3">
        <v>0</v>
      </c>
      <c r="J3061" s="3">
        <v>0</v>
      </c>
      <c r="K3061" s="3">
        <v>700</v>
      </c>
      <c r="L3061" s="3">
        <v>700</v>
      </c>
      <c r="M3061" s="3">
        <v>700</v>
      </c>
      <c r="N3061" s="3">
        <v>700</v>
      </c>
      <c r="O3061" s="3">
        <v>700</v>
      </c>
      <c r="P3061" s="3">
        <v>700</v>
      </c>
      <c r="Q3061" s="3">
        <v>700</v>
      </c>
      <c r="R3061" s="3">
        <v>700</v>
      </c>
      <c r="S3061" s="3">
        <v>700</v>
      </c>
      <c r="T3061" s="3">
        <v>700</v>
      </c>
      <c r="U3061" s="3">
        <v>0</v>
      </c>
    </row>
    <row r="3062" spans="1:21" x14ac:dyDescent="0.2">
      <c r="A3062" t="s">
        <v>32</v>
      </c>
      <c r="B3062">
        <v>2190</v>
      </c>
      <c r="C3062">
        <v>1</v>
      </c>
      <c r="D3062" t="s">
        <v>365</v>
      </c>
      <c r="E3062" s="3">
        <v>0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</row>
    <row r="3063" spans="1:21" x14ac:dyDescent="0.2">
      <c r="A3063" t="s">
        <v>32</v>
      </c>
      <c r="B3063">
        <v>2198</v>
      </c>
      <c r="C3063">
        <v>1</v>
      </c>
      <c r="D3063" t="s">
        <v>366</v>
      </c>
      <c r="E3063" s="3">
        <v>0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475</v>
      </c>
      <c r="L3063" s="3">
        <v>475</v>
      </c>
      <c r="M3063" s="3">
        <v>475</v>
      </c>
      <c r="N3063" s="3">
        <v>475</v>
      </c>
      <c r="O3063" s="3">
        <v>475</v>
      </c>
      <c r="P3063" s="3">
        <v>475</v>
      </c>
      <c r="Q3063" s="3">
        <v>475</v>
      </c>
      <c r="R3063" s="3">
        <v>475</v>
      </c>
      <c r="S3063" s="3">
        <v>475</v>
      </c>
      <c r="T3063" s="3">
        <v>475</v>
      </c>
      <c r="U3063" s="3">
        <v>0</v>
      </c>
    </row>
    <row r="3064" spans="1:21" x14ac:dyDescent="0.2">
      <c r="A3064" t="s">
        <v>32</v>
      </c>
      <c r="B3064">
        <v>2215</v>
      </c>
      <c r="C3064">
        <v>1</v>
      </c>
      <c r="D3064" t="s">
        <v>367</v>
      </c>
      <c r="E3064" s="3">
        <v>0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  <c r="S3064" s="3">
        <v>0</v>
      </c>
      <c r="T3064" s="3">
        <v>0</v>
      </c>
      <c r="U3064" s="3">
        <v>0</v>
      </c>
    </row>
    <row r="3065" spans="1:21" x14ac:dyDescent="0.2">
      <c r="A3065" t="s">
        <v>32</v>
      </c>
      <c r="B3065">
        <v>2310</v>
      </c>
      <c r="C3065">
        <v>1</v>
      </c>
      <c r="D3065" t="s">
        <v>368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600</v>
      </c>
      <c r="L3065" s="3">
        <v>600</v>
      </c>
      <c r="M3065" s="3">
        <v>600</v>
      </c>
      <c r="N3065" s="3">
        <v>600</v>
      </c>
      <c r="O3065" s="3">
        <v>600</v>
      </c>
      <c r="P3065" s="3">
        <v>600</v>
      </c>
      <c r="Q3065" s="3">
        <v>600</v>
      </c>
      <c r="R3065" s="3">
        <v>0</v>
      </c>
      <c r="S3065" s="3">
        <v>0</v>
      </c>
      <c r="T3065" s="3">
        <v>0</v>
      </c>
      <c r="U3065" s="3">
        <v>0</v>
      </c>
    </row>
    <row r="3066" spans="1:21" x14ac:dyDescent="0.2">
      <c r="A3066" t="s">
        <v>32</v>
      </c>
      <c r="B3066">
        <v>2311</v>
      </c>
      <c r="C3066">
        <v>1</v>
      </c>
      <c r="D3066" t="s">
        <v>369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600</v>
      </c>
      <c r="L3066" s="3">
        <v>600</v>
      </c>
      <c r="M3066" s="3">
        <v>600</v>
      </c>
      <c r="N3066" s="3">
        <v>600</v>
      </c>
      <c r="O3066" s="3">
        <v>600</v>
      </c>
      <c r="P3066" s="3">
        <v>600</v>
      </c>
      <c r="Q3066" s="3">
        <v>600</v>
      </c>
      <c r="R3066" s="3">
        <v>600</v>
      </c>
      <c r="S3066" s="3">
        <v>600</v>
      </c>
      <c r="T3066" s="3">
        <v>600</v>
      </c>
      <c r="U3066" s="3">
        <v>0</v>
      </c>
    </row>
    <row r="3067" spans="1:21" x14ac:dyDescent="0.2">
      <c r="A3067" t="s">
        <v>32</v>
      </c>
      <c r="B3067">
        <v>2342</v>
      </c>
      <c r="C3067">
        <v>1</v>
      </c>
      <c r="D3067" t="s">
        <v>370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  <c r="T3067" s="3">
        <v>0</v>
      </c>
      <c r="U3067" s="3">
        <v>0</v>
      </c>
    </row>
    <row r="3068" spans="1:21" x14ac:dyDescent="0.2">
      <c r="A3068" t="s">
        <v>32</v>
      </c>
      <c r="B3068">
        <v>2358</v>
      </c>
      <c r="C3068">
        <v>1</v>
      </c>
      <c r="D3068" t="s">
        <v>371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 s="3">
        <v>0</v>
      </c>
    </row>
    <row r="3069" spans="1:21" x14ac:dyDescent="0.2">
      <c r="A3069" t="s">
        <v>32</v>
      </c>
      <c r="B3069">
        <v>2364</v>
      </c>
      <c r="C3069">
        <v>1</v>
      </c>
      <c r="D3069" t="s">
        <v>372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  <c r="T3069" s="3">
        <v>0</v>
      </c>
      <c r="U3069" s="3">
        <v>0</v>
      </c>
    </row>
    <row r="3070" spans="1:21" x14ac:dyDescent="0.2">
      <c r="A3070" t="s">
        <v>32</v>
      </c>
      <c r="B3070">
        <v>2365</v>
      </c>
      <c r="C3070">
        <v>1</v>
      </c>
      <c r="D3070" t="s">
        <v>373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  <c r="T3070" s="3">
        <v>0</v>
      </c>
      <c r="U3070" s="3">
        <v>0</v>
      </c>
    </row>
    <row r="3071" spans="1:21" x14ac:dyDescent="0.2">
      <c r="A3071" t="s">
        <v>32</v>
      </c>
      <c r="B3071">
        <v>2396</v>
      </c>
      <c r="C3071">
        <v>1</v>
      </c>
      <c r="D3071" t="s">
        <v>374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3">
        <v>0</v>
      </c>
      <c r="T3071" s="3">
        <v>0</v>
      </c>
      <c r="U3071" s="3">
        <v>0</v>
      </c>
    </row>
    <row r="3072" spans="1:21" x14ac:dyDescent="0.2">
      <c r="A3072" t="s">
        <v>32</v>
      </c>
      <c r="B3072">
        <v>2397</v>
      </c>
      <c r="C3072">
        <v>1</v>
      </c>
      <c r="D3072" t="s">
        <v>375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0</v>
      </c>
      <c r="U3072" s="3">
        <v>0</v>
      </c>
    </row>
    <row r="3073" spans="1:21" x14ac:dyDescent="0.2">
      <c r="A3073" t="s">
        <v>32</v>
      </c>
      <c r="B3073">
        <v>2448</v>
      </c>
      <c r="C3073">
        <v>1</v>
      </c>
      <c r="D3073" t="s">
        <v>376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700</v>
      </c>
      <c r="L3073" s="3">
        <v>700</v>
      </c>
      <c r="M3073" s="3">
        <v>700</v>
      </c>
      <c r="N3073" s="3">
        <v>700</v>
      </c>
      <c r="O3073" s="3">
        <v>700</v>
      </c>
      <c r="P3073" s="3">
        <v>700</v>
      </c>
      <c r="Q3073" s="3">
        <v>700</v>
      </c>
      <c r="R3073" s="3">
        <v>700</v>
      </c>
      <c r="S3073" s="3">
        <v>700</v>
      </c>
      <c r="T3073" s="3">
        <v>700</v>
      </c>
      <c r="U3073" s="3">
        <v>0</v>
      </c>
    </row>
    <row r="3074" spans="1:21" x14ac:dyDescent="0.2">
      <c r="A3074" t="s">
        <v>32</v>
      </c>
      <c r="B3074">
        <v>2527</v>
      </c>
      <c r="C3074">
        <v>1</v>
      </c>
      <c r="D3074" t="s">
        <v>377</v>
      </c>
      <c r="E3074" s="3">
        <v>0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900</v>
      </c>
      <c r="L3074" s="3">
        <v>900</v>
      </c>
      <c r="M3074" s="3">
        <v>900</v>
      </c>
      <c r="N3074" s="3">
        <v>900</v>
      </c>
      <c r="O3074" s="3">
        <v>900</v>
      </c>
      <c r="P3074" s="3">
        <v>900</v>
      </c>
      <c r="Q3074" s="3">
        <v>900</v>
      </c>
      <c r="R3074" s="3">
        <v>900</v>
      </c>
      <c r="S3074" s="3">
        <v>900</v>
      </c>
      <c r="T3074" s="3">
        <v>900</v>
      </c>
      <c r="U3074" s="3">
        <v>0</v>
      </c>
    </row>
    <row r="3075" spans="1:21" x14ac:dyDescent="0.2">
      <c r="A3075" t="s">
        <v>32</v>
      </c>
      <c r="B3075">
        <v>2534</v>
      </c>
      <c r="C3075">
        <v>1</v>
      </c>
      <c r="D3075" t="s">
        <v>378</v>
      </c>
      <c r="E3075" s="3">
        <v>0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  <c r="S3075" s="3">
        <v>0</v>
      </c>
      <c r="T3075" s="3">
        <v>0</v>
      </c>
      <c r="U3075" s="3">
        <v>0</v>
      </c>
    </row>
    <row r="3076" spans="1:21" x14ac:dyDescent="0.2">
      <c r="A3076" t="s">
        <v>32</v>
      </c>
      <c r="B3076">
        <v>2536</v>
      </c>
      <c r="C3076">
        <v>1</v>
      </c>
      <c r="D3076" t="s">
        <v>379</v>
      </c>
      <c r="E3076" s="3">
        <v>0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</row>
    <row r="3077" spans="1:21" x14ac:dyDescent="0.2">
      <c r="A3077" t="s">
        <v>32</v>
      </c>
      <c r="B3077">
        <v>2580</v>
      </c>
      <c r="C3077">
        <v>1</v>
      </c>
      <c r="D3077" t="s">
        <v>380</v>
      </c>
      <c r="E3077" s="3">
        <v>0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120</v>
      </c>
      <c r="L3077" s="3">
        <v>120</v>
      </c>
      <c r="M3077" s="3">
        <v>120</v>
      </c>
      <c r="N3077" s="3">
        <v>120</v>
      </c>
      <c r="O3077" s="3">
        <v>120</v>
      </c>
      <c r="P3077" s="3">
        <v>120</v>
      </c>
      <c r="Q3077" s="3">
        <v>0</v>
      </c>
      <c r="R3077" s="3">
        <v>0</v>
      </c>
      <c r="S3077" s="3">
        <v>0</v>
      </c>
      <c r="T3077" s="3">
        <v>0</v>
      </c>
      <c r="U3077" s="3">
        <v>0</v>
      </c>
    </row>
    <row r="3078" spans="1:21" x14ac:dyDescent="0.2">
      <c r="A3078" t="s">
        <v>32</v>
      </c>
      <c r="B3078">
        <v>2609</v>
      </c>
      <c r="C3078">
        <v>1</v>
      </c>
      <c r="D3078" t="s">
        <v>381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  <c r="T3078" s="3">
        <v>0</v>
      </c>
      <c r="U3078" s="3">
        <v>0</v>
      </c>
    </row>
    <row r="3079" spans="1:21" x14ac:dyDescent="0.2">
      <c r="A3079" t="s">
        <v>32</v>
      </c>
      <c r="B3079">
        <v>2683</v>
      </c>
      <c r="C3079">
        <v>1</v>
      </c>
      <c r="D3079" t="s">
        <v>382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  <c r="S3079" s="3">
        <v>0</v>
      </c>
      <c r="T3079" s="3">
        <v>0</v>
      </c>
      <c r="U3079" s="3">
        <v>0</v>
      </c>
    </row>
    <row r="3080" spans="1:21" x14ac:dyDescent="0.2">
      <c r="A3080" t="s">
        <v>32</v>
      </c>
      <c r="B3080">
        <v>2687</v>
      </c>
      <c r="C3080">
        <v>1</v>
      </c>
      <c r="D3080" t="s">
        <v>383</v>
      </c>
      <c r="E3080" s="3">
        <v>0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550</v>
      </c>
      <c r="L3080" s="3">
        <v>550</v>
      </c>
      <c r="M3080" s="3">
        <v>550</v>
      </c>
      <c r="N3080" s="3">
        <v>550</v>
      </c>
      <c r="O3080" s="3">
        <v>550</v>
      </c>
      <c r="P3080" s="3">
        <v>50</v>
      </c>
      <c r="Q3080" s="3">
        <v>50</v>
      </c>
      <c r="R3080" s="3">
        <v>0</v>
      </c>
      <c r="S3080" s="3">
        <v>0</v>
      </c>
      <c r="T3080" s="3">
        <v>0</v>
      </c>
      <c r="U3080" s="3">
        <v>0</v>
      </c>
    </row>
    <row r="3081" spans="1:21" x14ac:dyDescent="0.2">
      <c r="A3081" t="s">
        <v>32</v>
      </c>
      <c r="B3081">
        <v>2689</v>
      </c>
      <c r="C3081">
        <v>1</v>
      </c>
      <c r="D3081" t="s">
        <v>384</v>
      </c>
      <c r="E3081" s="3">
        <v>0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 s="3">
        <v>0</v>
      </c>
      <c r="S3081" s="3">
        <v>0</v>
      </c>
      <c r="T3081" s="3">
        <v>0</v>
      </c>
      <c r="U3081" s="3">
        <v>0</v>
      </c>
    </row>
    <row r="3082" spans="1:21" x14ac:dyDescent="0.2">
      <c r="A3082" t="s">
        <v>32</v>
      </c>
      <c r="B3082">
        <v>2711</v>
      </c>
      <c r="C3082">
        <v>1</v>
      </c>
      <c r="D3082" t="s">
        <v>385</v>
      </c>
      <c r="E3082" s="3">
        <v>0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  <c r="R3082" s="3">
        <v>0</v>
      </c>
      <c r="S3082" s="3">
        <v>0</v>
      </c>
      <c r="T3082" s="3">
        <v>0</v>
      </c>
      <c r="U3082" s="3">
        <v>0</v>
      </c>
    </row>
    <row r="3083" spans="1:21" x14ac:dyDescent="0.2">
      <c r="A3083" t="s">
        <v>32</v>
      </c>
      <c r="B3083">
        <v>2752</v>
      </c>
      <c r="C3083">
        <v>1</v>
      </c>
      <c r="D3083" t="s">
        <v>386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  <c r="S3083" s="3">
        <v>0</v>
      </c>
      <c r="T3083" s="3">
        <v>0</v>
      </c>
      <c r="U3083" s="3">
        <v>0</v>
      </c>
    </row>
    <row r="3084" spans="1:21" x14ac:dyDescent="0.2">
      <c r="A3084" t="s">
        <v>32</v>
      </c>
      <c r="B3084">
        <v>2753</v>
      </c>
      <c r="C3084">
        <v>1</v>
      </c>
      <c r="D3084" t="s">
        <v>387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  <c r="T3084" s="3">
        <v>0</v>
      </c>
      <c r="U3084" s="3">
        <v>0</v>
      </c>
    </row>
    <row r="3085" spans="1:21" x14ac:dyDescent="0.2">
      <c r="A3085" t="s">
        <v>32</v>
      </c>
      <c r="B3085">
        <v>2754</v>
      </c>
      <c r="C3085">
        <v>1</v>
      </c>
      <c r="D3085" t="s">
        <v>388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 s="3">
        <v>0</v>
      </c>
    </row>
    <row r="3086" spans="1:21" x14ac:dyDescent="0.2">
      <c r="A3086" t="s">
        <v>32</v>
      </c>
      <c r="B3086">
        <v>2759</v>
      </c>
      <c r="C3086">
        <v>1</v>
      </c>
      <c r="D3086" t="s">
        <v>389</v>
      </c>
      <c r="E3086" s="3">
        <v>0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</row>
    <row r="3087" spans="1:21" x14ac:dyDescent="0.2">
      <c r="A3087" t="s">
        <v>32</v>
      </c>
      <c r="B3087">
        <v>2805</v>
      </c>
      <c r="C3087">
        <v>1</v>
      </c>
      <c r="D3087" t="s">
        <v>390</v>
      </c>
      <c r="E3087" s="3">
        <v>0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390.15</v>
      </c>
      <c r="L3087" s="3">
        <v>490.15</v>
      </c>
      <c r="M3087" s="3">
        <v>490.15</v>
      </c>
      <c r="N3087" s="3">
        <v>490.15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</row>
    <row r="3088" spans="1:21" x14ac:dyDescent="0.2">
      <c r="A3088" t="s">
        <v>32</v>
      </c>
      <c r="B3088">
        <v>2835</v>
      </c>
      <c r="C3088">
        <v>1</v>
      </c>
      <c r="D3088" t="s">
        <v>391</v>
      </c>
      <c r="E3088" s="3">
        <v>0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571.61</v>
      </c>
      <c r="L3088" s="3">
        <v>571.61</v>
      </c>
      <c r="M3088" s="3">
        <v>571.61</v>
      </c>
      <c r="N3088" s="3">
        <v>571.61</v>
      </c>
      <c r="O3088" s="3">
        <v>571.61</v>
      </c>
      <c r="P3088" s="3">
        <v>571.61</v>
      </c>
      <c r="Q3088" s="3">
        <v>571.61</v>
      </c>
      <c r="R3088" s="3">
        <v>571.61</v>
      </c>
      <c r="S3088" s="3">
        <v>0</v>
      </c>
      <c r="T3088" s="3">
        <v>0</v>
      </c>
      <c r="U3088" s="3">
        <v>0</v>
      </c>
    </row>
    <row r="3089" spans="1:21" x14ac:dyDescent="0.2">
      <c r="A3089" t="s">
        <v>32</v>
      </c>
      <c r="B3089">
        <v>2853</v>
      </c>
      <c r="C3089">
        <v>1</v>
      </c>
      <c r="D3089" t="s">
        <v>392</v>
      </c>
      <c r="E3089" s="3">
        <v>0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1100</v>
      </c>
      <c r="L3089" s="3">
        <v>1100</v>
      </c>
      <c r="M3089" s="3">
        <v>1100</v>
      </c>
      <c r="N3089" s="3">
        <v>1100</v>
      </c>
      <c r="O3089" s="3">
        <v>1100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0</v>
      </c>
    </row>
    <row r="3090" spans="1:21" x14ac:dyDescent="0.2">
      <c r="A3090" t="s">
        <v>32</v>
      </c>
      <c r="B3090">
        <v>2854</v>
      </c>
      <c r="C3090">
        <v>1</v>
      </c>
      <c r="D3090" t="s">
        <v>393</v>
      </c>
      <c r="E3090" s="3">
        <v>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400</v>
      </c>
      <c r="L3090" s="3">
        <v>400</v>
      </c>
      <c r="M3090" s="3">
        <v>400</v>
      </c>
      <c r="N3090" s="3">
        <v>400</v>
      </c>
      <c r="O3090" s="3">
        <v>400</v>
      </c>
      <c r="P3090" s="3">
        <v>400</v>
      </c>
      <c r="Q3090" s="3">
        <v>400</v>
      </c>
      <c r="R3090" s="3">
        <v>400</v>
      </c>
      <c r="S3090" s="3">
        <v>400</v>
      </c>
      <c r="T3090" s="3">
        <v>400</v>
      </c>
      <c r="U3090" s="3">
        <v>0</v>
      </c>
    </row>
    <row r="3091" spans="1:21" x14ac:dyDescent="0.2">
      <c r="A3091" t="s">
        <v>32</v>
      </c>
      <c r="B3091">
        <v>2856</v>
      </c>
      <c r="C3091">
        <v>1</v>
      </c>
      <c r="D3091" t="s">
        <v>394</v>
      </c>
      <c r="E3091" s="3">
        <v>0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</row>
    <row r="3092" spans="1:21" x14ac:dyDescent="0.2">
      <c r="A3092" t="s">
        <v>32</v>
      </c>
      <c r="B3092">
        <v>2859</v>
      </c>
      <c r="C3092">
        <v>1</v>
      </c>
      <c r="D3092" t="s">
        <v>395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 s="3">
        <v>0</v>
      </c>
      <c r="S3092" s="3">
        <v>0</v>
      </c>
      <c r="T3092" s="3">
        <v>0</v>
      </c>
      <c r="U3092" s="3">
        <v>0</v>
      </c>
    </row>
    <row r="3093" spans="1:21" x14ac:dyDescent="0.2">
      <c r="A3093" t="s">
        <v>32</v>
      </c>
      <c r="B3093">
        <v>2860</v>
      </c>
      <c r="C3093">
        <v>1</v>
      </c>
      <c r="D3093" t="s">
        <v>396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</row>
    <row r="3094" spans="1:21" x14ac:dyDescent="0.2">
      <c r="A3094" t="s">
        <v>32</v>
      </c>
      <c r="B3094">
        <v>2884</v>
      </c>
      <c r="C3094">
        <v>1</v>
      </c>
      <c r="D3094" t="s">
        <v>397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</row>
    <row r="3095" spans="1:21" x14ac:dyDescent="0.2">
      <c r="A3095" t="s">
        <v>32</v>
      </c>
      <c r="B3095">
        <v>2886</v>
      </c>
      <c r="C3095">
        <v>1</v>
      </c>
      <c r="D3095" t="s">
        <v>398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433.41</v>
      </c>
      <c r="L3095" s="3">
        <v>433.41</v>
      </c>
      <c r="M3095" s="3">
        <v>433.41</v>
      </c>
      <c r="N3095" s="3">
        <v>433.41</v>
      </c>
      <c r="O3095" s="3">
        <v>433.41</v>
      </c>
      <c r="P3095" s="3">
        <v>433.41</v>
      </c>
      <c r="Q3095" s="3">
        <v>433.41</v>
      </c>
      <c r="R3095" s="3">
        <v>433.41</v>
      </c>
      <c r="S3095" s="3">
        <v>433.41</v>
      </c>
      <c r="T3095" s="3">
        <v>433.41</v>
      </c>
      <c r="U3095" s="3">
        <v>0</v>
      </c>
    </row>
    <row r="3096" spans="1:21" x14ac:dyDescent="0.2">
      <c r="A3096" t="s">
        <v>32</v>
      </c>
      <c r="B3096">
        <v>2887</v>
      </c>
      <c r="C3096">
        <v>1</v>
      </c>
      <c r="D3096" t="s">
        <v>399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0</v>
      </c>
      <c r="U3096" s="3">
        <v>0</v>
      </c>
    </row>
    <row r="3097" spans="1:21" x14ac:dyDescent="0.2">
      <c r="A3097" t="s">
        <v>32</v>
      </c>
      <c r="B3097">
        <v>2888</v>
      </c>
      <c r="C3097">
        <v>1</v>
      </c>
      <c r="D3097" t="s">
        <v>400</v>
      </c>
      <c r="E3097" s="3">
        <v>0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</row>
    <row r="3098" spans="1:21" x14ac:dyDescent="0.2">
      <c r="A3098" t="s">
        <v>32</v>
      </c>
      <c r="B3098">
        <v>2889</v>
      </c>
      <c r="C3098">
        <v>1</v>
      </c>
      <c r="D3098" t="s">
        <v>401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0</v>
      </c>
      <c r="U3098" s="3">
        <v>0</v>
      </c>
    </row>
    <row r="3099" spans="1:21" x14ac:dyDescent="0.2">
      <c r="A3099" t="s">
        <v>32</v>
      </c>
      <c r="B3099">
        <v>2890</v>
      </c>
      <c r="C3099">
        <v>1</v>
      </c>
      <c r="D3099" t="s">
        <v>402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  <c r="T3099" s="3">
        <v>0</v>
      </c>
      <c r="U3099" s="3">
        <v>0</v>
      </c>
    </row>
    <row r="3100" spans="1:21" x14ac:dyDescent="0.2">
      <c r="A3100" t="s">
        <v>32</v>
      </c>
      <c r="B3100">
        <v>2895</v>
      </c>
      <c r="C3100">
        <v>1</v>
      </c>
      <c r="D3100" t="s">
        <v>403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3">
        <v>0</v>
      </c>
      <c r="T3100" s="3">
        <v>0</v>
      </c>
      <c r="U3100" s="3">
        <v>0</v>
      </c>
    </row>
    <row r="3101" spans="1:21" x14ac:dyDescent="0.2">
      <c r="A3101" t="s">
        <v>32</v>
      </c>
      <c r="B3101">
        <v>2897</v>
      </c>
      <c r="C3101">
        <v>1</v>
      </c>
      <c r="D3101" t="s">
        <v>404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500</v>
      </c>
      <c r="L3101" s="3">
        <v>500</v>
      </c>
      <c r="M3101" s="3">
        <v>500</v>
      </c>
      <c r="N3101" s="3">
        <v>500</v>
      </c>
      <c r="O3101" s="3">
        <v>500</v>
      </c>
      <c r="P3101" s="3">
        <v>500</v>
      </c>
      <c r="Q3101" s="3">
        <v>0</v>
      </c>
      <c r="R3101" s="3">
        <v>0</v>
      </c>
      <c r="S3101" s="3">
        <v>0</v>
      </c>
      <c r="T3101" s="3">
        <v>0</v>
      </c>
      <c r="U3101" s="3">
        <v>0</v>
      </c>
    </row>
    <row r="3102" spans="1:21" x14ac:dyDescent="0.2">
      <c r="A3102" t="s">
        <v>32</v>
      </c>
      <c r="B3102">
        <v>2898</v>
      </c>
      <c r="C3102">
        <v>1</v>
      </c>
      <c r="D3102" t="s">
        <v>405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  <c r="R3102" s="3">
        <v>0</v>
      </c>
      <c r="S3102" s="3">
        <v>0</v>
      </c>
      <c r="T3102" s="3">
        <v>0</v>
      </c>
      <c r="U3102" s="3">
        <v>0</v>
      </c>
    </row>
    <row r="3103" spans="1:21" x14ac:dyDescent="0.2">
      <c r="B3103" s="64">
        <v>2899</v>
      </c>
      <c r="C3103" s="64">
        <v>1</v>
      </c>
      <c r="D3103" s="22" t="s">
        <v>908</v>
      </c>
    </row>
    <row r="3104" spans="1:21" x14ac:dyDescent="0.2">
      <c r="B3104" s="64">
        <v>2902</v>
      </c>
      <c r="C3104" s="64">
        <v>1</v>
      </c>
      <c r="D3104" s="22" t="s">
        <v>909</v>
      </c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O1712"/>
  <sheetViews>
    <sheetView zoomScale="75" workbookViewId="0">
      <pane xSplit="4" ySplit="8" topLeftCell="E9" activePane="bottomRight" state="frozen"/>
      <selection pane="topRight" activeCell="D1" sqref="D1"/>
      <selection pane="bottomLeft" activeCell="A11" sqref="A11"/>
      <selection pane="bottomRight" activeCell="E9" sqref="E9"/>
    </sheetView>
  </sheetViews>
  <sheetFormatPr defaultRowHeight="12.75" x14ac:dyDescent="0.2"/>
  <cols>
    <col min="1" max="1" width="16.7109375" customWidth="1"/>
    <col min="2" max="2" width="5.5703125" customWidth="1"/>
    <col min="3" max="3" width="3" customWidth="1"/>
    <col min="4" max="4" width="12.7109375" customWidth="1"/>
    <col min="5" max="16" width="10.140625" customWidth="1"/>
    <col min="17" max="19" width="10.140625" bestFit="1" customWidth="1"/>
    <col min="20" max="25" width="9.28515625" bestFit="1" customWidth="1"/>
  </cols>
  <sheetData>
    <row r="1" spans="1:41" x14ac:dyDescent="0.2">
      <c r="D1" s="3"/>
      <c r="E1" s="3"/>
    </row>
    <row r="2" spans="1:41" x14ac:dyDescent="0.2">
      <c r="D2" s="3"/>
    </row>
    <row r="3" spans="1:41" x14ac:dyDescent="0.2">
      <c r="B3">
        <v>1</v>
      </c>
      <c r="C3">
        <f>B3+1</f>
        <v>2</v>
      </c>
      <c r="D3">
        <f t="shared" ref="D3:AN3" si="0">C3+1</f>
        <v>3</v>
      </c>
      <c r="E3">
        <f t="shared" si="0"/>
        <v>4</v>
      </c>
      <c r="F3">
        <f t="shared" si="0"/>
        <v>5</v>
      </c>
      <c r="G3">
        <f t="shared" si="0"/>
        <v>6</v>
      </c>
      <c r="H3">
        <f t="shared" si="0"/>
        <v>7</v>
      </c>
      <c r="I3">
        <f t="shared" si="0"/>
        <v>8</v>
      </c>
      <c r="J3">
        <f t="shared" si="0"/>
        <v>9</v>
      </c>
      <c r="K3">
        <f t="shared" si="0"/>
        <v>10</v>
      </c>
      <c r="L3">
        <f t="shared" si="0"/>
        <v>11</v>
      </c>
      <c r="M3">
        <f t="shared" si="0"/>
        <v>12</v>
      </c>
      <c r="N3">
        <f t="shared" si="0"/>
        <v>13</v>
      </c>
      <c r="O3">
        <f t="shared" si="0"/>
        <v>14</v>
      </c>
      <c r="P3">
        <f t="shared" si="0"/>
        <v>15</v>
      </c>
      <c r="Q3">
        <f t="shared" si="0"/>
        <v>16</v>
      </c>
      <c r="R3">
        <f t="shared" si="0"/>
        <v>17</v>
      </c>
      <c r="S3">
        <f t="shared" si="0"/>
        <v>18</v>
      </c>
      <c r="T3">
        <f t="shared" si="0"/>
        <v>19</v>
      </c>
      <c r="U3">
        <f t="shared" si="0"/>
        <v>20</v>
      </c>
      <c r="V3">
        <f t="shared" si="0"/>
        <v>21</v>
      </c>
      <c r="W3">
        <f t="shared" si="0"/>
        <v>22</v>
      </c>
      <c r="X3">
        <f t="shared" si="0"/>
        <v>23</v>
      </c>
      <c r="Y3">
        <f t="shared" si="0"/>
        <v>24</v>
      </c>
      <c r="Z3">
        <f t="shared" si="0"/>
        <v>25</v>
      </c>
      <c r="AA3">
        <f t="shared" si="0"/>
        <v>26</v>
      </c>
      <c r="AB3">
        <f t="shared" si="0"/>
        <v>27</v>
      </c>
      <c r="AC3">
        <f t="shared" si="0"/>
        <v>28</v>
      </c>
      <c r="AD3">
        <f t="shared" si="0"/>
        <v>29</v>
      </c>
      <c r="AE3">
        <f t="shared" si="0"/>
        <v>30</v>
      </c>
      <c r="AF3">
        <f t="shared" si="0"/>
        <v>31</v>
      </c>
      <c r="AG3">
        <f t="shared" si="0"/>
        <v>32</v>
      </c>
      <c r="AH3">
        <f t="shared" si="0"/>
        <v>33</v>
      </c>
      <c r="AI3">
        <f t="shared" si="0"/>
        <v>34</v>
      </c>
      <c r="AJ3">
        <f t="shared" si="0"/>
        <v>35</v>
      </c>
      <c r="AK3">
        <f t="shared" si="0"/>
        <v>36</v>
      </c>
      <c r="AL3">
        <f t="shared" si="0"/>
        <v>37</v>
      </c>
      <c r="AM3">
        <f t="shared" si="0"/>
        <v>38</v>
      </c>
      <c r="AN3">
        <f t="shared" si="0"/>
        <v>39</v>
      </c>
    </row>
    <row r="5" spans="1:41" x14ac:dyDescent="0.2">
      <c r="E5" s="1" t="s">
        <v>48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48</v>
      </c>
      <c r="K5" s="1" t="s">
        <v>48</v>
      </c>
      <c r="L5" s="1" t="s">
        <v>48</v>
      </c>
      <c r="M5" s="1" t="s">
        <v>48</v>
      </c>
      <c r="N5" s="1" t="s">
        <v>48</v>
      </c>
      <c r="O5" s="1" t="s">
        <v>48</v>
      </c>
      <c r="P5" s="1" t="s">
        <v>48</v>
      </c>
      <c r="Q5" s="1" t="s">
        <v>48</v>
      </c>
      <c r="R5" s="1" t="s">
        <v>48</v>
      </c>
      <c r="S5" s="1" t="s">
        <v>48</v>
      </c>
      <c r="T5" s="1" t="s">
        <v>48</v>
      </c>
      <c r="U5" s="1" t="s">
        <v>48</v>
      </c>
      <c r="V5" s="1" t="s">
        <v>48</v>
      </c>
      <c r="W5" s="1" t="s">
        <v>48</v>
      </c>
      <c r="X5" s="1" t="s">
        <v>48</v>
      </c>
      <c r="Y5" s="1" t="s">
        <v>48</v>
      </c>
      <c r="Z5" s="1" t="s">
        <v>48</v>
      </c>
      <c r="AA5" s="1" t="s">
        <v>48</v>
      </c>
      <c r="AB5" s="1" t="s">
        <v>48</v>
      </c>
      <c r="AC5" s="1" t="s">
        <v>48</v>
      </c>
      <c r="AD5" s="1" t="s">
        <v>48</v>
      </c>
      <c r="AE5" s="1" t="s">
        <v>48</v>
      </c>
      <c r="AF5" s="1" t="s">
        <v>48</v>
      </c>
      <c r="AG5" s="1" t="s">
        <v>48</v>
      </c>
      <c r="AH5" s="1" t="s">
        <v>48</v>
      </c>
      <c r="AI5" s="1" t="s">
        <v>48</v>
      </c>
      <c r="AJ5" s="1" t="s">
        <v>48</v>
      </c>
      <c r="AK5" s="1" t="s">
        <v>48</v>
      </c>
      <c r="AL5" s="1" t="s">
        <v>48</v>
      </c>
      <c r="AM5" s="1" t="s">
        <v>48</v>
      </c>
      <c r="AN5" s="1" t="s">
        <v>48</v>
      </c>
    </row>
    <row r="6" spans="1:41" x14ac:dyDescent="0.2">
      <c r="E6">
        <v>2007</v>
      </c>
      <c r="F6">
        <v>2008</v>
      </c>
      <c r="G6">
        <v>2009</v>
      </c>
      <c r="H6">
        <v>2010</v>
      </c>
      <c r="I6">
        <v>2011</v>
      </c>
      <c r="J6">
        <v>2012</v>
      </c>
      <c r="K6">
        <v>2013</v>
      </c>
      <c r="L6">
        <v>2014</v>
      </c>
      <c r="M6">
        <v>2015</v>
      </c>
      <c r="N6">
        <v>2016</v>
      </c>
      <c r="O6">
        <v>2017</v>
      </c>
      <c r="P6">
        <v>2018</v>
      </c>
      <c r="Q6">
        <v>2007</v>
      </c>
      <c r="R6">
        <v>2008</v>
      </c>
      <c r="S6">
        <v>2009</v>
      </c>
      <c r="T6">
        <v>2010</v>
      </c>
      <c r="U6">
        <v>2011</v>
      </c>
      <c r="V6">
        <v>2012</v>
      </c>
      <c r="W6">
        <v>2013</v>
      </c>
      <c r="X6">
        <v>2014</v>
      </c>
      <c r="Y6">
        <v>2015</v>
      </c>
      <c r="Z6">
        <v>2016</v>
      </c>
      <c r="AA6">
        <v>2017</v>
      </c>
      <c r="AB6">
        <v>2018</v>
      </c>
      <c r="AC6">
        <v>2007</v>
      </c>
      <c r="AD6">
        <v>2008</v>
      </c>
      <c r="AE6">
        <v>2009</v>
      </c>
      <c r="AF6">
        <v>2010</v>
      </c>
      <c r="AG6">
        <v>2011</v>
      </c>
      <c r="AH6">
        <v>2012</v>
      </c>
      <c r="AI6">
        <v>2013</v>
      </c>
      <c r="AJ6">
        <v>2014</v>
      </c>
      <c r="AK6">
        <v>2015</v>
      </c>
      <c r="AL6">
        <v>2016</v>
      </c>
      <c r="AM6">
        <v>2017</v>
      </c>
      <c r="AN6">
        <v>2018</v>
      </c>
    </row>
    <row r="7" spans="1:41" x14ac:dyDescent="0.2">
      <c r="E7" s="1" t="s">
        <v>45</v>
      </c>
      <c r="F7" s="1" t="s">
        <v>45</v>
      </c>
      <c r="G7" s="1" t="s">
        <v>45</v>
      </c>
      <c r="H7" s="1" t="s">
        <v>45</v>
      </c>
      <c r="I7" s="1" t="s">
        <v>45</v>
      </c>
      <c r="J7" s="1" t="s">
        <v>45</v>
      </c>
      <c r="K7" s="1" t="s">
        <v>45</v>
      </c>
      <c r="L7" s="1" t="s">
        <v>45</v>
      </c>
      <c r="M7" s="1" t="s">
        <v>45</v>
      </c>
      <c r="N7" s="1" t="s">
        <v>45</v>
      </c>
      <c r="O7" s="1" t="s">
        <v>45</v>
      </c>
      <c r="P7" s="1" t="s">
        <v>45</v>
      </c>
      <c r="Q7" s="1" t="s">
        <v>898</v>
      </c>
      <c r="R7" s="1" t="s">
        <v>898</v>
      </c>
      <c r="S7" s="1" t="s">
        <v>898</v>
      </c>
      <c r="T7" s="1" t="s">
        <v>898</v>
      </c>
      <c r="U7" s="1" t="s">
        <v>898</v>
      </c>
      <c r="V7" s="1" t="s">
        <v>898</v>
      </c>
      <c r="W7" s="1" t="s">
        <v>898</v>
      </c>
      <c r="X7" s="1" t="s">
        <v>898</v>
      </c>
      <c r="Y7" s="1" t="s">
        <v>898</v>
      </c>
      <c r="Z7" s="1" t="s">
        <v>898</v>
      </c>
      <c r="AA7" s="1" t="s">
        <v>898</v>
      </c>
      <c r="AB7" s="1" t="s">
        <v>898</v>
      </c>
      <c r="AC7" s="1" t="s">
        <v>899</v>
      </c>
      <c r="AD7" s="1" t="s">
        <v>899</v>
      </c>
      <c r="AE7" s="1" t="s">
        <v>899</v>
      </c>
      <c r="AF7" s="1" t="s">
        <v>899</v>
      </c>
      <c r="AG7" s="1" t="s">
        <v>899</v>
      </c>
      <c r="AH7" s="1" t="s">
        <v>899</v>
      </c>
      <c r="AI7" s="1" t="s">
        <v>899</v>
      </c>
      <c r="AJ7" s="1" t="s">
        <v>899</v>
      </c>
      <c r="AK7" s="1" t="s">
        <v>899</v>
      </c>
      <c r="AL7" s="1" t="s">
        <v>899</v>
      </c>
      <c r="AM7" s="1" t="s">
        <v>899</v>
      </c>
      <c r="AN7" s="1" t="s">
        <v>899</v>
      </c>
      <c r="AO7" s="3"/>
    </row>
    <row r="9" spans="1:41" x14ac:dyDescent="0.2">
      <c r="A9" t="s">
        <v>920</v>
      </c>
      <c r="B9">
        <v>1</v>
      </c>
      <c r="C9">
        <v>1</v>
      </c>
      <c r="D9" t="s">
        <v>63</v>
      </c>
      <c r="E9" s="3">
        <v>0.06</v>
      </c>
      <c r="F9" s="3">
        <v>0.06</v>
      </c>
      <c r="G9" s="3">
        <v>0.06</v>
      </c>
      <c r="H9" s="3">
        <v>0.06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0.06</v>
      </c>
      <c r="R9" s="3">
        <v>0.06</v>
      </c>
      <c r="S9" s="3">
        <v>0.06</v>
      </c>
      <c r="T9" s="3">
        <v>0.06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/>
    </row>
    <row r="10" spans="1:41" x14ac:dyDescent="0.2">
      <c r="A10" t="s">
        <v>921</v>
      </c>
      <c r="B10">
        <v>1.2</v>
      </c>
      <c r="C10">
        <v>1.2</v>
      </c>
      <c r="D10" t="s">
        <v>64</v>
      </c>
      <c r="E10" s="3">
        <v>503.55</v>
      </c>
      <c r="F10" s="3">
        <v>535.33000000000004</v>
      </c>
      <c r="G10" s="3">
        <v>572.41</v>
      </c>
      <c r="H10" s="3">
        <v>614.78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503.55</v>
      </c>
      <c r="R10" s="3">
        <v>535.33000000000004</v>
      </c>
      <c r="S10" s="3">
        <v>572.41</v>
      </c>
      <c r="T10" s="3">
        <v>614.78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/>
    </row>
    <row r="11" spans="1:41" x14ac:dyDescent="0.2">
      <c r="B11">
        <v>2</v>
      </c>
      <c r="C11">
        <v>1</v>
      </c>
      <c r="D11" t="s">
        <v>65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/>
    </row>
    <row r="12" spans="1:41" x14ac:dyDescent="0.2">
      <c r="B12">
        <v>4</v>
      </c>
      <c r="C12">
        <v>1</v>
      </c>
      <c r="D12" t="s">
        <v>66</v>
      </c>
      <c r="E12" s="3">
        <v>1.01</v>
      </c>
      <c r="F12" s="3">
        <v>1.01</v>
      </c>
      <c r="G12" s="3">
        <v>1.01</v>
      </c>
      <c r="H12" s="3">
        <v>1.01</v>
      </c>
      <c r="I12" s="3">
        <v>1.01</v>
      </c>
      <c r="J12" s="3">
        <v>1.01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1.01</v>
      </c>
      <c r="R12" s="3">
        <v>1.01</v>
      </c>
      <c r="S12" s="3">
        <v>1.01</v>
      </c>
      <c r="T12" s="3">
        <v>1.01</v>
      </c>
      <c r="U12" s="3">
        <v>1.01</v>
      </c>
      <c r="V12" s="3">
        <v>1.01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/>
    </row>
    <row r="13" spans="1:41" x14ac:dyDescent="0.2">
      <c r="B13">
        <v>6</v>
      </c>
      <c r="C13">
        <v>3</v>
      </c>
      <c r="D13" t="s">
        <v>67</v>
      </c>
      <c r="E13" s="3">
        <v>869.57</v>
      </c>
      <c r="F13" s="3">
        <v>869.57</v>
      </c>
      <c r="G13" s="3">
        <v>869.57</v>
      </c>
      <c r="H13" s="3">
        <v>869.57</v>
      </c>
      <c r="I13" s="3">
        <v>869.57</v>
      </c>
      <c r="J13" s="3">
        <v>869.57</v>
      </c>
      <c r="K13" s="3">
        <v>869.57</v>
      </c>
      <c r="L13" s="3">
        <v>869.57</v>
      </c>
      <c r="M13" s="3">
        <v>0</v>
      </c>
      <c r="N13" s="3">
        <v>0</v>
      </c>
      <c r="O13" s="3">
        <v>0</v>
      </c>
      <c r="P13" s="3">
        <v>0</v>
      </c>
      <c r="Q13" s="3">
        <v>869.57</v>
      </c>
      <c r="R13" s="3">
        <v>869.57</v>
      </c>
      <c r="S13" s="3">
        <v>869.57</v>
      </c>
      <c r="T13" s="3">
        <v>869.57</v>
      </c>
      <c r="U13" s="3">
        <v>869.57</v>
      </c>
      <c r="V13" s="3">
        <v>869.57</v>
      </c>
      <c r="W13" s="3">
        <v>869.57</v>
      </c>
      <c r="X13" s="3">
        <v>869.57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/>
    </row>
    <row r="14" spans="1:41" x14ac:dyDescent="0.2">
      <c r="B14">
        <v>11</v>
      </c>
      <c r="C14">
        <v>1</v>
      </c>
      <c r="D14" t="s">
        <v>68</v>
      </c>
      <c r="E14" s="3">
        <v>695.69</v>
      </c>
      <c r="F14" s="3">
        <v>695.69</v>
      </c>
      <c r="G14" s="3">
        <v>132.62</v>
      </c>
      <c r="H14" s="3">
        <v>132.62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695.69</v>
      </c>
      <c r="R14" s="3">
        <v>695.69</v>
      </c>
      <c r="S14" s="3">
        <v>132.62</v>
      </c>
      <c r="T14" s="3">
        <v>132.62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/>
    </row>
    <row r="15" spans="1:41" x14ac:dyDescent="0.2">
      <c r="B15">
        <v>12</v>
      </c>
      <c r="C15">
        <v>1</v>
      </c>
      <c r="D15" t="s">
        <v>69</v>
      </c>
      <c r="E15" s="3">
        <v>689.17</v>
      </c>
      <c r="F15" s="3">
        <v>689.17</v>
      </c>
      <c r="G15" s="3">
        <v>689.17</v>
      </c>
      <c r="H15" s="3">
        <v>689.17</v>
      </c>
      <c r="I15" s="3">
        <v>689.17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39.17</v>
      </c>
      <c r="R15" s="3">
        <v>39.17</v>
      </c>
      <c r="S15" s="3">
        <v>39.17</v>
      </c>
      <c r="T15" s="3">
        <v>39.17</v>
      </c>
      <c r="U15" s="3">
        <v>39.17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650</v>
      </c>
      <c r="AD15" s="3">
        <v>650</v>
      </c>
      <c r="AE15" s="3">
        <v>650</v>
      </c>
      <c r="AF15" s="3">
        <v>650</v>
      </c>
      <c r="AG15" s="3">
        <v>650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/>
    </row>
    <row r="16" spans="1:41" x14ac:dyDescent="0.2">
      <c r="B16">
        <v>13</v>
      </c>
      <c r="C16">
        <v>1</v>
      </c>
      <c r="D16" t="s">
        <v>70</v>
      </c>
      <c r="E16" s="3">
        <v>879</v>
      </c>
      <c r="F16" s="3">
        <v>879</v>
      </c>
      <c r="G16" s="3">
        <v>879</v>
      </c>
      <c r="H16" s="3">
        <v>879</v>
      </c>
      <c r="I16" s="3">
        <v>879</v>
      </c>
      <c r="J16" s="3">
        <v>879</v>
      </c>
      <c r="K16" s="3">
        <v>879</v>
      </c>
      <c r="L16" s="3">
        <v>879</v>
      </c>
      <c r="M16" s="3">
        <v>879</v>
      </c>
      <c r="N16" s="3">
        <v>879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879</v>
      </c>
      <c r="AD16" s="3">
        <v>879</v>
      </c>
      <c r="AE16" s="3">
        <v>879</v>
      </c>
      <c r="AF16" s="3">
        <v>879</v>
      </c>
      <c r="AG16" s="3">
        <v>879</v>
      </c>
      <c r="AH16" s="3">
        <v>879</v>
      </c>
      <c r="AI16" s="3">
        <v>879</v>
      </c>
      <c r="AJ16" s="3">
        <v>879</v>
      </c>
      <c r="AK16" s="3">
        <v>879</v>
      </c>
      <c r="AL16" s="3">
        <v>879</v>
      </c>
      <c r="AM16" s="3">
        <v>0</v>
      </c>
      <c r="AN16" s="3">
        <v>0</v>
      </c>
      <c r="AO16" s="3"/>
    </row>
    <row r="17" spans="2:41" x14ac:dyDescent="0.2">
      <c r="B17">
        <v>14</v>
      </c>
      <c r="C17">
        <v>1</v>
      </c>
      <c r="D17" t="s">
        <v>71</v>
      </c>
      <c r="E17" s="3">
        <v>997.07</v>
      </c>
      <c r="F17" s="3">
        <v>997.07</v>
      </c>
      <c r="G17" s="3">
        <v>997.07</v>
      </c>
      <c r="H17" s="3">
        <v>997.07</v>
      </c>
      <c r="I17" s="3">
        <v>997.07</v>
      </c>
      <c r="J17" s="3">
        <v>997.07</v>
      </c>
      <c r="K17" s="3">
        <v>584.54999999999995</v>
      </c>
      <c r="L17" s="3">
        <v>584.54999999999995</v>
      </c>
      <c r="M17" s="3">
        <v>584.54999999999995</v>
      </c>
      <c r="N17" s="3">
        <v>584.54999999999995</v>
      </c>
      <c r="O17" s="3">
        <v>0</v>
      </c>
      <c r="P17" s="3">
        <v>0</v>
      </c>
      <c r="Q17" s="3">
        <v>412.52</v>
      </c>
      <c r="R17" s="3">
        <v>412.52</v>
      </c>
      <c r="S17" s="3">
        <v>412.52</v>
      </c>
      <c r="T17" s="3">
        <v>412.52</v>
      </c>
      <c r="U17" s="3">
        <v>412.52</v>
      </c>
      <c r="V17" s="3">
        <v>412.52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584.54999999999995</v>
      </c>
      <c r="AD17" s="3">
        <v>584.54999999999995</v>
      </c>
      <c r="AE17" s="3">
        <v>584.54999999999995</v>
      </c>
      <c r="AF17" s="3">
        <v>584.54999999999995</v>
      </c>
      <c r="AG17" s="3">
        <v>584.54999999999995</v>
      </c>
      <c r="AH17" s="3">
        <v>584.54999999999995</v>
      </c>
      <c r="AI17" s="3">
        <v>584.54999999999995</v>
      </c>
      <c r="AJ17" s="3">
        <v>584.54999999999995</v>
      </c>
      <c r="AK17" s="3">
        <v>584.54999999999995</v>
      </c>
      <c r="AL17" s="3">
        <v>584.54999999999995</v>
      </c>
      <c r="AM17" s="3">
        <v>0</v>
      </c>
      <c r="AN17" s="3">
        <v>0</v>
      </c>
      <c r="AO17" s="3"/>
    </row>
    <row r="18" spans="2:41" x14ac:dyDescent="0.2">
      <c r="B18">
        <v>15</v>
      </c>
      <c r="C18">
        <v>1</v>
      </c>
      <c r="D18" t="s">
        <v>72</v>
      </c>
      <c r="E18" s="3">
        <v>405.22</v>
      </c>
      <c r="F18" s="3">
        <v>405.22</v>
      </c>
      <c r="G18" s="3">
        <v>405.22</v>
      </c>
      <c r="H18" s="3">
        <v>21.47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405.22</v>
      </c>
      <c r="R18" s="3">
        <v>405.22</v>
      </c>
      <c r="S18" s="3">
        <v>405.22</v>
      </c>
      <c r="T18" s="3">
        <v>21.47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/>
    </row>
    <row r="19" spans="2:41" x14ac:dyDescent="0.2">
      <c r="B19">
        <v>16</v>
      </c>
      <c r="C19">
        <v>1</v>
      </c>
      <c r="D19" t="s">
        <v>73</v>
      </c>
      <c r="E19" s="3">
        <v>855.25</v>
      </c>
      <c r="F19" s="3">
        <v>855.25</v>
      </c>
      <c r="G19" s="3">
        <v>855.25</v>
      </c>
      <c r="H19" s="3">
        <v>855.25</v>
      </c>
      <c r="I19" s="3">
        <v>524.58000000000004</v>
      </c>
      <c r="J19" s="3">
        <v>524.58000000000004</v>
      </c>
      <c r="K19" s="3">
        <v>524.58000000000004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855.25</v>
      </c>
      <c r="R19" s="3">
        <v>855.25</v>
      </c>
      <c r="S19" s="3">
        <v>855.25</v>
      </c>
      <c r="T19" s="3">
        <v>855.25</v>
      </c>
      <c r="U19" s="3">
        <v>524.58000000000004</v>
      </c>
      <c r="V19" s="3">
        <v>524.58000000000004</v>
      </c>
      <c r="W19" s="3">
        <v>524.58000000000004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/>
    </row>
    <row r="20" spans="2:41" x14ac:dyDescent="0.2">
      <c r="B20">
        <v>22</v>
      </c>
      <c r="C20">
        <v>1</v>
      </c>
      <c r="D20" t="s">
        <v>74</v>
      </c>
      <c r="E20" s="3">
        <v>319.04000000000002</v>
      </c>
      <c r="F20" s="3">
        <v>319.04000000000002</v>
      </c>
      <c r="G20" s="3">
        <v>319.04000000000002</v>
      </c>
      <c r="H20" s="3">
        <v>319.04000000000002</v>
      </c>
      <c r="I20" s="3">
        <v>319.04000000000002</v>
      </c>
      <c r="J20" s="3">
        <v>319.04000000000002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319.04000000000002</v>
      </c>
      <c r="R20" s="3">
        <v>319.04000000000002</v>
      </c>
      <c r="S20" s="3">
        <v>319.04000000000002</v>
      </c>
      <c r="T20" s="3">
        <v>319.04000000000002</v>
      </c>
      <c r="U20" s="3">
        <v>319.04000000000002</v>
      </c>
      <c r="V20" s="3">
        <v>319.04000000000002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/>
    </row>
    <row r="21" spans="2:41" x14ac:dyDescent="0.2">
      <c r="B21">
        <v>23</v>
      </c>
      <c r="C21">
        <v>1</v>
      </c>
      <c r="D21" t="s">
        <v>75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/>
    </row>
    <row r="22" spans="2:41" x14ac:dyDescent="0.2">
      <c r="B22">
        <v>25</v>
      </c>
      <c r="C22">
        <v>1</v>
      </c>
      <c r="D22" t="s">
        <v>76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/>
    </row>
    <row r="23" spans="2:41" x14ac:dyDescent="0.2">
      <c r="B23">
        <v>31</v>
      </c>
      <c r="C23">
        <v>1</v>
      </c>
      <c r="D23" t="s">
        <v>77</v>
      </c>
      <c r="E23" s="3">
        <v>501</v>
      </c>
      <c r="F23" s="3">
        <v>501</v>
      </c>
      <c r="G23" s="3">
        <v>501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501</v>
      </c>
      <c r="R23" s="3">
        <v>501</v>
      </c>
      <c r="S23" s="3">
        <v>501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/>
    </row>
    <row r="24" spans="2:41" x14ac:dyDescent="0.2">
      <c r="B24">
        <v>32</v>
      </c>
      <c r="C24">
        <v>1</v>
      </c>
      <c r="D24" t="s">
        <v>78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/>
    </row>
    <row r="25" spans="2:41" x14ac:dyDescent="0.2">
      <c r="B25">
        <v>36</v>
      </c>
      <c r="C25">
        <v>1</v>
      </c>
      <c r="D25" t="s">
        <v>79</v>
      </c>
      <c r="E25" s="3">
        <v>50</v>
      </c>
      <c r="F25" s="3">
        <v>50</v>
      </c>
      <c r="G25" s="3">
        <v>50</v>
      </c>
      <c r="H25" s="3">
        <v>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50</v>
      </c>
      <c r="AD25" s="3">
        <v>50</v>
      </c>
      <c r="AE25" s="3">
        <v>50</v>
      </c>
      <c r="AF25" s="3">
        <v>50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/>
    </row>
    <row r="26" spans="2:41" x14ac:dyDescent="0.2">
      <c r="B26">
        <v>38</v>
      </c>
      <c r="C26">
        <v>1</v>
      </c>
      <c r="D26" t="s">
        <v>80</v>
      </c>
      <c r="E26" s="3">
        <v>1293</v>
      </c>
      <c r="F26" s="3">
        <v>1293</v>
      </c>
      <c r="G26" s="3">
        <v>1293</v>
      </c>
      <c r="H26" s="3">
        <v>1293</v>
      </c>
      <c r="I26" s="3">
        <v>1293</v>
      </c>
      <c r="J26" s="3">
        <v>1293</v>
      </c>
      <c r="K26" s="3">
        <v>447.1</v>
      </c>
      <c r="L26" s="3">
        <v>447.1</v>
      </c>
      <c r="M26" s="3">
        <v>447.1</v>
      </c>
      <c r="N26" s="3">
        <v>447.1</v>
      </c>
      <c r="O26" s="3">
        <v>0</v>
      </c>
      <c r="P26" s="3">
        <v>0</v>
      </c>
      <c r="Q26" s="3">
        <v>845.9</v>
      </c>
      <c r="R26" s="3">
        <v>845.9</v>
      </c>
      <c r="S26" s="3">
        <v>845.9</v>
      </c>
      <c r="T26" s="3">
        <v>845.9</v>
      </c>
      <c r="U26" s="3">
        <v>845.9</v>
      </c>
      <c r="V26" s="3">
        <v>845.9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447.1</v>
      </c>
      <c r="AD26" s="3">
        <v>447.1</v>
      </c>
      <c r="AE26" s="3">
        <v>447.1</v>
      </c>
      <c r="AF26" s="3">
        <v>447.1</v>
      </c>
      <c r="AG26" s="3">
        <v>447.1</v>
      </c>
      <c r="AH26" s="3">
        <v>447.1</v>
      </c>
      <c r="AI26" s="3">
        <v>447.1</v>
      </c>
      <c r="AJ26" s="3">
        <v>447.1</v>
      </c>
      <c r="AK26" s="3">
        <v>447.1</v>
      </c>
      <c r="AL26" s="3">
        <v>447.1</v>
      </c>
      <c r="AM26" s="3">
        <v>0</v>
      </c>
      <c r="AN26" s="3">
        <v>0</v>
      </c>
      <c r="AO26" s="3"/>
    </row>
    <row r="27" spans="2:41" x14ac:dyDescent="0.2">
      <c r="B27">
        <v>47</v>
      </c>
      <c r="C27">
        <v>1</v>
      </c>
      <c r="D27" t="s">
        <v>81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/>
    </row>
    <row r="28" spans="2:41" x14ac:dyDescent="0.2">
      <c r="B28">
        <v>51</v>
      </c>
      <c r="C28">
        <v>1</v>
      </c>
      <c r="D28" t="s">
        <v>82</v>
      </c>
      <c r="E28" s="3">
        <v>235</v>
      </c>
      <c r="F28" s="3">
        <v>235</v>
      </c>
      <c r="G28" s="3">
        <v>235</v>
      </c>
      <c r="H28" s="3">
        <v>235</v>
      </c>
      <c r="I28" s="3">
        <v>235</v>
      </c>
      <c r="J28" s="3">
        <v>235</v>
      </c>
      <c r="K28" s="3">
        <v>235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235</v>
      </c>
      <c r="AD28" s="3">
        <v>235</v>
      </c>
      <c r="AE28" s="3">
        <v>235</v>
      </c>
      <c r="AF28" s="3">
        <v>235</v>
      </c>
      <c r="AG28" s="3">
        <v>235</v>
      </c>
      <c r="AH28" s="3">
        <v>235</v>
      </c>
      <c r="AI28" s="3">
        <v>235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/>
    </row>
    <row r="29" spans="2:41" x14ac:dyDescent="0.2">
      <c r="B29">
        <v>62</v>
      </c>
      <c r="C29">
        <v>1</v>
      </c>
      <c r="D29" t="s">
        <v>83</v>
      </c>
      <c r="E29" s="3">
        <v>600.39</v>
      </c>
      <c r="F29" s="3">
        <v>900</v>
      </c>
      <c r="G29" s="3">
        <v>900</v>
      </c>
      <c r="H29" s="3">
        <v>900</v>
      </c>
      <c r="I29" s="3">
        <v>900</v>
      </c>
      <c r="J29" s="3">
        <v>900</v>
      </c>
      <c r="K29" s="3">
        <v>900</v>
      </c>
      <c r="L29" s="3">
        <v>900</v>
      </c>
      <c r="M29" s="3">
        <v>900</v>
      </c>
      <c r="N29" s="3">
        <v>900</v>
      </c>
      <c r="O29" s="3">
        <v>900</v>
      </c>
      <c r="P29" s="3">
        <v>0</v>
      </c>
      <c r="Q29" s="3">
        <v>600.39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900</v>
      </c>
      <c r="AE29" s="3">
        <v>900</v>
      </c>
      <c r="AF29" s="3">
        <v>900</v>
      </c>
      <c r="AG29" s="3">
        <v>900</v>
      </c>
      <c r="AH29" s="3">
        <v>900</v>
      </c>
      <c r="AI29" s="3">
        <v>900</v>
      </c>
      <c r="AJ29" s="3">
        <v>900</v>
      </c>
      <c r="AK29" s="3">
        <v>900</v>
      </c>
      <c r="AL29" s="3">
        <v>900</v>
      </c>
      <c r="AM29" s="3">
        <v>900</v>
      </c>
      <c r="AN29" s="3">
        <v>0</v>
      </c>
      <c r="AO29" s="3"/>
    </row>
    <row r="30" spans="2:41" x14ac:dyDescent="0.2">
      <c r="B30">
        <v>75</v>
      </c>
      <c r="C30">
        <v>1</v>
      </c>
      <c r="D30" t="s">
        <v>84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/>
    </row>
    <row r="31" spans="2:41" x14ac:dyDescent="0.2">
      <c r="B31">
        <v>77</v>
      </c>
      <c r="C31">
        <v>1</v>
      </c>
      <c r="D31" t="s">
        <v>85</v>
      </c>
      <c r="E31" s="3">
        <v>444.67</v>
      </c>
      <c r="F31" s="3">
        <v>444.67</v>
      </c>
      <c r="G31" s="3">
        <v>444.67</v>
      </c>
      <c r="H31" s="3">
        <v>444.67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444.67</v>
      </c>
      <c r="R31" s="3">
        <v>444.67</v>
      </c>
      <c r="S31" s="3">
        <v>444.67</v>
      </c>
      <c r="T31" s="3">
        <v>444.67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/>
    </row>
    <row r="32" spans="2:41" x14ac:dyDescent="0.2">
      <c r="B32">
        <v>81</v>
      </c>
      <c r="C32">
        <v>1</v>
      </c>
      <c r="D32" t="s">
        <v>86</v>
      </c>
      <c r="E32" s="3">
        <v>1104.18</v>
      </c>
      <c r="F32" s="3">
        <v>1104.18</v>
      </c>
      <c r="G32" s="3">
        <v>1104.18</v>
      </c>
      <c r="H32" s="3">
        <v>1104.18</v>
      </c>
      <c r="I32" s="3">
        <v>1104.18</v>
      </c>
      <c r="J32" s="3">
        <v>500</v>
      </c>
      <c r="K32" s="3">
        <v>500</v>
      </c>
      <c r="L32" s="3">
        <v>500</v>
      </c>
      <c r="M32" s="3">
        <v>500</v>
      </c>
      <c r="N32" s="3">
        <v>500</v>
      </c>
      <c r="O32" s="3">
        <v>0</v>
      </c>
      <c r="P32" s="3">
        <v>0</v>
      </c>
      <c r="Q32" s="3">
        <v>604.17999999999995</v>
      </c>
      <c r="R32" s="3">
        <v>604.17999999999995</v>
      </c>
      <c r="S32" s="3">
        <v>604.17999999999995</v>
      </c>
      <c r="T32" s="3">
        <v>604.17999999999995</v>
      </c>
      <c r="U32" s="3">
        <v>604.17999999999995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500</v>
      </c>
      <c r="AD32" s="3">
        <v>500</v>
      </c>
      <c r="AE32" s="3">
        <v>500</v>
      </c>
      <c r="AF32" s="3">
        <v>500</v>
      </c>
      <c r="AG32" s="3">
        <v>500</v>
      </c>
      <c r="AH32" s="3">
        <v>500</v>
      </c>
      <c r="AI32" s="3">
        <v>500</v>
      </c>
      <c r="AJ32" s="3">
        <v>500</v>
      </c>
      <c r="AK32" s="3">
        <v>500</v>
      </c>
      <c r="AL32" s="3">
        <v>500</v>
      </c>
      <c r="AM32" s="3">
        <v>0</v>
      </c>
      <c r="AN32" s="3">
        <v>0</v>
      </c>
      <c r="AO32" s="3"/>
    </row>
    <row r="33" spans="2:41" x14ac:dyDescent="0.2">
      <c r="B33">
        <v>84</v>
      </c>
      <c r="C33">
        <v>1</v>
      </c>
      <c r="D33" t="s">
        <v>87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/>
    </row>
    <row r="34" spans="2:41" x14ac:dyDescent="0.2">
      <c r="B34">
        <v>85</v>
      </c>
      <c r="C34">
        <v>1</v>
      </c>
      <c r="D34" t="s">
        <v>88</v>
      </c>
      <c r="E34" s="3">
        <v>600</v>
      </c>
      <c r="F34" s="3">
        <v>600</v>
      </c>
      <c r="G34" s="3">
        <v>600</v>
      </c>
      <c r="H34" s="3">
        <v>600</v>
      </c>
      <c r="I34" s="3">
        <v>600</v>
      </c>
      <c r="J34" s="3">
        <v>600</v>
      </c>
      <c r="K34" s="3">
        <v>600</v>
      </c>
      <c r="L34" s="3">
        <v>600</v>
      </c>
      <c r="M34" s="3">
        <v>0</v>
      </c>
      <c r="N34" s="3">
        <v>0</v>
      </c>
      <c r="O34" s="3">
        <v>0</v>
      </c>
      <c r="P34" s="3">
        <v>0</v>
      </c>
      <c r="Q34" s="3">
        <v>600</v>
      </c>
      <c r="R34" s="3">
        <v>600</v>
      </c>
      <c r="S34" s="3">
        <v>600</v>
      </c>
      <c r="T34" s="3">
        <v>600</v>
      </c>
      <c r="U34" s="3">
        <v>600</v>
      </c>
      <c r="V34" s="3">
        <v>600</v>
      </c>
      <c r="W34" s="3">
        <v>600</v>
      </c>
      <c r="X34" s="3">
        <v>600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/>
    </row>
    <row r="35" spans="2:41" x14ac:dyDescent="0.2">
      <c r="B35">
        <v>88</v>
      </c>
      <c r="C35">
        <v>1</v>
      </c>
      <c r="D35" t="s">
        <v>89</v>
      </c>
      <c r="E35" s="3">
        <v>453.83</v>
      </c>
      <c r="F35" s="3">
        <v>453.83</v>
      </c>
      <c r="G35" s="3">
        <v>453.83</v>
      </c>
      <c r="H35" s="3">
        <v>453.83</v>
      </c>
      <c r="I35" s="3">
        <v>453.83</v>
      </c>
      <c r="J35" s="3">
        <v>453.83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453.83</v>
      </c>
      <c r="R35" s="3">
        <v>453.83</v>
      </c>
      <c r="S35" s="3">
        <v>453.83</v>
      </c>
      <c r="T35" s="3">
        <v>453.83</v>
      </c>
      <c r="U35" s="3">
        <v>453.83</v>
      </c>
      <c r="V35" s="3">
        <v>453.83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/>
    </row>
    <row r="36" spans="2:41" x14ac:dyDescent="0.2">
      <c r="B36">
        <v>91</v>
      </c>
      <c r="C36">
        <v>1</v>
      </c>
      <c r="D36" t="s">
        <v>90</v>
      </c>
      <c r="E36" s="3">
        <v>200.19</v>
      </c>
      <c r="F36" s="3">
        <v>200.19</v>
      </c>
      <c r="G36" s="3">
        <v>200.19</v>
      </c>
      <c r="H36" s="3">
        <v>200.19</v>
      </c>
      <c r="I36" s="3">
        <v>200.19</v>
      </c>
      <c r="J36" s="3">
        <v>200.19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200.19</v>
      </c>
      <c r="R36" s="3">
        <v>200.19</v>
      </c>
      <c r="S36" s="3">
        <v>200.19</v>
      </c>
      <c r="T36" s="3">
        <v>200.19</v>
      </c>
      <c r="U36" s="3">
        <v>200.19</v>
      </c>
      <c r="V36" s="3">
        <v>200.19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/>
    </row>
    <row r="37" spans="2:41" x14ac:dyDescent="0.2">
      <c r="B37">
        <v>93</v>
      </c>
      <c r="C37">
        <v>1</v>
      </c>
      <c r="D37" t="s">
        <v>91</v>
      </c>
      <c r="E37" s="3">
        <v>500</v>
      </c>
      <c r="F37" s="3">
        <v>500</v>
      </c>
      <c r="G37" s="3">
        <v>500</v>
      </c>
      <c r="H37" s="3">
        <v>500</v>
      </c>
      <c r="I37" s="3">
        <v>500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500</v>
      </c>
      <c r="R37" s="3">
        <v>500</v>
      </c>
      <c r="S37" s="3">
        <v>500</v>
      </c>
      <c r="T37" s="3">
        <v>500</v>
      </c>
      <c r="U37" s="3">
        <v>500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/>
    </row>
    <row r="38" spans="2:41" x14ac:dyDescent="0.2">
      <c r="B38">
        <v>94</v>
      </c>
      <c r="C38">
        <v>1</v>
      </c>
      <c r="D38" t="s">
        <v>92</v>
      </c>
      <c r="E38" s="3">
        <v>97.61</v>
      </c>
      <c r="F38" s="3">
        <v>97.61</v>
      </c>
      <c r="G38" s="3">
        <v>97.61</v>
      </c>
      <c r="H38" s="3">
        <v>97.61</v>
      </c>
      <c r="I38" s="3">
        <v>97.61</v>
      </c>
      <c r="J38" s="3">
        <v>97.61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97.61</v>
      </c>
      <c r="R38" s="3">
        <v>97.61</v>
      </c>
      <c r="S38" s="3">
        <v>97.61</v>
      </c>
      <c r="T38" s="3">
        <v>97.61</v>
      </c>
      <c r="U38" s="3">
        <v>97.61</v>
      </c>
      <c r="V38" s="3">
        <v>97.61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/>
    </row>
    <row r="39" spans="2:41" x14ac:dyDescent="0.2">
      <c r="B39">
        <v>95</v>
      </c>
      <c r="C39">
        <v>1</v>
      </c>
      <c r="D39" t="s">
        <v>93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/>
    </row>
    <row r="40" spans="2:41" x14ac:dyDescent="0.2">
      <c r="B40">
        <v>97</v>
      </c>
      <c r="C40">
        <v>1</v>
      </c>
      <c r="D40" t="s">
        <v>94</v>
      </c>
      <c r="E40" s="3">
        <v>250.21</v>
      </c>
      <c r="F40" s="3">
        <v>250.21</v>
      </c>
      <c r="G40" s="3">
        <v>250.21</v>
      </c>
      <c r="H40" s="3">
        <v>250.21</v>
      </c>
      <c r="I40" s="3">
        <v>250.21</v>
      </c>
      <c r="J40" s="3">
        <v>250.21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250.21</v>
      </c>
      <c r="R40" s="3">
        <v>250.21</v>
      </c>
      <c r="S40" s="3">
        <v>250.21</v>
      </c>
      <c r="T40" s="3">
        <v>250.21</v>
      </c>
      <c r="U40" s="3">
        <v>250.21</v>
      </c>
      <c r="V40" s="3">
        <v>250.21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/>
    </row>
    <row r="41" spans="2:41" x14ac:dyDescent="0.2">
      <c r="B41">
        <v>99</v>
      </c>
      <c r="C41">
        <v>1</v>
      </c>
      <c r="D41" t="s">
        <v>95</v>
      </c>
      <c r="E41" s="3">
        <v>405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405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/>
    </row>
    <row r="42" spans="2:41" x14ac:dyDescent="0.2">
      <c r="B42">
        <v>100</v>
      </c>
      <c r="C42">
        <v>1</v>
      </c>
      <c r="D42" t="s">
        <v>96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/>
    </row>
    <row r="43" spans="2:41" x14ac:dyDescent="0.2">
      <c r="B43">
        <v>108</v>
      </c>
      <c r="C43">
        <v>1</v>
      </c>
      <c r="D43" t="s">
        <v>97</v>
      </c>
      <c r="E43" s="3">
        <v>500</v>
      </c>
      <c r="F43" s="3">
        <v>500</v>
      </c>
      <c r="G43" s="3">
        <v>500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500</v>
      </c>
      <c r="R43" s="3">
        <v>500</v>
      </c>
      <c r="S43" s="3">
        <v>500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/>
    </row>
    <row r="44" spans="2:41" x14ac:dyDescent="0.2">
      <c r="B44">
        <v>110</v>
      </c>
      <c r="C44">
        <v>1</v>
      </c>
      <c r="D44" t="s">
        <v>98</v>
      </c>
      <c r="E44" s="3">
        <v>528.72</v>
      </c>
      <c r="F44" s="3">
        <v>528.72</v>
      </c>
      <c r="G44" s="3">
        <v>440.25</v>
      </c>
      <c r="H44" s="3">
        <v>390</v>
      </c>
      <c r="I44" s="3">
        <v>390</v>
      </c>
      <c r="J44" s="3">
        <v>390</v>
      </c>
      <c r="K44" s="3">
        <v>390</v>
      </c>
      <c r="L44" s="3">
        <v>390</v>
      </c>
      <c r="M44" s="3">
        <v>390</v>
      </c>
      <c r="N44" s="3">
        <v>0</v>
      </c>
      <c r="O44" s="3">
        <v>0</v>
      </c>
      <c r="P44" s="3">
        <v>0</v>
      </c>
      <c r="Q44" s="3">
        <v>138.72</v>
      </c>
      <c r="R44" s="3">
        <v>138.72</v>
      </c>
      <c r="S44" s="3">
        <v>50.25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390</v>
      </c>
      <c r="AD44" s="3">
        <v>390</v>
      </c>
      <c r="AE44" s="3">
        <v>390</v>
      </c>
      <c r="AF44" s="3">
        <v>390</v>
      </c>
      <c r="AG44" s="3">
        <v>390</v>
      </c>
      <c r="AH44" s="3">
        <v>390</v>
      </c>
      <c r="AI44" s="3">
        <v>390</v>
      </c>
      <c r="AJ44" s="3">
        <v>390</v>
      </c>
      <c r="AK44" s="3">
        <v>390</v>
      </c>
      <c r="AL44" s="3">
        <v>0</v>
      </c>
      <c r="AM44" s="3">
        <v>0</v>
      </c>
      <c r="AN44" s="3">
        <v>0</v>
      </c>
      <c r="AO44" s="3"/>
    </row>
    <row r="45" spans="2:41" x14ac:dyDescent="0.2">
      <c r="B45">
        <v>111</v>
      </c>
      <c r="C45">
        <v>1</v>
      </c>
      <c r="D45" t="s">
        <v>99</v>
      </c>
      <c r="E45" s="3">
        <v>242.19</v>
      </c>
      <c r="F45" s="3">
        <v>242.19</v>
      </c>
      <c r="G45" s="3">
        <v>242.19</v>
      </c>
      <c r="H45" s="3">
        <v>242.19</v>
      </c>
      <c r="I45" s="3">
        <v>242.19</v>
      </c>
      <c r="J45" s="3">
        <v>242.19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242.19</v>
      </c>
      <c r="R45" s="3">
        <v>242.19</v>
      </c>
      <c r="S45" s="3">
        <v>242.19</v>
      </c>
      <c r="T45" s="3">
        <v>242.19</v>
      </c>
      <c r="U45" s="3">
        <v>242.19</v>
      </c>
      <c r="V45" s="3">
        <v>242.19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/>
    </row>
    <row r="46" spans="2:41" x14ac:dyDescent="0.2">
      <c r="B46">
        <v>112</v>
      </c>
      <c r="C46">
        <v>1</v>
      </c>
      <c r="D46" t="s">
        <v>100</v>
      </c>
      <c r="E46" s="3">
        <v>768.24</v>
      </c>
      <c r="F46" s="3">
        <v>768.24</v>
      </c>
      <c r="G46" s="3">
        <v>768.24</v>
      </c>
      <c r="H46" s="3">
        <v>768.24</v>
      </c>
      <c r="I46" s="3">
        <v>768.24</v>
      </c>
      <c r="J46" s="3">
        <v>768.24</v>
      </c>
      <c r="K46" s="3">
        <v>768.24</v>
      </c>
      <c r="L46" s="3">
        <v>768.24</v>
      </c>
      <c r="M46" s="3">
        <v>0</v>
      </c>
      <c r="N46" s="3">
        <v>0</v>
      </c>
      <c r="O46" s="3">
        <v>0</v>
      </c>
      <c r="P46" s="3">
        <v>0</v>
      </c>
      <c r="Q46" s="3">
        <v>768.24</v>
      </c>
      <c r="R46" s="3">
        <v>768.24</v>
      </c>
      <c r="S46" s="3">
        <v>768.24</v>
      </c>
      <c r="T46" s="3">
        <v>768.24</v>
      </c>
      <c r="U46" s="3">
        <v>768.24</v>
      </c>
      <c r="V46" s="3">
        <v>768.24</v>
      </c>
      <c r="W46" s="3">
        <v>768.24</v>
      </c>
      <c r="X46" s="3">
        <v>768.24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/>
    </row>
    <row r="47" spans="2:41" x14ac:dyDescent="0.2">
      <c r="B47">
        <v>113</v>
      </c>
      <c r="C47">
        <v>1</v>
      </c>
      <c r="D47" t="s">
        <v>101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/>
    </row>
    <row r="48" spans="2:41" x14ac:dyDescent="0.2">
      <c r="B48">
        <v>115</v>
      </c>
      <c r="C48">
        <v>1</v>
      </c>
      <c r="D48" t="s">
        <v>102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/>
    </row>
    <row r="49" spans="2:41" x14ac:dyDescent="0.2">
      <c r="B49">
        <v>116</v>
      </c>
      <c r="C49">
        <v>1</v>
      </c>
      <c r="D49" t="s">
        <v>103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/>
    </row>
    <row r="50" spans="2:41" x14ac:dyDescent="0.2">
      <c r="B50">
        <v>118</v>
      </c>
      <c r="C50">
        <v>1</v>
      </c>
      <c r="D50" t="s">
        <v>104</v>
      </c>
      <c r="E50" s="3">
        <v>376.51</v>
      </c>
      <c r="F50" s="3">
        <v>376.51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376.51</v>
      </c>
      <c r="R50" s="3">
        <v>376.51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/>
    </row>
    <row r="51" spans="2:41" x14ac:dyDescent="0.2">
      <c r="B51">
        <v>129</v>
      </c>
      <c r="C51">
        <v>1</v>
      </c>
      <c r="D51" t="s">
        <v>105</v>
      </c>
      <c r="E51" s="3">
        <v>506.55</v>
      </c>
      <c r="F51" s="3">
        <v>506.55</v>
      </c>
      <c r="G51" s="3">
        <v>506.55</v>
      </c>
      <c r="H51" s="3">
        <v>506.55</v>
      </c>
      <c r="I51" s="3">
        <v>505.35</v>
      </c>
      <c r="J51" s="3">
        <v>505.35</v>
      </c>
      <c r="K51" s="3">
        <v>505.35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506.55</v>
      </c>
      <c r="R51" s="3">
        <v>506.55</v>
      </c>
      <c r="S51" s="3">
        <v>506.55</v>
      </c>
      <c r="T51" s="3">
        <v>506.55</v>
      </c>
      <c r="U51" s="3">
        <v>505.35</v>
      </c>
      <c r="V51" s="3">
        <v>505.35</v>
      </c>
      <c r="W51" s="3">
        <v>505.35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/>
    </row>
    <row r="52" spans="2:41" x14ac:dyDescent="0.2">
      <c r="B52">
        <v>138</v>
      </c>
      <c r="C52">
        <v>1</v>
      </c>
      <c r="D52" t="s">
        <v>106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/>
    </row>
    <row r="53" spans="2:41" x14ac:dyDescent="0.2">
      <c r="B53">
        <v>139</v>
      </c>
      <c r="C53">
        <v>1</v>
      </c>
      <c r="D53" t="s">
        <v>107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/>
    </row>
    <row r="54" spans="2:41" x14ac:dyDescent="0.2">
      <c r="B54">
        <v>146</v>
      </c>
      <c r="C54">
        <v>1</v>
      </c>
      <c r="D54" t="s">
        <v>108</v>
      </c>
      <c r="E54" s="3">
        <v>1200.5899999999999</v>
      </c>
      <c r="F54" s="3">
        <v>950</v>
      </c>
      <c r="G54" s="3">
        <v>950</v>
      </c>
      <c r="H54" s="3">
        <v>950</v>
      </c>
      <c r="I54" s="3">
        <v>950</v>
      </c>
      <c r="J54" s="3">
        <v>950</v>
      </c>
      <c r="K54" s="3">
        <v>950</v>
      </c>
      <c r="L54" s="3">
        <v>950</v>
      </c>
      <c r="M54" s="3">
        <v>950</v>
      </c>
      <c r="N54" s="3">
        <v>950</v>
      </c>
      <c r="O54" s="3">
        <v>0</v>
      </c>
      <c r="P54" s="3">
        <v>0</v>
      </c>
      <c r="Q54" s="3">
        <v>250.59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950</v>
      </c>
      <c r="AD54" s="3">
        <v>950</v>
      </c>
      <c r="AE54" s="3">
        <v>950</v>
      </c>
      <c r="AF54" s="3">
        <v>950</v>
      </c>
      <c r="AG54" s="3">
        <v>950</v>
      </c>
      <c r="AH54" s="3">
        <v>950</v>
      </c>
      <c r="AI54" s="3">
        <v>950</v>
      </c>
      <c r="AJ54" s="3">
        <v>950</v>
      </c>
      <c r="AK54" s="3">
        <v>950</v>
      </c>
      <c r="AL54" s="3">
        <v>950</v>
      </c>
      <c r="AM54" s="3">
        <v>0</v>
      </c>
      <c r="AN54" s="3">
        <v>0</v>
      </c>
      <c r="AO54" s="3"/>
    </row>
    <row r="55" spans="2:41" x14ac:dyDescent="0.2">
      <c r="B55">
        <v>150</v>
      </c>
      <c r="C55">
        <v>1</v>
      </c>
      <c r="D55" t="s">
        <v>109</v>
      </c>
      <c r="E55" s="3">
        <v>500</v>
      </c>
      <c r="F55" s="3">
        <v>500</v>
      </c>
      <c r="G55" s="3">
        <v>500</v>
      </c>
      <c r="H55" s="3">
        <v>500</v>
      </c>
      <c r="I55" s="3">
        <v>500</v>
      </c>
      <c r="J55" s="3">
        <v>500</v>
      </c>
      <c r="K55" s="3">
        <v>500</v>
      </c>
      <c r="L55" s="3">
        <v>500</v>
      </c>
      <c r="M55" s="3">
        <v>500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500</v>
      </c>
      <c r="AD55" s="3">
        <v>500</v>
      </c>
      <c r="AE55" s="3">
        <v>500</v>
      </c>
      <c r="AF55" s="3">
        <v>500</v>
      </c>
      <c r="AG55" s="3">
        <v>500</v>
      </c>
      <c r="AH55" s="3">
        <v>500</v>
      </c>
      <c r="AI55" s="3">
        <v>500</v>
      </c>
      <c r="AJ55" s="3">
        <v>500</v>
      </c>
      <c r="AK55" s="3">
        <v>500</v>
      </c>
      <c r="AL55" s="3">
        <v>0</v>
      </c>
      <c r="AM55" s="3">
        <v>0</v>
      </c>
      <c r="AN55" s="3">
        <v>0</v>
      </c>
      <c r="AO55" s="3"/>
    </row>
    <row r="56" spans="2:41" x14ac:dyDescent="0.2">
      <c r="B56">
        <v>152</v>
      </c>
      <c r="C56">
        <v>1</v>
      </c>
      <c r="D56" t="s">
        <v>110</v>
      </c>
      <c r="E56" s="3">
        <v>39.799999999999997</v>
      </c>
      <c r="F56" s="3">
        <v>39.799999999999997</v>
      </c>
      <c r="G56" s="3">
        <v>39.799999999999997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39.799999999999997</v>
      </c>
      <c r="R56" s="3">
        <v>39.799999999999997</v>
      </c>
      <c r="S56" s="3">
        <v>39.799999999999997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/>
    </row>
    <row r="57" spans="2:41" x14ac:dyDescent="0.2">
      <c r="B57">
        <v>162</v>
      </c>
      <c r="C57">
        <v>1</v>
      </c>
      <c r="D57" t="s">
        <v>111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/>
    </row>
    <row r="58" spans="2:41" x14ac:dyDescent="0.2">
      <c r="B58">
        <v>166</v>
      </c>
      <c r="C58">
        <v>1</v>
      </c>
      <c r="D58" t="s">
        <v>112</v>
      </c>
      <c r="E58" s="3">
        <v>351.58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351.58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/>
    </row>
    <row r="59" spans="2:41" x14ac:dyDescent="0.2">
      <c r="B59">
        <v>173</v>
      </c>
      <c r="C59">
        <v>1</v>
      </c>
      <c r="D59" t="s">
        <v>113</v>
      </c>
      <c r="E59" s="3">
        <v>860.46</v>
      </c>
      <c r="F59" s="3">
        <v>860.46</v>
      </c>
      <c r="G59" s="3">
        <v>611.63</v>
      </c>
      <c r="H59" s="3">
        <v>611.63</v>
      </c>
      <c r="I59" s="3">
        <v>611.63</v>
      </c>
      <c r="J59" s="3">
        <v>611.63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860.46</v>
      </c>
      <c r="R59" s="3">
        <v>860.46</v>
      </c>
      <c r="S59" s="3">
        <v>611.63</v>
      </c>
      <c r="T59" s="3">
        <v>611.63</v>
      </c>
      <c r="U59" s="3">
        <v>611.63</v>
      </c>
      <c r="V59" s="3">
        <v>611.63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/>
    </row>
    <row r="60" spans="2:41" x14ac:dyDescent="0.2">
      <c r="B60">
        <v>177</v>
      </c>
      <c r="C60">
        <v>1</v>
      </c>
      <c r="D60" t="s">
        <v>114</v>
      </c>
      <c r="E60" s="3">
        <v>416.87</v>
      </c>
      <c r="F60" s="3">
        <v>416.87</v>
      </c>
      <c r="G60" s="3">
        <v>416.87</v>
      </c>
      <c r="H60" s="3">
        <v>416.87</v>
      </c>
      <c r="I60" s="3">
        <v>416.87</v>
      </c>
      <c r="J60" s="3">
        <v>416.87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416.87</v>
      </c>
      <c r="R60" s="3">
        <v>416.87</v>
      </c>
      <c r="S60" s="3">
        <v>416.87</v>
      </c>
      <c r="T60" s="3">
        <v>416.87</v>
      </c>
      <c r="U60" s="3">
        <v>416.87</v>
      </c>
      <c r="V60" s="3">
        <v>416.87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/>
    </row>
    <row r="61" spans="2:41" x14ac:dyDescent="0.2">
      <c r="B61">
        <v>181</v>
      </c>
      <c r="C61">
        <v>1</v>
      </c>
      <c r="D61" t="s">
        <v>115</v>
      </c>
      <c r="E61" s="3">
        <v>199.24</v>
      </c>
      <c r="F61" s="3">
        <v>199.24</v>
      </c>
      <c r="G61" s="3">
        <v>199.24</v>
      </c>
      <c r="H61" s="3">
        <v>199.24</v>
      </c>
      <c r="I61" s="3">
        <v>199.24</v>
      </c>
      <c r="J61" s="3">
        <v>199.24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199.24</v>
      </c>
      <c r="R61" s="3">
        <v>199.24</v>
      </c>
      <c r="S61" s="3">
        <v>199.24</v>
      </c>
      <c r="T61" s="3">
        <v>199.24</v>
      </c>
      <c r="U61" s="3">
        <v>199.24</v>
      </c>
      <c r="V61" s="3">
        <v>199.24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/>
    </row>
    <row r="62" spans="2:41" x14ac:dyDescent="0.2">
      <c r="B62">
        <v>182</v>
      </c>
      <c r="C62">
        <v>1</v>
      </c>
      <c r="D62" t="s">
        <v>116</v>
      </c>
      <c r="E62" s="3">
        <v>405</v>
      </c>
      <c r="F62" s="3">
        <v>405</v>
      </c>
      <c r="G62" s="3">
        <v>405</v>
      </c>
      <c r="H62" s="3">
        <v>405</v>
      </c>
      <c r="I62" s="3">
        <v>405</v>
      </c>
      <c r="J62" s="3">
        <v>405</v>
      </c>
      <c r="K62" s="3">
        <v>404</v>
      </c>
      <c r="L62" s="3">
        <v>404</v>
      </c>
      <c r="M62" s="3">
        <v>0</v>
      </c>
      <c r="N62" s="3">
        <v>0</v>
      </c>
      <c r="O62" s="3">
        <v>0</v>
      </c>
      <c r="P62" s="3">
        <v>0</v>
      </c>
      <c r="Q62" s="3">
        <v>405</v>
      </c>
      <c r="R62" s="3">
        <v>405</v>
      </c>
      <c r="S62" s="3">
        <v>405</v>
      </c>
      <c r="T62" s="3">
        <v>405</v>
      </c>
      <c r="U62" s="3">
        <v>405</v>
      </c>
      <c r="V62" s="3">
        <v>405</v>
      </c>
      <c r="W62" s="3">
        <v>404</v>
      </c>
      <c r="X62" s="3">
        <v>404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/>
    </row>
    <row r="63" spans="2:41" x14ac:dyDescent="0.2">
      <c r="B63">
        <v>186</v>
      </c>
      <c r="C63">
        <v>1</v>
      </c>
      <c r="D63" t="s">
        <v>117</v>
      </c>
      <c r="E63" s="3">
        <v>1.01</v>
      </c>
      <c r="F63" s="3">
        <v>1.01</v>
      </c>
      <c r="G63" s="3">
        <v>1.01</v>
      </c>
      <c r="H63" s="3">
        <v>1.01</v>
      </c>
      <c r="I63" s="3">
        <v>1.01</v>
      </c>
      <c r="J63" s="3">
        <v>1.01</v>
      </c>
      <c r="K63" s="3">
        <v>1.01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1.01</v>
      </c>
      <c r="R63" s="3">
        <v>1.01</v>
      </c>
      <c r="S63" s="3">
        <v>1.01</v>
      </c>
      <c r="T63" s="3">
        <v>1.01</v>
      </c>
      <c r="U63" s="3">
        <v>1.01</v>
      </c>
      <c r="V63" s="3">
        <v>1.01</v>
      </c>
      <c r="W63" s="3">
        <v>1.01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/>
    </row>
    <row r="64" spans="2:41" x14ac:dyDescent="0.2">
      <c r="B64">
        <v>191</v>
      </c>
      <c r="C64">
        <v>1</v>
      </c>
      <c r="D64" t="s">
        <v>118</v>
      </c>
      <c r="E64" s="3">
        <v>845.68</v>
      </c>
      <c r="F64" s="3">
        <v>845.68</v>
      </c>
      <c r="G64" s="3">
        <v>845.68</v>
      </c>
      <c r="H64" s="3">
        <v>845.68</v>
      </c>
      <c r="I64" s="3">
        <v>845.68</v>
      </c>
      <c r="J64" s="3">
        <v>845.68</v>
      </c>
      <c r="K64" s="3">
        <v>845.68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845.68</v>
      </c>
      <c r="R64" s="3">
        <v>845.68</v>
      </c>
      <c r="S64" s="3">
        <v>845.68</v>
      </c>
      <c r="T64" s="3">
        <v>845.68</v>
      </c>
      <c r="U64" s="3">
        <v>845.68</v>
      </c>
      <c r="V64" s="3">
        <v>845.68</v>
      </c>
      <c r="W64" s="3">
        <v>845.68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/>
    </row>
    <row r="65" spans="2:41" x14ac:dyDescent="0.2">
      <c r="B65">
        <v>192</v>
      </c>
      <c r="C65">
        <v>1</v>
      </c>
      <c r="D65" t="s">
        <v>119</v>
      </c>
      <c r="E65" s="3">
        <v>179.99</v>
      </c>
      <c r="F65" s="3">
        <v>179.99</v>
      </c>
      <c r="G65" s="3">
        <v>179.99</v>
      </c>
      <c r="H65" s="3">
        <v>150.43</v>
      </c>
      <c r="I65" s="3">
        <v>150.43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179.99</v>
      </c>
      <c r="R65" s="3">
        <v>179.99</v>
      </c>
      <c r="S65" s="3">
        <v>179.99</v>
      </c>
      <c r="T65" s="3">
        <v>150.43</v>
      </c>
      <c r="U65" s="3">
        <v>150.43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/>
    </row>
    <row r="66" spans="2:41" x14ac:dyDescent="0.2">
      <c r="B66">
        <v>194</v>
      </c>
      <c r="C66">
        <v>1</v>
      </c>
      <c r="D66" t="s">
        <v>120</v>
      </c>
      <c r="E66" s="3">
        <v>839.61</v>
      </c>
      <c r="F66" s="3">
        <v>839.61</v>
      </c>
      <c r="G66" s="3">
        <v>250</v>
      </c>
      <c r="H66" s="3">
        <v>250</v>
      </c>
      <c r="I66" s="3">
        <v>250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839.61</v>
      </c>
      <c r="R66" s="3">
        <v>839.61</v>
      </c>
      <c r="S66" s="3">
        <v>250</v>
      </c>
      <c r="T66" s="3">
        <v>250</v>
      </c>
      <c r="U66" s="3">
        <v>250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/>
    </row>
    <row r="67" spans="2:41" x14ac:dyDescent="0.2">
      <c r="B67">
        <v>195</v>
      </c>
      <c r="C67">
        <v>1</v>
      </c>
      <c r="D67" t="s">
        <v>121</v>
      </c>
      <c r="E67" s="3">
        <v>580.44000000000005</v>
      </c>
      <c r="F67" s="3">
        <v>580.44000000000005</v>
      </c>
      <c r="G67" s="3">
        <v>580.44000000000005</v>
      </c>
      <c r="H67" s="3">
        <v>580.44000000000005</v>
      </c>
      <c r="I67" s="3">
        <v>580.44000000000005</v>
      </c>
      <c r="J67" s="3">
        <v>580.44000000000005</v>
      </c>
      <c r="K67" s="3">
        <v>580.44000000000005</v>
      </c>
      <c r="L67" s="3">
        <v>580.44000000000005</v>
      </c>
      <c r="M67" s="3">
        <v>580.44000000000005</v>
      </c>
      <c r="N67" s="3">
        <v>580.44000000000005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580.44000000000005</v>
      </c>
      <c r="AD67" s="3">
        <v>580.44000000000005</v>
      </c>
      <c r="AE67" s="3">
        <v>580.44000000000005</v>
      </c>
      <c r="AF67" s="3">
        <v>580.44000000000005</v>
      </c>
      <c r="AG67" s="3">
        <v>580.44000000000005</v>
      </c>
      <c r="AH67" s="3">
        <v>580.44000000000005</v>
      </c>
      <c r="AI67" s="3">
        <v>580.44000000000005</v>
      </c>
      <c r="AJ67" s="3">
        <v>580.44000000000005</v>
      </c>
      <c r="AK67" s="3">
        <v>580.44000000000005</v>
      </c>
      <c r="AL67" s="3">
        <v>580.44000000000005</v>
      </c>
      <c r="AM67" s="3">
        <v>0</v>
      </c>
      <c r="AN67" s="3">
        <v>0</v>
      </c>
      <c r="AO67" s="3"/>
    </row>
    <row r="68" spans="2:41" x14ac:dyDescent="0.2">
      <c r="B68">
        <v>196</v>
      </c>
      <c r="C68">
        <v>1</v>
      </c>
      <c r="D68" t="s">
        <v>122</v>
      </c>
      <c r="E68" s="3">
        <v>1042.3900000000001</v>
      </c>
      <c r="F68" s="3">
        <v>1042.3900000000001</v>
      </c>
      <c r="G68" s="3">
        <v>1042.3900000000001</v>
      </c>
      <c r="H68" s="3">
        <v>1042.3900000000001</v>
      </c>
      <c r="I68" s="3">
        <v>1042.3900000000001</v>
      </c>
      <c r="J68" s="3">
        <v>1042.3900000000001</v>
      </c>
      <c r="K68" s="3">
        <v>1042.3900000000001</v>
      </c>
      <c r="L68" s="3">
        <v>1042.3900000000001</v>
      </c>
      <c r="M68" s="3">
        <v>1042.3900000000001</v>
      </c>
      <c r="N68" s="3">
        <v>1042.3900000000001</v>
      </c>
      <c r="O68" s="3">
        <v>506.57</v>
      </c>
      <c r="P68" s="3">
        <v>0</v>
      </c>
      <c r="Q68" s="3">
        <v>506.57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535.82000000000005</v>
      </c>
      <c r="AD68" s="3">
        <v>1042.3900000000001</v>
      </c>
      <c r="AE68" s="3">
        <v>1042.3900000000001</v>
      </c>
      <c r="AF68" s="3">
        <v>1042.3900000000001</v>
      </c>
      <c r="AG68" s="3">
        <v>1042.3900000000001</v>
      </c>
      <c r="AH68" s="3">
        <v>1042.3900000000001</v>
      </c>
      <c r="AI68" s="3">
        <v>1042.3900000000001</v>
      </c>
      <c r="AJ68" s="3">
        <v>1042.3900000000001</v>
      </c>
      <c r="AK68" s="3">
        <v>1042.3900000000001</v>
      </c>
      <c r="AL68" s="3">
        <v>1042.3900000000001</v>
      </c>
      <c r="AM68" s="3">
        <v>506.57</v>
      </c>
      <c r="AN68" s="3">
        <v>0</v>
      </c>
      <c r="AO68" s="3"/>
    </row>
    <row r="69" spans="2:41" x14ac:dyDescent="0.2">
      <c r="B69">
        <v>197</v>
      </c>
      <c r="C69">
        <v>1</v>
      </c>
      <c r="D69" t="s">
        <v>123</v>
      </c>
      <c r="E69" s="3">
        <v>948.31</v>
      </c>
      <c r="F69" s="3">
        <v>948.31</v>
      </c>
      <c r="G69" s="3">
        <v>362.63</v>
      </c>
      <c r="H69" s="3">
        <v>362.63</v>
      </c>
      <c r="I69" s="3">
        <v>362.63</v>
      </c>
      <c r="J69" s="3">
        <v>362.63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948.31</v>
      </c>
      <c r="R69" s="3">
        <v>948.31</v>
      </c>
      <c r="S69" s="3">
        <v>362.63</v>
      </c>
      <c r="T69" s="3">
        <v>362.63</v>
      </c>
      <c r="U69" s="3">
        <v>362.63</v>
      </c>
      <c r="V69" s="3">
        <v>362.63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/>
    </row>
    <row r="70" spans="2:41" x14ac:dyDescent="0.2">
      <c r="B70">
        <v>199</v>
      </c>
      <c r="C70">
        <v>1</v>
      </c>
      <c r="D70" t="s">
        <v>124</v>
      </c>
      <c r="E70" s="3">
        <v>844.08</v>
      </c>
      <c r="F70" s="3">
        <v>844.08</v>
      </c>
      <c r="G70" s="3">
        <v>844.08</v>
      </c>
      <c r="H70" s="3">
        <v>480.19</v>
      </c>
      <c r="I70" s="3">
        <v>480.19</v>
      </c>
      <c r="J70" s="3">
        <v>480.19</v>
      </c>
      <c r="K70" s="3">
        <v>480.19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844.08</v>
      </c>
      <c r="R70" s="3">
        <v>844.08</v>
      </c>
      <c r="S70" s="3">
        <v>844.08</v>
      </c>
      <c r="T70" s="3">
        <v>480.19</v>
      </c>
      <c r="U70" s="3">
        <v>480.19</v>
      </c>
      <c r="V70" s="3">
        <v>480.19</v>
      </c>
      <c r="W70" s="3">
        <v>480.19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/>
    </row>
    <row r="71" spans="2:41" x14ac:dyDescent="0.2">
      <c r="B71">
        <v>200</v>
      </c>
      <c r="C71">
        <v>1</v>
      </c>
      <c r="D71" t="s">
        <v>125</v>
      </c>
      <c r="E71" s="3">
        <v>1190</v>
      </c>
      <c r="F71" s="3">
        <v>1226</v>
      </c>
      <c r="G71" s="3">
        <v>1262</v>
      </c>
      <c r="H71" s="3">
        <v>1300</v>
      </c>
      <c r="I71" s="3">
        <v>1339</v>
      </c>
      <c r="J71" s="3">
        <v>1380</v>
      </c>
      <c r="K71" s="3">
        <v>731</v>
      </c>
      <c r="L71" s="3">
        <v>774</v>
      </c>
      <c r="M71" s="3">
        <v>0</v>
      </c>
      <c r="N71" s="3">
        <v>0</v>
      </c>
      <c r="O71" s="3">
        <v>0</v>
      </c>
      <c r="P71" s="3">
        <v>0</v>
      </c>
      <c r="Q71" s="3">
        <v>690</v>
      </c>
      <c r="R71" s="3">
        <v>690</v>
      </c>
      <c r="S71" s="3">
        <v>690</v>
      </c>
      <c r="T71" s="3">
        <v>690</v>
      </c>
      <c r="U71" s="3">
        <v>690</v>
      </c>
      <c r="V71" s="3">
        <v>690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500</v>
      </c>
      <c r="AD71" s="3">
        <v>536</v>
      </c>
      <c r="AE71" s="3">
        <v>572</v>
      </c>
      <c r="AF71" s="3">
        <v>610</v>
      </c>
      <c r="AG71" s="3">
        <v>649</v>
      </c>
      <c r="AH71" s="3">
        <v>690</v>
      </c>
      <c r="AI71" s="3">
        <v>731</v>
      </c>
      <c r="AJ71" s="3">
        <v>774</v>
      </c>
      <c r="AK71" s="3">
        <v>0</v>
      </c>
      <c r="AL71" s="3">
        <v>0</v>
      </c>
      <c r="AM71" s="3">
        <v>0</v>
      </c>
      <c r="AN71" s="3">
        <v>0</v>
      </c>
      <c r="AO71" s="3"/>
    </row>
    <row r="72" spans="2:41" x14ac:dyDescent="0.2">
      <c r="B72">
        <v>203</v>
      </c>
      <c r="C72">
        <v>1</v>
      </c>
      <c r="D72" t="s">
        <v>126</v>
      </c>
      <c r="E72" s="3">
        <v>400</v>
      </c>
      <c r="F72" s="3">
        <v>400</v>
      </c>
      <c r="G72" s="3">
        <v>400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400</v>
      </c>
      <c r="R72" s="3">
        <v>400</v>
      </c>
      <c r="S72" s="3">
        <v>400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/>
    </row>
    <row r="73" spans="2:41" x14ac:dyDescent="0.2">
      <c r="B73">
        <v>204</v>
      </c>
      <c r="C73">
        <v>1</v>
      </c>
      <c r="D73" t="s">
        <v>127</v>
      </c>
      <c r="E73" s="3">
        <v>350</v>
      </c>
      <c r="F73" s="3">
        <v>350</v>
      </c>
      <c r="G73" s="3">
        <v>350</v>
      </c>
      <c r="H73" s="3">
        <v>350</v>
      </c>
      <c r="I73" s="3">
        <v>350</v>
      </c>
      <c r="J73" s="3">
        <v>350</v>
      </c>
      <c r="K73" s="3">
        <v>350</v>
      </c>
      <c r="L73" s="3">
        <v>350</v>
      </c>
      <c r="M73" s="3">
        <v>350</v>
      </c>
      <c r="N73" s="3">
        <v>350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350</v>
      </c>
      <c r="AD73" s="3">
        <v>350</v>
      </c>
      <c r="AE73" s="3">
        <v>350</v>
      </c>
      <c r="AF73" s="3">
        <v>350</v>
      </c>
      <c r="AG73" s="3">
        <v>350</v>
      </c>
      <c r="AH73" s="3">
        <v>350</v>
      </c>
      <c r="AI73" s="3">
        <v>350</v>
      </c>
      <c r="AJ73" s="3">
        <v>350</v>
      </c>
      <c r="AK73" s="3">
        <v>350</v>
      </c>
      <c r="AL73" s="3">
        <v>350</v>
      </c>
      <c r="AM73" s="3">
        <v>0</v>
      </c>
      <c r="AN73" s="3">
        <v>0</v>
      </c>
      <c r="AO73" s="3"/>
    </row>
    <row r="74" spans="2:41" x14ac:dyDescent="0.2">
      <c r="B74">
        <v>206</v>
      </c>
      <c r="C74">
        <v>1</v>
      </c>
      <c r="D74" t="s">
        <v>128</v>
      </c>
      <c r="E74" s="3">
        <v>393.47</v>
      </c>
      <c r="F74" s="3">
        <v>393.47</v>
      </c>
      <c r="G74" s="3">
        <v>393.47</v>
      </c>
      <c r="H74" s="3">
        <v>393.47</v>
      </c>
      <c r="I74" s="3">
        <v>390</v>
      </c>
      <c r="J74" s="3">
        <v>390</v>
      </c>
      <c r="K74" s="3">
        <v>390</v>
      </c>
      <c r="L74" s="3">
        <v>390</v>
      </c>
      <c r="M74" s="3">
        <v>390</v>
      </c>
      <c r="N74" s="3">
        <v>0</v>
      </c>
      <c r="O74" s="3">
        <v>0</v>
      </c>
      <c r="P74" s="3">
        <v>0</v>
      </c>
      <c r="Q74" s="3">
        <v>3.4700000000000273</v>
      </c>
      <c r="R74" s="3">
        <v>3.4700000000000273</v>
      </c>
      <c r="S74" s="3">
        <v>3.4700000000000273</v>
      </c>
      <c r="T74" s="3">
        <v>3.4700000000000273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390</v>
      </c>
      <c r="AD74" s="3">
        <v>390</v>
      </c>
      <c r="AE74" s="3">
        <v>390</v>
      </c>
      <c r="AF74" s="3">
        <v>390</v>
      </c>
      <c r="AG74" s="3">
        <v>390</v>
      </c>
      <c r="AH74" s="3">
        <v>390</v>
      </c>
      <c r="AI74" s="3">
        <v>390</v>
      </c>
      <c r="AJ74" s="3">
        <v>390</v>
      </c>
      <c r="AK74" s="3">
        <v>390</v>
      </c>
      <c r="AL74" s="3">
        <v>0</v>
      </c>
      <c r="AM74" s="3">
        <v>0</v>
      </c>
      <c r="AN74" s="3">
        <v>0</v>
      </c>
      <c r="AO74" s="3"/>
    </row>
    <row r="75" spans="2:41" x14ac:dyDescent="0.2">
      <c r="B75">
        <v>207</v>
      </c>
      <c r="C75">
        <v>1</v>
      </c>
      <c r="D75" t="s">
        <v>129</v>
      </c>
      <c r="E75" s="3">
        <v>501</v>
      </c>
      <c r="F75" s="3">
        <v>501</v>
      </c>
      <c r="G75" s="3">
        <v>501</v>
      </c>
      <c r="H75" s="3">
        <v>501</v>
      </c>
      <c r="I75" s="3">
        <v>1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1</v>
      </c>
      <c r="R75" s="3">
        <v>1</v>
      </c>
      <c r="S75" s="3">
        <v>1</v>
      </c>
      <c r="T75" s="3">
        <v>1</v>
      </c>
      <c r="U75" s="3">
        <v>1</v>
      </c>
      <c r="V75" s="3">
        <v>1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500</v>
      </c>
      <c r="AD75" s="3">
        <v>500</v>
      </c>
      <c r="AE75" s="3">
        <v>500</v>
      </c>
      <c r="AF75" s="3">
        <v>500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/>
    </row>
    <row r="76" spans="2:41" x14ac:dyDescent="0.2">
      <c r="B76">
        <v>208</v>
      </c>
      <c r="C76">
        <v>1</v>
      </c>
      <c r="D76" t="s">
        <v>130</v>
      </c>
      <c r="E76" s="3">
        <v>1373.71</v>
      </c>
      <c r="F76" s="3">
        <v>1373.71</v>
      </c>
      <c r="G76" s="3">
        <v>1373.71</v>
      </c>
      <c r="H76" s="3">
        <v>1373.71</v>
      </c>
      <c r="I76" s="3">
        <v>1373.71</v>
      </c>
      <c r="J76" s="3">
        <v>1373.71</v>
      </c>
      <c r="K76" s="3">
        <v>1373.71</v>
      </c>
      <c r="L76" s="3">
        <v>1373.71</v>
      </c>
      <c r="M76" s="3">
        <v>1373.71</v>
      </c>
      <c r="N76" s="3">
        <v>1373.71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1373.71</v>
      </c>
      <c r="AD76" s="3">
        <v>1373.71</v>
      </c>
      <c r="AE76" s="3">
        <v>1373.71</v>
      </c>
      <c r="AF76" s="3">
        <v>1373.71</v>
      </c>
      <c r="AG76" s="3">
        <v>1373.71</v>
      </c>
      <c r="AH76" s="3">
        <v>1373.71</v>
      </c>
      <c r="AI76" s="3">
        <v>1373.71</v>
      </c>
      <c r="AJ76" s="3">
        <v>1373.71</v>
      </c>
      <c r="AK76" s="3">
        <v>1373.71</v>
      </c>
      <c r="AL76" s="3">
        <v>1373.71</v>
      </c>
      <c r="AM76" s="3">
        <v>0</v>
      </c>
      <c r="AN76" s="3">
        <v>0</v>
      </c>
      <c r="AO76" s="3"/>
    </row>
    <row r="77" spans="2:41" x14ac:dyDescent="0.2">
      <c r="B77">
        <v>213</v>
      </c>
      <c r="C77">
        <v>1</v>
      </c>
      <c r="D77" t="s">
        <v>131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/>
    </row>
    <row r="78" spans="2:41" x14ac:dyDescent="0.2">
      <c r="B78">
        <v>227</v>
      </c>
      <c r="C78">
        <v>1</v>
      </c>
      <c r="D78" t="s">
        <v>132</v>
      </c>
      <c r="E78" s="3">
        <v>350.77</v>
      </c>
      <c r="F78" s="3">
        <v>350.77</v>
      </c>
      <c r="G78" s="3">
        <v>350.77</v>
      </c>
      <c r="H78" s="3">
        <v>350.77</v>
      </c>
      <c r="I78" s="3">
        <v>350.77</v>
      </c>
      <c r="J78" s="3">
        <v>350.77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350.77</v>
      </c>
      <c r="R78" s="3">
        <v>350.77</v>
      </c>
      <c r="S78" s="3">
        <v>350.77</v>
      </c>
      <c r="T78" s="3">
        <v>350.77</v>
      </c>
      <c r="U78" s="3">
        <v>350.77</v>
      </c>
      <c r="V78" s="3">
        <v>350.77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/>
    </row>
    <row r="79" spans="2:41" x14ac:dyDescent="0.2">
      <c r="B79">
        <v>229</v>
      </c>
      <c r="C79">
        <v>1</v>
      </c>
      <c r="D79" t="s">
        <v>133</v>
      </c>
      <c r="E79" s="3">
        <v>315.38</v>
      </c>
      <c r="F79" s="3">
        <v>315.38</v>
      </c>
      <c r="G79" s="3">
        <v>315.38</v>
      </c>
      <c r="H79" s="3">
        <v>315.38</v>
      </c>
      <c r="I79" s="3">
        <v>315.38</v>
      </c>
      <c r="J79" s="3">
        <v>315.38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315.38</v>
      </c>
      <c r="R79" s="3">
        <v>315.38</v>
      </c>
      <c r="S79" s="3">
        <v>315.38</v>
      </c>
      <c r="T79" s="3">
        <v>315.38</v>
      </c>
      <c r="U79" s="3">
        <v>315.38</v>
      </c>
      <c r="V79" s="3">
        <v>315.38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/>
    </row>
    <row r="80" spans="2:41" x14ac:dyDescent="0.2">
      <c r="B80">
        <v>238</v>
      </c>
      <c r="C80">
        <v>1</v>
      </c>
      <c r="D80" t="s">
        <v>134</v>
      </c>
      <c r="E80" s="3">
        <v>1207.96</v>
      </c>
      <c r="F80" s="3">
        <v>1207.96</v>
      </c>
      <c r="G80" s="3">
        <v>1207.96</v>
      </c>
      <c r="H80" s="3">
        <v>1207.96</v>
      </c>
      <c r="I80" s="3">
        <v>1207.96</v>
      </c>
      <c r="J80" s="3">
        <v>1207.96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1207.96</v>
      </c>
      <c r="AD80" s="3">
        <v>1207.96</v>
      </c>
      <c r="AE80" s="3">
        <v>1207.96</v>
      </c>
      <c r="AF80" s="3">
        <v>1207.96</v>
      </c>
      <c r="AG80" s="3">
        <v>1207.96</v>
      </c>
      <c r="AH80" s="3">
        <v>1207.96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/>
    </row>
    <row r="81" spans="2:41" x14ac:dyDescent="0.2">
      <c r="B81">
        <v>239</v>
      </c>
      <c r="C81">
        <v>1</v>
      </c>
      <c r="D81" t="s">
        <v>135</v>
      </c>
      <c r="E81" s="3">
        <v>840.19</v>
      </c>
      <c r="F81" s="3">
        <v>840.19</v>
      </c>
      <c r="G81" s="3">
        <v>840.19</v>
      </c>
      <c r="H81" s="3">
        <v>840.19</v>
      </c>
      <c r="I81" s="3">
        <v>840.19</v>
      </c>
      <c r="J81" s="3">
        <v>840.19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840.19</v>
      </c>
      <c r="R81" s="3">
        <v>840.19</v>
      </c>
      <c r="S81" s="3">
        <v>840.19</v>
      </c>
      <c r="T81" s="3">
        <v>840.19</v>
      </c>
      <c r="U81" s="3">
        <v>840.19</v>
      </c>
      <c r="V81" s="3">
        <v>840.19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/>
    </row>
    <row r="82" spans="2:41" x14ac:dyDescent="0.2">
      <c r="B82">
        <v>241</v>
      </c>
      <c r="C82">
        <v>1</v>
      </c>
      <c r="D82" t="s">
        <v>136</v>
      </c>
      <c r="E82" s="3">
        <v>497.87</v>
      </c>
      <c r="F82" s="3">
        <v>497.87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497.87</v>
      </c>
      <c r="R82" s="3">
        <v>497.87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/>
    </row>
    <row r="83" spans="2:41" x14ac:dyDescent="0.2">
      <c r="B83">
        <v>242</v>
      </c>
      <c r="C83">
        <v>1</v>
      </c>
      <c r="D83" t="s">
        <v>137</v>
      </c>
      <c r="E83" s="3">
        <v>503.57</v>
      </c>
      <c r="F83" s="3">
        <v>503.57</v>
      </c>
      <c r="G83" s="3">
        <v>478</v>
      </c>
      <c r="H83" s="3">
        <v>478</v>
      </c>
      <c r="I83" s="3">
        <v>478</v>
      </c>
      <c r="J83" s="3">
        <v>478</v>
      </c>
      <c r="K83" s="3">
        <v>478</v>
      </c>
      <c r="L83" s="3">
        <v>478</v>
      </c>
      <c r="M83" s="3">
        <v>478</v>
      </c>
      <c r="N83" s="3">
        <v>0</v>
      </c>
      <c r="O83" s="3">
        <v>0</v>
      </c>
      <c r="P83" s="3">
        <v>0</v>
      </c>
      <c r="Q83" s="3">
        <v>25.57</v>
      </c>
      <c r="R83" s="3">
        <v>25.57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478</v>
      </c>
      <c r="AD83" s="3">
        <v>478</v>
      </c>
      <c r="AE83" s="3">
        <v>478</v>
      </c>
      <c r="AF83" s="3">
        <v>478</v>
      </c>
      <c r="AG83" s="3">
        <v>478</v>
      </c>
      <c r="AH83" s="3">
        <v>478</v>
      </c>
      <c r="AI83" s="3">
        <v>478</v>
      </c>
      <c r="AJ83" s="3">
        <v>478</v>
      </c>
      <c r="AK83" s="3">
        <v>478</v>
      </c>
      <c r="AL83" s="3">
        <v>0</v>
      </c>
      <c r="AM83" s="3">
        <v>0</v>
      </c>
      <c r="AN83" s="3">
        <v>0</v>
      </c>
      <c r="AO83" s="3"/>
    </row>
    <row r="84" spans="2:41" x14ac:dyDescent="0.2">
      <c r="B84">
        <v>252</v>
      </c>
      <c r="C84">
        <v>1</v>
      </c>
      <c r="D84" t="s">
        <v>138</v>
      </c>
      <c r="E84" s="3">
        <v>502.05</v>
      </c>
      <c r="F84" s="3">
        <v>502.05</v>
      </c>
      <c r="G84" s="3">
        <v>2.0499999999999998</v>
      </c>
      <c r="H84" s="3">
        <v>2.0499999999999998</v>
      </c>
      <c r="I84" s="3">
        <v>2.0499999999999998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2.0500000000000114</v>
      </c>
      <c r="R84" s="3">
        <v>2.0500000000000114</v>
      </c>
      <c r="S84" s="3">
        <v>2.0499999999999998</v>
      </c>
      <c r="T84" s="3">
        <v>2.0499999999999998</v>
      </c>
      <c r="U84" s="3">
        <v>2.0499999999999998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500</v>
      </c>
      <c r="AD84" s="3">
        <v>500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/>
    </row>
    <row r="85" spans="2:41" x14ac:dyDescent="0.2">
      <c r="B85">
        <v>253</v>
      </c>
      <c r="C85">
        <v>1</v>
      </c>
      <c r="D85" t="s">
        <v>139</v>
      </c>
      <c r="E85" s="3">
        <v>126.12</v>
      </c>
      <c r="F85" s="3">
        <v>126.12</v>
      </c>
      <c r="G85" s="3">
        <v>126.12</v>
      </c>
      <c r="H85" s="3">
        <v>126.12</v>
      </c>
      <c r="I85" s="3">
        <v>126.12</v>
      </c>
      <c r="J85" s="3">
        <v>126.12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126.12</v>
      </c>
      <c r="R85" s="3">
        <v>126.12</v>
      </c>
      <c r="S85" s="3">
        <v>126.12</v>
      </c>
      <c r="T85" s="3">
        <v>126.12</v>
      </c>
      <c r="U85" s="3">
        <v>126.12</v>
      </c>
      <c r="V85" s="3">
        <v>126.12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/>
    </row>
    <row r="86" spans="2:41" x14ac:dyDescent="0.2">
      <c r="B86">
        <v>255</v>
      </c>
      <c r="C86">
        <v>1</v>
      </c>
      <c r="D86" t="s">
        <v>140</v>
      </c>
      <c r="E86" s="3">
        <v>500</v>
      </c>
      <c r="F86" s="3">
        <v>500</v>
      </c>
      <c r="G86" s="3">
        <v>500</v>
      </c>
      <c r="H86" s="3">
        <v>500</v>
      </c>
      <c r="I86" s="3">
        <v>500</v>
      </c>
      <c r="J86" s="3">
        <v>500</v>
      </c>
      <c r="K86" s="3">
        <v>500</v>
      </c>
      <c r="L86" s="3">
        <v>500</v>
      </c>
      <c r="M86" s="3">
        <v>0</v>
      </c>
      <c r="N86" s="3">
        <v>0</v>
      </c>
      <c r="O86" s="3">
        <v>0</v>
      </c>
      <c r="P86" s="3">
        <v>0</v>
      </c>
      <c r="Q86" s="3">
        <v>500</v>
      </c>
      <c r="R86" s="3">
        <v>500</v>
      </c>
      <c r="S86" s="3">
        <v>500</v>
      </c>
      <c r="T86" s="3">
        <v>500</v>
      </c>
      <c r="U86" s="3">
        <v>500</v>
      </c>
      <c r="V86" s="3">
        <v>500</v>
      </c>
      <c r="W86" s="3">
        <v>500</v>
      </c>
      <c r="X86" s="3">
        <v>500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/>
    </row>
    <row r="87" spans="2:41" x14ac:dyDescent="0.2">
      <c r="B87">
        <v>256</v>
      </c>
      <c r="C87">
        <v>1</v>
      </c>
      <c r="D87" t="s">
        <v>141</v>
      </c>
      <c r="E87" s="3">
        <v>600.54999999999995</v>
      </c>
      <c r="F87" s="3">
        <v>600.54999999999995</v>
      </c>
      <c r="G87" s="3">
        <v>600.54999999999995</v>
      </c>
      <c r="H87" s="3">
        <v>80.55</v>
      </c>
      <c r="I87" s="3">
        <v>80.55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600.54999999999995</v>
      </c>
      <c r="R87" s="3">
        <v>600.54999999999995</v>
      </c>
      <c r="S87" s="3">
        <v>600.54999999999995</v>
      </c>
      <c r="T87" s="3">
        <v>80.55</v>
      </c>
      <c r="U87" s="3">
        <v>80.55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/>
    </row>
    <row r="88" spans="2:41" x14ac:dyDescent="0.2">
      <c r="B88">
        <v>261</v>
      </c>
      <c r="C88">
        <v>1</v>
      </c>
      <c r="D88" t="s">
        <v>142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/>
    </row>
    <row r="89" spans="2:41" x14ac:dyDescent="0.2">
      <c r="B89">
        <v>264</v>
      </c>
      <c r="C89">
        <v>1</v>
      </c>
      <c r="D89" t="s">
        <v>143</v>
      </c>
      <c r="E89" s="3">
        <v>1563.4</v>
      </c>
      <c r="F89" s="3">
        <v>1563.4</v>
      </c>
      <c r="G89" s="3">
        <v>1327.24</v>
      </c>
      <c r="H89" s="3">
        <v>1327.24</v>
      </c>
      <c r="I89" s="3">
        <v>400</v>
      </c>
      <c r="J89" s="3">
        <v>400</v>
      </c>
      <c r="K89" s="3">
        <v>400</v>
      </c>
      <c r="L89" s="3">
        <v>400</v>
      </c>
      <c r="M89" s="3">
        <v>400</v>
      </c>
      <c r="N89" s="3">
        <v>0</v>
      </c>
      <c r="O89" s="3">
        <v>0</v>
      </c>
      <c r="P89" s="3">
        <v>0</v>
      </c>
      <c r="Q89" s="3">
        <v>1163.4000000000001</v>
      </c>
      <c r="R89" s="3">
        <v>1163.4000000000001</v>
      </c>
      <c r="S89" s="3">
        <v>927.24</v>
      </c>
      <c r="T89" s="3">
        <v>927.24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400</v>
      </c>
      <c r="AD89" s="3">
        <v>400</v>
      </c>
      <c r="AE89" s="3">
        <v>400</v>
      </c>
      <c r="AF89" s="3">
        <v>400</v>
      </c>
      <c r="AG89" s="3">
        <v>400</v>
      </c>
      <c r="AH89" s="3">
        <v>400</v>
      </c>
      <c r="AI89" s="3">
        <v>400</v>
      </c>
      <c r="AJ89" s="3">
        <v>400</v>
      </c>
      <c r="AK89" s="3">
        <v>400</v>
      </c>
      <c r="AL89" s="3">
        <v>0</v>
      </c>
      <c r="AM89" s="3">
        <v>0</v>
      </c>
      <c r="AN89" s="3">
        <v>0</v>
      </c>
      <c r="AO89" s="3"/>
    </row>
    <row r="90" spans="2:41" x14ac:dyDescent="0.2">
      <c r="B90">
        <v>270</v>
      </c>
      <c r="C90">
        <v>1</v>
      </c>
      <c r="D90" t="s">
        <v>144</v>
      </c>
      <c r="E90" s="3">
        <v>1507.31</v>
      </c>
      <c r="F90" s="3">
        <v>1551.52</v>
      </c>
      <c r="G90" s="3">
        <v>1590.31</v>
      </c>
      <c r="H90" s="3">
        <v>1630.07</v>
      </c>
      <c r="I90" s="3">
        <v>1670.82</v>
      </c>
      <c r="J90" s="3">
        <v>1712.59</v>
      </c>
      <c r="K90" s="3">
        <v>1755.4</v>
      </c>
      <c r="L90" s="3">
        <v>1799.29</v>
      </c>
      <c r="M90" s="3">
        <v>1812.17</v>
      </c>
      <c r="N90" s="3">
        <v>1821.54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1507.31</v>
      </c>
      <c r="AD90" s="3">
        <v>1551.52</v>
      </c>
      <c r="AE90" s="3">
        <v>1590.31</v>
      </c>
      <c r="AF90" s="3">
        <v>1630.07</v>
      </c>
      <c r="AG90" s="3">
        <v>1670.82</v>
      </c>
      <c r="AH90" s="3">
        <v>1712.59</v>
      </c>
      <c r="AI90" s="3">
        <v>1755.4</v>
      </c>
      <c r="AJ90" s="3">
        <v>1799.29</v>
      </c>
      <c r="AK90" s="3">
        <v>1812.17</v>
      </c>
      <c r="AL90" s="3">
        <v>1821.54</v>
      </c>
      <c r="AM90" s="3">
        <v>0</v>
      </c>
      <c r="AN90" s="3">
        <v>0</v>
      </c>
      <c r="AO90" s="3"/>
    </row>
    <row r="91" spans="2:41" x14ac:dyDescent="0.2">
      <c r="B91">
        <v>271</v>
      </c>
      <c r="C91">
        <v>1</v>
      </c>
      <c r="D91" t="s">
        <v>145</v>
      </c>
      <c r="E91" s="3">
        <v>991.4</v>
      </c>
      <c r="F91" s="3">
        <v>991.4</v>
      </c>
      <c r="G91" s="3">
        <v>991.4</v>
      </c>
      <c r="H91" s="3">
        <v>991.4</v>
      </c>
      <c r="I91" s="3">
        <v>991.4</v>
      </c>
      <c r="J91" s="3">
        <v>395.6</v>
      </c>
      <c r="K91" s="3">
        <v>395.6</v>
      </c>
      <c r="L91" s="3">
        <v>395.6</v>
      </c>
      <c r="M91" s="3">
        <v>0</v>
      </c>
      <c r="N91" s="3">
        <v>0</v>
      </c>
      <c r="O91" s="3">
        <v>0</v>
      </c>
      <c r="P91" s="3">
        <v>0</v>
      </c>
      <c r="Q91" s="3">
        <v>991.4</v>
      </c>
      <c r="R91" s="3">
        <v>991.4</v>
      </c>
      <c r="S91" s="3">
        <v>991.4</v>
      </c>
      <c r="T91" s="3">
        <v>991.4</v>
      </c>
      <c r="U91" s="3">
        <v>991.4</v>
      </c>
      <c r="V91" s="3">
        <v>395.6</v>
      </c>
      <c r="W91" s="3">
        <v>395.6</v>
      </c>
      <c r="X91" s="3">
        <v>395.6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/>
    </row>
    <row r="92" spans="2:41" x14ac:dyDescent="0.2">
      <c r="B92">
        <v>272</v>
      </c>
      <c r="C92">
        <v>1</v>
      </c>
      <c r="D92" t="s">
        <v>146</v>
      </c>
      <c r="E92" s="3">
        <v>1200</v>
      </c>
      <c r="F92" s="3">
        <v>1200</v>
      </c>
      <c r="G92" s="3">
        <v>1200</v>
      </c>
      <c r="H92" s="3">
        <v>1200</v>
      </c>
      <c r="I92" s="3">
        <v>1200</v>
      </c>
      <c r="J92" s="3">
        <v>1200</v>
      </c>
      <c r="K92" s="3">
        <v>1200</v>
      </c>
      <c r="L92" s="3">
        <v>1200</v>
      </c>
      <c r="M92" s="3">
        <v>1200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1200</v>
      </c>
      <c r="AD92" s="3">
        <v>1200</v>
      </c>
      <c r="AE92" s="3">
        <v>1200</v>
      </c>
      <c r="AF92" s="3">
        <v>1200</v>
      </c>
      <c r="AG92" s="3">
        <v>1200</v>
      </c>
      <c r="AH92" s="3">
        <v>1200</v>
      </c>
      <c r="AI92" s="3">
        <v>1200</v>
      </c>
      <c r="AJ92" s="3">
        <v>1200</v>
      </c>
      <c r="AK92" s="3">
        <v>1200</v>
      </c>
      <c r="AL92" s="3">
        <v>0</v>
      </c>
      <c r="AM92" s="3">
        <v>0</v>
      </c>
      <c r="AN92" s="3">
        <v>0</v>
      </c>
      <c r="AO92" s="3"/>
    </row>
    <row r="93" spans="2:41" x14ac:dyDescent="0.2">
      <c r="B93">
        <v>273</v>
      </c>
      <c r="C93">
        <v>1</v>
      </c>
      <c r="D93" t="s">
        <v>147</v>
      </c>
      <c r="E93" s="3">
        <v>1465.52</v>
      </c>
      <c r="F93" s="3">
        <v>1505.14</v>
      </c>
      <c r="G93" s="3">
        <v>400.15</v>
      </c>
      <c r="H93" s="3">
        <v>400.15</v>
      </c>
      <c r="I93" s="3">
        <v>400.15</v>
      </c>
      <c r="J93" s="3">
        <v>400.15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1465.52</v>
      </c>
      <c r="R93" s="3">
        <v>1505.14</v>
      </c>
      <c r="S93" s="3">
        <v>400.15</v>
      </c>
      <c r="T93" s="3">
        <v>400.15</v>
      </c>
      <c r="U93" s="3">
        <v>400.15</v>
      </c>
      <c r="V93" s="3">
        <v>400.15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/>
    </row>
    <row r="94" spans="2:41" x14ac:dyDescent="0.2">
      <c r="B94">
        <v>276</v>
      </c>
      <c r="C94">
        <v>1</v>
      </c>
      <c r="D94" t="s">
        <v>148</v>
      </c>
      <c r="E94" s="3">
        <v>1378.46</v>
      </c>
      <c r="F94" s="3">
        <v>1378.46</v>
      </c>
      <c r="G94" s="3">
        <v>1378.46</v>
      </c>
      <c r="H94" s="3">
        <v>1378.46</v>
      </c>
      <c r="I94" s="3">
        <v>1378.46</v>
      </c>
      <c r="J94" s="3">
        <v>1378.46</v>
      </c>
      <c r="K94" s="3">
        <v>1378.46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1378.46</v>
      </c>
      <c r="R94" s="3">
        <v>1378.46</v>
      </c>
      <c r="S94" s="3">
        <v>1378.46</v>
      </c>
      <c r="T94" s="3">
        <v>1378.46</v>
      </c>
      <c r="U94" s="3">
        <v>1378.46</v>
      </c>
      <c r="V94" s="3">
        <v>1378.46</v>
      </c>
      <c r="W94" s="3">
        <v>1378.46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/>
    </row>
    <row r="95" spans="2:41" x14ac:dyDescent="0.2">
      <c r="B95">
        <v>277</v>
      </c>
      <c r="C95">
        <v>1</v>
      </c>
      <c r="D95" t="s">
        <v>149</v>
      </c>
      <c r="E95" s="3">
        <v>1136.43</v>
      </c>
      <c r="F95" s="3">
        <v>1136.43</v>
      </c>
      <c r="G95" s="3">
        <v>1136.43</v>
      </c>
      <c r="H95" s="3">
        <v>1136.43</v>
      </c>
      <c r="I95" s="3">
        <v>1136.43</v>
      </c>
      <c r="J95" s="3">
        <v>1136.43</v>
      </c>
      <c r="K95" s="3">
        <v>1136.43</v>
      </c>
      <c r="L95" s="3">
        <v>562.97</v>
      </c>
      <c r="M95" s="3">
        <v>562.97</v>
      </c>
      <c r="N95" s="3">
        <v>562.97</v>
      </c>
      <c r="O95" s="3">
        <v>0</v>
      </c>
      <c r="P95" s="3">
        <v>0</v>
      </c>
      <c r="Q95" s="3">
        <v>573.46</v>
      </c>
      <c r="R95" s="3">
        <v>573.46</v>
      </c>
      <c r="S95" s="3">
        <v>573.46</v>
      </c>
      <c r="T95" s="3">
        <v>573.46</v>
      </c>
      <c r="U95" s="3">
        <v>573.46</v>
      </c>
      <c r="V95" s="3">
        <v>573.46</v>
      </c>
      <c r="W95" s="3">
        <v>573.46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562.97</v>
      </c>
      <c r="AD95" s="3">
        <v>562.97</v>
      </c>
      <c r="AE95" s="3">
        <v>562.97</v>
      </c>
      <c r="AF95" s="3">
        <v>562.97</v>
      </c>
      <c r="AG95" s="3">
        <v>562.97</v>
      </c>
      <c r="AH95" s="3">
        <v>562.97</v>
      </c>
      <c r="AI95" s="3">
        <v>562.97</v>
      </c>
      <c r="AJ95" s="3">
        <v>562.97</v>
      </c>
      <c r="AK95" s="3">
        <v>562.97</v>
      </c>
      <c r="AL95" s="3">
        <v>562.97</v>
      </c>
      <c r="AM95" s="3">
        <v>0</v>
      </c>
      <c r="AN95" s="3">
        <v>0</v>
      </c>
      <c r="AO95" s="3"/>
    </row>
    <row r="96" spans="2:41" x14ac:dyDescent="0.2">
      <c r="B96">
        <v>278</v>
      </c>
      <c r="C96">
        <v>1</v>
      </c>
      <c r="D96" t="s">
        <v>150</v>
      </c>
      <c r="E96" s="3">
        <v>1200</v>
      </c>
      <c r="F96" s="3">
        <v>1200</v>
      </c>
      <c r="G96" s="3">
        <v>1200</v>
      </c>
      <c r="H96" s="3">
        <v>1200</v>
      </c>
      <c r="I96" s="3">
        <v>1200</v>
      </c>
      <c r="J96" s="3">
        <v>1200</v>
      </c>
      <c r="K96" s="3">
        <v>1200</v>
      </c>
      <c r="L96" s="3">
        <v>1200</v>
      </c>
      <c r="M96" s="3">
        <v>1200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1200</v>
      </c>
      <c r="AD96" s="3">
        <v>1200</v>
      </c>
      <c r="AE96" s="3">
        <v>1200</v>
      </c>
      <c r="AF96" s="3">
        <v>1200</v>
      </c>
      <c r="AG96" s="3">
        <v>1200</v>
      </c>
      <c r="AH96" s="3">
        <v>1200</v>
      </c>
      <c r="AI96" s="3">
        <v>1200</v>
      </c>
      <c r="AJ96" s="3">
        <v>1200</v>
      </c>
      <c r="AK96" s="3">
        <v>1200</v>
      </c>
      <c r="AL96" s="3">
        <v>0</v>
      </c>
      <c r="AM96" s="3">
        <v>0</v>
      </c>
      <c r="AN96" s="3">
        <v>0</v>
      </c>
      <c r="AO96" s="3"/>
    </row>
    <row r="97" spans="2:41" x14ac:dyDescent="0.2">
      <c r="B97">
        <v>279</v>
      </c>
      <c r="C97">
        <v>1</v>
      </c>
      <c r="D97" t="s">
        <v>151</v>
      </c>
      <c r="E97" s="3">
        <v>842.21</v>
      </c>
      <c r="F97" s="3">
        <v>842.21</v>
      </c>
      <c r="G97" s="3">
        <v>563.26</v>
      </c>
      <c r="H97" s="3">
        <v>563.26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842.21</v>
      </c>
      <c r="R97" s="3">
        <v>842.21</v>
      </c>
      <c r="S97" s="3">
        <v>563.26</v>
      </c>
      <c r="T97" s="3">
        <v>563.26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/>
    </row>
    <row r="98" spans="2:41" x14ac:dyDescent="0.2">
      <c r="B98">
        <v>280</v>
      </c>
      <c r="C98">
        <v>1</v>
      </c>
      <c r="D98" t="s">
        <v>152</v>
      </c>
      <c r="E98" s="3">
        <v>1099.78</v>
      </c>
      <c r="F98" s="3">
        <v>1099.78</v>
      </c>
      <c r="G98" s="3">
        <v>1099.78</v>
      </c>
      <c r="H98" s="3">
        <v>1099.78</v>
      </c>
      <c r="I98" s="3">
        <v>1099.78</v>
      </c>
      <c r="J98" s="3">
        <v>1099.78</v>
      </c>
      <c r="K98" s="3">
        <v>1099.78</v>
      </c>
      <c r="L98" s="3">
        <v>798.38</v>
      </c>
      <c r="M98" s="3">
        <v>798.38</v>
      </c>
      <c r="N98" s="3">
        <v>798.38</v>
      </c>
      <c r="O98" s="3">
        <v>0</v>
      </c>
      <c r="P98" s="3">
        <v>0</v>
      </c>
      <c r="Q98" s="3">
        <v>301.39999999999998</v>
      </c>
      <c r="R98" s="3">
        <v>301.39999999999998</v>
      </c>
      <c r="S98" s="3">
        <v>301.39999999999998</v>
      </c>
      <c r="T98" s="3">
        <v>301.39999999999998</v>
      </c>
      <c r="U98" s="3">
        <v>301.39999999999998</v>
      </c>
      <c r="V98" s="3">
        <v>301.39999999999998</v>
      </c>
      <c r="W98" s="3">
        <v>301.39999999999998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798.38</v>
      </c>
      <c r="AD98" s="3">
        <v>798.38</v>
      </c>
      <c r="AE98" s="3">
        <v>798.38</v>
      </c>
      <c r="AF98" s="3">
        <v>798.38</v>
      </c>
      <c r="AG98" s="3">
        <v>798.38</v>
      </c>
      <c r="AH98" s="3">
        <v>798.38</v>
      </c>
      <c r="AI98" s="3">
        <v>798.38</v>
      </c>
      <c r="AJ98" s="3">
        <v>798.38</v>
      </c>
      <c r="AK98" s="3">
        <v>798.38</v>
      </c>
      <c r="AL98" s="3">
        <v>798.38</v>
      </c>
      <c r="AM98" s="3">
        <v>0</v>
      </c>
      <c r="AN98" s="3">
        <v>0</v>
      </c>
      <c r="AO98" s="3"/>
    </row>
    <row r="99" spans="2:41" x14ac:dyDescent="0.2">
      <c r="B99">
        <v>281</v>
      </c>
      <c r="C99">
        <v>1</v>
      </c>
      <c r="D99" t="s">
        <v>153</v>
      </c>
      <c r="E99" s="3">
        <v>848.25</v>
      </c>
      <c r="F99" s="3">
        <v>848.25</v>
      </c>
      <c r="G99" s="3">
        <v>848.25</v>
      </c>
      <c r="H99" s="3">
        <v>848.25</v>
      </c>
      <c r="I99" s="3">
        <v>848.25</v>
      </c>
      <c r="J99" s="3">
        <v>848.25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848.25</v>
      </c>
      <c r="R99" s="3">
        <v>848.25</v>
      </c>
      <c r="S99" s="3">
        <v>848.25</v>
      </c>
      <c r="T99" s="3">
        <v>848.25</v>
      </c>
      <c r="U99" s="3">
        <v>848.25</v>
      </c>
      <c r="V99" s="3">
        <v>848.25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/>
    </row>
    <row r="100" spans="2:41" x14ac:dyDescent="0.2">
      <c r="B100">
        <v>282</v>
      </c>
      <c r="C100">
        <v>1</v>
      </c>
      <c r="D100" t="s">
        <v>154</v>
      </c>
      <c r="E100" s="3">
        <v>1985</v>
      </c>
      <c r="F100" s="3">
        <v>1985</v>
      </c>
      <c r="G100" s="3">
        <v>1985</v>
      </c>
      <c r="H100" s="3">
        <v>1985</v>
      </c>
      <c r="I100" s="3">
        <v>1985</v>
      </c>
      <c r="J100" s="3">
        <v>1985</v>
      </c>
      <c r="K100" s="3">
        <v>1985</v>
      </c>
      <c r="L100" s="3">
        <v>1985</v>
      </c>
      <c r="M100" s="3">
        <v>1985</v>
      </c>
      <c r="N100" s="3">
        <v>1985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1985</v>
      </c>
      <c r="AD100" s="3">
        <v>1985</v>
      </c>
      <c r="AE100" s="3">
        <v>1985</v>
      </c>
      <c r="AF100" s="3">
        <v>1985</v>
      </c>
      <c r="AG100" s="3">
        <v>1985</v>
      </c>
      <c r="AH100" s="3">
        <v>1985</v>
      </c>
      <c r="AI100" s="3">
        <v>1985</v>
      </c>
      <c r="AJ100" s="3">
        <v>1985</v>
      </c>
      <c r="AK100" s="3">
        <v>1985</v>
      </c>
      <c r="AL100" s="3">
        <v>1985</v>
      </c>
      <c r="AM100" s="3">
        <v>0</v>
      </c>
      <c r="AN100" s="3">
        <v>0</v>
      </c>
      <c r="AO100" s="3"/>
    </row>
    <row r="101" spans="2:41" x14ac:dyDescent="0.2">
      <c r="B101">
        <v>283</v>
      </c>
      <c r="C101">
        <v>1</v>
      </c>
      <c r="D101" t="s">
        <v>155</v>
      </c>
      <c r="E101" s="3">
        <v>1560.55</v>
      </c>
      <c r="F101" s="3">
        <v>1560.55</v>
      </c>
      <c r="G101" s="3">
        <v>1560.55</v>
      </c>
      <c r="H101" s="3">
        <v>1560.55</v>
      </c>
      <c r="I101" s="3">
        <v>1560.55</v>
      </c>
      <c r="J101" s="3">
        <v>1560.55</v>
      </c>
      <c r="K101" s="3">
        <v>1560.55</v>
      </c>
      <c r="L101" s="3">
        <v>1560.55</v>
      </c>
      <c r="M101" s="3">
        <v>1560.55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1560.55</v>
      </c>
      <c r="AD101" s="3">
        <v>1560.55</v>
      </c>
      <c r="AE101" s="3">
        <v>1560.55</v>
      </c>
      <c r="AF101" s="3">
        <v>1560.55</v>
      </c>
      <c r="AG101" s="3">
        <v>1560.55</v>
      </c>
      <c r="AH101" s="3">
        <v>1560.55</v>
      </c>
      <c r="AI101" s="3">
        <v>1560.55</v>
      </c>
      <c r="AJ101" s="3">
        <v>1560.55</v>
      </c>
      <c r="AK101" s="3">
        <v>1560.55</v>
      </c>
      <c r="AL101" s="3">
        <v>0</v>
      </c>
      <c r="AM101" s="3">
        <v>0</v>
      </c>
      <c r="AN101" s="3">
        <v>0</v>
      </c>
      <c r="AO101" s="3"/>
    </row>
    <row r="102" spans="2:41" x14ac:dyDescent="0.2">
      <c r="B102">
        <v>284</v>
      </c>
      <c r="C102">
        <v>1</v>
      </c>
      <c r="D102" t="s">
        <v>156</v>
      </c>
      <c r="E102" s="3">
        <v>1571.52</v>
      </c>
      <c r="F102" s="3">
        <v>1609.28</v>
      </c>
      <c r="G102" s="3">
        <v>1609.28</v>
      </c>
      <c r="H102" s="3">
        <v>1609.28</v>
      </c>
      <c r="I102" s="3">
        <v>1609.28</v>
      </c>
      <c r="J102" s="3">
        <v>1609.28</v>
      </c>
      <c r="K102" s="3">
        <v>769.03</v>
      </c>
      <c r="L102" s="3">
        <v>769.03</v>
      </c>
      <c r="M102" s="3">
        <v>629</v>
      </c>
      <c r="N102" s="3">
        <v>629</v>
      </c>
      <c r="O102" s="3">
        <v>0</v>
      </c>
      <c r="P102" s="3">
        <v>0</v>
      </c>
      <c r="Q102" s="3">
        <v>942.52</v>
      </c>
      <c r="R102" s="3">
        <v>980.28</v>
      </c>
      <c r="S102" s="3">
        <v>980.28</v>
      </c>
      <c r="T102" s="3">
        <v>980.28</v>
      </c>
      <c r="U102" s="3">
        <v>980.28</v>
      </c>
      <c r="V102" s="3">
        <v>980.28</v>
      </c>
      <c r="W102" s="3">
        <v>140.03</v>
      </c>
      <c r="X102" s="3">
        <v>140.03</v>
      </c>
      <c r="Y102" s="3">
        <v>0</v>
      </c>
      <c r="Z102" s="3">
        <v>0</v>
      </c>
      <c r="AA102" s="3">
        <v>0</v>
      </c>
      <c r="AB102" s="3">
        <v>0</v>
      </c>
      <c r="AC102" s="3">
        <v>629</v>
      </c>
      <c r="AD102" s="3">
        <v>629</v>
      </c>
      <c r="AE102" s="3">
        <v>629</v>
      </c>
      <c r="AF102" s="3">
        <v>629</v>
      </c>
      <c r="AG102" s="3">
        <v>629</v>
      </c>
      <c r="AH102" s="3">
        <v>629</v>
      </c>
      <c r="AI102" s="3">
        <v>629</v>
      </c>
      <c r="AJ102" s="3">
        <v>629</v>
      </c>
      <c r="AK102" s="3">
        <v>629</v>
      </c>
      <c r="AL102" s="3">
        <v>629</v>
      </c>
      <c r="AM102" s="3">
        <v>0</v>
      </c>
      <c r="AN102" s="3">
        <v>0</v>
      </c>
      <c r="AO102" s="3"/>
    </row>
    <row r="103" spans="2:41" x14ac:dyDescent="0.2">
      <c r="B103">
        <v>286</v>
      </c>
      <c r="C103">
        <v>1</v>
      </c>
      <c r="D103" t="s">
        <v>157</v>
      </c>
      <c r="E103" s="3">
        <v>337.14</v>
      </c>
      <c r="F103" s="3">
        <v>337.14</v>
      </c>
      <c r="G103" s="3">
        <v>337.14</v>
      </c>
      <c r="H103" s="3">
        <v>337.14</v>
      </c>
      <c r="I103" s="3">
        <v>337.14</v>
      </c>
      <c r="J103" s="3">
        <v>337.14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337.14</v>
      </c>
      <c r="R103" s="3">
        <v>337.14</v>
      </c>
      <c r="S103" s="3">
        <v>337.14</v>
      </c>
      <c r="T103" s="3">
        <v>337.14</v>
      </c>
      <c r="U103" s="3">
        <v>337.14</v>
      </c>
      <c r="V103" s="3">
        <v>337.14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/>
    </row>
    <row r="104" spans="2:41" x14ac:dyDescent="0.2">
      <c r="B104">
        <v>294</v>
      </c>
      <c r="C104">
        <v>1</v>
      </c>
      <c r="D104" t="s">
        <v>158</v>
      </c>
      <c r="E104" s="3">
        <v>839.75</v>
      </c>
      <c r="F104" s="3">
        <v>839.75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839.75</v>
      </c>
      <c r="R104" s="3">
        <v>839.75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/>
    </row>
    <row r="105" spans="2:41" x14ac:dyDescent="0.2">
      <c r="B105">
        <v>297</v>
      </c>
      <c r="C105">
        <v>1</v>
      </c>
      <c r="D105" t="s">
        <v>159</v>
      </c>
      <c r="E105" s="3">
        <v>1388</v>
      </c>
      <c r="F105" s="3">
        <v>1388</v>
      </c>
      <c r="G105" s="3">
        <v>1388</v>
      </c>
      <c r="H105" s="3">
        <v>1388</v>
      </c>
      <c r="I105" s="3">
        <v>1388</v>
      </c>
      <c r="J105" s="3">
        <v>1388</v>
      </c>
      <c r="K105" s="3">
        <v>1388</v>
      </c>
      <c r="L105" s="3">
        <v>1388</v>
      </c>
      <c r="M105" s="3">
        <v>1388</v>
      </c>
      <c r="N105" s="3">
        <v>1388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1388</v>
      </c>
      <c r="AD105" s="3">
        <v>1388</v>
      </c>
      <c r="AE105" s="3">
        <v>1388</v>
      </c>
      <c r="AF105" s="3">
        <v>1388</v>
      </c>
      <c r="AG105" s="3">
        <v>1388</v>
      </c>
      <c r="AH105" s="3">
        <v>1388</v>
      </c>
      <c r="AI105" s="3">
        <v>1388</v>
      </c>
      <c r="AJ105" s="3">
        <v>1388</v>
      </c>
      <c r="AK105" s="3">
        <v>1388</v>
      </c>
      <c r="AL105" s="3">
        <v>1388</v>
      </c>
      <c r="AM105" s="3">
        <v>0</v>
      </c>
      <c r="AN105" s="3">
        <v>0</v>
      </c>
      <c r="AO105" s="3"/>
    </row>
    <row r="106" spans="2:41" x14ac:dyDescent="0.2">
      <c r="B106">
        <v>299</v>
      </c>
      <c r="C106">
        <v>1</v>
      </c>
      <c r="D106" t="s">
        <v>160</v>
      </c>
      <c r="E106" s="3">
        <v>725.96</v>
      </c>
      <c r="F106" s="3">
        <v>725.96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725.96</v>
      </c>
      <c r="R106" s="3">
        <v>725.96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/>
    </row>
    <row r="107" spans="2:41" x14ac:dyDescent="0.2">
      <c r="B107">
        <v>300</v>
      </c>
      <c r="C107">
        <v>1</v>
      </c>
      <c r="D107" t="s">
        <v>161</v>
      </c>
      <c r="E107" s="3">
        <v>1.01</v>
      </c>
      <c r="F107" s="3">
        <v>1.01</v>
      </c>
      <c r="G107" s="3">
        <v>1.01</v>
      </c>
      <c r="H107" s="3">
        <v>1.01</v>
      </c>
      <c r="I107" s="3">
        <v>1.01</v>
      </c>
      <c r="J107" s="3">
        <v>1.01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1.01</v>
      </c>
      <c r="R107" s="3">
        <v>1.01</v>
      </c>
      <c r="S107" s="3">
        <v>1.01</v>
      </c>
      <c r="T107" s="3">
        <v>1.01</v>
      </c>
      <c r="U107" s="3">
        <v>1.01</v>
      </c>
      <c r="V107" s="3">
        <v>1.01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/>
    </row>
    <row r="108" spans="2:41" x14ac:dyDescent="0.2">
      <c r="B108">
        <v>306</v>
      </c>
      <c r="C108">
        <v>1</v>
      </c>
      <c r="D108" t="s">
        <v>162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/>
    </row>
    <row r="109" spans="2:41" x14ac:dyDescent="0.2">
      <c r="B109">
        <v>308</v>
      </c>
      <c r="C109">
        <v>1</v>
      </c>
      <c r="D109" t="s">
        <v>163</v>
      </c>
      <c r="E109" s="3">
        <v>126.47</v>
      </c>
      <c r="F109" s="3">
        <v>126.47</v>
      </c>
      <c r="G109" s="3">
        <v>126.47</v>
      </c>
      <c r="H109" s="3">
        <v>126.47</v>
      </c>
      <c r="I109" s="3">
        <v>126.47</v>
      </c>
      <c r="J109" s="3">
        <v>126.47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126.47</v>
      </c>
      <c r="R109" s="3">
        <v>126.47</v>
      </c>
      <c r="S109" s="3">
        <v>126.47</v>
      </c>
      <c r="T109" s="3">
        <v>126.47</v>
      </c>
      <c r="U109" s="3">
        <v>126.47</v>
      </c>
      <c r="V109" s="3">
        <v>126.47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/>
    </row>
    <row r="110" spans="2:41" x14ac:dyDescent="0.2">
      <c r="B110">
        <v>309</v>
      </c>
      <c r="C110">
        <v>1</v>
      </c>
      <c r="D110" t="s">
        <v>164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/>
    </row>
    <row r="111" spans="2:41" x14ac:dyDescent="0.2">
      <c r="B111">
        <v>314</v>
      </c>
      <c r="C111">
        <v>1</v>
      </c>
      <c r="D111" t="s">
        <v>165</v>
      </c>
      <c r="E111" s="3">
        <v>297</v>
      </c>
      <c r="F111" s="3">
        <v>297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297</v>
      </c>
      <c r="R111" s="3">
        <v>297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/>
    </row>
    <row r="112" spans="2:41" x14ac:dyDescent="0.2">
      <c r="B112">
        <v>316</v>
      </c>
      <c r="C112">
        <v>1</v>
      </c>
      <c r="D112" t="s">
        <v>166</v>
      </c>
      <c r="E112" s="3">
        <v>891.03</v>
      </c>
      <c r="F112" s="3">
        <v>891.03</v>
      </c>
      <c r="G112" s="3">
        <v>891.03</v>
      </c>
      <c r="H112" s="3">
        <v>736.05</v>
      </c>
      <c r="I112" s="3">
        <v>428.97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583.95000000000005</v>
      </c>
      <c r="R112" s="3">
        <v>583.95000000000005</v>
      </c>
      <c r="S112" s="3">
        <v>583.95000000000005</v>
      </c>
      <c r="T112" s="3">
        <v>428.97</v>
      </c>
      <c r="U112" s="3">
        <v>428.97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307.08</v>
      </c>
      <c r="AD112" s="3">
        <v>307.08</v>
      </c>
      <c r="AE112" s="3">
        <v>307.08</v>
      </c>
      <c r="AF112" s="3">
        <v>307.08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/>
    </row>
    <row r="113" spans="2:41" x14ac:dyDescent="0.2">
      <c r="B113">
        <v>317</v>
      </c>
      <c r="C113">
        <v>1</v>
      </c>
      <c r="D113" t="s">
        <v>167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/>
    </row>
    <row r="114" spans="2:41" x14ac:dyDescent="0.2">
      <c r="B114">
        <v>318</v>
      </c>
      <c r="C114">
        <v>1</v>
      </c>
      <c r="D114" t="s">
        <v>168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/>
    </row>
    <row r="115" spans="2:41" x14ac:dyDescent="0.2">
      <c r="B115">
        <v>319</v>
      </c>
      <c r="C115">
        <v>1</v>
      </c>
      <c r="D115" t="s">
        <v>169</v>
      </c>
      <c r="E115" s="3">
        <v>117.08</v>
      </c>
      <c r="F115" s="3">
        <v>117.08</v>
      </c>
      <c r="G115" s="3">
        <v>117.08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117.08</v>
      </c>
      <c r="R115" s="3">
        <v>117.08</v>
      </c>
      <c r="S115" s="3">
        <v>117.08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/>
    </row>
    <row r="116" spans="2:41" x14ac:dyDescent="0.2">
      <c r="B116">
        <v>323</v>
      </c>
      <c r="C116">
        <v>2</v>
      </c>
      <c r="D116" t="s">
        <v>170</v>
      </c>
      <c r="E116" s="3">
        <v>1400</v>
      </c>
      <c r="F116" s="3">
        <v>1400</v>
      </c>
      <c r="G116" s="3">
        <v>1400</v>
      </c>
      <c r="H116" s="3">
        <v>1400</v>
      </c>
      <c r="I116" s="3">
        <v>1400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1400</v>
      </c>
      <c r="AD116" s="3">
        <v>1400</v>
      </c>
      <c r="AE116" s="3">
        <v>1400</v>
      </c>
      <c r="AF116" s="3">
        <v>1400</v>
      </c>
      <c r="AG116" s="3">
        <v>1400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/>
    </row>
    <row r="117" spans="2:41" x14ac:dyDescent="0.2">
      <c r="B117">
        <v>330</v>
      </c>
      <c r="C117">
        <v>1</v>
      </c>
      <c r="D117" t="s">
        <v>171</v>
      </c>
      <c r="E117" s="3">
        <v>1087.23</v>
      </c>
      <c r="F117" s="3">
        <v>1087.23</v>
      </c>
      <c r="G117" s="3">
        <v>1087.23</v>
      </c>
      <c r="H117" s="3">
        <v>1087.23</v>
      </c>
      <c r="I117" s="3">
        <v>1087.23</v>
      </c>
      <c r="J117" s="3">
        <v>1087.23</v>
      </c>
      <c r="K117" s="3">
        <v>500</v>
      </c>
      <c r="L117" s="3">
        <v>500</v>
      </c>
      <c r="M117" s="3">
        <v>0</v>
      </c>
      <c r="N117" s="3">
        <v>0</v>
      </c>
      <c r="O117" s="3">
        <v>0</v>
      </c>
      <c r="P117" s="3">
        <v>0</v>
      </c>
      <c r="Q117" s="3">
        <v>1087.23</v>
      </c>
      <c r="R117" s="3">
        <v>1087.23</v>
      </c>
      <c r="S117" s="3">
        <v>1087.23</v>
      </c>
      <c r="T117" s="3">
        <v>1087.23</v>
      </c>
      <c r="U117" s="3">
        <v>1087.23</v>
      </c>
      <c r="V117" s="3">
        <v>1087.23</v>
      </c>
      <c r="W117" s="3">
        <v>500</v>
      </c>
      <c r="X117" s="3">
        <v>500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/>
    </row>
    <row r="118" spans="2:41" x14ac:dyDescent="0.2">
      <c r="B118">
        <v>332</v>
      </c>
      <c r="C118">
        <v>1</v>
      </c>
      <c r="D118" t="s">
        <v>172</v>
      </c>
      <c r="E118" s="3">
        <v>126.21</v>
      </c>
      <c r="F118" s="3">
        <v>126.21</v>
      </c>
      <c r="G118" s="3">
        <v>126.21</v>
      </c>
      <c r="H118" s="3">
        <v>126.21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126.21</v>
      </c>
      <c r="R118" s="3">
        <v>126.21</v>
      </c>
      <c r="S118" s="3">
        <v>126.21</v>
      </c>
      <c r="T118" s="3">
        <v>126.21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/>
    </row>
    <row r="119" spans="2:41" x14ac:dyDescent="0.2">
      <c r="B119">
        <v>333</v>
      </c>
      <c r="C119">
        <v>1</v>
      </c>
      <c r="D119" t="s">
        <v>173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/>
    </row>
    <row r="120" spans="2:41" x14ac:dyDescent="0.2">
      <c r="B120">
        <v>345</v>
      </c>
      <c r="C120">
        <v>1</v>
      </c>
      <c r="D120" t="s">
        <v>174</v>
      </c>
      <c r="E120" s="3">
        <v>397.87</v>
      </c>
      <c r="F120" s="3">
        <v>397.87</v>
      </c>
      <c r="G120" s="3">
        <v>397.87</v>
      </c>
      <c r="H120" s="3">
        <v>397.87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397.87</v>
      </c>
      <c r="R120" s="3">
        <v>397.87</v>
      </c>
      <c r="S120" s="3">
        <v>397.87</v>
      </c>
      <c r="T120" s="3">
        <v>397.87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/>
    </row>
    <row r="121" spans="2:41" x14ac:dyDescent="0.2">
      <c r="B121">
        <v>347</v>
      </c>
      <c r="C121">
        <v>1</v>
      </c>
      <c r="D121" t="s">
        <v>175</v>
      </c>
      <c r="E121" s="3">
        <v>498.49</v>
      </c>
      <c r="F121" s="3">
        <v>498.49</v>
      </c>
      <c r="G121" s="3">
        <v>498.49</v>
      </c>
      <c r="H121" s="3">
        <v>498.49</v>
      </c>
      <c r="I121" s="3">
        <v>498.49</v>
      </c>
      <c r="J121" s="3">
        <v>498.49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498.49</v>
      </c>
      <c r="R121" s="3">
        <v>498.49</v>
      </c>
      <c r="S121" s="3">
        <v>498.49</v>
      </c>
      <c r="T121" s="3">
        <v>498.49</v>
      </c>
      <c r="U121" s="3">
        <v>498.49</v>
      </c>
      <c r="V121" s="3">
        <v>498.49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/>
    </row>
    <row r="122" spans="2:41" x14ac:dyDescent="0.2">
      <c r="B122">
        <v>356</v>
      </c>
      <c r="C122">
        <v>1</v>
      </c>
      <c r="D122" t="s">
        <v>176</v>
      </c>
      <c r="E122" s="3">
        <v>1686.59</v>
      </c>
      <c r="F122" s="3">
        <v>1686.59</v>
      </c>
      <c r="G122" s="3">
        <v>677.51</v>
      </c>
      <c r="H122" s="3">
        <v>677.51</v>
      </c>
      <c r="I122" s="3">
        <v>677.51</v>
      </c>
      <c r="J122" s="3">
        <v>677.51</v>
      </c>
      <c r="K122" s="3">
        <v>677.51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1686.59</v>
      </c>
      <c r="R122" s="3">
        <v>1686.59</v>
      </c>
      <c r="S122" s="3">
        <v>677.51</v>
      </c>
      <c r="T122" s="3">
        <v>677.51</v>
      </c>
      <c r="U122" s="3">
        <v>677.51</v>
      </c>
      <c r="V122" s="3">
        <v>677.51</v>
      </c>
      <c r="W122" s="3">
        <v>677.51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/>
    </row>
    <row r="123" spans="2:41" x14ac:dyDescent="0.2">
      <c r="B123">
        <v>361</v>
      </c>
      <c r="C123">
        <v>1</v>
      </c>
      <c r="D123" t="s">
        <v>177</v>
      </c>
      <c r="E123" s="3">
        <v>567.49</v>
      </c>
      <c r="F123" s="3">
        <v>567.49</v>
      </c>
      <c r="G123" s="3">
        <v>567.49</v>
      </c>
      <c r="H123" s="3">
        <v>567.49</v>
      </c>
      <c r="I123" s="3">
        <v>567.49</v>
      </c>
      <c r="J123" s="3">
        <v>567.49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567.49</v>
      </c>
      <c r="R123" s="3">
        <v>567.49</v>
      </c>
      <c r="S123" s="3">
        <v>567.49</v>
      </c>
      <c r="T123" s="3">
        <v>567.49</v>
      </c>
      <c r="U123" s="3">
        <v>567.49</v>
      </c>
      <c r="V123" s="3">
        <v>567.49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/>
    </row>
    <row r="124" spans="2:41" x14ac:dyDescent="0.2">
      <c r="B124">
        <v>362</v>
      </c>
      <c r="C124">
        <v>1</v>
      </c>
      <c r="D124" t="s">
        <v>178</v>
      </c>
      <c r="E124" s="3">
        <v>1</v>
      </c>
      <c r="F124" s="3">
        <v>1</v>
      </c>
      <c r="G124" s="3">
        <v>1</v>
      </c>
      <c r="H124" s="3">
        <v>1</v>
      </c>
      <c r="I124" s="3">
        <v>1</v>
      </c>
      <c r="J124" s="3">
        <v>1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1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/>
    </row>
    <row r="125" spans="2:41" x14ac:dyDescent="0.2">
      <c r="B125">
        <v>363</v>
      </c>
      <c r="C125">
        <v>1</v>
      </c>
      <c r="D125" t="s">
        <v>179</v>
      </c>
      <c r="E125" s="3">
        <v>1.01</v>
      </c>
      <c r="F125" s="3">
        <v>1.01</v>
      </c>
      <c r="G125" s="3">
        <v>1.01</v>
      </c>
      <c r="H125" s="3">
        <v>1.01</v>
      </c>
      <c r="I125" s="3">
        <v>1.01</v>
      </c>
      <c r="J125" s="3">
        <v>1.01</v>
      </c>
      <c r="K125" s="3">
        <v>1.01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1.01</v>
      </c>
      <c r="R125" s="3">
        <v>1.01</v>
      </c>
      <c r="S125" s="3">
        <v>1.01</v>
      </c>
      <c r="T125" s="3">
        <v>1.01</v>
      </c>
      <c r="U125" s="3">
        <v>1.01</v>
      </c>
      <c r="V125" s="3">
        <v>1.01</v>
      </c>
      <c r="W125" s="3">
        <v>1.01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/>
    </row>
    <row r="126" spans="2:41" x14ac:dyDescent="0.2">
      <c r="B126">
        <v>371</v>
      </c>
      <c r="C126">
        <v>1</v>
      </c>
      <c r="D126" t="s">
        <v>180</v>
      </c>
      <c r="E126" s="3">
        <v>1536.57</v>
      </c>
      <c r="F126" s="3">
        <v>1536.57</v>
      </c>
      <c r="G126" s="3">
        <v>1536.57</v>
      </c>
      <c r="H126" s="3">
        <v>1536.57</v>
      </c>
      <c r="I126" s="3">
        <v>1536.57</v>
      </c>
      <c r="J126" s="3">
        <v>1536.57</v>
      </c>
      <c r="K126" s="3">
        <v>1536.57</v>
      </c>
      <c r="L126" s="3">
        <v>1536.57</v>
      </c>
      <c r="M126" s="3">
        <v>0</v>
      </c>
      <c r="N126" s="3">
        <v>0</v>
      </c>
      <c r="O126" s="3">
        <v>0</v>
      </c>
      <c r="P126" s="3">
        <v>0</v>
      </c>
      <c r="Q126" s="3">
        <v>1536.57</v>
      </c>
      <c r="R126" s="3">
        <v>1536.57</v>
      </c>
      <c r="S126" s="3">
        <v>1536.57</v>
      </c>
      <c r="T126" s="3">
        <v>1536.57</v>
      </c>
      <c r="U126" s="3">
        <v>1536.57</v>
      </c>
      <c r="V126" s="3">
        <v>1536.57</v>
      </c>
      <c r="W126" s="3">
        <v>1536.57</v>
      </c>
      <c r="X126" s="3">
        <v>1536.57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/>
    </row>
    <row r="127" spans="2:41" x14ac:dyDescent="0.2">
      <c r="B127">
        <v>378</v>
      </c>
      <c r="C127">
        <v>1</v>
      </c>
      <c r="D127" t="s">
        <v>181</v>
      </c>
      <c r="E127" s="3">
        <v>756.55</v>
      </c>
      <c r="F127" s="3">
        <v>756.55</v>
      </c>
      <c r="G127" s="3">
        <v>756.55</v>
      </c>
      <c r="H127" s="3">
        <v>756.55</v>
      </c>
      <c r="I127" s="3">
        <v>756.55</v>
      </c>
      <c r="J127" s="3">
        <v>756.55</v>
      </c>
      <c r="K127" s="3">
        <v>302.32</v>
      </c>
      <c r="L127" s="3">
        <v>302.32</v>
      </c>
      <c r="M127" s="3">
        <v>302.32</v>
      </c>
      <c r="N127" s="3">
        <v>0</v>
      </c>
      <c r="O127" s="3">
        <v>0</v>
      </c>
      <c r="P127" s="3">
        <v>0</v>
      </c>
      <c r="Q127" s="3">
        <v>454.23</v>
      </c>
      <c r="R127" s="3">
        <v>454.23</v>
      </c>
      <c r="S127" s="3">
        <v>454.23</v>
      </c>
      <c r="T127" s="3">
        <v>454.23</v>
      </c>
      <c r="U127" s="3">
        <v>454.23</v>
      </c>
      <c r="V127" s="3">
        <v>454.23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302.32</v>
      </c>
      <c r="AD127" s="3">
        <v>302.32</v>
      </c>
      <c r="AE127" s="3">
        <v>302.32</v>
      </c>
      <c r="AF127" s="3">
        <v>302.32</v>
      </c>
      <c r="AG127" s="3">
        <v>302.32</v>
      </c>
      <c r="AH127" s="3">
        <v>302.32</v>
      </c>
      <c r="AI127" s="3">
        <v>302.32</v>
      </c>
      <c r="AJ127" s="3">
        <v>302.32</v>
      </c>
      <c r="AK127" s="3">
        <v>302.32</v>
      </c>
      <c r="AL127" s="3">
        <v>0</v>
      </c>
      <c r="AM127" s="3">
        <v>0</v>
      </c>
      <c r="AN127" s="3">
        <v>0</v>
      </c>
      <c r="AO127" s="3"/>
    </row>
    <row r="128" spans="2:41" x14ac:dyDescent="0.2">
      <c r="B128">
        <v>381</v>
      </c>
      <c r="C128">
        <v>1</v>
      </c>
      <c r="D128" t="s">
        <v>182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/>
    </row>
    <row r="129" spans="2:41" x14ac:dyDescent="0.2">
      <c r="B129">
        <v>390</v>
      </c>
      <c r="C129">
        <v>1</v>
      </c>
      <c r="D129" t="s">
        <v>183</v>
      </c>
      <c r="E129" s="3">
        <v>126.3</v>
      </c>
      <c r="F129" s="3">
        <v>126.3</v>
      </c>
      <c r="G129" s="3">
        <v>126.3</v>
      </c>
      <c r="H129" s="3">
        <v>126.3</v>
      </c>
      <c r="I129" s="3">
        <v>126.3</v>
      </c>
      <c r="J129" s="3">
        <v>126.3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126.3</v>
      </c>
      <c r="R129" s="3">
        <v>126.3</v>
      </c>
      <c r="S129" s="3">
        <v>126.3</v>
      </c>
      <c r="T129" s="3">
        <v>126.3</v>
      </c>
      <c r="U129" s="3">
        <v>126.3</v>
      </c>
      <c r="V129" s="3">
        <v>126.3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/>
    </row>
    <row r="130" spans="2:41" x14ac:dyDescent="0.2">
      <c r="B130">
        <v>391</v>
      </c>
      <c r="C130">
        <v>1</v>
      </c>
      <c r="D130" t="s">
        <v>184</v>
      </c>
      <c r="E130" s="3">
        <v>701.81</v>
      </c>
      <c r="F130" s="3">
        <v>701.81</v>
      </c>
      <c r="G130" s="3">
        <v>701.81</v>
      </c>
      <c r="H130" s="3">
        <v>701.81</v>
      </c>
      <c r="I130" s="3">
        <v>701.81</v>
      </c>
      <c r="J130" s="3">
        <v>701.81</v>
      </c>
      <c r="K130" s="3">
        <v>350</v>
      </c>
      <c r="L130" s="3">
        <v>350</v>
      </c>
      <c r="M130" s="3">
        <v>350</v>
      </c>
      <c r="N130" s="3">
        <v>350</v>
      </c>
      <c r="O130" s="3">
        <v>0</v>
      </c>
      <c r="P130" s="3">
        <v>0</v>
      </c>
      <c r="Q130" s="3">
        <v>351.81</v>
      </c>
      <c r="R130" s="3">
        <v>351.81</v>
      </c>
      <c r="S130" s="3">
        <v>351.81</v>
      </c>
      <c r="T130" s="3">
        <v>351.81</v>
      </c>
      <c r="U130" s="3">
        <v>351.81</v>
      </c>
      <c r="V130" s="3">
        <v>351.81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350</v>
      </c>
      <c r="AD130" s="3">
        <v>350</v>
      </c>
      <c r="AE130" s="3">
        <v>350</v>
      </c>
      <c r="AF130" s="3">
        <v>350</v>
      </c>
      <c r="AG130" s="3">
        <v>350</v>
      </c>
      <c r="AH130" s="3">
        <v>350</v>
      </c>
      <c r="AI130" s="3">
        <v>350</v>
      </c>
      <c r="AJ130" s="3">
        <v>350</v>
      </c>
      <c r="AK130" s="3">
        <v>350</v>
      </c>
      <c r="AL130" s="3">
        <v>350</v>
      </c>
      <c r="AM130" s="3">
        <v>0</v>
      </c>
      <c r="AN130" s="3">
        <v>0</v>
      </c>
      <c r="AO130" s="3"/>
    </row>
    <row r="131" spans="2:41" x14ac:dyDescent="0.2">
      <c r="B131">
        <v>392</v>
      </c>
      <c r="C131">
        <v>1</v>
      </c>
      <c r="D131" t="s">
        <v>185</v>
      </c>
      <c r="E131" s="3">
        <v>601.03</v>
      </c>
      <c r="F131" s="3">
        <v>601.03</v>
      </c>
      <c r="G131" s="3">
        <v>601.03</v>
      </c>
      <c r="H131" s="3">
        <v>601.03</v>
      </c>
      <c r="I131" s="3">
        <v>601.03</v>
      </c>
      <c r="J131" s="3">
        <v>601.03</v>
      </c>
      <c r="K131" s="3">
        <v>350</v>
      </c>
      <c r="L131" s="3">
        <v>350</v>
      </c>
      <c r="M131" s="3">
        <v>350</v>
      </c>
      <c r="N131" s="3">
        <v>350</v>
      </c>
      <c r="O131" s="3">
        <v>0</v>
      </c>
      <c r="P131" s="3">
        <v>0</v>
      </c>
      <c r="Q131" s="3">
        <v>251.03</v>
      </c>
      <c r="R131" s="3">
        <v>251.03</v>
      </c>
      <c r="S131" s="3">
        <v>251.03</v>
      </c>
      <c r="T131" s="3">
        <v>251.03</v>
      </c>
      <c r="U131" s="3">
        <v>251.03</v>
      </c>
      <c r="V131" s="3">
        <v>251.03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350</v>
      </c>
      <c r="AD131" s="3">
        <v>350</v>
      </c>
      <c r="AE131" s="3">
        <v>350</v>
      </c>
      <c r="AF131" s="3">
        <v>350</v>
      </c>
      <c r="AG131" s="3">
        <v>350</v>
      </c>
      <c r="AH131" s="3">
        <v>350</v>
      </c>
      <c r="AI131" s="3">
        <v>350</v>
      </c>
      <c r="AJ131" s="3">
        <v>350</v>
      </c>
      <c r="AK131" s="3">
        <v>350</v>
      </c>
      <c r="AL131" s="3">
        <v>350</v>
      </c>
      <c r="AM131" s="3">
        <v>0</v>
      </c>
      <c r="AN131" s="3">
        <v>0</v>
      </c>
      <c r="AO131" s="3"/>
    </row>
    <row r="132" spans="2:41" x14ac:dyDescent="0.2">
      <c r="B132">
        <v>394</v>
      </c>
      <c r="C132">
        <v>1</v>
      </c>
      <c r="D132" t="s">
        <v>186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/>
    </row>
    <row r="133" spans="2:41" x14ac:dyDescent="0.2">
      <c r="B133">
        <v>402</v>
      </c>
      <c r="C133">
        <v>1</v>
      </c>
      <c r="D133" t="s">
        <v>187</v>
      </c>
      <c r="E133" s="3">
        <v>800.06</v>
      </c>
      <c r="F133" s="3">
        <v>800.06</v>
      </c>
      <c r="G133" s="3">
        <v>800.06</v>
      </c>
      <c r="H133" s="3">
        <v>800.06</v>
      </c>
      <c r="I133" s="3">
        <v>800.06</v>
      </c>
      <c r="J133" s="3">
        <v>800.06</v>
      </c>
      <c r="K133" s="3">
        <v>400</v>
      </c>
      <c r="L133" s="3">
        <v>400</v>
      </c>
      <c r="M133" s="3">
        <v>400</v>
      </c>
      <c r="N133" s="3">
        <v>0</v>
      </c>
      <c r="O133" s="3">
        <v>0</v>
      </c>
      <c r="P133" s="3">
        <v>0</v>
      </c>
      <c r="Q133" s="3">
        <v>400.06</v>
      </c>
      <c r="R133" s="3">
        <v>400.06</v>
      </c>
      <c r="S133" s="3">
        <v>400.06</v>
      </c>
      <c r="T133" s="3">
        <v>400.06</v>
      </c>
      <c r="U133" s="3">
        <v>400.06</v>
      </c>
      <c r="V133" s="3">
        <v>400.06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400</v>
      </c>
      <c r="AD133" s="3">
        <v>400</v>
      </c>
      <c r="AE133" s="3">
        <v>400</v>
      </c>
      <c r="AF133" s="3">
        <v>400</v>
      </c>
      <c r="AG133" s="3">
        <v>400</v>
      </c>
      <c r="AH133" s="3">
        <v>400</v>
      </c>
      <c r="AI133" s="3">
        <v>400</v>
      </c>
      <c r="AJ133" s="3">
        <v>400</v>
      </c>
      <c r="AK133" s="3">
        <v>400</v>
      </c>
      <c r="AL133" s="3">
        <v>0</v>
      </c>
      <c r="AM133" s="3">
        <v>0</v>
      </c>
      <c r="AN133" s="3">
        <v>0</v>
      </c>
      <c r="AO133" s="3"/>
    </row>
    <row r="134" spans="2:41" x14ac:dyDescent="0.2">
      <c r="B134">
        <v>403</v>
      </c>
      <c r="C134">
        <v>1</v>
      </c>
      <c r="D134" t="s">
        <v>188</v>
      </c>
      <c r="E134" s="3">
        <v>400.45</v>
      </c>
      <c r="F134" s="3">
        <v>400.45</v>
      </c>
      <c r="G134" s="3">
        <v>400.45</v>
      </c>
      <c r="H134" s="3">
        <v>400.45</v>
      </c>
      <c r="I134" s="3">
        <v>400.45</v>
      </c>
      <c r="J134" s="3">
        <v>400.45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400.45</v>
      </c>
      <c r="R134" s="3">
        <v>400.45</v>
      </c>
      <c r="S134" s="3">
        <v>400.45</v>
      </c>
      <c r="T134" s="3">
        <v>400.45</v>
      </c>
      <c r="U134" s="3">
        <v>400.45</v>
      </c>
      <c r="V134" s="3">
        <v>400.45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/>
    </row>
    <row r="135" spans="2:41" x14ac:dyDescent="0.2">
      <c r="B135">
        <v>404</v>
      </c>
      <c r="C135">
        <v>1</v>
      </c>
      <c r="D135" t="s">
        <v>189</v>
      </c>
      <c r="E135" s="3">
        <v>603.09</v>
      </c>
      <c r="F135" s="3">
        <v>603.09</v>
      </c>
      <c r="G135" s="3">
        <v>603.09</v>
      </c>
      <c r="H135" s="3">
        <v>603.09</v>
      </c>
      <c r="I135" s="3">
        <v>603.09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603.09</v>
      </c>
      <c r="R135" s="3">
        <v>603.09</v>
      </c>
      <c r="S135" s="3">
        <v>603.09</v>
      </c>
      <c r="T135" s="3">
        <v>603.09</v>
      </c>
      <c r="U135" s="3">
        <v>603.09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/>
    </row>
    <row r="136" spans="2:41" x14ac:dyDescent="0.2">
      <c r="B136">
        <v>411</v>
      </c>
      <c r="C136">
        <v>1</v>
      </c>
      <c r="D136" t="s">
        <v>191</v>
      </c>
      <c r="E136" s="3">
        <v>887.21</v>
      </c>
      <c r="F136" s="3">
        <v>887.21</v>
      </c>
      <c r="G136" s="3">
        <v>552.03</v>
      </c>
      <c r="H136" s="3">
        <v>325.77999999999997</v>
      </c>
      <c r="I136" s="3">
        <v>325.77999999999997</v>
      </c>
      <c r="J136" s="3">
        <v>325.77999999999997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887.21</v>
      </c>
      <c r="R136" s="3">
        <v>887.21</v>
      </c>
      <c r="S136" s="3">
        <v>552.03</v>
      </c>
      <c r="T136" s="3">
        <v>325.77999999999997</v>
      </c>
      <c r="U136" s="3">
        <v>325.77999999999997</v>
      </c>
      <c r="V136" s="3">
        <v>325.77999999999997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/>
    </row>
    <row r="137" spans="2:41" x14ac:dyDescent="0.2">
      <c r="B137">
        <v>413</v>
      </c>
      <c r="C137">
        <v>1</v>
      </c>
      <c r="D137" t="s">
        <v>192</v>
      </c>
      <c r="E137" s="3">
        <v>200</v>
      </c>
      <c r="F137" s="3">
        <v>200</v>
      </c>
      <c r="G137" s="3">
        <v>200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200</v>
      </c>
      <c r="R137" s="3">
        <v>200</v>
      </c>
      <c r="S137" s="3">
        <v>200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/>
    </row>
    <row r="138" spans="2:41" x14ac:dyDescent="0.2">
      <c r="B138">
        <v>414</v>
      </c>
      <c r="C138">
        <v>1</v>
      </c>
      <c r="D138" t="s">
        <v>193</v>
      </c>
      <c r="E138" s="3">
        <v>126.3</v>
      </c>
      <c r="F138" s="3">
        <v>126.3</v>
      </c>
      <c r="G138" s="3">
        <v>126.3</v>
      </c>
      <c r="H138" s="3">
        <v>126.3</v>
      </c>
      <c r="I138" s="3">
        <v>126.3</v>
      </c>
      <c r="J138" s="3">
        <v>126.3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126.3</v>
      </c>
      <c r="R138" s="3">
        <v>126.3</v>
      </c>
      <c r="S138" s="3">
        <v>126.3</v>
      </c>
      <c r="T138" s="3">
        <v>126.3</v>
      </c>
      <c r="U138" s="3">
        <v>126.3</v>
      </c>
      <c r="V138" s="3">
        <v>126.3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/>
    </row>
    <row r="139" spans="2:41" x14ac:dyDescent="0.2">
      <c r="B139">
        <v>415</v>
      </c>
      <c r="C139">
        <v>1</v>
      </c>
      <c r="D139" t="s">
        <v>194</v>
      </c>
      <c r="E139" s="3">
        <v>1762.7</v>
      </c>
      <c r="F139" s="3">
        <v>1762.7</v>
      </c>
      <c r="G139" s="3">
        <v>1615</v>
      </c>
      <c r="H139" s="3">
        <v>1000</v>
      </c>
      <c r="I139" s="3">
        <v>1000</v>
      </c>
      <c r="J139" s="3">
        <v>1000</v>
      </c>
      <c r="K139" s="3">
        <v>1000</v>
      </c>
      <c r="L139" s="3">
        <v>1000</v>
      </c>
      <c r="M139" s="3">
        <v>1000</v>
      </c>
      <c r="N139" s="3">
        <v>1000</v>
      </c>
      <c r="O139" s="3">
        <v>0</v>
      </c>
      <c r="P139" s="3">
        <v>0</v>
      </c>
      <c r="Q139" s="3">
        <v>762.7</v>
      </c>
      <c r="R139" s="3">
        <v>762.7</v>
      </c>
      <c r="S139" s="3">
        <v>615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1000</v>
      </c>
      <c r="AD139" s="3">
        <v>1000</v>
      </c>
      <c r="AE139" s="3">
        <v>1000</v>
      </c>
      <c r="AF139" s="3">
        <v>1000</v>
      </c>
      <c r="AG139" s="3">
        <v>1000</v>
      </c>
      <c r="AH139" s="3">
        <v>1000</v>
      </c>
      <c r="AI139" s="3">
        <v>1000</v>
      </c>
      <c r="AJ139" s="3">
        <v>1000</v>
      </c>
      <c r="AK139" s="3">
        <v>1000</v>
      </c>
      <c r="AL139" s="3">
        <v>1000</v>
      </c>
      <c r="AM139" s="3">
        <v>0</v>
      </c>
      <c r="AN139" s="3">
        <v>0</v>
      </c>
      <c r="AO139" s="3"/>
    </row>
    <row r="140" spans="2:41" x14ac:dyDescent="0.2">
      <c r="B140">
        <v>417</v>
      </c>
      <c r="C140">
        <v>1</v>
      </c>
      <c r="D140" t="s">
        <v>195</v>
      </c>
      <c r="E140" s="3">
        <v>425</v>
      </c>
      <c r="F140" s="3">
        <v>425</v>
      </c>
      <c r="G140" s="3">
        <v>425</v>
      </c>
      <c r="H140" s="3">
        <v>425</v>
      </c>
      <c r="I140" s="3">
        <v>425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425</v>
      </c>
      <c r="AD140" s="3">
        <v>425</v>
      </c>
      <c r="AE140" s="3">
        <v>425</v>
      </c>
      <c r="AF140" s="3">
        <v>425</v>
      </c>
      <c r="AG140" s="3">
        <v>425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/>
    </row>
    <row r="141" spans="2:41" x14ac:dyDescent="0.2">
      <c r="B141">
        <v>423</v>
      </c>
      <c r="C141">
        <v>1</v>
      </c>
      <c r="D141" t="s">
        <v>197</v>
      </c>
      <c r="E141" s="3">
        <v>807.19</v>
      </c>
      <c r="F141" s="3">
        <v>807.19</v>
      </c>
      <c r="G141" s="3">
        <v>807.19</v>
      </c>
      <c r="H141" s="3">
        <v>807.19</v>
      </c>
      <c r="I141" s="3">
        <v>807.19</v>
      </c>
      <c r="J141" s="3">
        <v>807.19</v>
      </c>
      <c r="K141" s="3">
        <v>680</v>
      </c>
      <c r="L141" s="3">
        <v>680</v>
      </c>
      <c r="M141" s="3">
        <v>0</v>
      </c>
      <c r="N141" s="3">
        <v>0</v>
      </c>
      <c r="O141" s="3">
        <v>0</v>
      </c>
      <c r="P141" s="3">
        <v>0</v>
      </c>
      <c r="Q141" s="3">
        <v>807.19</v>
      </c>
      <c r="R141" s="3">
        <v>807.19</v>
      </c>
      <c r="S141" s="3">
        <v>807.19</v>
      </c>
      <c r="T141" s="3">
        <v>807.19</v>
      </c>
      <c r="U141" s="3">
        <v>807.19</v>
      </c>
      <c r="V141" s="3">
        <v>807.19</v>
      </c>
      <c r="W141" s="3">
        <v>680</v>
      </c>
      <c r="X141" s="3">
        <v>680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/>
    </row>
    <row r="142" spans="2:41" x14ac:dyDescent="0.2">
      <c r="B142">
        <v>424</v>
      </c>
      <c r="C142">
        <v>1</v>
      </c>
      <c r="D142" t="s">
        <v>198</v>
      </c>
      <c r="E142" s="3">
        <v>500.88</v>
      </c>
      <c r="F142" s="3">
        <v>500.88</v>
      </c>
      <c r="G142" s="3">
        <v>500.88</v>
      </c>
      <c r="H142" s="3">
        <v>500.88</v>
      </c>
      <c r="I142" s="3">
        <v>500</v>
      </c>
      <c r="J142" s="3">
        <v>500</v>
      </c>
      <c r="K142" s="3">
        <v>500</v>
      </c>
      <c r="L142" s="3">
        <v>500</v>
      </c>
      <c r="M142" s="3">
        <v>0</v>
      </c>
      <c r="N142" s="3">
        <v>0</v>
      </c>
      <c r="O142" s="3">
        <v>0</v>
      </c>
      <c r="P142" s="3">
        <v>0</v>
      </c>
      <c r="Q142" s="3">
        <v>500.88</v>
      </c>
      <c r="R142" s="3">
        <v>500.88</v>
      </c>
      <c r="S142" s="3">
        <v>500.88</v>
      </c>
      <c r="T142" s="3">
        <v>500.88</v>
      </c>
      <c r="U142" s="3">
        <v>500</v>
      </c>
      <c r="V142" s="3">
        <v>500</v>
      </c>
      <c r="W142" s="3">
        <v>500</v>
      </c>
      <c r="X142" s="3">
        <v>500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/>
    </row>
    <row r="143" spans="2:41" x14ac:dyDescent="0.2">
      <c r="B143">
        <v>432</v>
      </c>
      <c r="C143">
        <v>1</v>
      </c>
      <c r="D143" t="s">
        <v>199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/>
    </row>
    <row r="144" spans="2:41" x14ac:dyDescent="0.2">
      <c r="B144">
        <v>435</v>
      </c>
      <c r="C144">
        <v>1</v>
      </c>
      <c r="D144" t="s">
        <v>200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/>
    </row>
    <row r="145" spans="2:41" x14ac:dyDescent="0.2">
      <c r="B145">
        <v>441</v>
      </c>
      <c r="C145">
        <v>1</v>
      </c>
      <c r="D145" t="s">
        <v>201</v>
      </c>
      <c r="E145" s="3">
        <v>800.44</v>
      </c>
      <c r="F145" s="3">
        <v>800.44</v>
      </c>
      <c r="G145" s="3">
        <v>800.44</v>
      </c>
      <c r="H145" s="3">
        <v>800.44</v>
      </c>
      <c r="I145" s="3">
        <v>800.44</v>
      </c>
      <c r="J145" s="3">
        <v>800.44</v>
      </c>
      <c r="K145" s="3">
        <v>600</v>
      </c>
      <c r="L145" s="3">
        <v>600</v>
      </c>
      <c r="M145" s="3">
        <v>600</v>
      </c>
      <c r="N145" s="3">
        <v>0</v>
      </c>
      <c r="O145" s="3">
        <v>0</v>
      </c>
      <c r="P145" s="3">
        <v>0</v>
      </c>
      <c r="Q145" s="3">
        <v>200.44</v>
      </c>
      <c r="R145" s="3">
        <v>200.44</v>
      </c>
      <c r="S145" s="3">
        <v>200.44</v>
      </c>
      <c r="T145" s="3">
        <v>200.44</v>
      </c>
      <c r="U145" s="3">
        <v>200.44</v>
      </c>
      <c r="V145" s="3">
        <v>200.44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600</v>
      </c>
      <c r="AD145" s="3">
        <v>600</v>
      </c>
      <c r="AE145" s="3">
        <v>600</v>
      </c>
      <c r="AF145" s="3">
        <v>600</v>
      </c>
      <c r="AG145" s="3">
        <v>600</v>
      </c>
      <c r="AH145" s="3">
        <v>600</v>
      </c>
      <c r="AI145" s="3">
        <v>600</v>
      </c>
      <c r="AJ145" s="3">
        <v>600</v>
      </c>
      <c r="AK145" s="3">
        <v>600</v>
      </c>
      <c r="AL145" s="3">
        <v>0</v>
      </c>
      <c r="AM145" s="3">
        <v>0</v>
      </c>
      <c r="AN145" s="3">
        <v>0</v>
      </c>
      <c r="AO145" s="3"/>
    </row>
    <row r="146" spans="2:41" x14ac:dyDescent="0.2">
      <c r="B146">
        <v>447</v>
      </c>
      <c r="C146">
        <v>1</v>
      </c>
      <c r="D146" t="s">
        <v>202</v>
      </c>
      <c r="E146" s="3">
        <v>126.14</v>
      </c>
      <c r="F146" s="3">
        <v>126.14</v>
      </c>
      <c r="G146" s="3">
        <v>126.14</v>
      </c>
      <c r="H146" s="3">
        <v>126.14</v>
      </c>
      <c r="I146" s="3">
        <v>126.14</v>
      </c>
      <c r="J146" s="3">
        <v>126.14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126.14</v>
      </c>
      <c r="R146" s="3">
        <v>126.14</v>
      </c>
      <c r="S146" s="3">
        <v>126.14</v>
      </c>
      <c r="T146" s="3">
        <v>126.14</v>
      </c>
      <c r="U146" s="3">
        <v>126.14</v>
      </c>
      <c r="V146" s="3">
        <v>126.14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/>
    </row>
    <row r="147" spans="2:41" x14ac:dyDescent="0.2">
      <c r="B147">
        <v>458</v>
      </c>
      <c r="C147">
        <v>1</v>
      </c>
      <c r="D147" t="s">
        <v>203</v>
      </c>
      <c r="E147" s="3">
        <v>773.86</v>
      </c>
      <c r="F147" s="3">
        <v>773.86</v>
      </c>
      <c r="G147" s="3">
        <v>773.86</v>
      </c>
      <c r="H147" s="3">
        <v>773.86</v>
      </c>
      <c r="I147" s="3">
        <v>773.86</v>
      </c>
      <c r="J147" s="3">
        <v>256.81</v>
      </c>
      <c r="K147" s="3">
        <v>256.81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773.86</v>
      </c>
      <c r="R147" s="3">
        <v>773.86</v>
      </c>
      <c r="S147" s="3">
        <v>773.86</v>
      </c>
      <c r="T147" s="3">
        <v>773.86</v>
      </c>
      <c r="U147" s="3">
        <v>773.86</v>
      </c>
      <c r="V147" s="3">
        <v>256.81</v>
      </c>
      <c r="W147" s="3">
        <v>256.81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/>
    </row>
    <row r="148" spans="2:41" x14ac:dyDescent="0.2">
      <c r="B148">
        <v>463</v>
      </c>
      <c r="C148">
        <v>1</v>
      </c>
      <c r="D148" t="s">
        <v>204</v>
      </c>
      <c r="E148" s="3">
        <v>450</v>
      </c>
      <c r="F148" s="3">
        <v>450</v>
      </c>
      <c r="G148" s="3">
        <v>450</v>
      </c>
      <c r="H148" s="3">
        <v>450</v>
      </c>
      <c r="I148" s="3">
        <v>450</v>
      </c>
      <c r="J148" s="3">
        <v>450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450</v>
      </c>
      <c r="AD148" s="3">
        <v>450</v>
      </c>
      <c r="AE148" s="3">
        <v>450</v>
      </c>
      <c r="AF148" s="3">
        <v>450</v>
      </c>
      <c r="AG148" s="3">
        <v>450</v>
      </c>
      <c r="AH148" s="3">
        <v>450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/>
    </row>
    <row r="149" spans="2:41" x14ac:dyDescent="0.2">
      <c r="B149">
        <v>465</v>
      </c>
      <c r="C149">
        <v>1</v>
      </c>
      <c r="D149" t="s">
        <v>205</v>
      </c>
      <c r="E149" s="3">
        <v>301.51</v>
      </c>
      <c r="F149" s="3">
        <v>301.51</v>
      </c>
      <c r="G149" s="3">
        <v>301.51</v>
      </c>
      <c r="H149" s="3">
        <v>301.51</v>
      </c>
      <c r="I149" s="3">
        <v>301.51</v>
      </c>
      <c r="J149" s="3">
        <v>301.51</v>
      </c>
      <c r="K149" s="3">
        <v>301.51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301.51</v>
      </c>
      <c r="R149" s="3">
        <v>301.51</v>
      </c>
      <c r="S149" s="3">
        <v>301.51</v>
      </c>
      <c r="T149" s="3">
        <v>301.51</v>
      </c>
      <c r="U149" s="3">
        <v>301.51</v>
      </c>
      <c r="V149" s="3">
        <v>301.51</v>
      </c>
      <c r="W149" s="3">
        <v>301.51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/>
    </row>
    <row r="150" spans="2:41" x14ac:dyDescent="0.2">
      <c r="B150">
        <v>466</v>
      </c>
      <c r="C150">
        <v>1</v>
      </c>
      <c r="D150" t="s">
        <v>206</v>
      </c>
      <c r="E150" s="3">
        <v>127.18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127.18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/>
    </row>
    <row r="151" spans="2:41" x14ac:dyDescent="0.2">
      <c r="B151">
        <v>473</v>
      </c>
      <c r="C151">
        <v>1</v>
      </c>
      <c r="D151" t="s">
        <v>207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/>
    </row>
    <row r="152" spans="2:41" x14ac:dyDescent="0.2">
      <c r="B152">
        <v>477</v>
      </c>
      <c r="C152">
        <v>1</v>
      </c>
      <c r="D152" t="s">
        <v>208</v>
      </c>
      <c r="E152" s="3">
        <v>325</v>
      </c>
      <c r="F152" s="3">
        <v>325</v>
      </c>
      <c r="G152" s="3">
        <v>325</v>
      </c>
      <c r="H152" s="3">
        <v>325</v>
      </c>
      <c r="I152" s="3">
        <v>325</v>
      </c>
      <c r="J152" s="3">
        <v>325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325</v>
      </c>
      <c r="AD152" s="3">
        <v>325</v>
      </c>
      <c r="AE152" s="3">
        <v>325</v>
      </c>
      <c r="AF152" s="3">
        <v>325</v>
      </c>
      <c r="AG152" s="3">
        <v>325</v>
      </c>
      <c r="AH152" s="3">
        <v>325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/>
    </row>
    <row r="153" spans="2:41" x14ac:dyDescent="0.2">
      <c r="B153">
        <v>480</v>
      </c>
      <c r="C153">
        <v>1</v>
      </c>
      <c r="D153" t="s">
        <v>209</v>
      </c>
      <c r="E153" s="3">
        <v>1.01</v>
      </c>
      <c r="F153" s="3">
        <v>1.01</v>
      </c>
      <c r="G153" s="3">
        <v>1.01</v>
      </c>
      <c r="H153" s="3">
        <v>1.01</v>
      </c>
      <c r="I153" s="3">
        <v>1.01</v>
      </c>
      <c r="J153" s="3">
        <v>1.01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1.01</v>
      </c>
      <c r="R153" s="3">
        <v>1.01</v>
      </c>
      <c r="S153" s="3">
        <v>1.01</v>
      </c>
      <c r="T153" s="3">
        <v>1.01</v>
      </c>
      <c r="U153" s="3">
        <v>1.01</v>
      </c>
      <c r="V153" s="3">
        <v>1.01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/>
    </row>
    <row r="154" spans="2:41" x14ac:dyDescent="0.2">
      <c r="B154">
        <v>482</v>
      </c>
      <c r="C154">
        <v>1</v>
      </c>
      <c r="D154" t="s">
        <v>210</v>
      </c>
      <c r="E154" s="3">
        <v>855.79</v>
      </c>
      <c r="F154" s="3">
        <v>855.79</v>
      </c>
      <c r="G154" s="3">
        <v>855.79</v>
      </c>
      <c r="H154" s="3">
        <v>855.79</v>
      </c>
      <c r="I154" s="3">
        <v>855.79</v>
      </c>
      <c r="J154" s="3">
        <v>855.79</v>
      </c>
      <c r="K154" s="3">
        <v>855.79</v>
      </c>
      <c r="L154" s="3">
        <v>855.79</v>
      </c>
      <c r="M154" s="3">
        <v>855.79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855.79</v>
      </c>
      <c r="AD154" s="3">
        <v>855.79</v>
      </c>
      <c r="AE154" s="3">
        <v>855.79</v>
      </c>
      <c r="AF154" s="3">
        <v>855.79</v>
      </c>
      <c r="AG154" s="3">
        <v>855.79</v>
      </c>
      <c r="AH154" s="3">
        <v>855.79</v>
      </c>
      <c r="AI154" s="3">
        <v>855.79</v>
      </c>
      <c r="AJ154" s="3">
        <v>855.79</v>
      </c>
      <c r="AK154" s="3">
        <v>855.79</v>
      </c>
      <c r="AL154" s="3">
        <v>0</v>
      </c>
      <c r="AM154" s="3">
        <v>0</v>
      </c>
      <c r="AN154" s="3">
        <v>0</v>
      </c>
      <c r="AO154" s="3"/>
    </row>
    <row r="155" spans="2:41" x14ac:dyDescent="0.2">
      <c r="B155">
        <v>484</v>
      </c>
      <c r="C155">
        <v>1</v>
      </c>
      <c r="D155" t="s">
        <v>211</v>
      </c>
      <c r="E155" s="3">
        <v>500.87</v>
      </c>
      <c r="F155" s="3">
        <v>500.87</v>
      </c>
      <c r="G155" s="3">
        <v>500.87</v>
      </c>
      <c r="H155" s="3">
        <v>500.87</v>
      </c>
      <c r="I155" s="3">
        <v>500.87</v>
      </c>
      <c r="J155" s="3">
        <v>500.87</v>
      </c>
      <c r="K155" s="3">
        <v>500.87</v>
      </c>
      <c r="L155" s="3">
        <v>300</v>
      </c>
      <c r="M155" s="3">
        <v>300</v>
      </c>
      <c r="N155" s="3">
        <v>0</v>
      </c>
      <c r="O155" s="3">
        <v>0</v>
      </c>
      <c r="P155" s="3">
        <v>0</v>
      </c>
      <c r="Q155" s="3">
        <v>200.87</v>
      </c>
      <c r="R155" s="3">
        <v>200.87</v>
      </c>
      <c r="S155" s="3">
        <v>200.87</v>
      </c>
      <c r="T155" s="3">
        <v>200.87</v>
      </c>
      <c r="U155" s="3">
        <v>200.87</v>
      </c>
      <c r="V155" s="3">
        <v>200.87</v>
      </c>
      <c r="W155" s="3">
        <v>200.87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300</v>
      </c>
      <c r="AD155" s="3">
        <v>300</v>
      </c>
      <c r="AE155" s="3">
        <v>300</v>
      </c>
      <c r="AF155" s="3">
        <v>300</v>
      </c>
      <c r="AG155" s="3">
        <v>300</v>
      </c>
      <c r="AH155" s="3">
        <v>300</v>
      </c>
      <c r="AI155" s="3">
        <v>300</v>
      </c>
      <c r="AJ155" s="3">
        <v>300</v>
      </c>
      <c r="AK155" s="3">
        <v>300</v>
      </c>
      <c r="AL155" s="3">
        <v>0</v>
      </c>
      <c r="AM155" s="3">
        <v>0</v>
      </c>
      <c r="AN155" s="3">
        <v>0</v>
      </c>
      <c r="AO155" s="3"/>
    </row>
    <row r="156" spans="2:41" x14ac:dyDescent="0.2">
      <c r="B156">
        <v>485</v>
      </c>
      <c r="C156">
        <v>1</v>
      </c>
      <c r="D156" t="s">
        <v>212</v>
      </c>
      <c r="E156" s="3">
        <v>1.04</v>
      </c>
      <c r="F156" s="3">
        <v>1.04</v>
      </c>
      <c r="G156" s="3">
        <v>1.04</v>
      </c>
      <c r="H156" s="3">
        <v>1.04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1.04</v>
      </c>
      <c r="R156" s="3">
        <v>1.04</v>
      </c>
      <c r="S156" s="3">
        <v>1.04</v>
      </c>
      <c r="T156" s="3">
        <v>1.04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/>
    </row>
    <row r="157" spans="2:41" x14ac:dyDescent="0.2">
      <c r="B157">
        <v>486</v>
      </c>
      <c r="C157">
        <v>1</v>
      </c>
      <c r="D157" t="s">
        <v>213</v>
      </c>
      <c r="E157" s="3">
        <v>804.82</v>
      </c>
      <c r="F157" s="3">
        <v>804.82</v>
      </c>
      <c r="G157" s="3">
        <v>804.82</v>
      </c>
      <c r="H157" s="3">
        <v>804.82</v>
      </c>
      <c r="I157" s="3">
        <v>804.82</v>
      </c>
      <c r="J157" s="3">
        <v>804.82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804.82</v>
      </c>
      <c r="R157" s="3">
        <v>804.82</v>
      </c>
      <c r="S157" s="3">
        <v>804.82</v>
      </c>
      <c r="T157" s="3">
        <v>804.82</v>
      </c>
      <c r="U157" s="3">
        <v>804.82</v>
      </c>
      <c r="V157" s="3">
        <v>804.82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/>
    </row>
    <row r="158" spans="2:41" x14ac:dyDescent="0.2">
      <c r="B158">
        <v>487</v>
      </c>
      <c r="C158">
        <v>1</v>
      </c>
      <c r="D158" t="s">
        <v>214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/>
    </row>
    <row r="159" spans="2:41" x14ac:dyDescent="0.2">
      <c r="B159">
        <v>492</v>
      </c>
      <c r="C159">
        <v>1</v>
      </c>
      <c r="D159" t="s">
        <v>215</v>
      </c>
      <c r="E159" s="3">
        <v>719.53</v>
      </c>
      <c r="F159" s="3">
        <v>719.53</v>
      </c>
      <c r="G159" s="3">
        <v>719.53</v>
      </c>
      <c r="H159" s="3">
        <v>719.53</v>
      </c>
      <c r="I159" s="3">
        <v>719.53</v>
      </c>
      <c r="J159" s="3">
        <v>666.18</v>
      </c>
      <c r="K159" s="3">
        <v>415</v>
      </c>
      <c r="L159" s="3">
        <v>415</v>
      </c>
      <c r="M159" s="3">
        <v>0</v>
      </c>
      <c r="N159" s="3">
        <v>0</v>
      </c>
      <c r="O159" s="3">
        <v>0</v>
      </c>
      <c r="P159" s="3">
        <v>0</v>
      </c>
      <c r="Q159" s="3">
        <v>719.53</v>
      </c>
      <c r="R159" s="3">
        <v>719.53</v>
      </c>
      <c r="S159" s="3">
        <v>719.53</v>
      </c>
      <c r="T159" s="3">
        <v>719.53</v>
      </c>
      <c r="U159" s="3">
        <v>719.53</v>
      </c>
      <c r="V159" s="3">
        <v>666.18</v>
      </c>
      <c r="W159" s="3">
        <v>415</v>
      </c>
      <c r="X159" s="3">
        <v>415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/>
    </row>
    <row r="160" spans="2:41" x14ac:dyDescent="0.2">
      <c r="B160">
        <v>495</v>
      </c>
      <c r="C160">
        <v>1</v>
      </c>
      <c r="D160" t="s">
        <v>216</v>
      </c>
      <c r="E160" s="3">
        <v>853.01</v>
      </c>
      <c r="F160" s="3">
        <v>853.01</v>
      </c>
      <c r="G160" s="3">
        <v>853.01</v>
      </c>
      <c r="H160" s="3">
        <v>853.01</v>
      </c>
      <c r="I160" s="3">
        <v>853.01</v>
      </c>
      <c r="J160" s="3">
        <v>400</v>
      </c>
      <c r="K160" s="3">
        <v>400</v>
      </c>
      <c r="L160" s="3">
        <v>400</v>
      </c>
      <c r="M160" s="3">
        <v>0</v>
      </c>
      <c r="N160" s="3">
        <v>0</v>
      </c>
      <c r="O160" s="3">
        <v>0</v>
      </c>
      <c r="P160" s="3">
        <v>0</v>
      </c>
      <c r="Q160" s="3">
        <v>853.01</v>
      </c>
      <c r="R160" s="3">
        <v>853.01</v>
      </c>
      <c r="S160" s="3">
        <v>853.01</v>
      </c>
      <c r="T160" s="3">
        <v>853.01</v>
      </c>
      <c r="U160" s="3">
        <v>853.01</v>
      </c>
      <c r="V160" s="3">
        <v>400</v>
      </c>
      <c r="W160" s="3">
        <v>400</v>
      </c>
      <c r="X160" s="3">
        <v>400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/>
    </row>
    <row r="161" spans="2:41" x14ac:dyDescent="0.2">
      <c r="B161">
        <v>497</v>
      </c>
      <c r="C161">
        <v>1</v>
      </c>
      <c r="D161" t="s">
        <v>217</v>
      </c>
      <c r="E161" s="3">
        <v>840.01</v>
      </c>
      <c r="F161" s="3">
        <v>840.01</v>
      </c>
      <c r="G161" s="3">
        <v>840.01</v>
      </c>
      <c r="H161" s="3">
        <v>840.01</v>
      </c>
      <c r="I161" s="3">
        <v>840.01</v>
      </c>
      <c r="J161" s="3">
        <v>840.01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840.01</v>
      </c>
      <c r="R161" s="3">
        <v>840.01</v>
      </c>
      <c r="S161" s="3">
        <v>840.01</v>
      </c>
      <c r="T161" s="3">
        <v>840.01</v>
      </c>
      <c r="U161" s="3">
        <v>840.01</v>
      </c>
      <c r="V161" s="3">
        <v>840.01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/>
    </row>
    <row r="162" spans="2:41" x14ac:dyDescent="0.2">
      <c r="B162">
        <v>499</v>
      </c>
      <c r="C162">
        <v>1</v>
      </c>
      <c r="D162" t="s">
        <v>218</v>
      </c>
      <c r="E162" s="3">
        <v>844.02</v>
      </c>
      <c r="F162" s="3">
        <v>844.02</v>
      </c>
      <c r="G162" s="3">
        <v>700.48</v>
      </c>
      <c r="H162" s="3">
        <v>700.48</v>
      </c>
      <c r="I162" s="3">
        <v>700.48</v>
      </c>
      <c r="J162" s="3">
        <v>300.20999999999998</v>
      </c>
      <c r="K162" s="3">
        <v>300.20999999999998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844.02</v>
      </c>
      <c r="R162" s="3">
        <v>844.02</v>
      </c>
      <c r="S162" s="3">
        <v>700.48</v>
      </c>
      <c r="T162" s="3">
        <v>700.48</v>
      </c>
      <c r="U162" s="3">
        <v>700.48</v>
      </c>
      <c r="V162" s="3">
        <v>300.20999999999998</v>
      </c>
      <c r="W162" s="3">
        <v>300.20999999999998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/>
    </row>
    <row r="163" spans="2:41" x14ac:dyDescent="0.2">
      <c r="B163">
        <v>500</v>
      </c>
      <c r="C163">
        <v>1</v>
      </c>
      <c r="D163" t="s">
        <v>219</v>
      </c>
      <c r="E163" s="3">
        <v>847</v>
      </c>
      <c r="F163" s="3">
        <v>847</v>
      </c>
      <c r="G163" s="3">
        <v>847</v>
      </c>
      <c r="H163" s="3">
        <v>847</v>
      </c>
      <c r="I163" s="3">
        <v>847</v>
      </c>
      <c r="J163" s="3">
        <v>847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847</v>
      </c>
      <c r="AD163" s="3">
        <v>847</v>
      </c>
      <c r="AE163" s="3">
        <v>847</v>
      </c>
      <c r="AF163" s="3">
        <v>847</v>
      </c>
      <c r="AG163" s="3">
        <v>847</v>
      </c>
      <c r="AH163" s="3">
        <v>847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/>
    </row>
    <row r="164" spans="2:41" x14ac:dyDescent="0.2">
      <c r="B164">
        <v>505</v>
      </c>
      <c r="C164">
        <v>1</v>
      </c>
      <c r="D164" t="s">
        <v>220</v>
      </c>
      <c r="E164" s="3">
        <v>1901.98</v>
      </c>
      <c r="F164" s="3">
        <v>1901.98</v>
      </c>
      <c r="G164" s="3">
        <v>1901.98</v>
      </c>
      <c r="H164" s="3">
        <v>1901.98</v>
      </c>
      <c r="I164" s="3">
        <v>1901.98</v>
      </c>
      <c r="J164" s="3">
        <v>1901.98</v>
      </c>
      <c r="K164" s="3">
        <v>1000</v>
      </c>
      <c r="L164" s="3">
        <v>1000</v>
      </c>
      <c r="M164" s="3">
        <v>1000</v>
      </c>
      <c r="N164" s="3">
        <v>0</v>
      </c>
      <c r="O164" s="3">
        <v>0</v>
      </c>
      <c r="P164" s="3">
        <v>0</v>
      </c>
      <c r="Q164" s="3">
        <v>901.98</v>
      </c>
      <c r="R164" s="3">
        <v>901.98</v>
      </c>
      <c r="S164" s="3">
        <v>901.98</v>
      </c>
      <c r="T164" s="3">
        <v>901.98</v>
      </c>
      <c r="U164" s="3">
        <v>901.98</v>
      </c>
      <c r="V164" s="3">
        <v>901.98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1000</v>
      </c>
      <c r="AD164" s="3">
        <v>1000</v>
      </c>
      <c r="AE164" s="3">
        <v>1000</v>
      </c>
      <c r="AF164" s="3">
        <v>1000</v>
      </c>
      <c r="AG164" s="3">
        <v>1000</v>
      </c>
      <c r="AH164" s="3">
        <v>1000</v>
      </c>
      <c r="AI164" s="3">
        <v>1000</v>
      </c>
      <c r="AJ164" s="3">
        <v>1000</v>
      </c>
      <c r="AK164" s="3">
        <v>1000</v>
      </c>
      <c r="AL164" s="3">
        <v>0</v>
      </c>
      <c r="AM164" s="3">
        <v>0</v>
      </c>
      <c r="AN164" s="3">
        <v>0</v>
      </c>
      <c r="AO164" s="3"/>
    </row>
    <row r="165" spans="2:41" x14ac:dyDescent="0.2">
      <c r="B165">
        <v>507</v>
      </c>
      <c r="C165">
        <v>1</v>
      </c>
      <c r="D165" t="s">
        <v>221</v>
      </c>
      <c r="E165" s="3">
        <v>581.91</v>
      </c>
      <c r="F165" s="3">
        <v>581.91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581.91</v>
      </c>
      <c r="R165" s="3">
        <v>581.91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/>
    </row>
    <row r="166" spans="2:41" x14ac:dyDescent="0.2">
      <c r="B166">
        <v>508</v>
      </c>
      <c r="C166">
        <v>1</v>
      </c>
      <c r="D166" t="s">
        <v>222</v>
      </c>
      <c r="E166" s="3">
        <v>698.79</v>
      </c>
      <c r="F166" s="3">
        <v>698.79</v>
      </c>
      <c r="G166" s="3">
        <v>616.45000000000005</v>
      </c>
      <c r="H166" s="3">
        <v>616.45000000000005</v>
      </c>
      <c r="I166" s="3">
        <v>616.45000000000005</v>
      </c>
      <c r="J166" s="3">
        <v>616.45000000000005</v>
      </c>
      <c r="K166" s="3">
        <v>616.45000000000005</v>
      </c>
      <c r="L166" s="3">
        <v>315</v>
      </c>
      <c r="M166" s="3">
        <v>315</v>
      </c>
      <c r="N166" s="3">
        <v>315</v>
      </c>
      <c r="O166" s="3">
        <v>0</v>
      </c>
      <c r="P166" s="3">
        <v>0</v>
      </c>
      <c r="Q166" s="3">
        <v>383.79</v>
      </c>
      <c r="R166" s="3">
        <v>383.79</v>
      </c>
      <c r="S166" s="3">
        <v>301.45</v>
      </c>
      <c r="T166" s="3">
        <v>301.45</v>
      </c>
      <c r="U166" s="3">
        <v>301.45</v>
      </c>
      <c r="V166" s="3">
        <v>301.45</v>
      </c>
      <c r="W166" s="3">
        <v>301.45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315</v>
      </c>
      <c r="AD166" s="3">
        <v>315</v>
      </c>
      <c r="AE166" s="3">
        <v>315</v>
      </c>
      <c r="AF166" s="3">
        <v>315</v>
      </c>
      <c r="AG166" s="3">
        <v>315</v>
      </c>
      <c r="AH166" s="3">
        <v>315</v>
      </c>
      <c r="AI166" s="3">
        <v>315</v>
      </c>
      <c r="AJ166" s="3">
        <v>315</v>
      </c>
      <c r="AK166" s="3">
        <v>315</v>
      </c>
      <c r="AL166" s="3">
        <v>315</v>
      </c>
      <c r="AM166" s="3">
        <v>0</v>
      </c>
      <c r="AN166" s="3">
        <v>0</v>
      </c>
      <c r="AO166" s="3"/>
    </row>
    <row r="167" spans="2:41" x14ac:dyDescent="0.2">
      <c r="B167">
        <v>511</v>
      </c>
      <c r="C167">
        <v>1</v>
      </c>
      <c r="D167" t="s">
        <v>223</v>
      </c>
      <c r="E167" s="3">
        <v>450.92</v>
      </c>
      <c r="F167" s="3">
        <v>450.92</v>
      </c>
      <c r="G167" s="3">
        <v>450.92</v>
      </c>
      <c r="H167" s="3">
        <v>450.92</v>
      </c>
      <c r="I167" s="3">
        <v>450.92</v>
      </c>
      <c r="J167" s="3">
        <v>450.92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450.92</v>
      </c>
      <c r="R167" s="3">
        <v>450.92</v>
      </c>
      <c r="S167" s="3">
        <v>450.92</v>
      </c>
      <c r="T167" s="3">
        <v>450.92</v>
      </c>
      <c r="U167" s="3">
        <v>450.92</v>
      </c>
      <c r="V167" s="3">
        <v>450.92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/>
    </row>
    <row r="168" spans="2:41" x14ac:dyDescent="0.2">
      <c r="B168">
        <v>513</v>
      </c>
      <c r="C168">
        <v>1</v>
      </c>
      <c r="D168" t="s">
        <v>224</v>
      </c>
      <c r="E168" s="3">
        <v>2121.35</v>
      </c>
      <c r="F168" s="3">
        <v>1500</v>
      </c>
      <c r="G168" s="3">
        <v>1500</v>
      </c>
      <c r="H168" s="3">
        <v>1500</v>
      </c>
      <c r="I168" s="3">
        <v>1500</v>
      </c>
      <c r="J168" s="3">
        <v>1500</v>
      </c>
      <c r="K168" s="3">
        <v>1500</v>
      </c>
      <c r="L168" s="3">
        <v>1500</v>
      </c>
      <c r="M168" s="3">
        <v>1500</v>
      </c>
      <c r="N168" s="3">
        <v>1500</v>
      </c>
      <c r="O168" s="3">
        <v>0</v>
      </c>
      <c r="P168" s="3">
        <v>0</v>
      </c>
      <c r="Q168" s="3">
        <v>621.35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1500</v>
      </c>
      <c r="AD168" s="3">
        <v>1500</v>
      </c>
      <c r="AE168" s="3">
        <v>1500</v>
      </c>
      <c r="AF168" s="3">
        <v>1500</v>
      </c>
      <c r="AG168" s="3">
        <v>1500</v>
      </c>
      <c r="AH168" s="3">
        <v>1500</v>
      </c>
      <c r="AI168" s="3">
        <v>1500</v>
      </c>
      <c r="AJ168" s="3">
        <v>1500</v>
      </c>
      <c r="AK168" s="3">
        <v>1500</v>
      </c>
      <c r="AL168" s="3">
        <v>1500</v>
      </c>
      <c r="AM168" s="3">
        <v>0</v>
      </c>
      <c r="AN168" s="3">
        <v>0</v>
      </c>
      <c r="AO168" s="3"/>
    </row>
    <row r="169" spans="2:41" x14ac:dyDescent="0.2">
      <c r="B169">
        <v>514</v>
      </c>
      <c r="C169">
        <v>1</v>
      </c>
      <c r="D169" t="s">
        <v>225</v>
      </c>
      <c r="E169" s="3">
        <v>573.12</v>
      </c>
      <c r="F169" s="3">
        <v>573.12</v>
      </c>
      <c r="G169" s="3">
        <v>573.12</v>
      </c>
      <c r="H169" s="3">
        <v>573.12</v>
      </c>
      <c r="I169" s="3">
        <v>573.12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573.12</v>
      </c>
      <c r="AD169" s="3">
        <v>573.12</v>
      </c>
      <c r="AE169" s="3">
        <v>573.12</v>
      </c>
      <c r="AF169" s="3">
        <v>573.12</v>
      </c>
      <c r="AG169" s="3">
        <v>573.12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/>
    </row>
    <row r="170" spans="2:41" x14ac:dyDescent="0.2">
      <c r="B170">
        <v>516</v>
      </c>
      <c r="C170">
        <v>1</v>
      </c>
      <c r="D170" t="s">
        <v>226</v>
      </c>
      <c r="E170" s="3">
        <v>1820.41</v>
      </c>
      <c r="F170" s="3">
        <v>1500</v>
      </c>
      <c r="G170" s="3">
        <v>1500</v>
      </c>
      <c r="H170" s="3">
        <v>1500</v>
      </c>
      <c r="I170" s="3">
        <v>1500</v>
      </c>
      <c r="J170" s="3">
        <v>1500</v>
      </c>
      <c r="K170" s="3">
        <v>1500</v>
      </c>
      <c r="L170" s="3">
        <v>1500</v>
      </c>
      <c r="M170" s="3">
        <v>1500</v>
      </c>
      <c r="N170" s="3">
        <v>1500</v>
      </c>
      <c r="O170" s="3">
        <v>0</v>
      </c>
      <c r="P170" s="3">
        <v>0</v>
      </c>
      <c r="Q170" s="3">
        <v>320.41000000000003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1500</v>
      </c>
      <c r="AD170" s="3">
        <v>1500</v>
      </c>
      <c r="AE170" s="3">
        <v>1500</v>
      </c>
      <c r="AF170" s="3">
        <v>1500</v>
      </c>
      <c r="AG170" s="3">
        <v>1500</v>
      </c>
      <c r="AH170" s="3">
        <v>1500</v>
      </c>
      <c r="AI170" s="3">
        <v>1500</v>
      </c>
      <c r="AJ170" s="3">
        <v>1500</v>
      </c>
      <c r="AK170" s="3">
        <v>1500</v>
      </c>
      <c r="AL170" s="3">
        <v>1500</v>
      </c>
      <c r="AM170" s="3">
        <v>0</v>
      </c>
      <c r="AN170" s="3">
        <v>0</v>
      </c>
      <c r="AO170" s="3"/>
    </row>
    <row r="171" spans="2:41" x14ac:dyDescent="0.2">
      <c r="B171">
        <v>518</v>
      </c>
      <c r="C171">
        <v>1</v>
      </c>
      <c r="D171" t="s">
        <v>227</v>
      </c>
      <c r="E171" s="3">
        <v>401.78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401.78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/>
    </row>
    <row r="172" spans="2:41" x14ac:dyDescent="0.2">
      <c r="B172">
        <v>531</v>
      </c>
      <c r="C172">
        <v>1</v>
      </c>
      <c r="D172" t="s">
        <v>228</v>
      </c>
      <c r="E172" s="3">
        <v>126.1</v>
      </c>
      <c r="F172" s="3">
        <v>126.1</v>
      </c>
      <c r="G172" s="3">
        <v>126.1</v>
      </c>
      <c r="H172" s="3">
        <v>126.1</v>
      </c>
      <c r="I172" s="3">
        <v>126.1</v>
      </c>
      <c r="J172" s="3">
        <v>126.1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126.1</v>
      </c>
      <c r="R172" s="3">
        <v>126.1</v>
      </c>
      <c r="S172" s="3">
        <v>126.1</v>
      </c>
      <c r="T172" s="3">
        <v>126.1</v>
      </c>
      <c r="U172" s="3">
        <v>126.1</v>
      </c>
      <c r="V172" s="3">
        <v>126.1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/>
    </row>
    <row r="173" spans="2:41" x14ac:dyDescent="0.2">
      <c r="B173">
        <v>533</v>
      </c>
      <c r="C173">
        <v>1</v>
      </c>
      <c r="D173" t="s">
        <v>229</v>
      </c>
      <c r="E173" s="3">
        <v>126.79</v>
      </c>
      <c r="F173" s="3">
        <v>126.79</v>
      </c>
      <c r="G173" s="3">
        <v>126.79</v>
      </c>
      <c r="H173" s="3">
        <v>126.79</v>
      </c>
      <c r="I173" s="3">
        <v>126.79</v>
      </c>
      <c r="J173" s="3">
        <v>126.79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126.79</v>
      </c>
      <c r="R173" s="3">
        <v>126.79</v>
      </c>
      <c r="S173" s="3">
        <v>126.79</v>
      </c>
      <c r="T173" s="3">
        <v>126.79</v>
      </c>
      <c r="U173" s="3">
        <v>126.79</v>
      </c>
      <c r="V173" s="3">
        <v>126.79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/>
    </row>
    <row r="174" spans="2:41" x14ac:dyDescent="0.2">
      <c r="B174">
        <v>534</v>
      </c>
      <c r="C174">
        <v>1</v>
      </c>
      <c r="D174" t="s">
        <v>230</v>
      </c>
      <c r="E174" s="3">
        <v>820.35</v>
      </c>
      <c r="F174" s="3">
        <v>820.35</v>
      </c>
      <c r="G174" s="3">
        <v>820.35</v>
      </c>
      <c r="H174" s="3">
        <v>820.35</v>
      </c>
      <c r="I174" s="3">
        <v>820.35</v>
      </c>
      <c r="J174" s="3">
        <v>820.35</v>
      </c>
      <c r="K174" s="3">
        <v>620</v>
      </c>
      <c r="L174" s="3">
        <v>620</v>
      </c>
      <c r="M174" s="3">
        <v>620</v>
      </c>
      <c r="N174" s="3">
        <v>0</v>
      </c>
      <c r="O174" s="3">
        <v>0</v>
      </c>
      <c r="P174" s="3">
        <v>0</v>
      </c>
      <c r="Q174" s="3">
        <v>200.35</v>
      </c>
      <c r="R174" s="3">
        <v>200.35</v>
      </c>
      <c r="S174" s="3">
        <v>200.35</v>
      </c>
      <c r="T174" s="3">
        <v>200.35</v>
      </c>
      <c r="U174" s="3">
        <v>200.35</v>
      </c>
      <c r="V174" s="3">
        <v>200.35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620</v>
      </c>
      <c r="AD174" s="3">
        <v>620</v>
      </c>
      <c r="AE174" s="3">
        <v>620</v>
      </c>
      <c r="AF174" s="3">
        <v>620</v>
      </c>
      <c r="AG174" s="3">
        <v>620</v>
      </c>
      <c r="AH174" s="3">
        <v>620</v>
      </c>
      <c r="AI174" s="3">
        <v>620</v>
      </c>
      <c r="AJ174" s="3">
        <v>620</v>
      </c>
      <c r="AK174" s="3">
        <v>620</v>
      </c>
      <c r="AL174" s="3">
        <v>0</v>
      </c>
      <c r="AM174" s="3">
        <v>0</v>
      </c>
      <c r="AN174" s="3">
        <v>0</v>
      </c>
      <c r="AO174" s="3"/>
    </row>
    <row r="175" spans="2:41" x14ac:dyDescent="0.2">
      <c r="B175">
        <v>535</v>
      </c>
      <c r="C175">
        <v>1</v>
      </c>
      <c r="D175" t="s">
        <v>231</v>
      </c>
      <c r="E175" s="3">
        <v>440.84</v>
      </c>
      <c r="F175" s="3">
        <v>440.84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440.84</v>
      </c>
      <c r="R175" s="3">
        <v>440.84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/>
    </row>
    <row r="176" spans="2:41" x14ac:dyDescent="0.2">
      <c r="B176">
        <v>542</v>
      </c>
      <c r="C176">
        <v>1</v>
      </c>
      <c r="D176" t="s">
        <v>232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/>
    </row>
    <row r="177" spans="2:41" x14ac:dyDescent="0.2">
      <c r="B177">
        <v>544</v>
      </c>
      <c r="C177">
        <v>1</v>
      </c>
      <c r="D177" t="s">
        <v>233</v>
      </c>
      <c r="E177" s="3">
        <v>417.78</v>
      </c>
      <c r="F177" s="3">
        <v>417.78</v>
      </c>
      <c r="G177" s="3">
        <v>417.78</v>
      </c>
      <c r="H177" s="3">
        <v>417.78</v>
      </c>
      <c r="I177" s="3">
        <v>416.05</v>
      </c>
      <c r="J177" s="3">
        <v>416.05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417.78</v>
      </c>
      <c r="R177" s="3">
        <v>417.78</v>
      </c>
      <c r="S177" s="3">
        <v>417.78</v>
      </c>
      <c r="T177" s="3">
        <v>417.78</v>
      </c>
      <c r="U177" s="3">
        <v>416.05</v>
      </c>
      <c r="V177" s="3">
        <v>416.05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/>
    </row>
    <row r="178" spans="2:41" x14ac:dyDescent="0.2">
      <c r="B178">
        <v>545</v>
      </c>
      <c r="C178">
        <v>1</v>
      </c>
      <c r="D178" t="s">
        <v>234</v>
      </c>
      <c r="E178" s="3">
        <v>1023.02</v>
      </c>
      <c r="F178" s="3">
        <v>1023.02</v>
      </c>
      <c r="G178" s="3">
        <v>1023.02</v>
      </c>
      <c r="H178" s="3">
        <v>1023.02</v>
      </c>
      <c r="I178" s="3">
        <v>1020.54</v>
      </c>
      <c r="J178" s="3">
        <v>1020.54</v>
      </c>
      <c r="K178" s="3">
        <v>612.32000000000005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1023.02</v>
      </c>
      <c r="R178" s="3">
        <v>1023.02</v>
      </c>
      <c r="S178" s="3">
        <v>1023.02</v>
      </c>
      <c r="T178" s="3">
        <v>1023.02</v>
      </c>
      <c r="U178" s="3">
        <v>1020.54</v>
      </c>
      <c r="V178" s="3">
        <v>1020.54</v>
      </c>
      <c r="W178" s="3">
        <v>612.32000000000005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/>
    </row>
    <row r="179" spans="2:41" x14ac:dyDescent="0.2">
      <c r="B179">
        <v>547</v>
      </c>
      <c r="C179">
        <v>1</v>
      </c>
      <c r="D179" t="s">
        <v>235</v>
      </c>
      <c r="E179" s="3">
        <v>402.15</v>
      </c>
      <c r="F179" s="3">
        <v>402.15</v>
      </c>
      <c r="G179" s="3">
        <v>402.15</v>
      </c>
      <c r="H179" s="3">
        <v>402.15</v>
      </c>
      <c r="I179" s="3">
        <v>402.15</v>
      </c>
      <c r="J179" s="3">
        <v>402.15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402.15</v>
      </c>
      <c r="R179" s="3">
        <v>402.15</v>
      </c>
      <c r="S179" s="3">
        <v>402.15</v>
      </c>
      <c r="T179" s="3">
        <v>402.15</v>
      </c>
      <c r="U179" s="3">
        <v>402.15</v>
      </c>
      <c r="V179" s="3">
        <v>402.15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/>
    </row>
    <row r="180" spans="2:41" x14ac:dyDescent="0.2">
      <c r="B180">
        <v>548</v>
      </c>
      <c r="C180">
        <v>1</v>
      </c>
      <c r="D180" t="s">
        <v>236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/>
    </row>
    <row r="181" spans="2:41" x14ac:dyDescent="0.2">
      <c r="B181">
        <v>549</v>
      </c>
      <c r="C181">
        <v>1</v>
      </c>
      <c r="D181" t="s">
        <v>237</v>
      </c>
      <c r="E181" s="3">
        <v>26.3</v>
      </c>
      <c r="F181" s="3">
        <v>26.3</v>
      </c>
      <c r="G181" s="3">
        <v>26.3</v>
      </c>
      <c r="H181" s="3">
        <v>26.3</v>
      </c>
      <c r="I181" s="3">
        <v>26.3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26.3</v>
      </c>
      <c r="R181" s="3">
        <v>26.3</v>
      </c>
      <c r="S181" s="3">
        <v>26.3</v>
      </c>
      <c r="T181" s="3">
        <v>26.3</v>
      </c>
      <c r="U181" s="3">
        <v>26.3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/>
    </row>
    <row r="182" spans="2:41" x14ac:dyDescent="0.2">
      <c r="B182">
        <v>550</v>
      </c>
      <c r="C182">
        <v>1</v>
      </c>
      <c r="D182" t="s">
        <v>238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/>
    </row>
    <row r="183" spans="2:41" x14ac:dyDescent="0.2">
      <c r="B183">
        <v>553</v>
      </c>
      <c r="C183">
        <v>1</v>
      </c>
      <c r="D183" t="s">
        <v>239</v>
      </c>
      <c r="E183" s="3">
        <v>200.29</v>
      </c>
      <c r="F183" s="3">
        <v>200.29</v>
      </c>
      <c r="G183" s="3">
        <v>200.29</v>
      </c>
      <c r="H183" s="3">
        <v>200.29</v>
      </c>
      <c r="I183" s="3">
        <v>200.29</v>
      </c>
      <c r="J183" s="3">
        <v>200.29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200.29</v>
      </c>
      <c r="R183" s="3">
        <v>200.29</v>
      </c>
      <c r="S183" s="3">
        <v>200.29</v>
      </c>
      <c r="T183" s="3">
        <v>200.29</v>
      </c>
      <c r="U183" s="3">
        <v>200.29</v>
      </c>
      <c r="V183" s="3">
        <v>200.29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/>
    </row>
    <row r="184" spans="2:41" x14ac:dyDescent="0.2">
      <c r="B184">
        <v>561</v>
      </c>
      <c r="C184">
        <v>1</v>
      </c>
      <c r="D184" t="s">
        <v>240</v>
      </c>
      <c r="E184" s="3">
        <v>1848.46</v>
      </c>
      <c r="F184" s="3">
        <v>1848.46</v>
      </c>
      <c r="G184" s="3">
        <v>1750</v>
      </c>
      <c r="H184" s="3">
        <v>1750</v>
      </c>
      <c r="I184" s="3">
        <v>1750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1848.46</v>
      </c>
      <c r="R184" s="3">
        <v>1848.46</v>
      </c>
      <c r="S184" s="3">
        <v>1750</v>
      </c>
      <c r="T184" s="3">
        <v>1750</v>
      </c>
      <c r="U184" s="3">
        <v>1750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/>
    </row>
    <row r="185" spans="2:41" x14ac:dyDescent="0.2">
      <c r="B185">
        <v>564</v>
      </c>
      <c r="C185">
        <v>1</v>
      </c>
      <c r="D185" t="s">
        <v>241</v>
      </c>
      <c r="E185" s="3">
        <v>749.2</v>
      </c>
      <c r="F185" s="3">
        <v>749.2</v>
      </c>
      <c r="G185" s="3">
        <v>749.2</v>
      </c>
      <c r="H185" s="3">
        <v>749.2</v>
      </c>
      <c r="I185" s="3">
        <v>749.2</v>
      </c>
      <c r="J185" s="3">
        <v>749.2</v>
      </c>
      <c r="K185" s="3">
        <v>621.96</v>
      </c>
      <c r="L185" s="3">
        <v>621.96</v>
      </c>
      <c r="M185" s="3">
        <v>621.96</v>
      </c>
      <c r="N185" s="3">
        <v>0</v>
      </c>
      <c r="O185" s="3">
        <v>0</v>
      </c>
      <c r="P185" s="3">
        <v>0</v>
      </c>
      <c r="Q185" s="3">
        <v>127.24</v>
      </c>
      <c r="R185" s="3">
        <v>127.24</v>
      </c>
      <c r="S185" s="3">
        <v>127.24</v>
      </c>
      <c r="T185" s="3">
        <v>127.24</v>
      </c>
      <c r="U185" s="3">
        <v>127.24</v>
      </c>
      <c r="V185" s="3">
        <v>127.24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621.96</v>
      </c>
      <c r="AD185" s="3">
        <v>621.96</v>
      </c>
      <c r="AE185" s="3">
        <v>621.96</v>
      </c>
      <c r="AF185" s="3">
        <v>621.96</v>
      </c>
      <c r="AG185" s="3">
        <v>621.96</v>
      </c>
      <c r="AH185" s="3">
        <v>621.96</v>
      </c>
      <c r="AI185" s="3">
        <v>621.96</v>
      </c>
      <c r="AJ185" s="3">
        <v>621.96</v>
      </c>
      <c r="AK185" s="3">
        <v>621.96</v>
      </c>
      <c r="AL185" s="3">
        <v>0</v>
      </c>
      <c r="AM185" s="3">
        <v>0</v>
      </c>
      <c r="AN185" s="3">
        <v>0</v>
      </c>
      <c r="AO185" s="3"/>
    </row>
    <row r="186" spans="2:41" x14ac:dyDescent="0.2">
      <c r="B186">
        <v>577</v>
      </c>
      <c r="C186">
        <v>1</v>
      </c>
      <c r="D186" t="s">
        <v>242</v>
      </c>
      <c r="E186" s="3">
        <v>126.32</v>
      </c>
      <c r="F186" s="3">
        <v>126.32</v>
      </c>
      <c r="G186" s="3">
        <v>126.32</v>
      </c>
      <c r="H186" s="3">
        <v>126.32</v>
      </c>
      <c r="I186" s="3">
        <v>126.32</v>
      </c>
      <c r="J186" s="3">
        <v>126.32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126.32</v>
      </c>
      <c r="R186" s="3">
        <v>126.32</v>
      </c>
      <c r="S186" s="3">
        <v>126.32</v>
      </c>
      <c r="T186" s="3">
        <v>126.32</v>
      </c>
      <c r="U186" s="3">
        <v>126.32</v>
      </c>
      <c r="V186" s="3">
        <v>126.32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/>
    </row>
    <row r="187" spans="2:41" x14ac:dyDescent="0.2">
      <c r="B187">
        <v>578</v>
      </c>
      <c r="C187">
        <v>1</v>
      </c>
      <c r="D187" t="s">
        <v>243</v>
      </c>
      <c r="E187" s="3">
        <v>838.64</v>
      </c>
      <c r="F187" s="3">
        <v>838.64</v>
      </c>
      <c r="G187" s="3">
        <v>838.64</v>
      </c>
      <c r="H187" s="3">
        <v>838.64</v>
      </c>
      <c r="I187" s="3">
        <v>838.64</v>
      </c>
      <c r="J187" s="3">
        <v>826.56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838.64</v>
      </c>
      <c r="R187" s="3">
        <v>838.64</v>
      </c>
      <c r="S187" s="3">
        <v>838.64</v>
      </c>
      <c r="T187" s="3">
        <v>838.64</v>
      </c>
      <c r="U187" s="3">
        <v>838.64</v>
      </c>
      <c r="V187" s="3">
        <v>826.56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/>
    </row>
    <row r="188" spans="2:41" x14ac:dyDescent="0.2">
      <c r="B188">
        <v>581</v>
      </c>
      <c r="C188">
        <v>1</v>
      </c>
      <c r="D188" t="s">
        <v>244</v>
      </c>
      <c r="E188" s="3">
        <v>613.54</v>
      </c>
      <c r="F188" s="3">
        <v>613.54</v>
      </c>
      <c r="G188" s="3">
        <v>613.54</v>
      </c>
      <c r="H188" s="3">
        <v>613.54</v>
      </c>
      <c r="I188" s="3">
        <v>613.54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613.54</v>
      </c>
      <c r="R188" s="3">
        <v>613.54</v>
      </c>
      <c r="S188" s="3">
        <v>613.54</v>
      </c>
      <c r="T188" s="3">
        <v>613.54</v>
      </c>
      <c r="U188" s="3">
        <v>613.54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/>
    </row>
    <row r="189" spans="2:41" x14ac:dyDescent="0.2">
      <c r="B189">
        <v>592</v>
      </c>
      <c r="C189">
        <v>1</v>
      </c>
      <c r="D189" t="s">
        <v>246</v>
      </c>
      <c r="E189" s="3">
        <v>1931.73</v>
      </c>
      <c r="F189" s="3">
        <v>1931.73</v>
      </c>
      <c r="G189" s="3">
        <v>1931.73</v>
      </c>
      <c r="H189" s="3">
        <v>1931.73</v>
      </c>
      <c r="I189" s="3">
        <v>1931.73</v>
      </c>
      <c r="J189" s="3">
        <v>1931.73</v>
      </c>
      <c r="K189" s="3">
        <v>1931.73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1931.73</v>
      </c>
      <c r="R189" s="3">
        <v>1931.73</v>
      </c>
      <c r="S189" s="3">
        <v>1931.73</v>
      </c>
      <c r="T189" s="3">
        <v>1931.73</v>
      </c>
      <c r="U189" s="3">
        <v>1931.73</v>
      </c>
      <c r="V189" s="3">
        <v>1931.73</v>
      </c>
      <c r="W189" s="3">
        <v>1931.73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/>
    </row>
    <row r="190" spans="2:41" x14ac:dyDescent="0.2">
      <c r="B190">
        <v>593</v>
      </c>
      <c r="C190">
        <v>1</v>
      </c>
      <c r="D190" t="s">
        <v>247</v>
      </c>
      <c r="E190" s="3">
        <v>601.44000000000005</v>
      </c>
      <c r="F190" s="3">
        <v>601.44000000000005</v>
      </c>
      <c r="G190" s="3">
        <v>601.44000000000005</v>
      </c>
      <c r="H190" s="3">
        <v>601.44000000000005</v>
      </c>
      <c r="I190" s="3">
        <v>601.44000000000005</v>
      </c>
      <c r="J190" s="3">
        <v>601.44000000000005</v>
      </c>
      <c r="K190" s="3">
        <v>250</v>
      </c>
      <c r="L190" s="3">
        <v>250</v>
      </c>
      <c r="M190" s="3">
        <v>250</v>
      </c>
      <c r="N190" s="3">
        <v>0</v>
      </c>
      <c r="O190" s="3">
        <v>0</v>
      </c>
      <c r="P190" s="3">
        <v>0</v>
      </c>
      <c r="Q190" s="3">
        <v>351.44</v>
      </c>
      <c r="R190" s="3">
        <v>351.44</v>
      </c>
      <c r="S190" s="3">
        <v>351.44</v>
      </c>
      <c r="T190" s="3">
        <v>351.44</v>
      </c>
      <c r="U190" s="3">
        <v>351.44</v>
      </c>
      <c r="V190" s="3">
        <v>351.44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250</v>
      </c>
      <c r="AD190" s="3">
        <v>250</v>
      </c>
      <c r="AE190" s="3">
        <v>250</v>
      </c>
      <c r="AF190" s="3">
        <v>250</v>
      </c>
      <c r="AG190" s="3">
        <v>250</v>
      </c>
      <c r="AH190" s="3">
        <v>250</v>
      </c>
      <c r="AI190" s="3">
        <v>250</v>
      </c>
      <c r="AJ190" s="3">
        <v>250</v>
      </c>
      <c r="AK190" s="3">
        <v>250</v>
      </c>
      <c r="AL190" s="3">
        <v>0</v>
      </c>
      <c r="AM190" s="3">
        <v>0</v>
      </c>
      <c r="AN190" s="3">
        <v>0</v>
      </c>
      <c r="AO190" s="3"/>
    </row>
    <row r="191" spans="2:41" x14ac:dyDescent="0.2">
      <c r="B191">
        <v>595</v>
      </c>
      <c r="C191">
        <v>1</v>
      </c>
      <c r="D191" t="s">
        <v>248</v>
      </c>
      <c r="E191" s="3">
        <v>126.17</v>
      </c>
      <c r="F191" s="3">
        <v>126.17</v>
      </c>
      <c r="G191" s="3">
        <v>126.17</v>
      </c>
      <c r="H191" s="3">
        <v>126.17</v>
      </c>
      <c r="I191" s="3">
        <v>126.17</v>
      </c>
      <c r="J191" s="3">
        <v>126.17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126.17</v>
      </c>
      <c r="R191" s="3">
        <v>126.17</v>
      </c>
      <c r="S191" s="3">
        <v>126.17</v>
      </c>
      <c r="T191" s="3">
        <v>126.17</v>
      </c>
      <c r="U191" s="3">
        <v>126.17</v>
      </c>
      <c r="V191" s="3">
        <v>126.17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/>
    </row>
    <row r="192" spans="2:41" x14ac:dyDescent="0.2">
      <c r="B192">
        <v>599</v>
      </c>
      <c r="C192">
        <v>1</v>
      </c>
      <c r="D192" t="s">
        <v>249</v>
      </c>
      <c r="E192" s="3">
        <v>1201.24</v>
      </c>
      <c r="F192" s="3">
        <v>1201.24</v>
      </c>
      <c r="G192" s="3">
        <v>1201.24</v>
      </c>
      <c r="H192" s="3">
        <v>1201.24</v>
      </c>
      <c r="I192" s="3">
        <v>1201.24</v>
      </c>
      <c r="J192" s="3">
        <v>1200</v>
      </c>
      <c r="K192" s="3">
        <v>1200</v>
      </c>
      <c r="L192" s="3">
        <v>1200</v>
      </c>
      <c r="M192" s="3">
        <v>0</v>
      </c>
      <c r="N192" s="3">
        <v>0</v>
      </c>
      <c r="O192" s="3">
        <v>0</v>
      </c>
      <c r="P192" s="3">
        <v>0</v>
      </c>
      <c r="Q192" s="3">
        <v>1201.24</v>
      </c>
      <c r="R192" s="3">
        <v>1201.24</v>
      </c>
      <c r="S192" s="3">
        <v>1201.24</v>
      </c>
      <c r="T192" s="3">
        <v>1201.24</v>
      </c>
      <c r="U192" s="3">
        <v>1201.24</v>
      </c>
      <c r="V192" s="3">
        <v>1200</v>
      </c>
      <c r="W192" s="3">
        <v>1200</v>
      </c>
      <c r="X192" s="3">
        <v>1200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/>
    </row>
    <row r="193" spans="2:41" x14ac:dyDescent="0.2">
      <c r="B193">
        <v>600</v>
      </c>
      <c r="C193">
        <v>1</v>
      </c>
      <c r="D193" t="s">
        <v>250</v>
      </c>
      <c r="E193" s="3">
        <v>900</v>
      </c>
      <c r="F193" s="3">
        <v>900</v>
      </c>
      <c r="G193" s="3">
        <v>900</v>
      </c>
      <c r="H193" s="3">
        <v>900</v>
      </c>
      <c r="I193" s="3">
        <v>900</v>
      </c>
      <c r="J193" s="3">
        <v>900</v>
      </c>
      <c r="K193" s="3">
        <v>900</v>
      </c>
      <c r="L193" s="3">
        <v>900</v>
      </c>
      <c r="M193" s="3">
        <v>900</v>
      </c>
      <c r="N193" s="3">
        <v>900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900</v>
      </c>
      <c r="AD193" s="3">
        <v>900</v>
      </c>
      <c r="AE193" s="3">
        <v>900</v>
      </c>
      <c r="AF193" s="3">
        <v>900</v>
      </c>
      <c r="AG193" s="3">
        <v>900</v>
      </c>
      <c r="AH193" s="3">
        <v>900</v>
      </c>
      <c r="AI193" s="3">
        <v>900</v>
      </c>
      <c r="AJ193" s="3">
        <v>900</v>
      </c>
      <c r="AK193" s="3">
        <v>900</v>
      </c>
      <c r="AL193" s="3">
        <v>900</v>
      </c>
      <c r="AM193" s="3">
        <v>0</v>
      </c>
      <c r="AN193" s="3">
        <v>0</v>
      </c>
      <c r="AO193" s="3"/>
    </row>
    <row r="194" spans="2:41" x14ac:dyDescent="0.2">
      <c r="B194">
        <v>601</v>
      </c>
      <c r="C194">
        <v>1</v>
      </c>
      <c r="D194" t="s">
        <v>251</v>
      </c>
      <c r="E194" s="3">
        <v>826.06</v>
      </c>
      <c r="F194" s="3">
        <v>826.06</v>
      </c>
      <c r="G194" s="3">
        <v>826.06</v>
      </c>
      <c r="H194" s="3">
        <v>826.06</v>
      </c>
      <c r="I194" s="3">
        <v>826.06</v>
      </c>
      <c r="J194" s="3">
        <v>826.06</v>
      </c>
      <c r="K194" s="3">
        <v>700</v>
      </c>
      <c r="L194" s="3">
        <v>700</v>
      </c>
      <c r="M194" s="3">
        <v>700</v>
      </c>
      <c r="N194" s="3">
        <v>700</v>
      </c>
      <c r="O194" s="3">
        <v>0</v>
      </c>
      <c r="P194" s="3">
        <v>0</v>
      </c>
      <c r="Q194" s="3">
        <v>126.06</v>
      </c>
      <c r="R194" s="3">
        <v>126.06</v>
      </c>
      <c r="S194" s="3">
        <v>126.06</v>
      </c>
      <c r="T194" s="3">
        <v>126.06</v>
      </c>
      <c r="U194" s="3">
        <v>126.06</v>
      </c>
      <c r="V194" s="3">
        <v>126.06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700</v>
      </c>
      <c r="AD194" s="3">
        <v>700</v>
      </c>
      <c r="AE194" s="3">
        <v>700</v>
      </c>
      <c r="AF194" s="3">
        <v>700</v>
      </c>
      <c r="AG194" s="3">
        <v>700</v>
      </c>
      <c r="AH194" s="3">
        <v>700</v>
      </c>
      <c r="AI194" s="3">
        <v>700</v>
      </c>
      <c r="AJ194" s="3">
        <v>700</v>
      </c>
      <c r="AK194" s="3">
        <v>700</v>
      </c>
      <c r="AL194" s="3">
        <v>700</v>
      </c>
      <c r="AM194" s="3">
        <v>0</v>
      </c>
      <c r="AN194" s="3">
        <v>0</v>
      </c>
      <c r="AO194" s="3"/>
    </row>
    <row r="195" spans="2:41" x14ac:dyDescent="0.2">
      <c r="B195">
        <v>611</v>
      </c>
      <c r="C195">
        <v>1</v>
      </c>
      <c r="D195" t="s">
        <v>252</v>
      </c>
      <c r="E195" s="3">
        <v>1112.08</v>
      </c>
      <c r="F195" s="3">
        <v>1112.08</v>
      </c>
      <c r="G195" s="3">
        <v>1112.08</v>
      </c>
      <c r="H195" s="3">
        <v>1112.08</v>
      </c>
      <c r="I195" s="3">
        <v>696.62</v>
      </c>
      <c r="J195" s="3">
        <v>446.62</v>
      </c>
      <c r="K195" s="3">
        <v>446.62</v>
      </c>
      <c r="L195" s="3">
        <v>446.62</v>
      </c>
      <c r="M195" s="3">
        <v>446.62</v>
      </c>
      <c r="N195" s="3">
        <v>446.62</v>
      </c>
      <c r="O195" s="3">
        <v>0</v>
      </c>
      <c r="P195" s="3">
        <v>0</v>
      </c>
      <c r="Q195" s="3">
        <v>415.46</v>
      </c>
      <c r="R195" s="3">
        <v>415.46</v>
      </c>
      <c r="S195" s="3">
        <v>415.46</v>
      </c>
      <c r="T195" s="3">
        <v>415.46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696.62</v>
      </c>
      <c r="AD195" s="3">
        <v>696.62</v>
      </c>
      <c r="AE195" s="3">
        <v>696.62</v>
      </c>
      <c r="AF195" s="3">
        <v>696.62</v>
      </c>
      <c r="AG195" s="3">
        <v>696.62</v>
      </c>
      <c r="AH195" s="3">
        <v>446.62</v>
      </c>
      <c r="AI195" s="3">
        <v>446.62</v>
      </c>
      <c r="AJ195" s="3">
        <v>446.62</v>
      </c>
      <c r="AK195" s="3">
        <v>446.62</v>
      </c>
      <c r="AL195" s="3">
        <v>446.62</v>
      </c>
      <c r="AM195" s="3">
        <v>0</v>
      </c>
      <c r="AN195" s="3">
        <v>0</v>
      </c>
      <c r="AO195" s="3"/>
    </row>
    <row r="196" spans="2:41" x14ac:dyDescent="0.2">
      <c r="B196">
        <v>621</v>
      </c>
      <c r="C196">
        <v>1</v>
      </c>
      <c r="D196" t="s">
        <v>253</v>
      </c>
      <c r="E196" s="3">
        <v>853.93</v>
      </c>
      <c r="F196" s="3">
        <v>853.93</v>
      </c>
      <c r="G196" s="3">
        <v>532.54</v>
      </c>
      <c r="H196" s="3">
        <v>532.54</v>
      </c>
      <c r="I196" s="3">
        <v>532.54</v>
      </c>
      <c r="J196" s="3">
        <v>532.54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853.93</v>
      </c>
      <c r="R196" s="3">
        <v>853.93</v>
      </c>
      <c r="S196" s="3">
        <v>532.54</v>
      </c>
      <c r="T196" s="3">
        <v>532.54</v>
      </c>
      <c r="U196" s="3">
        <v>532.54</v>
      </c>
      <c r="V196" s="3">
        <v>532.54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/>
    </row>
    <row r="197" spans="2:41" x14ac:dyDescent="0.2">
      <c r="B197">
        <v>622</v>
      </c>
      <c r="C197">
        <v>1</v>
      </c>
      <c r="D197" t="s">
        <v>254</v>
      </c>
      <c r="E197" s="3">
        <v>833.02</v>
      </c>
      <c r="F197" s="3">
        <v>833.02</v>
      </c>
      <c r="G197" s="3">
        <v>833.02</v>
      </c>
      <c r="H197" s="3">
        <v>833.02</v>
      </c>
      <c r="I197" s="3">
        <v>833.02</v>
      </c>
      <c r="J197" s="3">
        <v>833.02</v>
      </c>
      <c r="K197" s="3">
        <v>833.02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833.02</v>
      </c>
      <c r="R197" s="3">
        <v>833.02</v>
      </c>
      <c r="S197" s="3">
        <v>833.02</v>
      </c>
      <c r="T197" s="3">
        <v>833.02</v>
      </c>
      <c r="U197" s="3">
        <v>833.02</v>
      </c>
      <c r="V197" s="3">
        <v>833.02</v>
      </c>
      <c r="W197" s="3">
        <v>833.02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/>
    </row>
    <row r="198" spans="2:41" x14ac:dyDescent="0.2">
      <c r="B198">
        <v>623</v>
      </c>
      <c r="C198">
        <v>1</v>
      </c>
      <c r="D198" t="s">
        <v>255</v>
      </c>
      <c r="E198" s="3">
        <v>1188.73</v>
      </c>
      <c r="F198" s="3">
        <v>1188.73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1188.73</v>
      </c>
      <c r="R198" s="3">
        <v>1188.73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/>
    </row>
    <row r="199" spans="2:41" x14ac:dyDescent="0.2">
      <c r="B199">
        <v>624</v>
      </c>
      <c r="C199">
        <v>1</v>
      </c>
      <c r="D199" t="s">
        <v>256</v>
      </c>
      <c r="E199" s="3">
        <v>841.78</v>
      </c>
      <c r="F199" s="3">
        <v>841.78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841.78</v>
      </c>
      <c r="R199" s="3">
        <v>841.78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/>
    </row>
    <row r="200" spans="2:41" x14ac:dyDescent="0.2">
      <c r="B200">
        <v>625</v>
      </c>
      <c r="C200">
        <v>1</v>
      </c>
      <c r="D200" t="s">
        <v>257</v>
      </c>
      <c r="E200" s="3">
        <v>331.46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331.46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/>
    </row>
    <row r="201" spans="2:41" x14ac:dyDescent="0.2">
      <c r="B201">
        <v>627</v>
      </c>
      <c r="C201">
        <v>1</v>
      </c>
      <c r="D201" t="s">
        <v>258</v>
      </c>
      <c r="E201" s="3">
        <v>1130.75</v>
      </c>
      <c r="F201" s="3">
        <v>1130.75</v>
      </c>
      <c r="G201" s="3">
        <v>1000</v>
      </c>
      <c r="H201" s="3">
        <v>1000</v>
      </c>
      <c r="I201" s="3">
        <v>1000</v>
      </c>
      <c r="J201" s="3">
        <v>1000</v>
      </c>
      <c r="K201" s="3">
        <v>1000</v>
      </c>
      <c r="L201" s="3">
        <v>1000</v>
      </c>
      <c r="M201" s="3">
        <v>1000</v>
      </c>
      <c r="N201" s="3">
        <v>1000</v>
      </c>
      <c r="O201" s="3">
        <v>0</v>
      </c>
      <c r="P201" s="3">
        <v>0</v>
      </c>
      <c r="Q201" s="3">
        <v>130.75</v>
      </c>
      <c r="R201" s="3">
        <v>130.75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1000</v>
      </c>
      <c r="AD201" s="3">
        <v>1000</v>
      </c>
      <c r="AE201" s="3">
        <v>1000</v>
      </c>
      <c r="AF201" s="3">
        <v>1000</v>
      </c>
      <c r="AG201" s="3">
        <v>1000</v>
      </c>
      <c r="AH201" s="3">
        <v>1000</v>
      </c>
      <c r="AI201" s="3">
        <v>1000</v>
      </c>
      <c r="AJ201" s="3">
        <v>1000</v>
      </c>
      <c r="AK201" s="3">
        <v>1000</v>
      </c>
      <c r="AL201" s="3">
        <v>1000</v>
      </c>
      <c r="AM201" s="3">
        <v>0</v>
      </c>
      <c r="AN201" s="3">
        <v>0</v>
      </c>
      <c r="AO201" s="3"/>
    </row>
    <row r="202" spans="2:41" x14ac:dyDescent="0.2">
      <c r="B202">
        <v>628</v>
      </c>
      <c r="C202">
        <v>1</v>
      </c>
      <c r="D202" t="s">
        <v>259</v>
      </c>
      <c r="E202" s="3">
        <v>1293.24</v>
      </c>
      <c r="F202" s="3">
        <v>1293.24</v>
      </c>
      <c r="G202" s="3">
        <v>1293.24</v>
      </c>
      <c r="H202" s="3">
        <v>1293.24</v>
      </c>
      <c r="I202" s="3">
        <v>1293.24</v>
      </c>
      <c r="J202" s="3">
        <v>1293.24</v>
      </c>
      <c r="K202" s="3">
        <v>1293.24</v>
      </c>
      <c r="L202" s="3">
        <v>1293.24</v>
      </c>
      <c r="M202" s="3">
        <v>1293.24</v>
      </c>
      <c r="N202" s="3">
        <v>1293.24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1293.24</v>
      </c>
      <c r="AD202" s="3">
        <v>1293.24</v>
      </c>
      <c r="AE202" s="3">
        <v>1293.24</v>
      </c>
      <c r="AF202" s="3">
        <v>1293.24</v>
      </c>
      <c r="AG202" s="3">
        <v>1293.24</v>
      </c>
      <c r="AH202" s="3">
        <v>1293.24</v>
      </c>
      <c r="AI202" s="3">
        <v>1293.24</v>
      </c>
      <c r="AJ202" s="3">
        <v>1293.24</v>
      </c>
      <c r="AK202" s="3">
        <v>1293.24</v>
      </c>
      <c r="AL202" s="3">
        <v>1293.24</v>
      </c>
      <c r="AM202" s="3">
        <v>0</v>
      </c>
      <c r="AN202" s="3">
        <v>0</v>
      </c>
      <c r="AO202" s="3"/>
    </row>
    <row r="203" spans="2:41" x14ac:dyDescent="0.2">
      <c r="B203">
        <v>630</v>
      </c>
      <c r="C203">
        <v>1</v>
      </c>
      <c r="D203" t="s">
        <v>260</v>
      </c>
      <c r="E203" s="3">
        <v>1000</v>
      </c>
      <c r="F203" s="3">
        <v>1000</v>
      </c>
      <c r="G203" s="3">
        <v>1000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1000</v>
      </c>
      <c r="R203" s="3">
        <v>1000</v>
      </c>
      <c r="S203" s="3">
        <v>1000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/>
    </row>
    <row r="204" spans="2:41" x14ac:dyDescent="0.2">
      <c r="B204">
        <v>635</v>
      </c>
      <c r="C204">
        <v>1</v>
      </c>
      <c r="D204" t="s">
        <v>261</v>
      </c>
      <c r="E204" s="3">
        <v>841.03</v>
      </c>
      <c r="F204" s="3">
        <v>841.03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841.03</v>
      </c>
      <c r="R204" s="3">
        <v>841.03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/>
    </row>
    <row r="205" spans="2:41" x14ac:dyDescent="0.2">
      <c r="B205">
        <v>640</v>
      </c>
      <c r="C205">
        <v>1</v>
      </c>
      <c r="D205" t="s">
        <v>262</v>
      </c>
      <c r="E205" s="3">
        <v>500</v>
      </c>
      <c r="F205" s="3">
        <v>500</v>
      </c>
      <c r="G205" s="3">
        <v>500</v>
      </c>
      <c r="H205" s="3">
        <v>500</v>
      </c>
      <c r="I205" s="3">
        <v>500</v>
      </c>
      <c r="J205" s="3">
        <v>500</v>
      </c>
      <c r="K205" s="3">
        <v>500</v>
      </c>
      <c r="L205" s="3">
        <v>500</v>
      </c>
      <c r="M205" s="3">
        <v>0</v>
      </c>
      <c r="N205" s="3">
        <v>0</v>
      </c>
      <c r="O205" s="3">
        <v>0</v>
      </c>
      <c r="P205" s="3">
        <v>0</v>
      </c>
      <c r="Q205" s="3">
        <v>500</v>
      </c>
      <c r="R205" s="3">
        <v>500</v>
      </c>
      <c r="S205" s="3">
        <v>500</v>
      </c>
      <c r="T205" s="3">
        <v>500</v>
      </c>
      <c r="U205" s="3">
        <v>500</v>
      </c>
      <c r="V205" s="3">
        <v>500</v>
      </c>
      <c r="W205" s="3">
        <v>500</v>
      </c>
      <c r="X205" s="3">
        <v>500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/>
    </row>
    <row r="206" spans="2:41" x14ac:dyDescent="0.2">
      <c r="B206">
        <v>656</v>
      </c>
      <c r="C206">
        <v>1</v>
      </c>
      <c r="D206" t="s">
        <v>263</v>
      </c>
      <c r="E206" s="3">
        <v>385</v>
      </c>
      <c r="F206" s="3">
        <v>385</v>
      </c>
      <c r="G206" s="3">
        <v>385</v>
      </c>
      <c r="H206" s="3">
        <v>385</v>
      </c>
      <c r="I206" s="3">
        <v>385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385</v>
      </c>
      <c r="AD206" s="3">
        <v>385</v>
      </c>
      <c r="AE206" s="3">
        <v>385</v>
      </c>
      <c r="AF206" s="3">
        <v>385</v>
      </c>
      <c r="AG206" s="3">
        <v>385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/>
    </row>
    <row r="207" spans="2:41" x14ac:dyDescent="0.2">
      <c r="B207">
        <v>659</v>
      </c>
      <c r="C207">
        <v>1</v>
      </c>
      <c r="D207" t="s">
        <v>264</v>
      </c>
      <c r="E207" s="3">
        <v>685</v>
      </c>
      <c r="F207" s="3">
        <v>685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685</v>
      </c>
      <c r="R207" s="3">
        <v>685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/>
    </row>
    <row r="208" spans="2:41" x14ac:dyDescent="0.2">
      <c r="B208">
        <v>671</v>
      </c>
      <c r="C208">
        <v>1</v>
      </c>
      <c r="D208" t="s">
        <v>265</v>
      </c>
      <c r="E208" s="3">
        <v>855.79</v>
      </c>
      <c r="F208" s="3">
        <v>855.79</v>
      </c>
      <c r="G208" s="3">
        <v>855.79</v>
      </c>
      <c r="H208" s="3">
        <v>855.79</v>
      </c>
      <c r="I208" s="3">
        <v>855.79</v>
      </c>
      <c r="J208" s="3">
        <v>855.79</v>
      </c>
      <c r="K208" s="3">
        <v>855.79</v>
      </c>
      <c r="L208" s="3">
        <v>855.79</v>
      </c>
      <c r="M208" s="3">
        <v>855.79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855.79</v>
      </c>
      <c r="AD208" s="3">
        <v>855.79</v>
      </c>
      <c r="AE208" s="3">
        <v>855.79</v>
      </c>
      <c r="AF208" s="3">
        <v>855.79</v>
      </c>
      <c r="AG208" s="3">
        <v>855.79</v>
      </c>
      <c r="AH208" s="3">
        <v>855.79</v>
      </c>
      <c r="AI208" s="3">
        <v>855.79</v>
      </c>
      <c r="AJ208" s="3">
        <v>855.79</v>
      </c>
      <c r="AK208" s="3">
        <v>855.79</v>
      </c>
      <c r="AL208" s="3">
        <v>0</v>
      </c>
      <c r="AM208" s="3">
        <v>0</v>
      </c>
      <c r="AN208" s="3">
        <v>0</v>
      </c>
      <c r="AO208" s="3"/>
    </row>
    <row r="209" spans="2:41" x14ac:dyDescent="0.2">
      <c r="B209">
        <v>676</v>
      </c>
      <c r="C209">
        <v>1</v>
      </c>
      <c r="D209" t="s">
        <v>266</v>
      </c>
      <c r="E209" s="3">
        <v>1500</v>
      </c>
      <c r="F209" s="3">
        <v>1500</v>
      </c>
      <c r="G209" s="3">
        <v>1500</v>
      </c>
      <c r="H209" s="3">
        <v>1500</v>
      </c>
      <c r="I209" s="3">
        <v>1500</v>
      </c>
      <c r="J209" s="3">
        <v>1500</v>
      </c>
      <c r="K209" s="3">
        <v>1500</v>
      </c>
      <c r="L209" s="3">
        <v>1500</v>
      </c>
      <c r="M209" s="3">
        <v>0</v>
      </c>
      <c r="N209" s="3">
        <v>0</v>
      </c>
      <c r="O209" s="3">
        <v>0</v>
      </c>
      <c r="P209" s="3">
        <v>0</v>
      </c>
      <c r="Q209" s="3">
        <v>1500</v>
      </c>
      <c r="R209" s="3">
        <v>1500</v>
      </c>
      <c r="S209" s="3">
        <v>1500</v>
      </c>
      <c r="T209" s="3">
        <v>1500</v>
      </c>
      <c r="U209" s="3">
        <v>1500</v>
      </c>
      <c r="V209" s="3">
        <v>1500</v>
      </c>
      <c r="W209" s="3">
        <v>1500</v>
      </c>
      <c r="X209" s="3">
        <v>1500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/>
    </row>
    <row r="210" spans="2:41" x14ac:dyDescent="0.2">
      <c r="B210">
        <v>682</v>
      </c>
      <c r="C210">
        <v>1</v>
      </c>
      <c r="D210" t="s">
        <v>267</v>
      </c>
      <c r="E210" s="3">
        <v>500</v>
      </c>
      <c r="F210" s="3">
        <v>500</v>
      </c>
      <c r="G210" s="3">
        <v>500</v>
      </c>
      <c r="H210" s="3">
        <v>500</v>
      </c>
      <c r="I210" s="3">
        <v>500</v>
      </c>
      <c r="J210" s="3">
        <v>500</v>
      </c>
      <c r="K210" s="3">
        <v>373.96</v>
      </c>
      <c r="L210" s="3">
        <v>373.96</v>
      </c>
      <c r="M210" s="3">
        <v>373.96</v>
      </c>
      <c r="N210" s="3">
        <v>373.96</v>
      </c>
      <c r="O210" s="3">
        <v>0</v>
      </c>
      <c r="P210" s="3">
        <v>0</v>
      </c>
      <c r="Q210" s="3">
        <v>126.04</v>
      </c>
      <c r="R210" s="3">
        <v>126.04</v>
      </c>
      <c r="S210" s="3">
        <v>126.04</v>
      </c>
      <c r="T210" s="3">
        <v>126.04</v>
      </c>
      <c r="U210" s="3">
        <v>126.04</v>
      </c>
      <c r="V210" s="3">
        <v>126.04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373.96</v>
      </c>
      <c r="AD210" s="3">
        <v>373.96</v>
      </c>
      <c r="AE210" s="3">
        <v>373.96</v>
      </c>
      <c r="AF210" s="3">
        <v>373.96</v>
      </c>
      <c r="AG210" s="3">
        <v>373.96</v>
      </c>
      <c r="AH210" s="3">
        <v>373.96</v>
      </c>
      <c r="AI210" s="3">
        <v>373.96</v>
      </c>
      <c r="AJ210" s="3">
        <v>373.96</v>
      </c>
      <c r="AK210" s="3">
        <v>373.96</v>
      </c>
      <c r="AL210" s="3">
        <v>373.96</v>
      </c>
      <c r="AM210" s="3">
        <v>0</v>
      </c>
      <c r="AN210" s="3">
        <v>0</v>
      </c>
      <c r="AO210" s="3"/>
    </row>
    <row r="211" spans="2:41" x14ac:dyDescent="0.2">
      <c r="B211">
        <v>690</v>
      </c>
      <c r="C211">
        <v>1</v>
      </c>
      <c r="D211" t="s">
        <v>268</v>
      </c>
      <c r="E211" s="3">
        <v>600.01</v>
      </c>
      <c r="F211" s="3">
        <v>600.01</v>
      </c>
      <c r="G211" s="3">
        <v>600.01</v>
      </c>
      <c r="H211" s="3">
        <v>600.01</v>
      </c>
      <c r="I211" s="3">
        <v>600.01</v>
      </c>
      <c r="J211" s="3">
        <v>600.01</v>
      </c>
      <c r="K211" s="3">
        <v>473.26</v>
      </c>
      <c r="L211" s="3">
        <v>473.26</v>
      </c>
      <c r="M211" s="3">
        <v>473.26</v>
      </c>
      <c r="N211" s="3">
        <v>473.26</v>
      </c>
      <c r="O211" s="3">
        <v>0</v>
      </c>
      <c r="P211" s="3">
        <v>0</v>
      </c>
      <c r="Q211" s="3">
        <v>126.75</v>
      </c>
      <c r="R211" s="3">
        <v>126.75</v>
      </c>
      <c r="S211" s="3">
        <v>126.75</v>
      </c>
      <c r="T211" s="3">
        <v>126.75</v>
      </c>
      <c r="U211" s="3">
        <v>126.75</v>
      </c>
      <c r="V211" s="3">
        <v>126.75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473.26</v>
      </c>
      <c r="AD211" s="3">
        <v>473.26</v>
      </c>
      <c r="AE211" s="3">
        <v>473.26</v>
      </c>
      <c r="AF211" s="3">
        <v>473.26</v>
      </c>
      <c r="AG211" s="3">
        <v>473.26</v>
      </c>
      <c r="AH211" s="3">
        <v>473.26</v>
      </c>
      <c r="AI211" s="3">
        <v>473.26</v>
      </c>
      <c r="AJ211" s="3">
        <v>473.26</v>
      </c>
      <c r="AK211" s="3">
        <v>473.26</v>
      </c>
      <c r="AL211" s="3">
        <v>473.26</v>
      </c>
      <c r="AM211" s="3">
        <v>0</v>
      </c>
      <c r="AN211" s="3">
        <v>0</v>
      </c>
      <c r="AO211" s="3"/>
    </row>
    <row r="212" spans="2:41" x14ac:dyDescent="0.2">
      <c r="B212">
        <v>695</v>
      </c>
      <c r="C212">
        <v>1</v>
      </c>
      <c r="D212" t="s">
        <v>269</v>
      </c>
      <c r="E212" s="3">
        <v>873.36</v>
      </c>
      <c r="F212" s="3">
        <v>873.36</v>
      </c>
      <c r="G212" s="3">
        <v>873.36</v>
      </c>
      <c r="H212" s="3">
        <v>873.36</v>
      </c>
      <c r="I212" s="3">
        <v>873.36</v>
      </c>
      <c r="J212" s="3">
        <v>873.36</v>
      </c>
      <c r="K212" s="3">
        <v>873.36</v>
      </c>
      <c r="L212" s="3">
        <v>873.36</v>
      </c>
      <c r="M212" s="3">
        <v>0</v>
      </c>
      <c r="N212" s="3">
        <v>0</v>
      </c>
      <c r="O212" s="3">
        <v>0</v>
      </c>
      <c r="P212" s="3">
        <v>0</v>
      </c>
      <c r="Q212" s="3">
        <v>873.36</v>
      </c>
      <c r="R212" s="3">
        <v>873.36</v>
      </c>
      <c r="S212" s="3">
        <v>873.36</v>
      </c>
      <c r="T212" s="3">
        <v>873.36</v>
      </c>
      <c r="U212" s="3">
        <v>873.36</v>
      </c>
      <c r="V212" s="3">
        <v>873.36</v>
      </c>
      <c r="W212" s="3">
        <v>873.36</v>
      </c>
      <c r="X212" s="3">
        <v>873.36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/>
    </row>
    <row r="213" spans="2:41" x14ac:dyDescent="0.2">
      <c r="B213">
        <v>696</v>
      </c>
      <c r="C213">
        <v>1</v>
      </c>
      <c r="D213" t="s">
        <v>270</v>
      </c>
      <c r="E213" s="3">
        <v>202.27</v>
      </c>
      <c r="F213" s="3">
        <v>202.27</v>
      </c>
      <c r="G213" s="3">
        <v>202.27</v>
      </c>
      <c r="H213" s="3">
        <v>202.27</v>
      </c>
      <c r="I213" s="3">
        <v>202.27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202.27</v>
      </c>
      <c r="R213" s="3">
        <v>202.27</v>
      </c>
      <c r="S213" s="3">
        <v>202.27</v>
      </c>
      <c r="T213" s="3">
        <v>202.27</v>
      </c>
      <c r="U213" s="3">
        <v>202.27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/>
    </row>
    <row r="214" spans="2:41" x14ac:dyDescent="0.2">
      <c r="B214">
        <v>698</v>
      </c>
      <c r="C214">
        <v>1</v>
      </c>
      <c r="D214" t="s">
        <v>271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/>
    </row>
    <row r="215" spans="2:41" x14ac:dyDescent="0.2">
      <c r="B215">
        <v>700</v>
      </c>
      <c r="C215">
        <v>1</v>
      </c>
      <c r="D215" t="s">
        <v>272</v>
      </c>
      <c r="E215" s="3">
        <v>1</v>
      </c>
      <c r="F215" s="3">
        <v>1</v>
      </c>
      <c r="G215" s="3">
        <v>1</v>
      </c>
      <c r="H215" s="3">
        <v>1</v>
      </c>
      <c r="I215" s="3">
        <v>1</v>
      </c>
      <c r="J215" s="3">
        <v>1</v>
      </c>
      <c r="K215" s="3">
        <v>1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1</v>
      </c>
      <c r="R215" s="3">
        <v>1</v>
      </c>
      <c r="S215" s="3">
        <v>1</v>
      </c>
      <c r="T215" s="3">
        <v>1</v>
      </c>
      <c r="U215" s="3">
        <v>1</v>
      </c>
      <c r="V215" s="3">
        <v>1</v>
      </c>
      <c r="W215" s="3">
        <v>1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/>
    </row>
    <row r="216" spans="2:41" x14ac:dyDescent="0.2">
      <c r="B216">
        <v>701</v>
      </c>
      <c r="C216">
        <v>1</v>
      </c>
      <c r="D216" t="s">
        <v>273</v>
      </c>
      <c r="E216" s="3">
        <v>593.87</v>
      </c>
      <c r="F216" s="3">
        <v>593.87</v>
      </c>
      <c r="G216" s="3">
        <v>593.87</v>
      </c>
      <c r="H216" s="3">
        <v>550</v>
      </c>
      <c r="I216" s="3">
        <v>550</v>
      </c>
      <c r="J216" s="3">
        <v>550</v>
      </c>
      <c r="K216" s="3">
        <v>550</v>
      </c>
      <c r="L216" s="3">
        <v>550</v>
      </c>
      <c r="M216" s="3">
        <v>0</v>
      </c>
      <c r="N216" s="3">
        <v>0</v>
      </c>
      <c r="O216" s="3">
        <v>0</v>
      </c>
      <c r="P216" s="3">
        <v>0</v>
      </c>
      <c r="Q216" s="3">
        <v>593.87</v>
      </c>
      <c r="R216" s="3">
        <v>593.87</v>
      </c>
      <c r="S216" s="3">
        <v>593.87</v>
      </c>
      <c r="T216" s="3">
        <v>550</v>
      </c>
      <c r="U216" s="3">
        <v>550</v>
      </c>
      <c r="V216" s="3">
        <v>550</v>
      </c>
      <c r="W216" s="3">
        <v>550</v>
      </c>
      <c r="X216" s="3">
        <v>550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/>
    </row>
    <row r="217" spans="2:41" x14ac:dyDescent="0.2">
      <c r="B217">
        <v>704</v>
      </c>
      <c r="C217">
        <v>1</v>
      </c>
      <c r="D217" t="s">
        <v>274</v>
      </c>
      <c r="E217" s="3">
        <v>1</v>
      </c>
      <c r="F217" s="3">
        <v>1</v>
      </c>
      <c r="G217" s="3">
        <v>1</v>
      </c>
      <c r="H217" s="3">
        <v>1</v>
      </c>
      <c r="I217" s="3">
        <v>1</v>
      </c>
      <c r="J217" s="3">
        <v>1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1</v>
      </c>
      <c r="R217" s="3">
        <v>1</v>
      </c>
      <c r="S217" s="3">
        <v>1</v>
      </c>
      <c r="T217" s="3">
        <v>1</v>
      </c>
      <c r="U217" s="3">
        <v>1</v>
      </c>
      <c r="V217" s="3">
        <v>1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/>
    </row>
    <row r="218" spans="2:41" x14ac:dyDescent="0.2">
      <c r="B218">
        <v>706</v>
      </c>
      <c r="C218">
        <v>1</v>
      </c>
      <c r="D218" t="s">
        <v>275</v>
      </c>
      <c r="E218" s="3">
        <v>859.92</v>
      </c>
      <c r="F218" s="3">
        <v>859.92</v>
      </c>
      <c r="G218" s="3">
        <v>859.92</v>
      </c>
      <c r="H218" s="3">
        <v>800</v>
      </c>
      <c r="I218" s="3">
        <v>800</v>
      </c>
      <c r="J218" s="3">
        <v>800</v>
      </c>
      <c r="K218" s="3">
        <v>800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59.92</v>
      </c>
      <c r="R218" s="3">
        <v>59.92</v>
      </c>
      <c r="S218" s="3">
        <v>59.92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800</v>
      </c>
      <c r="AD218" s="3">
        <v>800</v>
      </c>
      <c r="AE218" s="3">
        <v>800</v>
      </c>
      <c r="AF218" s="3">
        <v>800</v>
      </c>
      <c r="AG218" s="3">
        <v>800</v>
      </c>
      <c r="AH218" s="3">
        <v>800</v>
      </c>
      <c r="AI218" s="3">
        <v>800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/>
    </row>
    <row r="219" spans="2:41" x14ac:dyDescent="0.2">
      <c r="B219">
        <v>707</v>
      </c>
      <c r="C219">
        <v>1</v>
      </c>
      <c r="D219" t="s">
        <v>276</v>
      </c>
      <c r="E219" s="3">
        <v>848.81</v>
      </c>
      <c r="F219" s="3">
        <v>848.81</v>
      </c>
      <c r="G219" s="3">
        <v>848.81</v>
      </c>
      <c r="H219" s="3">
        <v>636.92999999999995</v>
      </c>
      <c r="I219" s="3">
        <v>571.92999999999995</v>
      </c>
      <c r="J219" s="3">
        <v>571.92999999999995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848.81</v>
      </c>
      <c r="R219" s="3">
        <v>848.81</v>
      </c>
      <c r="S219" s="3">
        <v>848.81</v>
      </c>
      <c r="T219" s="3">
        <v>636.92999999999995</v>
      </c>
      <c r="U219" s="3">
        <v>571.92999999999995</v>
      </c>
      <c r="V219" s="3">
        <v>571.92999999999995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/>
    </row>
    <row r="220" spans="2:41" x14ac:dyDescent="0.2">
      <c r="B220">
        <v>709</v>
      </c>
      <c r="C220">
        <v>1</v>
      </c>
      <c r="D220" t="s">
        <v>277</v>
      </c>
      <c r="E220" s="3">
        <v>404.92</v>
      </c>
      <c r="F220" s="3">
        <v>404.92</v>
      </c>
      <c r="G220" s="3">
        <v>404.92</v>
      </c>
      <c r="H220" s="3">
        <v>39.32</v>
      </c>
      <c r="I220" s="3">
        <v>39.32</v>
      </c>
      <c r="J220" s="3">
        <v>39.32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404.92</v>
      </c>
      <c r="R220" s="3">
        <v>404.92</v>
      </c>
      <c r="S220" s="3">
        <v>404.92</v>
      </c>
      <c r="T220" s="3">
        <v>39.32</v>
      </c>
      <c r="U220" s="3">
        <v>39.32</v>
      </c>
      <c r="V220" s="3">
        <v>39.32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/>
    </row>
    <row r="221" spans="2:41" x14ac:dyDescent="0.2">
      <c r="B221">
        <v>712</v>
      </c>
      <c r="C221">
        <v>1</v>
      </c>
      <c r="D221" t="s">
        <v>278</v>
      </c>
      <c r="E221" s="3">
        <v>562.95000000000005</v>
      </c>
      <c r="F221" s="3">
        <v>562.95000000000005</v>
      </c>
      <c r="G221" s="3">
        <v>562.95000000000005</v>
      </c>
      <c r="H221" s="3">
        <v>562.95000000000005</v>
      </c>
      <c r="I221" s="3">
        <v>562.95000000000005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562.95000000000005</v>
      </c>
      <c r="R221" s="3">
        <v>562.95000000000005</v>
      </c>
      <c r="S221" s="3">
        <v>562.95000000000005</v>
      </c>
      <c r="T221" s="3">
        <v>562.95000000000005</v>
      </c>
      <c r="U221" s="3">
        <v>562.95000000000005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/>
    </row>
    <row r="222" spans="2:41" x14ac:dyDescent="0.2">
      <c r="B222">
        <v>716</v>
      </c>
      <c r="C222">
        <v>1</v>
      </c>
      <c r="D222" t="s">
        <v>279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/>
    </row>
    <row r="223" spans="2:41" x14ac:dyDescent="0.2">
      <c r="B223">
        <v>717</v>
      </c>
      <c r="C223">
        <v>1</v>
      </c>
      <c r="D223" t="s">
        <v>280</v>
      </c>
      <c r="E223" s="3">
        <v>1.01</v>
      </c>
      <c r="F223" s="3">
        <v>1.01</v>
      </c>
      <c r="G223" s="3">
        <v>1.01</v>
      </c>
      <c r="H223" s="3">
        <v>1.01</v>
      </c>
      <c r="I223" s="3">
        <v>1.01</v>
      </c>
      <c r="J223" s="3">
        <v>1.01</v>
      </c>
      <c r="K223" s="3">
        <v>1.01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1.01</v>
      </c>
      <c r="R223" s="3">
        <v>1.01</v>
      </c>
      <c r="S223" s="3">
        <v>1.01</v>
      </c>
      <c r="T223" s="3">
        <v>1.01</v>
      </c>
      <c r="U223" s="3">
        <v>1.01</v>
      </c>
      <c r="V223" s="3">
        <v>1.01</v>
      </c>
      <c r="W223" s="3">
        <v>1.01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/>
    </row>
    <row r="224" spans="2:41" x14ac:dyDescent="0.2">
      <c r="B224">
        <v>719</v>
      </c>
      <c r="C224">
        <v>1</v>
      </c>
      <c r="D224" t="s">
        <v>281</v>
      </c>
      <c r="E224" s="3">
        <v>841.22</v>
      </c>
      <c r="F224" s="3">
        <v>841.22</v>
      </c>
      <c r="G224" s="3">
        <v>841.22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841.22</v>
      </c>
      <c r="R224" s="3">
        <v>841.22</v>
      </c>
      <c r="S224" s="3">
        <v>841.22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/>
    </row>
    <row r="225" spans="2:41" x14ac:dyDescent="0.2">
      <c r="B225">
        <v>720</v>
      </c>
      <c r="C225">
        <v>1</v>
      </c>
      <c r="D225" t="s">
        <v>282</v>
      </c>
      <c r="E225" s="3">
        <v>545.33000000000004</v>
      </c>
      <c r="F225" s="3">
        <v>545.33000000000004</v>
      </c>
      <c r="G225" s="3">
        <v>545.33000000000004</v>
      </c>
      <c r="H225" s="3">
        <v>545.33000000000004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545.33000000000004</v>
      </c>
      <c r="R225" s="3">
        <v>545.33000000000004</v>
      </c>
      <c r="S225" s="3">
        <v>545.33000000000004</v>
      </c>
      <c r="T225" s="3">
        <v>545.33000000000004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/>
    </row>
    <row r="226" spans="2:41" x14ac:dyDescent="0.2">
      <c r="B226">
        <v>721</v>
      </c>
      <c r="C226">
        <v>1</v>
      </c>
      <c r="D226" t="s">
        <v>283</v>
      </c>
      <c r="E226" s="3">
        <v>453</v>
      </c>
      <c r="F226" s="3">
        <v>453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453</v>
      </c>
      <c r="R226" s="3">
        <v>453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/>
    </row>
    <row r="227" spans="2:41" x14ac:dyDescent="0.2">
      <c r="B227">
        <v>726</v>
      </c>
      <c r="C227">
        <v>1</v>
      </c>
      <c r="D227" t="s">
        <v>284</v>
      </c>
      <c r="E227" s="3">
        <v>731.28</v>
      </c>
      <c r="F227" s="3">
        <v>731.28</v>
      </c>
      <c r="G227" s="3">
        <v>731.28</v>
      </c>
      <c r="H227" s="3">
        <v>731.28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731.28</v>
      </c>
      <c r="R227" s="3">
        <v>731.28</v>
      </c>
      <c r="S227" s="3">
        <v>731.28</v>
      </c>
      <c r="T227" s="3">
        <v>731.28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/>
    </row>
    <row r="228" spans="2:41" x14ac:dyDescent="0.2">
      <c r="B228">
        <v>727</v>
      </c>
      <c r="C228">
        <v>1</v>
      </c>
      <c r="D228" t="s">
        <v>285</v>
      </c>
      <c r="E228" s="3">
        <v>7.21</v>
      </c>
      <c r="F228" s="3">
        <v>7.21</v>
      </c>
      <c r="G228" s="3">
        <v>7.21</v>
      </c>
      <c r="H228" s="3">
        <v>7.21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7.21</v>
      </c>
      <c r="R228" s="3">
        <v>7.21</v>
      </c>
      <c r="S228" s="3">
        <v>7.21</v>
      </c>
      <c r="T228" s="3">
        <v>7.21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/>
    </row>
    <row r="229" spans="2:41" x14ac:dyDescent="0.2">
      <c r="B229">
        <v>728</v>
      </c>
      <c r="C229">
        <v>1</v>
      </c>
      <c r="D229" t="s">
        <v>286</v>
      </c>
      <c r="E229" s="3">
        <v>697.81</v>
      </c>
      <c r="F229" s="3">
        <v>697.81</v>
      </c>
      <c r="G229" s="3">
        <v>697.81</v>
      </c>
      <c r="H229" s="3">
        <v>581.91</v>
      </c>
      <c r="I229" s="3">
        <v>581.91</v>
      </c>
      <c r="J229" s="3">
        <v>386</v>
      </c>
      <c r="K229" s="3">
        <v>386</v>
      </c>
      <c r="L229" s="3">
        <v>386</v>
      </c>
      <c r="M229" s="3">
        <v>0</v>
      </c>
      <c r="N229" s="3">
        <v>0</v>
      </c>
      <c r="O229" s="3">
        <v>0</v>
      </c>
      <c r="P229" s="3">
        <v>0</v>
      </c>
      <c r="Q229" s="3">
        <v>697.81</v>
      </c>
      <c r="R229" s="3">
        <v>697.81</v>
      </c>
      <c r="S229" s="3">
        <v>697.81</v>
      </c>
      <c r="T229" s="3">
        <v>581.91</v>
      </c>
      <c r="U229" s="3">
        <v>581.91</v>
      </c>
      <c r="V229" s="3">
        <v>386</v>
      </c>
      <c r="W229" s="3">
        <v>386</v>
      </c>
      <c r="X229" s="3">
        <v>386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/>
    </row>
    <row r="230" spans="2:41" x14ac:dyDescent="0.2">
      <c r="B230">
        <v>738</v>
      </c>
      <c r="C230">
        <v>1</v>
      </c>
      <c r="D230" t="s">
        <v>287</v>
      </c>
      <c r="E230" s="3">
        <v>500</v>
      </c>
      <c r="F230" s="3">
        <v>500</v>
      </c>
      <c r="G230" s="3">
        <v>500</v>
      </c>
      <c r="H230" s="3">
        <v>500</v>
      </c>
      <c r="I230" s="3">
        <v>500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500</v>
      </c>
      <c r="AD230" s="3">
        <v>500</v>
      </c>
      <c r="AE230" s="3">
        <v>500</v>
      </c>
      <c r="AF230" s="3">
        <v>500</v>
      </c>
      <c r="AG230" s="3">
        <v>500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/>
    </row>
    <row r="231" spans="2:41" x14ac:dyDescent="0.2">
      <c r="B231">
        <v>739</v>
      </c>
      <c r="C231">
        <v>1</v>
      </c>
      <c r="D231" t="s">
        <v>288</v>
      </c>
      <c r="E231" s="3">
        <v>275</v>
      </c>
      <c r="F231" s="3">
        <v>275</v>
      </c>
      <c r="G231" s="3">
        <v>275</v>
      </c>
      <c r="H231" s="3">
        <v>275</v>
      </c>
      <c r="I231" s="3">
        <v>275</v>
      </c>
      <c r="J231" s="3">
        <v>275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275</v>
      </c>
      <c r="AD231" s="3">
        <v>275</v>
      </c>
      <c r="AE231" s="3">
        <v>275</v>
      </c>
      <c r="AF231" s="3">
        <v>275</v>
      </c>
      <c r="AG231" s="3">
        <v>275</v>
      </c>
      <c r="AH231" s="3">
        <v>275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/>
    </row>
    <row r="232" spans="2:41" x14ac:dyDescent="0.2">
      <c r="B232">
        <v>740</v>
      </c>
      <c r="C232">
        <v>1</v>
      </c>
      <c r="D232" t="s">
        <v>289</v>
      </c>
      <c r="E232" s="3">
        <v>700</v>
      </c>
      <c r="F232" s="3">
        <v>700</v>
      </c>
      <c r="G232" s="3">
        <v>700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700</v>
      </c>
      <c r="AD232" s="3">
        <v>700</v>
      </c>
      <c r="AE232" s="3">
        <v>700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/>
    </row>
    <row r="233" spans="2:41" x14ac:dyDescent="0.2">
      <c r="B233">
        <v>741</v>
      </c>
      <c r="C233">
        <v>1</v>
      </c>
      <c r="D233" t="s">
        <v>290</v>
      </c>
      <c r="E233" s="3">
        <v>415.6</v>
      </c>
      <c r="F233" s="3">
        <v>415.6</v>
      </c>
      <c r="G233" s="3">
        <v>415.6</v>
      </c>
      <c r="H233" s="3">
        <v>415.6</v>
      </c>
      <c r="I233" s="3">
        <v>415.6</v>
      </c>
      <c r="J233" s="3">
        <v>415.6</v>
      </c>
      <c r="K233" s="3">
        <v>415.6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415.6</v>
      </c>
      <c r="R233" s="3">
        <v>415.6</v>
      </c>
      <c r="S233" s="3">
        <v>415.6</v>
      </c>
      <c r="T233" s="3">
        <v>415.6</v>
      </c>
      <c r="U233" s="3">
        <v>415.6</v>
      </c>
      <c r="V233" s="3">
        <v>415.6</v>
      </c>
      <c r="W233" s="3">
        <v>415.6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/>
    </row>
    <row r="234" spans="2:41" x14ac:dyDescent="0.2">
      <c r="B234">
        <v>742</v>
      </c>
      <c r="C234">
        <v>1</v>
      </c>
      <c r="D234" t="s">
        <v>291</v>
      </c>
      <c r="E234" s="3">
        <v>551.23</v>
      </c>
      <c r="F234" s="3">
        <v>551.23</v>
      </c>
      <c r="G234" s="3">
        <v>97.23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551.23</v>
      </c>
      <c r="R234" s="3">
        <v>551.23</v>
      </c>
      <c r="S234" s="3">
        <v>97.23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/>
    </row>
    <row r="235" spans="2:41" x14ac:dyDescent="0.2">
      <c r="B235">
        <v>743</v>
      </c>
      <c r="C235">
        <v>1</v>
      </c>
      <c r="D235" t="s">
        <v>292</v>
      </c>
      <c r="E235" s="3">
        <v>650</v>
      </c>
      <c r="F235" s="3">
        <v>650</v>
      </c>
      <c r="G235" s="3">
        <v>650</v>
      </c>
      <c r="H235" s="3">
        <v>650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650</v>
      </c>
      <c r="R235" s="3">
        <v>650</v>
      </c>
      <c r="S235" s="3">
        <v>650</v>
      </c>
      <c r="T235" s="3">
        <v>650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/>
    </row>
    <row r="236" spans="2:41" x14ac:dyDescent="0.2">
      <c r="B236">
        <v>745</v>
      </c>
      <c r="C236">
        <v>1</v>
      </c>
      <c r="D236" t="s">
        <v>293</v>
      </c>
      <c r="E236" s="3">
        <v>405</v>
      </c>
      <c r="F236" s="3">
        <v>405</v>
      </c>
      <c r="G236" s="3">
        <v>405</v>
      </c>
      <c r="H236" s="3">
        <v>405</v>
      </c>
      <c r="I236" s="3">
        <v>405</v>
      </c>
      <c r="J236" s="3">
        <v>405</v>
      </c>
      <c r="K236" s="3">
        <v>405</v>
      </c>
      <c r="L236" s="3">
        <v>405</v>
      </c>
      <c r="M236" s="3">
        <v>0</v>
      </c>
      <c r="N236" s="3">
        <v>0</v>
      </c>
      <c r="O236" s="3">
        <v>0</v>
      </c>
      <c r="P236" s="3">
        <v>0</v>
      </c>
      <c r="Q236" s="3">
        <v>405</v>
      </c>
      <c r="R236" s="3">
        <v>405</v>
      </c>
      <c r="S236" s="3">
        <v>405</v>
      </c>
      <c r="T236" s="3">
        <v>405</v>
      </c>
      <c r="U236" s="3">
        <v>405</v>
      </c>
      <c r="V236" s="3">
        <v>405</v>
      </c>
      <c r="W236" s="3">
        <v>405</v>
      </c>
      <c r="X236" s="3">
        <v>405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/>
    </row>
    <row r="237" spans="2:41" x14ac:dyDescent="0.2">
      <c r="B237">
        <v>748</v>
      </c>
      <c r="C237">
        <v>1</v>
      </c>
      <c r="D237" t="s">
        <v>294</v>
      </c>
      <c r="E237" s="3">
        <v>301.63</v>
      </c>
      <c r="F237" s="3">
        <v>301.63</v>
      </c>
      <c r="G237" s="3">
        <v>301.63</v>
      </c>
      <c r="H237" s="3">
        <v>301.63</v>
      </c>
      <c r="I237" s="3">
        <v>301.63</v>
      </c>
      <c r="J237" s="3">
        <v>301.63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301.63</v>
      </c>
      <c r="R237" s="3">
        <v>301.63</v>
      </c>
      <c r="S237" s="3">
        <v>301.63</v>
      </c>
      <c r="T237" s="3">
        <v>301.63</v>
      </c>
      <c r="U237" s="3">
        <v>301.63</v>
      </c>
      <c r="V237" s="3">
        <v>301.63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/>
    </row>
    <row r="238" spans="2:41" x14ac:dyDescent="0.2">
      <c r="B238">
        <v>750</v>
      </c>
      <c r="C238">
        <v>1</v>
      </c>
      <c r="D238" t="s">
        <v>295</v>
      </c>
      <c r="E238" s="3">
        <v>128.63</v>
      </c>
      <c r="F238" s="3">
        <v>128.63</v>
      </c>
      <c r="G238" s="3">
        <v>128.63</v>
      </c>
      <c r="H238" s="3">
        <v>128.63</v>
      </c>
      <c r="I238" s="3">
        <v>128.63</v>
      </c>
      <c r="J238" s="3">
        <v>128.63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128.63</v>
      </c>
      <c r="R238" s="3">
        <v>128.63</v>
      </c>
      <c r="S238" s="3">
        <v>128.63</v>
      </c>
      <c r="T238" s="3">
        <v>128.63</v>
      </c>
      <c r="U238" s="3">
        <v>128.63</v>
      </c>
      <c r="V238" s="3">
        <v>128.63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/>
    </row>
    <row r="239" spans="2:41" x14ac:dyDescent="0.2">
      <c r="B239">
        <v>756</v>
      </c>
      <c r="C239">
        <v>1</v>
      </c>
      <c r="D239" t="s">
        <v>296</v>
      </c>
      <c r="E239" s="3">
        <v>350.45</v>
      </c>
      <c r="F239" s="3">
        <v>350.45</v>
      </c>
      <c r="G239" s="3">
        <v>350.45</v>
      </c>
      <c r="H239" s="3">
        <v>350.45</v>
      </c>
      <c r="I239" s="3">
        <v>350.45</v>
      </c>
      <c r="J239" s="3">
        <v>350.45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350.45</v>
      </c>
      <c r="R239" s="3">
        <v>350.45</v>
      </c>
      <c r="S239" s="3">
        <v>350.45</v>
      </c>
      <c r="T239" s="3">
        <v>350.45</v>
      </c>
      <c r="U239" s="3">
        <v>350.45</v>
      </c>
      <c r="V239" s="3">
        <v>350.45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/>
    </row>
    <row r="240" spans="2:41" x14ac:dyDescent="0.2">
      <c r="B240">
        <v>761</v>
      </c>
      <c r="C240">
        <v>1</v>
      </c>
      <c r="D240" t="s">
        <v>297</v>
      </c>
      <c r="E240" s="3">
        <v>691.04</v>
      </c>
      <c r="F240" s="3">
        <v>691.04</v>
      </c>
      <c r="G240" s="3">
        <v>691.04</v>
      </c>
      <c r="H240" s="3">
        <v>691.04</v>
      </c>
      <c r="I240" s="3">
        <v>691.04</v>
      </c>
      <c r="J240" s="3">
        <v>691.04</v>
      </c>
      <c r="K240" s="3">
        <v>691.04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691.04</v>
      </c>
      <c r="R240" s="3">
        <v>691.04</v>
      </c>
      <c r="S240" s="3">
        <v>691.04</v>
      </c>
      <c r="T240" s="3">
        <v>691.04</v>
      </c>
      <c r="U240" s="3">
        <v>691.04</v>
      </c>
      <c r="V240" s="3">
        <v>691.04</v>
      </c>
      <c r="W240" s="3">
        <v>691.04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/>
    </row>
    <row r="241" spans="2:41" x14ac:dyDescent="0.2">
      <c r="B241">
        <v>763</v>
      </c>
      <c r="C241">
        <v>1</v>
      </c>
      <c r="D241" t="s">
        <v>298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/>
    </row>
    <row r="242" spans="2:41" x14ac:dyDescent="0.2">
      <c r="B242">
        <v>768</v>
      </c>
      <c r="C242">
        <v>1</v>
      </c>
      <c r="D242" t="s">
        <v>299</v>
      </c>
      <c r="E242" s="3">
        <v>844.88</v>
      </c>
      <c r="F242" s="3">
        <v>844.88</v>
      </c>
      <c r="G242" s="3">
        <v>800.35</v>
      </c>
      <c r="H242" s="3">
        <v>800.35</v>
      </c>
      <c r="I242" s="3">
        <v>800.35</v>
      </c>
      <c r="J242" s="3">
        <v>800.35</v>
      </c>
      <c r="K242" s="3">
        <v>800.35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844.88</v>
      </c>
      <c r="R242" s="3">
        <v>844.88</v>
      </c>
      <c r="S242" s="3">
        <v>800.35</v>
      </c>
      <c r="T242" s="3">
        <v>800.35</v>
      </c>
      <c r="U242" s="3">
        <v>800.35</v>
      </c>
      <c r="V242" s="3">
        <v>800.35</v>
      </c>
      <c r="W242" s="3">
        <v>800.35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/>
    </row>
    <row r="243" spans="2:41" x14ac:dyDescent="0.2">
      <c r="B243">
        <v>769</v>
      </c>
      <c r="C243">
        <v>1</v>
      </c>
      <c r="D243" t="s">
        <v>300</v>
      </c>
      <c r="E243" s="3">
        <v>686.82</v>
      </c>
      <c r="F243" s="3">
        <v>686.82</v>
      </c>
      <c r="G243" s="3">
        <v>686.82</v>
      </c>
      <c r="H243" s="3">
        <v>686.82</v>
      </c>
      <c r="I243" s="3">
        <v>686.82</v>
      </c>
      <c r="J243" s="3">
        <v>385</v>
      </c>
      <c r="K243" s="3">
        <v>385</v>
      </c>
      <c r="L243" s="3">
        <v>385</v>
      </c>
      <c r="M243" s="3">
        <v>385</v>
      </c>
      <c r="N243" s="3">
        <v>385</v>
      </c>
      <c r="O243" s="3">
        <v>0</v>
      </c>
      <c r="P243" s="3">
        <v>0</v>
      </c>
      <c r="Q243" s="3">
        <v>301.82</v>
      </c>
      <c r="R243" s="3">
        <v>301.82</v>
      </c>
      <c r="S243" s="3">
        <v>301.82</v>
      </c>
      <c r="T243" s="3">
        <v>301.82</v>
      </c>
      <c r="U243" s="3">
        <v>301.82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385</v>
      </c>
      <c r="AD243" s="3">
        <v>385</v>
      </c>
      <c r="AE243" s="3">
        <v>385</v>
      </c>
      <c r="AF243" s="3">
        <v>385</v>
      </c>
      <c r="AG243" s="3">
        <v>385</v>
      </c>
      <c r="AH243" s="3">
        <v>385</v>
      </c>
      <c r="AI243" s="3">
        <v>385</v>
      </c>
      <c r="AJ243" s="3">
        <v>385</v>
      </c>
      <c r="AK243" s="3">
        <v>385</v>
      </c>
      <c r="AL243" s="3">
        <v>385</v>
      </c>
      <c r="AM243" s="3">
        <v>0</v>
      </c>
      <c r="AN243" s="3">
        <v>0</v>
      </c>
      <c r="AO243" s="3"/>
    </row>
    <row r="244" spans="2:41" x14ac:dyDescent="0.2">
      <c r="B244">
        <v>771</v>
      </c>
      <c r="C244">
        <v>1</v>
      </c>
      <c r="D244" t="s">
        <v>301</v>
      </c>
      <c r="E244" s="3">
        <v>2359.4499999999998</v>
      </c>
      <c r="F244" s="3">
        <v>2039.26</v>
      </c>
      <c r="G244" s="3">
        <v>1750</v>
      </c>
      <c r="H244" s="3">
        <v>1750</v>
      </c>
      <c r="I244" s="3">
        <v>1750</v>
      </c>
      <c r="J244" s="3">
        <v>1750</v>
      </c>
      <c r="K244" s="3">
        <v>1750</v>
      </c>
      <c r="L244" s="3">
        <v>1750</v>
      </c>
      <c r="M244" s="3">
        <v>1750</v>
      </c>
      <c r="N244" s="3">
        <v>0</v>
      </c>
      <c r="O244" s="3">
        <v>0</v>
      </c>
      <c r="P244" s="3">
        <v>0</v>
      </c>
      <c r="Q244" s="3">
        <v>609.45000000000005</v>
      </c>
      <c r="R244" s="3">
        <v>289.26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1750</v>
      </c>
      <c r="AD244" s="3">
        <v>1750</v>
      </c>
      <c r="AE244" s="3">
        <v>1750</v>
      </c>
      <c r="AF244" s="3">
        <v>1750</v>
      </c>
      <c r="AG244" s="3">
        <v>1750</v>
      </c>
      <c r="AH244" s="3">
        <v>1750</v>
      </c>
      <c r="AI244" s="3">
        <v>1750</v>
      </c>
      <c r="AJ244" s="3">
        <v>1750</v>
      </c>
      <c r="AK244" s="3">
        <v>1750</v>
      </c>
      <c r="AL244" s="3">
        <v>0</v>
      </c>
      <c r="AM244" s="3">
        <v>0</v>
      </c>
      <c r="AN244" s="3">
        <v>0</v>
      </c>
      <c r="AO244" s="3"/>
    </row>
    <row r="245" spans="2:41" x14ac:dyDescent="0.2">
      <c r="B245">
        <v>775</v>
      </c>
      <c r="C245">
        <v>1</v>
      </c>
      <c r="D245" t="s">
        <v>302</v>
      </c>
      <c r="E245" s="3">
        <v>504.81</v>
      </c>
      <c r="F245" s="3">
        <v>504.81</v>
      </c>
      <c r="G245" s="3">
        <v>400</v>
      </c>
      <c r="H245" s="3">
        <v>400</v>
      </c>
      <c r="I245" s="3">
        <v>400</v>
      </c>
      <c r="J245" s="3">
        <v>400</v>
      </c>
      <c r="K245" s="3">
        <v>400</v>
      </c>
      <c r="L245" s="3">
        <v>400</v>
      </c>
      <c r="M245" s="3">
        <v>0</v>
      </c>
      <c r="N245" s="3">
        <v>0</v>
      </c>
      <c r="O245" s="3">
        <v>0</v>
      </c>
      <c r="P245" s="3">
        <v>0</v>
      </c>
      <c r="Q245" s="3">
        <v>504.81</v>
      </c>
      <c r="R245" s="3">
        <v>504.81</v>
      </c>
      <c r="S245" s="3">
        <v>400</v>
      </c>
      <c r="T245" s="3">
        <v>400</v>
      </c>
      <c r="U245" s="3">
        <v>400</v>
      </c>
      <c r="V245" s="3">
        <v>400</v>
      </c>
      <c r="W245" s="3">
        <v>400</v>
      </c>
      <c r="X245" s="3">
        <v>400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/>
    </row>
    <row r="246" spans="2:41" x14ac:dyDescent="0.2">
      <c r="B246">
        <v>777</v>
      </c>
      <c r="C246">
        <v>1</v>
      </c>
      <c r="D246" t="s">
        <v>303</v>
      </c>
      <c r="E246" s="3">
        <v>316.77999999999997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316.77999999999997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/>
    </row>
    <row r="247" spans="2:41" x14ac:dyDescent="0.2">
      <c r="B247">
        <v>786</v>
      </c>
      <c r="C247">
        <v>1</v>
      </c>
      <c r="D247" t="s">
        <v>304</v>
      </c>
      <c r="E247" s="3">
        <v>126.99</v>
      </c>
      <c r="F247" s="3">
        <v>126.99</v>
      </c>
      <c r="G247" s="3">
        <v>126.99</v>
      </c>
      <c r="H247" s="3">
        <v>126.99</v>
      </c>
      <c r="I247" s="3">
        <v>126.99</v>
      </c>
      <c r="J247" s="3">
        <v>126.99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126.99</v>
      </c>
      <c r="R247" s="3">
        <v>126.99</v>
      </c>
      <c r="S247" s="3">
        <v>126.99</v>
      </c>
      <c r="T247" s="3">
        <v>126.99</v>
      </c>
      <c r="U247" s="3">
        <v>126.99</v>
      </c>
      <c r="V247" s="3">
        <v>126.99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/>
    </row>
    <row r="248" spans="2:41" x14ac:dyDescent="0.2">
      <c r="B248">
        <v>787</v>
      </c>
      <c r="C248">
        <v>1</v>
      </c>
      <c r="D248" t="s">
        <v>305</v>
      </c>
      <c r="E248" s="3">
        <v>126.18</v>
      </c>
      <c r="F248" s="3">
        <v>126.18</v>
      </c>
      <c r="G248" s="3">
        <v>126.18</v>
      </c>
      <c r="H248" s="3">
        <v>126.18</v>
      </c>
      <c r="I248" s="3">
        <v>126.18</v>
      </c>
      <c r="J248" s="3">
        <v>126.18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126.18</v>
      </c>
      <c r="R248" s="3">
        <v>126.18</v>
      </c>
      <c r="S248" s="3">
        <v>126.18</v>
      </c>
      <c r="T248" s="3">
        <v>126.18</v>
      </c>
      <c r="U248" s="3">
        <v>126.18</v>
      </c>
      <c r="V248" s="3">
        <v>126.18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/>
    </row>
    <row r="249" spans="2:41" x14ac:dyDescent="0.2">
      <c r="B249">
        <v>801</v>
      </c>
      <c r="C249">
        <v>1</v>
      </c>
      <c r="D249" t="s">
        <v>306</v>
      </c>
      <c r="E249" s="3">
        <v>1481.66</v>
      </c>
      <c r="F249" s="3">
        <v>1481.66</v>
      </c>
      <c r="G249" s="3">
        <v>1318.53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1481.66</v>
      </c>
      <c r="R249" s="3">
        <v>1481.66</v>
      </c>
      <c r="S249" s="3">
        <v>1318.53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/>
    </row>
    <row r="250" spans="2:41" x14ac:dyDescent="0.2">
      <c r="B250">
        <v>803</v>
      </c>
      <c r="C250">
        <v>1</v>
      </c>
      <c r="D250" t="s">
        <v>307</v>
      </c>
      <c r="E250" s="3">
        <v>844.34</v>
      </c>
      <c r="F250" s="3">
        <v>844.34</v>
      </c>
      <c r="G250" s="3">
        <v>844.34</v>
      </c>
      <c r="H250" s="3">
        <v>844.34</v>
      </c>
      <c r="I250" s="3">
        <v>844.34</v>
      </c>
      <c r="J250" s="3">
        <v>844.34</v>
      </c>
      <c r="K250" s="3">
        <v>844.34</v>
      </c>
      <c r="L250" s="3">
        <v>844.34</v>
      </c>
      <c r="M250" s="3">
        <v>0</v>
      </c>
      <c r="N250" s="3">
        <v>0</v>
      </c>
      <c r="O250" s="3">
        <v>0</v>
      </c>
      <c r="P250" s="3">
        <v>0</v>
      </c>
      <c r="Q250" s="3">
        <v>844.34</v>
      </c>
      <c r="R250" s="3">
        <v>844.34</v>
      </c>
      <c r="S250" s="3">
        <v>844.34</v>
      </c>
      <c r="T250" s="3">
        <v>844.34</v>
      </c>
      <c r="U250" s="3">
        <v>844.34</v>
      </c>
      <c r="V250" s="3">
        <v>844.34</v>
      </c>
      <c r="W250" s="3">
        <v>844.34</v>
      </c>
      <c r="X250" s="3">
        <v>844.34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/>
    </row>
    <row r="251" spans="2:41" x14ac:dyDescent="0.2">
      <c r="B251">
        <v>811</v>
      </c>
      <c r="C251">
        <v>1</v>
      </c>
      <c r="D251" t="s">
        <v>310</v>
      </c>
      <c r="E251" s="3">
        <v>1115.8</v>
      </c>
      <c r="F251" s="3">
        <v>1115.8</v>
      </c>
      <c r="G251" s="3">
        <v>1115.8</v>
      </c>
      <c r="H251" s="3">
        <v>1115.8</v>
      </c>
      <c r="I251" s="3">
        <v>1115.8</v>
      </c>
      <c r="J251" s="3">
        <v>1115.8</v>
      </c>
      <c r="K251" s="3">
        <v>989</v>
      </c>
      <c r="L251" s="3">
        <v>989</v>
      </c>
      <c r="M251" s="3">
        <v>989</v>
      </c>
      <c r="N251" s="3">
        <v>989</v>
      </c>
      <c r="O251" s="3">
        <v>0</v>
      </c>
      <c r="P251" s="3">
        <v>0</v>
      </c>
      <c r="Q251" s="3">
        <v>126.8</v>
      </c>
      <c r="R251" s="3">
        <v>126.8</v>
      </c>
      <c r="S251" s="3">
        <v>126.8</v>
      </c>
      <c r="T251" s="3">
        <v>126.8</v>
      </c>
      <c r="U251" s="3">
        <v>126.8</v>
      </c>
      <c r="V251" s="3">
        <v>126.8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989</v>
      </c>
      <c r="AD251" s="3">
        <v>989</v>
      </c>
      <c r="AE251" s="3">
        <v>989</v>
      </c>
      <c r="AF251" s="3">
        <v>989</v>
      </c>
      <c r="AG251" s="3">
        <v>989</v>
      </c>
      <c r="AH251" s="3">
        <v>989</v>
      </c>
      <c r="AI251" s="3">
        <v>989</v>
      </c>
      <c r="AJ251" s="3">
        <v>989</v>
      </c>
      <c r="AK251" s="3">
        <v>989</v>
      </c>
      <c r="AL251" s="3">
        <v>989</v>
      </c>
      <c r="AM251" s="3">
        <v>0</v>
      </c>
      <c r="AN251" s="3">
        <v>0</v>
      </c>
      <c r="AO251" s="3"/>
    </row>
    <row r="252" spans="2:41" x14ac:dyDescent="0.2">
      <c r="B252">
        <v>813</v>
      </c>
      <c r="C252">
        <v>1</v>
      </c>
      <c r="D252" t="s">
        <v>311</v>
      </c>
      <c r="E252" s="3">
        <v>600</v>
      </c>
      <c r="F252" s="3">
        <v>600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600</v>
      </c>
      <c r="R252" s="3">
        <v>600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/>
    </row>
    <row r="253" spans="2:41" x14ac:dyDescent="0.2">
      <c r="B253">
        <v>815</v>
      </c>
      <c r="C253">
        <v>2</v>
      </c>
      <c r="D253" t="s">
        <v>312</v>
      </c>
      <c r="E253" s="3">
        <v>923.84</v>
      </c>
      <c r="F253" s="3">
        <v>923.84</v>
      </c>
      <c r="G253" s="3">
        <v>923.84</v>
      </c>
      <c r="H253" s="3">
        <v>923.84</v>
      </c>
      <c r="I253" s="3">
        <v>923.84</v>
      </c>
      <c r="J253" s="3">
        <v>923.84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923.84</v>
      </c>
      <c r="R253" s="3">
        <v>923.84</v>
      </c>
      <c r="S253" s="3">
        <v>923.84</v>
      </c>
      <c r="T253" s="3">
        <v>923.84</v>
      </c>
      <c r="U253" s="3">
        <v>923.84</v>
      </c>
      <c r="V253" s="3">
        <v>923.84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/>
    </row>
    <row r="254" spans="2:41" x14ac:dyDescent="0.2">
      <c r="B254">
        <v>818</v>
      </c>
      <c r="C254">
        <v>1</v>
      </c>
      <c r="D254" t="s">
        <v>313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/>
    </row>
    <row r="255" spans="2:41" x14ac:dyDescent="0.2">
      <c r="B255">
        <v>820</v>
      </c>
      <c r="C255">
        <v>1</v>
      </c>
      <c r="D255" t="s">
        <v>314</v>
      </c>
      <c r="E255" s="3">
        <v>800</v>
      </c>
      <c r="F255" s="3">
        <v>800</v>
      </c>
      <c r="G255" s="3">
        <v>800</v>
      </c>
      <c r="H255" s="3">
        <v>800</v>
      </c>
      <c r="I255" s="3">
        <v>800</v>
      </c>
      <c r="J255" s="3">
        <v>800</v>
      </c>
      <c r="K255" s="3">
        <v>800</v>
      </c>
      <c r="L255" s="3">
        <v>800</v>
      </c>
      <c r="M255" s="3">
        <v>800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800</v>
      </c>
      <c r="AD255" s="3">
        <v>800</v>
      </c>
      <c r="AE255" s="3">
        <v>800</v>
      </c>
      <c r="AF255" s="3">
        <v>800</v>
      </c>
      <c r="AG255" s="3">
        <v>800</v>
      </c>
      <c r="AH255" s="3">
        <v>800</v>
      </c>
      <c r="AI255" s="3">
        <v>800</v>
      </c>
      <c r="AJ255" s="3">
        <v>800</v>
      </c>
      <c r="AK255" s="3">
        <v>800</v>
      </c>
      <c r="AL255" s="3">
        <v>0</v>
      </c>
      <c r="AM255" s="3">
        <v>0</v>
      </c>
      <c r="AN255" s="3">
        <v>0</v>
      </c>
      <c r="AO255" s="3"/>
    </row>
    <row r="256" spans="2:41" x14ac:dyDescent="0.2">
      <c r="B256">
        <v>821</v>
      </c>
      <c r="C256">
        <v>1</v>
      </c>
      <c r="D256" t="s">
        <v>315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/>
    </row>
    <row r="257" spans="2:41" x14ac:dyDescent="0.2">
      <c r="B257">
        <v>829</v>
      </c>
      <c r="C257">
        <v>1</v>
      </c>
      <c r="D257" t="s">
        <v>316</v>
      </c>
      <c r="E257" s="3">
        <v>610</v>
      </c>
      <c r="F257" s="3">
        <v>610</v>
      </c>
      <c r="G257" s="3">
        <v>610</v>
      </c>
      <c r="H257" s="3">
        <v>610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610</v>
      </c>
      <c r="R257" s="3">
        <v>610</v>
      </c>
      <c r="S257" s="3">
        <v>610</v>
      </c>
      <c r="T257" s="3">
        <v>610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/>
    </row>
    <row r="258" spans="2:41" x14ac:dyDescent="0.2">
      <c r="B258">
        <v>831</v>
      </c>
      <c r="C258">
        <v>1</v>
      </c>
      <c r="D258" t="s">
        <v>317</v>
      </c>
      <c r="E258" s="3">
        <v>664.54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664.54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/>
    </row>
    <row r="259" spans="2:41" x14ac:dyDescent="0.2">
      <c r="B259">
        <v>832</v>
      </c>
      <c r="C259">
        <v>1</v>
      </c>
      <c r="D259" t="s">
        <v>318</v>
      </c>
      <c r="E259" s="3">
        <v>1100.2</v>
      </c>
      <c r="F259" s="3">
        <v>1100.2</v>
      </c>
      <c r="G259" s="3">
        <v>1100.2</v>
      </c>
      <c r="H259" s="3">
        <v>1100.2</v>
      </c>
      <c r="I259" s="3">
        <v>1100.2</v>
      </c>
      <c r="J259" s="3">
        <v>1100.2</v>
      </c>
      <c r="K259" s="3">
        <v>1100.2</v>
      </c>
      <c r="L259" s="3">
        <v>1100.2</v>
      </c>
      <c r="M259" s="3">
        <v>1100.2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1100.2</v>
      </c>
      <c r="AD259" s="3">
        <v>1100.2</v>
      </c>
      <c r="AE259" s="3">
        <v>1100.2</v>
      </c>
      <c r="AF259" s="3">
        <v>1100.2</v>
      </c>
      <c r="AG259" s="3">
        <v>1100.2</v>
      </c>
      <c r="AH259" s="3">
        <v>1100.2</v>
      </c>
      <c r="AI259" s="3">
        <v>1100.2</v>
      </c>
      <c r="AJ259" s="3">
        <v>1100.2</v>
      </c>
      <c r="AK259" s="3">
        <v>1100.2</v>
      </c>
      <c r="AL259" s="3">
        <v>0</v>
      </c>
      <c r="AM259" s="3">
        <v>0</v>
      </c>
      <c r="AN259" s="3">
        <v>0</v>
      </c>
      <c r="AO259" s="3"/>
    </row>
    <row r="260" spans="2:41" x14ac:dyDescent="0.2">
      <c r="B260">
        <v>833</v>
      </c>
      <c r="C260">
        <v>1</v>
      </c>
      <c r="D260" t="s">
        <v>319</v>
      </c>
      <c r="E260" s="3">
        <v>929.44</v>
      </c>
      <c r="F260" s="3">
        <v>929.44</v>
      </c>
      <c r="G260" s="3">
        <v>601.57000000000005</v>
      </c>
      <c r="H260" s="3">
        <v>601.57000000000005</v>
      </c>
      <c r="I260" s="3">
        <v>221.38</v>
      </c>
      <c r="J260" s="3">
        <v>221.38</v>
      </c>
      <c r="K260" s="3">
        <v>221.38</v>
      </c>
      <c r="L260" s="3">
        <v>221.38</v>
      </c>
      <c r="M260" s="3">
        <v>57</v>
      </c>
      <c r="N260" s="3">
        <v>0</v>
      </c>
      <c r="O260" s="3">
        <v>0</v>
      </c>
      <c r="P260" s="3">
        <v>0</v>
      </c>
      <c r="Q260" s="3">
        <v>929.44</v>
      </c>
      <c r="R260" s="3">
        <v>929.44</v>
      </c>
      <c r="S260" s="3">
        <v>601.57000000000005</v>
      </c>
      <c r="T260" s="3">
        <v>601.57000000000005</v>
      </c>
      <c r="U260" s="3">
        <v>221.38</v>
      </c>
      <c r="V260" s="3">
        <v>221.38</v>
      </c>
      <c r="W260" s="3">
        <v>221.38</v>
      </c>
      <c r="X260" s="3">
        <v>221.38</v>
      </c>
      <c r="Y260" s="3">
        <v>57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/>
    </row>
    <row r="261" spans="2:41" x14ac:dyDescent="0.2">
      <c r="B261">
        <v>834</v>
      </c>
      <c r="C261">
        <v>1</v>
      </c>
      <c r="D261" t="s">
        <v>320</v>
      </c>
      <c r="E261" s="3">
        <v>818.34</v>
      </c>
      <c r="F261" s="3">
        <v>818.34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818.34</v>
      </c>
      <c r="R261" s="3">
        <v>818.34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/>
    </row>
    <row r="262" spans="2:41" x14ac:dyDescent="0.2">
      <c r="B262">
        <v>836</v>
      </c>
      <c r="C262">
        <v>1</v>
      </c>
      <c r="D262" t="s">
        <v>321</v>
      </c>
      <c r="E262" s="3">
        <v>1296.68</v>
      </c>
      <c r="F262" s="3">
        <v>1296.68</v>
      </c>
      <c r="G262" s="3">
        <v>1296.68</v>
      </c>
      <c r="H262" s="3">
        <v>1296.68</v>
      </c>
      <c r="I262" s="3">
        <v>1296.68</v>
      </c>
      <c r="J262" s="3">
        <v>1296.68</v>
      </c>
      <c r="K262" s="3">
        <v>1296.68</v>
      </c>
      <c r="L262" s="3">
        <v>1296.68</v>
      </c>
      <c r="M262" s="3">
        <v>1296.68</v>
      </c>
      <c r="N262" s="3">
        <v>1296.68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1296.68</v>
      </c>
      <c r="AD262" s="3">
        <v>1296.68</v>
      </c>
      <c r="AE262" s="3">
        <v>1296.68</v>
      </c>
      <c r="AF262" s="3">
        <v>1296.68</v>
      </c>
      <c r="AG262" s="3">
        <v>1296.68</v>
      </c>
      <c r="AH262" s="3">
        <v>1296.68</v>
      </c>
      <c r="AI262" s="3">
        <v>1296.68</v>
      </c>
      <c r="AJ262" s="3">
        <v>1296.68</v>
      </c>
      <c r="AK262" s="3">
        <v>1296.68</v>
      </c>
      <c r="AL262" s="3">
        <v>1296.68</v>
      </c>
      <c r="AM262" s="3">
        <v>0</v>
      </c>
      <c r="AN262" s="3">
        <v>0</v>
      </c>
      <c r="AO262" s="3"/>
    </row>
    <row r="263" spans="2:41" x14ac:dyDescent="0.2">
      <c r="B263">
        <v>837</v>
      </c>
      <c r="C263">
        <v>1</v>
      </c>
      <c r="D263" t="s">
        <v>322</v>
      </c>
      <c r="E263" s="3">
        <v>700</v>
      </c>
      <c r="F263" s="3">
        <v>700</v>
      </c>
      <c r="G263" s="3">
        <v>700</v>
      </c>
      <c r="H263" s="3">
        <v>700</v>
      </c>
      <c r="I263" s="3">
        <v>700</v>
      </c>
      <c r="J263" s="3">
        <v>700</v>
      </c>
      <c r="K263" s="3">
        <v>700</v>
      </c>
      <c r="L263" s="3">
        <v>700</v>
      </c>
      <c r="M263" s="3">
        <v>700</v>
      </c>
      <c r="N263" s="3">
        <v>700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700</v>
      </c>
      <c r="AD263" s="3">
        <v>700</v>
      </c>
      <c r="AE263" s="3">
        <v>700</v>
      </c>
      <c r="AF263" s="3">
        <v>700</v>
      </c>
      <c r="AG263" s="3">
        <v>700</v>
      </c>
      <c r="AH263" s="3">
        <v>700</v>
      </c>
      <c r="AI263" s="3">
        <v>700</v>
      </c>
      <c r="AJ263" s="3">
        <v>700</v>
      </c>
      <c r="AK263" s="3">
        <v>700</v>
      </c>
      <c r="AL263" s="3">
        <v>700</v>
      </c>
      <c r="AM263" s="3">
        <v>0</v>
      </c>
      <c r="AN263" s="3">
        <v>0</v>
      </c>
      <c r="AO263" s="3"/>
    </row>
    <row r="264" spans="2:41" x14ac:dyDescent="0.2">
      <c r="B264">
        <v>840</v>
      </c>
      <c r="C264">
        <v>1</v>
      </c>
      <c r="D264" t="s">
        <v>323</v>
      </c>
      <c r="E264" s="3">
        <v>569.20000000000005</v>
      </c>
      <c r="F264" s="3">
        <v>569.20000000000005</v>
      </c>
      <c r="G264" s="3">
        <v>569.20000000000005</v>
      </c>
      <c r="H264" s="3">
        <v>569.20000000000005</v>
      </c>
      <c r="I264" s="3">
        <v>569.20000000000005</v>
      </c>
      <c r="J264" s="3">
        <v>569.20000000000005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569.20000000000005</v>
      </c>
      <c r="R264" s="3">
        <v>569.20000000000005</v>
      </c>
      <c r="S264" s="3">
        <v>569.20000000000005</v>
      </c>
      <c r="T264" s="3">
        <v>569.20000000000005</v>
      </c>
      <c r="U264" s="3">
        <v>569.20000000000005</v>
      </c>
      <c r="V264" s="3">
        <v>569.20000000000005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/>
    </row>
    <row r="265" spans="2:41" x14ac:dyDescent="0.2">
      <c r="B265">
        <v>846</v>
      </c>
      <c r="C265">
        <v>1</v>
      </c>
      <c r="D265" t="s">
        <v>324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/>
    </row>
    <row r="266" spans="2:41" x14ac:dyDescent="0.2">
      <c r="B266">
        <v>850</v>
      </c>
      <c r="C266">
        <v>1</v>
      </c>
      <c r="D266" t="s">
        <v>325</v>
      </c>
      <c r="E266" s="3">
        <v>2140.94</v>
      </c>
      <c r="F266" s="3">
        <v>1640.12</v>
      </c>
      <c r="G266" s="3">
        <v>1500</v>
      </c>
      <c r="H266" s="3">
        <v>1500</v>
      </c>
      <c r="I266" s="3">
        <v>1500</v>
      </c>
      <c r="J266" s="3">
        <v>1500</v>
      </c>
      <c r="K266" s="3">
        <v>1500</v>
      </c>
      <c r="L266" s="3">
        <v>1500</v>
      </c>
      <c r="M266" s="3">
        <v>1500</v>
      </c>
      <c r="N266" s="3">
        <v>0</v>
      </c>
      <c r="O266" s="3">
        <v>0</v>
      </c>
      <c r="P266" s="3">
        <v>0</v>
      </c>
      <c r="Q266" s="3">
        <v>640.94000000000005</v>
      </c>
      <c r="R266" s="3">
        <v>140.12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1500</v>
      </c>
      <c r="AD266" s="3">
        <v>1500</v>
      </c>
      <c r="AE266" s="3">
        <v>1500</v>
      </c>
      <c r="AF266" s="3">
        <v>1500</v>
      </c>
      <c r="AG266" s="3">
        <v>1500</v>
      </c>
      <c r="AH266" s="3">
        <v>1500</v>
      </c>
      <c r="AI266" s="3">
        <v>1500</v>
      </c>
      <c r="AJ266" s="3">
        <v>1500</v>
      </c>
      <c r="AK266" s="3">
        <v>1500</v>
      </c>
      <c r="AL266" s="3">
        <v>0</v>
      </c>
      <c r="AM266" s="3">
        <v>0</v>
      </c>
      <c r="AN266" s="3">
        <v>0</v>
      </c>
      <c r="AO266" s="3"/>
    </row>
    <row r="267" spans="2:41" x14ac:dyDescent="0.2">
      <c r="B267">
        <v>852</v>
      </c>
      <c r="C267">
        <v>1</v>
      </c>
      <c r="D267" t="s">
        <v>326</v>
      </c>
      <c r="E267" s="3">
        <v>2801.8</v>
      </c>
      <c r="F267" s="3">
        <v>2801.8</v>
      </c>
      <c r="G267" s="3">
        <v>2801.8</v>
      </c>
      <c r="H267" s="3">
        <v>2000</v>
      </c>
      <c r="I267" s="3">
        <v>2000</v>
      </c>
      <c r="J267" s="3">
        <v>2000</v>
      </c>
      <c r="K267" s="3">
        <v>2000</v>
      </c>
      <c r="L267" s="3">
        <v>2000</v>
      </c>
      <c r="M267" s="3">
        <v>2000</v>
      </c>
      <c r="N267" s="3">
        <v>0</v>
      </c>
      <c r="O267" s="3">
        <v>0</v>
      </c>
      <c r="P267" s="3">
        <v>0</v>
      </c>
      <c r="Q267" s="3">
        <v>801.8</v>
      </c>
      <c r="R267" s="3">
        <v>801.8</v>
      </c>
      <c r="S267" s="3">
        <v>801.8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2000</v>
      </c>
      <c r="AD267" s="3">
        <v>2000</v>
      </c>
      <c r="AE267" s="3">
        <v>2000</v>
      </c>
      <c r="AF267" s="3">
        <v>2000</v>
      </c>
      <c r="AG267" s="3">
        <v>2000</v>
      </c>
      <c r="AH267" s="3">
        <v>2000</v>
      </c>
      <c r="AI267" s="3">
        <v>2000</v>
      </c>
      <c r="AJ267" s="3">
        <v>2000</v>
      </c>
      <c r="AK267" s="3">
        <v>2000</v>
      </c>
      <c r="AL267" s="3">
        <v>0</v>
      </c>
      <c r="AM267" s="3">
        <v>0</v>
      </c>
      <c r="AN267" s="3">
        <v>0</v>
      </c>
      <c r="AO267" s="3"/>
    </row>
    <row r="268" spans="2:41" x14ac:dyDescent="0.2">
      <c r="B268">
        <v>857</v>
      </c>
      <c r="C268">
        <v>1</v>
      </c>
      <c r="D268" t="s">
        <v>327</v>
      </c>
      <c r="E268" s="3">
        <v>816.65</v>
      </c>
      <c r="F268" s="3">
        <v>816.65</v>
      </c>
      <c r="G268" s="3">
        <v>816.65</v>
      </c>
      <c r="H268" s="3">
        <v>816.65</v>
      </c>
      <c r="I268" s="3">
        <v>816.65</v>
      </c>
      <c r="J268" s="3">
        <v>816.65</v>
      </c>
      <c r="K268" s="3">
        <v>315</v>
      </c>
      <c r="L268" s="3">
        <v>315</v>
      </c>
      <c r="M268" s="3">
        <v>315</v>
      </c>
      <c r="N268" s="3">
        <v>315</v>
      </c>
      <c r="O268" s="3">
        <v>0</v>
      </c>
      <c r="P268" s="3">
        <v>0</v>
      </c>
      <c r="Q268" s="3">
        <v>501.65</v>
      </c>
      <c r="R268" s="3">
        <v>501.65</v>
      </c>
      <c r="S268" s="3">
        <v>501.65</v>
      </c>
      <c r="T268" s="3">
        <v>501.65</v>
      </c>
      <c r="U268" s="3">
        <v>501.65</v>
      </c>
      <c r="V268" s="3">
        <v>501.65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315</v>
      </c>
      <c r="AD268" s="3">
        <v>315</v>
      </c>
      <c r="AE268" s="3">
        <v>315</v>
      </c>
      <c r="AF268" s="3">
        <v>315</v>
      </c>
      <c r="AG268" s="3">
        <v>315</v>
      </c>
      <c r="AH268" s="3">
        <v>315</v>
      </c>
      <c r="AI268" s="3">
        <v>315</v>
      </c>
      <c r="AJ268" s="3">
        <v>315</v>
      </c>
      <c r="AK268" s="3">
        <v>315</v>
      </c>
      <c r="AL268" s="3">
        <v>315</v>
      </c>
      <c r="AM268" s="3">
        <v>0</v>
      </c>
      <c r="AN268" s="3">
        <v>0</v>
      </c>
      <c r="AO268" s="3"/>
    </row>
    <row r="269" spans="2:41" x14ac:dyDescent="0.2">
      <c r="B269">
        <v>858</v>
      </c>
      <c r="C269">
        <v>1</v>
      </c>
      <c r="D269" t="s">
        <v>328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/>
    </row>
    <row r="270" spans="2:41" x14ac:dyDescent="0.2">
      <c r="B270">
        <v>861</v>
      </c>
      <c r="C270">
        <v>1</v>
      </c>
      <c r="D270" t="s">
        <v>329</v>
      </c>
      <c r="E270" s="3">
        <v>1550</v>
      </c>
      <c r="F270" s="3">
        <v>1550</v>
      </c>
      <c r="G270" s="3">
        <v>1550</v>
      </c>
      <c r="H270" s="3">
        <v>1550</v>
      </c>
      <c r="I270" s="3">
        <v>1550</v>
      </c>
      <c r="J270" s="3">
        <v>1550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1550</v>
      </c>
      <c r="AD270" s="3">
        <v>1550</v>
      </c>
      <c r="AE270" s="3">
        <v>1550</v>
      </c>
      <c r="AF270" s="3">
        <v>1550</v>
      </c>
      <c r="AG270" s="3">
        <v>1550</v>
      </c>
      <c r="AH270" s="3">
        <v>1550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/>
    </row>
    <row r="271" spans="2:41" x14ac:dyDescent="0.2">
      <c r="B271">
        <v>876</v>
      </c>
      <c r="C271">
        <v>1</v>
      </c>
      <c r="D271" t="s">
        <v>330</v>
      </c>
      <c r="E271" s="3">
        <v>457.69</v>
      </c>
      <c r="F271" s="3">
        <v>457.69</v>
      </c>
      <c r="G271" s="3">
        <v>105.39</v>
      </c>
      <c r="H271" s="3">
        <v>105.39</v>
      </c>
      <c r="I271" s="3">
        <v>105.39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457.69</v>
      </c>
      <c r="R271" s="3">
        <v>457.69</v>
      </c>
      <c r="S271" s="3">
        <v>105.39</v>
      </c>
      <c r="T271" s="3">
        <v>105.39</v>
      </c>
      <c r="U271" s="3">
        <v>105.39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/>
    </row>
    <row r="272" spans="2:41" x14ac:dyDescent="0.2">
      <c r="B272">
        <v>877</v>
      </c>
      <c r="C272">
        <v>1</v>
      </c>
      <c r="D272" t="s">
        <v>331</v>
      </c>
      <c r="E272" s="3">
        <v>489.99</v>
      </c>
      <c r="F272" s="3">
        <v>489.99</v>
      </c>
      <c r="G272" s="3">
        <v>489.99</v>
      </c>
      <c r="H272" s="3">
        <v>489.99</v>
      </c>
      <c r="I272" s="3">
        <v>489.99</v>
      </c>
      <c r="J272" s="3">
        <v>379.44</v>
      </c>
      <c r="K272" s="3">
        <v>379.44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489.99</v>
      </c>
      <c r="R272" s="3">
        <v>489.99</v>
      </c>
      <c r="S272" s="3">
        <v>489.99</v>
      </c>
      <c r="T272" s="3">
        <v>489.99</v>
      </c>
      <c r="U272" s="3">
        <v>489.99</v>
      </c>
      <c r="V272" s="3">
        <v>379.44</v>
      </c>
      <c r="W272" s="3">
        <v>379.44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/>
    </row>
    <row r="273" spans="2:41" x14ac:dyDescent="0.2">
      <c r="B273">
        <v>879</v>
      </c>
      <c r="C273">
        <v>1</v>
      </c>
      <c r="D273" t="s">
        <v>332</v>
      </c>
      <c r="E273" s="3">
        <v>426.86</v>
      </c>
      <c r="F273" s="3">
        <v>426.86</v>
      </c>
      <c r="G273" s="3">
        <v>426.86</v>
      </c>
      <c r="H273" s="3">
        <v>426.86</v>
      </c>
      <c r="I273" s="3">
        <v>426.86</v>
      </c>
      <c r="J273" s="3">
        <v>426.86</v>
      </c>
      <c r="K273" s="3">
        <v>426.86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426.86</v>
      </c>
      <c r="R273" s="3">
        <v>426.86</v>
      </c>
      <c r="S273" s="3">
        <v>426.86</v>
      </c>
      <c r="T273" s="3">
        <v>426.86</v>
      </c>
      <c r="U273" s="3">
        <v>426.86</v>
      </c>
      <c r="V273" s="3">
        <v>426.86</v>
      </c>
      <c r="W273" s="3">
        <v>426.86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/>
    </row>
    <row r="274" spans="2:41" x14ac:dyDescent="0.2">
      <c r="B274">
        <v>881</v>
      </c>
      <c r="C274">
        <v>1</v>
      </c>
      <c r="D274" t="s">
        <v>333</v>
      </c>
      <c r="E274" s="3">
        <v>640.39</v>
      </c>
      <c r="F274" s="3">
        <v>640.39</v>
      </c>
      <c r="G274" s="3">
        <v>640.39</v>
      </c>
      <c r="H274" s="3">
        <v>452.78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640.39</v>
      </c>
      <c r="R274" s="3">
        <v>640.39</v>
      </c>
      <c r="S274" s="3">
        <v>640.39</v>
      </c>
      <c r="T274" s="3">
        <v>452.78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/>
    </row>
    <row r="275" spans="2:41" x14ac:dyDescent="0.2">
      <c r="B275">
        <v>882</v>
      </c>
      <c r="C275">
        <v>1</v>
      </c>
      <c r="D275" t="s">
        <v>334</v>
      </c>
      <c r="E275" s="3">
        <v>209.42</v>
      </c>
      <c r="F275" s="3">
        <v>209.42</v>
      </c>
      <c r="G275" s="3">
        <v>209.42</v>
      </c>
      <c r="H275" s="3">
        <v>209.42</v>
      </c>
      <c r="I275" s="3">
        <v>209.42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209.42</v>
      </c>
      <c r="R275" s="3">
        <v>209.42</v>
      </c>
      <c r="S275" s="3">
        <v>209.42</v>
      </c>
      <c r="T275" s="3">
        <v>209.42</v>
      </c>
      <c r="U275" s="3">
        <v>209.42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/>
    </row>
    <row r="276" spans="2:41" x14ac:dyDescent="0.2">
      <c r="B276">
        <v>883</v>
      </c>
      <c r="C276">
        <v>1</v>
      </c>
      <c r="D276" t="s">
        <v>335</v>
      </c>
      <c r="E276" s="3">
        <v>12.79</v>
      </c>
      <c r="F276" s="3">
        <v>12.79</v>
      </c>
      <c r="G276" s="3">
        <v>12.79</v>
      </c>
      <c r="H276" s="3">
        <v>12.79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12.79</v>
      </c>
      <c r="R276" s="3">
        <v>12.79</v>
      </c>
      <c r="S276" s="3">
        <v>12.79</v>
      </c>
      <c r="T276" s="3">
        <v>12.79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/>
    </row>
    <row r="277" spans="2:41" x14ac:dyDescent="0.2">
      <c r="B277">
        <v>885</v>
      </c>
      <c r="C277">
        <v>1</v>
      </c>
      <c r="D277" t="s">
        <v>336</v>
      </c>
      <c r="E277" s="3">
        <v>514.99</v>
      </c>
      <c r="F277" s="3">
        <v>514.99</v>
      </c>
      <c r="G277" s="3">
        <v>514.99</v>
      </c>
      <c r="H277" s="3">
        <v>500</v>
      </c>
      <c r="I277" s="3">
        <v>500</v>
      </c>
      <c r="J277" s="3">
        <v>500</v>
      </c>
      <c r="K277" s="3">
        <v>500</v>
      </c>
      <c r="L277" s="3">
        <v>500</v>
      </c>
      <c r="M277" s="3">
        <v>500</v>
      </c>
      <c r="N277" s="3">
        <v>0</v>
      </c>
      <c r="O277" s="3">
        <v>0</v>
      </c>
      <c r="P277" s="3">
        <v>0</v>
      </c>
      <c r="Q277" s="3">
        <v>14.99</v>
      </c>
      <c r="R277" s="3">
        <v>14.99</v>
      </c>
      <c r="S277" s="3">
        <v>14.99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500</v>
      </c>
      <c r="AD277" s="3">
        <v>500</v>
      </c>
      <c r="AE277" s="3">
        <v>500</v>
      </c>
      <c r="AF277" s="3">
        <v>500</v>
      </c>
      <c r="AG277" s="3">
        <v>500</v>
      </c>
      <c r="AH277" s="3">
        <v>500</v>
      </c>
      <c r="AI277" s="3">
        <v>500</v>
      </c>
      <c r="AJ277" s="3">
        <v>500</v>
      </c>
      <c r="AK277" s="3">
        <v>500</v>
      </c>
      <c r="AL277" s="3">
        <v>0</v>
      </c>
      <c r="AM277" s="3">
        <v>0</v>
      </c>
      <c r="AN277" s="3">
        <v>0</v>
      </c>
      <c r="AO277" s="3"/>
    </row>
    <row r="278" spans="2:41" x14ac:dyDescent="0.2">
      <c r="B278">
        <v>891</v>
      </c>
      <c r="C278">
        <v>1</v>
      </c>
      <c r="D278" t="s">
        <v>337</v>
      </c>
      <c r="E278" s="3">
        <v>500.25</v>
      </c>
      <c r="F278" s="3">
        <v>500.25</v>
      </c>
      <c r="G278" s="3">
        <v>500.25</v>
      </c>
      <c r="H278" s="3">
        <v>500.25</v>
      </c>
      <c r="I278" s="3">
        <v>500.25</v>
      </c>
      <c r="J278" s="3">
        <v>500.25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500.25</v>
      </c>
      <c r="R278" s="3">
        <v>500.25</v>
      </c>
      <c r="S278" s="3">
        <v>500.25</v>
      </c>
      <c r="T278" s="3">
        <v>500.25</v>
      </c>
      <c r="U278" s="3">
        <v>500.25</v>
      </c>
      <c r="V278" s="3">
        <v>500.25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/>
    </row>
    <row r="279" spans="2:41" x14ac:dyDescent="0.2">
      <c r="B279">
        <v>911</v>
      </c>
      <c r="C279">
        <v>1</v>
      </c>
      <c r="D279" t="s">
        <v>338</v>
      </c>
      <c r="E279" s="3">
        <v>108.61</v>
      </c>
      <c r="F279" s="3">
        <v>108.61</v>
      </c>
      <c r="G279" s="3">
        <v>108.61</v>
      </c>
      <c r="H279" s="3">
        <v>108.61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1.03</v>
      </c>
      <c r="R279" s="3">
        <v>1.03</v>
      </c>
      <c r="S279" s="3">
        <v>1.03</v>
      </c>
      <c r="T279" s="3">
        <v>1.03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107.58</v>
      </c>
      <c r="AD279" s="3">
        <v>107.58</v>
      </c>
      <c r="AE279" s="3">
        <v>107.58</v>
      </c>
      <c r="AF279" s="3">
        <v>107.58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/>
    </row>
    <row r="280" spans="2:41" x14ac:dyDescent="0.2">
      <c r="B280">
        <v>912</v>
      </c>
      <c r="C280">
        <v>1</v>
      </c>
      <c r="D280" t="s">
        <v>339</v>
      </c>
      <c r="E280" s="3">
        <v>1.02</v>
      </c>
      <c r="F280" s="3">
        <v>1.02</v>
      </c>
      <c r="G280" s="3">
        <v>1.02</v>
      </c>
      <c r="H280" s="3">
        <v>1.02</v>
      </c>
      <c r="I280" s="3">
        <v>1.02</v>
      </c>
      <c r="J280" s="3">
        <v>1.02</v>
      </c>
      <c r="K280" s="3">
        <v>1.02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1.02</v>
      </c>
      <c r="R280" s="3">
        <v>1.02</v>
      </c>
      <c r="S280" s="3">
        <v>1.02</v>
      </c>
      <c r="T280" s="3">
        <v>1.02</v>
      </c>
      <c r="U280" s="3">
        <v>1.02</v>
      </c>
      <c r="V280" s="3">
        <v>1.02</v>
      </c>
      <c r="W280" s="3">
        <v>1.02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/>
    </row>
    <row r="281" spans="2:41" x14ac:dyDescent="0.2">
      <c r="B281">
        <v>914</v>
      </c>
      <c r="C281">
        <v>1</v>
      </c>
      <c r="D281" t="s">
        <v>340</v>
      </c>
      <c r="E281" s="3">
        <v>1700</v>
      </c>
      <c r="F281" s="3">
        <v>1700</v>
      </c>
      <c r="G281" s="3">
        <v>1700</v>
      </c>
      <c r="H281" s="3">
        <v>1700</v>
      </c>
      <c r="I281" s="3">
        <v>1700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1700</v>
      </c>
      <c r="AD281" s="3">
        <v>1700</v>
      </c>
      <c r="AE281" s="3">
        <v>1700</v>
      </c>
      <c r="AF281" s="3">
        <v>1700</v>
      </c>
      <c r="AG281" s="3">
        <v>1700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/>
    </row>
    <row r="282" spans="2:41" x14ac:dyDescent="0.2">
      <c r="B282">
        <v>2071</v>
      </c>
      <c r="C282">
        <v>1</v>
      </c>
      <c r="D282" t="s">
        <v>341</v>
      </c>
      <c r="E282" s="3">
        <v>635.6</v>
      </c>
      <c r="F282" s="3">
        <v>635.6</v>
      </c>
      <c r="G282" s="3">
        <v>635.6</v>
      </c>
      <c r="H282" s="3">
        <v>635.6</v>
      </c>
      <c r="I282" s="3">
        <v>635.6</v>
      </c>
      <c r="J282" s="3">
        <v>635.6</v>
      </c>
      <c r="K282" s="3">
        <v>635.6</v>
      </c>
      <c r="L282" s="3">
        <v>319.49</v>
      </c>
      <c r="M282" s="3">
        <v>319.49</v>
      </c>
      <c r="N282" s="3">
        <v>319.49</v>
      </c>
      <c r="O282" s="3">
        <v>0</v>
      </c>
      <c r="P282" s="3">
        <v>0</v>
      </c>
      <c r="Q282" s="3">
        <v>316.11</v>
      </c>
      <c r="R282" s="3">
        <v>316.11</v>
      </c>
      <c r="S282" s="3">
        <v>316.11</v>
      </c>
      <c r="T282" s="3">
        <v>316.11</v>
      </c>
      <c r="U282" s="3">
        <v>316.11</v>
      </c>
      <c r="V282" s="3">
        <v>316.11</v>
      </c>
      <c r="W282" s="3">
        <v>316.11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319.49</v>
      </c>
      <c r="AD282" s="3">
        <v>319.49</v>
      </c>
      <c r="AE282" s="3">
        <v>319.49</v>
      </c>
      <c r="AF282" s="3">
        <v>319.49</v>
      </c>
      <c r="AG282" s="3">
        <v>319.49</v>
      </c>
      <c r="AH282" s="3">
        <v>319.49</v>
      </c>
      <c r="AI282" s="3">
        <v>319.49</v>
      </c>
      <c r="AJ282" s="3">
        <v>319.49</v>
      </c>
      <c r="AK282" s="3">
        <v>319.49</v>
      </c>
      <c r="AL282" s="3">
        <v>319.49</v>
      </c>
      <c r="AM282" s="3">
        <v>0</v>
      </c>
      <c r="AN282" s="3">
        <v>0</v>
      </c>
      <c r="AO282" s="3"/>
    </row>
    <row r="283" spans="2:41" x14ac:dyDescent="0.2">
      <c r="B283">
        <v>2125</v>
      </c>
      <c r="C283">
        <v>1</v>
      </c>
      <c r="D283" t="s">
        <v>342</v>
      </c>
      <c r="E283" s="3">
        <v>400.29</v>
      </c>
      <c r="F283" s="3">
        <v>400.29</v>
      </c>
      <c r="G283" s="3">
        <v>350</v>
      </c>
      <c r="H283" s="3">
        <v>350</v>
      </c>
      <c r="I283" s="3">
        <v>350</v>
      </c>
      <c r="J283" s="3">
        <v>350</v>
      </c>
      <c r="K283" s="3">
        <v>350</v>
      </c>
      <c r="L283" s="3">
        <v>350</v>
      </c>
      <c r="M283" s="3">
        <v>0</v>
      </c>
      <c r="N283" s="3">
        <v>0</v>
      </c>
      <c r="O283" s="3">
        <v>0</v>
      </c>
      <c r="P283" s="3">
        <v>0</v>
      </c>
      <c r="Q283" s="3">
        <v>400.29</v>
      </c>
      <c r="R283" s="3">
        <v>400.29</v>
      </c>
      <c r="S283" s="3">
        <v>350</v>
      </c>
      <c r="T283" s="3">
        <v>350</v>
      </c>
      <c r="U283" s="3">
        <v>350</v>
      </c>
      <c r="V283" s="3">
        <v>350</v>
      </c>
      <c r="W283" s="3">
        <v>350</v>
      </c>
      <c r="X283" s="3">
        <v>350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/>
    </row>
    <row r="284" spans="2:41" x14ac:dyDescent="0.2">
      <c r="B284">
        <v>2134</v>
      </c>
      <c r="C284">
        <v>1</v>
      </c>
      <c r="D284" t="s">
        <v>343</v>
      </c>
      <c r="E284" s="3">
        <v>642.39</v>
      </c>
      <c r="F284" s="3">
        <v>642.39</v>
      </c>
      <c r="G284" s="3">
        <v>642.39</v>
      </c>
      <c r="H284" s="3">
        <v>642.39</v>
      </c>
      <c r="I284" s="3">
        <v>300</v>
      </c>
      <c r="J284" s="3">
        <v>300</v>
      </c>
      <c r="K284" s="3">
        <v>300</v>
      </c>
      <c r="L284" s="3">
        <v>300</v>
      </c>
      <c r="M284" s="3">
        <v>0</v>
      </c>
      <c r="N284" s="3">
        <v>0</v>
      </c>
      <c r="O284" s="3">
        <v>0</v>
      </c>
      <c r="P284" s="3">
        <v>0</v>
      </c>
      <c r="Q284" s="3">
        <v>642.39</v>
      </c>
      <c r="R284" s="3">
        <v>642.39</v>
      </c>
      <c r="S284" s="3">
        <v>642.39</v>
      </c>
      <c r="T284" s="3">
        <v>642.39</v>
      </c>
      <c r="U284" s="3">
        <v>300</v>
      </c>
      <c r="V284" s="3">
        <v>300</v>
      </c>
      <c r="W284" s="3">
        <v>300</v>
      </c>
      <c r="X284" s="3">
        <v>300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/>
    </row>
    <row r="285" spans="2:41" x14ac:dyDescent="0.2">
      <c r="B285">
        <v>2135</v>
      </c>
      <c r="C285">
        <v>1</v>
      </c>
      <c r="D285" t="s">
        <v>344</v>
      </c>
      <c r="E285" s="3">
        <v>889.34</v>
      </c>
      <c r="F285" s="3">
        <v>889.34</v>
      </c>
      <c r="G285" s="3">
        <v>889.34</v>
      </c>
      <c r="H285" s="3">
        <v>889.34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889.34</v>
      </c>
      <c r="AD285" s="3">
        <v>889.34</v>
      </c>
      <c r="AE285" s="3">
        <v>889.34</v>
      </c>
      <c r="AF285" s="3">
        <v>889.34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/>
    </row>
    <row r="286" spans="2:41" x14ac:dyDescent="0.2">
      <c r="B286">
        <v>2137</v>
      </c>
      <c r="C286">
        <v>1</v>
      </c>
      <c r="D286" t="s">
        <v>345</v>
      </c>
      <c r="E286" s="3">
        <v>300.83</v>
      </c>
      <c r="F286" s="3">
        <v>300.83</v>
      </c>
      <c r="G286" s="3">
        <v>300.83</v>
      </c>
      <c r="H286" s="3">
        <v>300.83</v>
      </c>
      <c r="I286" s="3">
        <v>300.83</v>
      </c>
      <c r="J286" s="3">
        <v>300.83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300.83</v>
      </c>
      <c r="R286" s="3">
        <v>300.83</v>
      </c>
      <c r="S286" s="3">
        <v>300.83</v>
      </c>
      <c r="T286" s="3">
        <v>300.83</v>
      </c>
      <c r="U286" s="3">
        <v>300.83</v>
      </c>
      <c r="V286" s="3">
        <v>300.83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/>
    </row>
    <row r="287" spans="2:41" x14ac:dyDescent="0.2">
      <c r="B287">
        <v>2142</v>
      </c>
      <c r="C287">
        <v>1</v>
      </c>
      <c r="D287" t="s">
        <v>346</v>
      </c>
      <c r="E287" s="3">
        <v>126.6</v>
      </c>
      <c r="F287" s="3">
        <v>126.6</v>
      </c>
      <c r="G287" s="3">
        <v>126.6</v>
      </c>
      <c r="H287" s="3">
        <v>126.6</v>
      </c>
      <c r="I287" s="3">
        <v>126.6</v>
      </c>
      <c r="J287" s="3">
        <v>126.6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126.6</v>
      </c>
      <c r="R287" s="3">
        <v>126.6</v>
      </c>
      <c r="S287" s="3">
        <v>126.6</v>
      </c>
      <c r="T287" s="3">
        <v>126.6</v>
      </c>
      <c r="U287" s="3">
        <v>126.6</v>
      </c>
      <c r="V287" s="3">
        <v>126.6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/>
    </row>
    <row r="288" spans="2:41" x14ac:dyDescent="0.2">
      <c r="B288">
        <v>2143</v>
      </c>
      <c r="C288">
        <v>1</v>
      </c>
      <c r="D288" t="s">
        <v>347</v>
      </c>
      <c r="E288" s="3">
        <v>457.52</v>
      </c>
      <c r="F288" s="3">
        <v>457.52</v>
      </c>
      <c r="G288" s="3">
        <v>457.1</v>
      </c>
      <c r="H288" s="3">
        <v>457.1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457.52</v>
      </c>
      <c r="R288" s="3">
        <v>457.52</v>
      </c>
      <c r="S288" s="3">
        <v>457.1</v>
      </c>
      <c r="T288" s="3">
        <v>457.1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/>
    </row>
    <row r="289" spans="2:41" x14ac:dyDescent="0.2">
      <c r="B289">
        <v>2144</v>
      </c>
      <c r="C289">
        <v>1</v>
      </c>
      <c r="D289" t="s">
        <v>348</v>
      </c>
      <c r="E289" s="3">
        <v>402.5</v>
      </c>
      <c r="F289" s="3">
        <v>402.5</v>
      </c>
      <c r="G289" s="3">
        <v>402.5</v>
      </c>
      <c r="H289" s="3">
        <v>402.5</v>
      </c>
      <c r="I289" s="3">
        <v>402.5</v>
      </c>
      <c r="J289" s="3">
        <v>400.96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402.5</v>
      </c>
      <c r="R289" s="3">
        <v>402.5</v>
      </c>
      <c r="S289" s="3">
        <v>402.5</v>
      </c>
      <c r="T289" s="3">
        <v>402.5</v>
      </c>
      <c r="U289" s="3">
        <v>402.5</v>
      </c>
      <c r="V289" s="3">
        <v>400.96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/>
    </row>
    <row r="290" spans="2:41" x14ac:dyDescent="0.2">
      <c r="B290">
        <v>2149</v>
      </c>
      <c r="C290">
        <v>1</v>
      </c>
      <c r="D290" t="s">
        <v>349</v>
      </c>
      <c r="E290" s="3">
        <v>0.4</v>
      </c>
      <c r="F290" s="3">
        <v>0.4</v>
      </c>
      <c r="G290" s="3">
        <v>0.4</v>
      </c>
      <c r="H290" s="3">
        <v>0.4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0.4</v>
      </c>
      <c r="R290" s="3">
        <v>0.4</v>
      </c>
      <c r="S290" s="3">
        <v>0.4</v>
      </c>
      <c r="T290" s="3">
        <v>0.4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/>
    </row>
    <row r="291" spans="2:41" x14ac:dyDescent="0.2">
      <c r="B291">
        <v>2154</v>
      </c>
      <c r="C291">
        <v>1</v>
      </c>
      <c r="D291" t="s">
        <v>350</v>
      </c>
      <c r="E291" s="3">
        <v>367.93</v>
      </c>
      <c r="F291" s="3">
        <v>367.93</v>
      </c>
      <c r="G291" s="3">
        <v>367.93</v>
      </c>
      <c r="H291" s="3">
        <v>335.95</v>
      </c>
      <c r="I291" s="3">
        <v>335.95</v>
      </c>
      <c r="J291" s="3">
        <v>335.95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367.93</v>
      </c>
      <c r="R291" s="3">
        <v>367.93</v>
      </c>
      <c r="S291" s="3">
        <v>367.93</v>
      </c>
      <c r="T291" s="3">
        <v>335.95</v>
      </c>
      <c r="U291" s="3">
        <v>335.95</v>
      </c>
      <c r="V291" s="3">
        <v>335.95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/>
    </row>
    <row r="292" spans="2:41" x14ac:dyDescent="0.2">
      <c r="B292">
        <v>2155</v>
      </c>
      <c r="C292">
        <v>1</v>
      </c>
      <c r="D292" t="s">
        <v>351</v>
      </c>
      <c r="E292" s="3">
        <v>101.17</v>
      </c>
      <c r="F292" s="3">
        <v>101.17</v>
      </c>
      <c r="G292" s="3">
        <v>101.17</v>
      </c>
      <c r="H292" s="3">
        <v>101.17</v>
      </c>
      <c r="I292" s="3">
        <v>101.17</v>
      </c>
      <c r="J292" s="3">
        <v>101.17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101.17</v>
      </c>
      <c r="R292" s="3">
        <v>101.17</v>
      </c>
      <c r="S292" s="3">
        <v>101.17</v>
      </c>
      <c r="T292" s="3">
        <v>101.17</v>
      </c>
      <c r="U292" s="3">
        <v>101.17</v>
      </c>
      <c r="V292" s="3">
        <v>101.17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/>
    </row>
    <row r="293" spans="2:41" x14ac:dyDescent="0.2">
      <c r="B293">
        <v>2159</v>
      </c>
      <c r="C293">
        <v>1</v>
      </c>
      <c r="D293" t="s">
        <v>352</v>
      </c>
      <c r="E293" s="3">
        <v>889.25</v>
      </c>
      <c r="F293" s="3">
        <v>889.25</v>
      </c>
      <c r="G293" s="3">
        <v>800</v>
      </c>
      <c r="H293" s="3">
        <v>800</v>
      </c>
      <c r="I293" s="3">
        <v>800</v>
      </c>
      <c r="J293" s="3">
        <v>800</v>
      </c>
      <c r="K293" s="3">
        <v>800</v>
      </c>
      <c r="L293" s="3">
        <v>800</v>
      </c>
      <c r="M293" s="3">
        <v>0</v>
      </c>
      <c r="N293" s="3">
        <v>0</v>
      </c>
      <c r="O293" s="3">
        <v>0</v>
      </c>
      <c r="P293" s="3">
        <v>0</v>
      </c>
      <c r="Q293" s="3">
        <v>889.25</v>
      </c>
      <c r="R293" s="3">
        <v>889.25</v>
      </c>
      <c r="S293" s="3">
        <v>800</v>
      </c>
      <c r="T293" s="3">
        <v>800</v>
      </c>
      <c r="U293" s="3">
        <v>800</v>
      </c>
      <c r="V293" s="3">
        <v>800</v>
      </c>
      <c r="W293" s="3">
        <v>800</v>
      </c>
      <c r="X293" s="3">
        <v>800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/>
    </row>
    <row r="294" spans="2:41" x14ac:dyDescent="0.2">
      <c r="B294">
        <v>2164</v>
      </c>
      <c r="C294">
        <v>1</v>
      </c>
      <c r="D294" t="s">
        <v>353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/>
    </row>
    <row r="295" spans="2:41" x14ac:dyDescent="0.2">
      <c r="B295">
        <v>2165</v>
      </c>
      <c r="C295">
        <v>1</v>
      </c>
      <c r="D295" t="s">
        <v>354</v>
      </c>
      <c r="E295" s="3">
        <v>126.22</v>
      </c>
      <c r="F295" s="3">
        <v>126.22</v>
      </c>
      <c r="G295" s="3">
        <v>126.22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126.22</v>
      </c>
      <c r="R295" s="3">
        <v>126.22</v>
      </c>
      <c r="S295" s="3">
        <v>126.22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/>
    </row>
    <row r="296" spans="2:41" x14ac:dyDescent="0.2">
      <c r="B296">
        <v>2167</v>
      </c>
      <c r="C296">
        <v>1</v>
      </c>
      <c r="D296" t="s">
        <v>355</v>
      </c>
      <c r="E296" s="3">
        <v>500.01</v>
      </c>
      <c r="F296" s="3">
        <v>500.01</v>
      </c>
      <c r="G296" s="3">
        <v>500.01</v>
      </c>
      <c r="H296" s="3">
        <v>500.01</v>
      </c>
      <c r="I296" s="3">
        <v>500.01</v>
      </c>
      <c r="J296" s="3">
        <v>500.01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5.0099999999999909</v>
      </c>
      <c r="R296" s="3">
        <v>5.0099999999999909</v>
      </c>
      <c r="S296" s="3">
        <v>5.0099999999999909</v>
      </c>
      <c r="T296" s="3">
        <v>5.0099999999999909</v>
      </c>
      <c r="U296" s="3">
        <v>5.0099999999999909</v>
      </c>
      <c r="V296" s="3">
        <v>5.0099999999999909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495</v>
      </c>
      <c r="AD296" s="3">
        <v>495</v>
      </c>
      <c r="AE296" s="3">
        <v>495</v>
      </c>
      <c r="AF296" s="3">
        <v>495</v>
      </c>
      <c r="AG296" s="3">
        <v>495</v>
      </c>
      <c r="AH296" s="3">
        <v>495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/>
    </row>
    <row r="297" spans="2:41" x14ac:dyDescent="0.2">
      <c r="B297">
        <v>2168</v>
      </c>
      <c r="C297">
        <v>1</v>
      </c>
      <c r="D297" t="s">
        <v>356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/>
    </row>
    <row r="298" spans="2:41" x14ac:dyDescent="0.2">
      <c r="B298">
        <v>2169</v>
      </c>
      <c r="C298">
        <v>1</v>
      </c>
      <c r="D298" t="s">
        <v>357</v>
      </c>
      <c r="E298" s="3">
        <v>836.96</v>
      </c>
      <c r="F298" s="3">
        <v>836.96</v>
      </c>
      <c r="G298" s="3">
        <v>831.76</v>
      </c>
      <c r="H298" s="3">
        <v>831.76</v>
      </c>
      <c r="I298" s="3">
        <v>831.76</v>
      </c>
      <c r="J298" s="3">
        <v>831.76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836.96</v>
      </c>
      <c r="R298" s="3">
        <v>836.96</v>
      </c>
      <c r="S298" s="3">
        <v>831.76</v>
      </c>
      <c r="T298" s="3">
        <v>831.76</v>
      </c>
      <c r="U298" s="3">
        <v>831.76</v>
      </c>
      <c r="V298" s="3">
        <v>831.76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/>
    </row>
    <row r="299" spans="2:41" x14ac:dyDescent="0.2">
      <c r="B299">
        <v>2170</v>
      </c>
      <c r="C299">
        <v>1</v>
      </c>
      <c r="D299" t="s">
        <v>358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/>
    </row>
    <row r="300" spans="2:41" x14ac:dyDescent="0.2">
      <c r="B300">
        <v>2171</v>
      </c>
      <c r="C300">
        <v>1</v>
      </c>
      <c r="D300" t="s">
        <v>359</v>
      </c>
      <c r="E300" s="3">
        <v>2334.56</v>
      </c>
      <c r="F300" s="3">
        <v>2334.56</v>
      </c>
      <c r="G300" s="3">
        <v>2334.56</v>
      </c>
      <c r="H300" s="3">
        <v>2334.56</v>
      </c>
      <c r="I300" s="3">
        <v>2334.56</v>
      </c>
      <c r="J300" s="3">
        <v>2334.56</v>
      </c>
      <c r="K300" s="3">
        <v>2334.56</v>
      </c>
      <c r="L300" s="3">
        <v>2334.56</v>
      </c>
      <c r="M300" s="3">
        <v>2334.56</v>
      </c>
      <c r="N300" s="3">
        <v>2334.56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2334.56</v>
      </c>
      <c r="AD300" s="3">
        <v>2334.56</v>
      </c>
      <c r="AE300" s="3">
        <v>2334.56</v>
      </c>
      <c r="AF300" s="3">
        <v>2334.56</v>
      </c>
      <c r="AG300" s="3">
        <v>2334.56</v>
      </c>
      <c r="AH300" s="3">
        <v>2334.56</v>
      </c>
      <c r="AI300" s="3">
        <v>2334.56</v>
      </c>
      <c r="AJ300" s="3">
        <v>2334.56</v>
      </c>
      <c r="AK300" s="3">
        <v>2334.56</v>
      </c>
      <c r="AL300" s="3">
        <v>2334.56</v>
      </c>
      <c r="AM300" s="3">
        <v>0</v>
      </c>
      <c r="AN300" s="3">
        <v>0</v>
      </c>
      <c r="AO300" s="3"/>
    </row>
    <row r="301" spans="2:41" x14ac:dyDescent="0.2">
      <c r="B301">
        <v>2172</v>
      </c>
      <c r="C301">
        <v>1</v>
      </c>
      <c r="D301" t="s">
        <v>360</v>
      </c>
      <c r="E301" s="3">
        <v>405.2</v>
      </c>
      <c r="F301" s="3">
        <v>405.2</v>
      </c>
      <c r="G301" s="3">
        <v>405.2</v>
      </c>
      <c r="H301" s="3">
        <v>405.2</v>
      </c>
      <c r="I301" s="3">
        <v>405.2</v>
      </c>
      <c r="J301" s="3">
        <v>405.2</v>
      </c>
      <c r="K301" s="3">
        <v>278.95999999999998</v>
      </c>
      <c r="L301" s="3">
        <v>278.95999999999998</v>
      </c>
      <c r="M301" s="3">
        <v>0</v>
      </c>
      <c r="N301" s="3">
        <v>0</v>
      </c>
      <c r="O301" s="3">
        <v>0</v>
      </c>
      <c r="P301" s="3">
        <v>0</v>
      </c>
      <c r="Q301" s="3">
        <v>405.2</v>
      </c>
      <c r="R301" s="3">
        <v>405.2</v>
      </c>
      <c r="S301" s="3">
        <v>405.2</v>
      </c>
      <c r="T301" s="3">
        <v>405.2</v>
      </c>
      <c r="U301" s="3">
        <v>405.2</v>
      </c>
      <c r="V301" s="3">
        <v>405.2</v>
      </c>
      <c r="W301" s="3">
        <v>278.95999999999998</v>
      </c>
      <c r="X301" s="3">
        <v>278.95999999999998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/>
    </row>
    <row r="302" spans="2:41" x14ac:dyDescent="0.2">
      <c r="B302">
        <v>2174</v>
      </c>
      <c r="C302">
        <v>1</v>
      </c>
      <c r="D302" t="s">
        <v>361</v>
      </c>
      <c r="E302" s="3">
        <v>1.02</v>
      </c>
      <c r="F302" s="3">
        <v>1.02</v>
      </c>
      <c r="G302" s="3">
        <v>1.02</v>
      </c>
      <c r="H302" s="3">
        <v>1.02</v>
      </c>
      <c r="I302" s="3">
        <v>1.02</v>
      </c>
      <c r="J302" s="3">
        <v>1.02</v>
      </c>
      <c r="K302" s="3">
        <v>1.02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1.02</v>
      </c>
      <c r="R302" s="3">
        <v>1.02</v>
      </c>
      <c r="S302" s="3">
        <v>1.02</v>
      </c>
      <c r="T302" s="3">
        <v>1.02</v>
      </c>
      <c r="U302" s="3">
        <v>1.02</v>
      </c>
      <c r="V302" s="3">
        <v>1.02</v>
      </c>
      <c r="W302" s="3">
        <v>1.02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/>
    </row>
    <row r="303" spans="2:41" x14ac:dyDescent="0.2">
      <c r="B303">
        <v>2176</v>
      </c>
      <c r="C303">
        <v>1</v>
      </c>
      <c r="D303" t="s">
        <v>362</v>
      </c>
      <c r="E303" s="3">
        <v>1400</v>
      </c>
      <c r="F303" s="3">
        <v>1400</v>
      </c>
      <c r="G303" s="3">
        <v>1400</v>
      </c>
      <c r="H303" s="3">
        <v>1400</v>
      </c>
      <c r="I303" s="3">
        <v>1400</v>
      </c>
      <c r="J303" s="3">
        <v>1400</v>
      </c>
      <c r="K303" s="3">
        <v>1400</v>
      </c>
      <c r="L303" s="3">
        <v>1400</v>
      </c>
      <c r="M303" s="3">
        <v>1400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1400</v>
      </c>
      <c r="AD303" s="3">
        <v>1400</v>
      </c>
      <c r="AE303" s="3">
        <v>1400</v>
      </c>
      <c r="AF303" s="3">
        <v>1400</v>
      </c>
      <c r="AG303" s="3">
        <v>1400</v>
      </c>
      <c r="AH303" s="3">
        <v>1400</v>
      </c>
      <c r="AI303" s="3">
        <v>1400</v>
      </c>
      <c r="AJ303" s="3">
        <v>1400</v>
      </c>
      <c r="AK303" s="3">
        <v>1400</v>
      </c>
      <c r="AL303" s="3">
        <v>0</v>
      </c>
      <c r="AM303" s="3">
        <v>0</v>
      </c>
      <c r="AN303" s="3">
        <v>0</v>
      </c>
      <c r="AO303" s="3"/>
    </row>
    <row r="304" spans="2:41" x14ac:dyDescent="0.2">
      <c r="B304">
        <v>2180</v>
      </c>
      <c r="C304">
        <v>1</v>
      </c>
      <c r="D304" t="s">
        <v>363</v>
      </c>
      <c r="E304" s="3">
        <v>771.03</v>
      </c>
      <c r="F304" s="3">
        <v>771.03</v>
      </c>
      <c r="G304" s="3">
        <v>771.03</v>
      </c>
      <c r="H304" s="3">
        <v>771.03</v>
      </c>
      <c r="I304" s="3">
        <v>771.03</v>
      </c>
      <c r="J304" s="3">
        <v>771.03</v>
      </c>
      <c r="K304" s="3">
        <v>270</v>
      </c>
      <c r="L304" s="3">
        <v>270</v>
      </c>
      <c r="M304" s="3">
        <v>270</v>
      </c>
      <c r="N304" s="3">
        <v>270</v>
      </c>
      <c r="O304" s="3">
        <v>0</v>
      </c>
      <c r="P304" s="3">
        <v>0</v>
      </c>
      <c r="Q304" s="3">
        <v>501.03</v>
      </c>
      <c r="R304" s="3">
        <v>501.03</v>
      </c>
      <c r="S304" s="3">
        <v>501.03</v>
      </c>
      <c r="T304" s="3">
        <v>501.03</v>
      </c>
      <c r="U304" s="3">
        <v>501.03</v>
      </c>
      <c r="V304" s="3">
        <v>501.03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270</v>
      </c>
      <c r="AD304" s="3">
        <v>270</v>
      </c>
      <c r="AE304" s="3">
        <v>270</v>
      </c>
      <c r="AF304" s="3">
        <v>270</v>
      </c>
      <c r="AG304" s="3">
        <v>270</v>
      </c>
      <c r="AH304" s="3">
        <v>270</v>
      </c>
      <c r="AI304" s="3">
        <v>270</v>
      </c>
      <c r="AJ304" s="3">
        <v>270</v>
      </c>
      <c r="AK304" s="3">
        <v>270</v>
      </c>
      <c r="AL304" s="3">
        <v>270</v>
      </c>
      <c r="AM304" s="3">
        <v>0</v>
      </c>
      <c r="AN304" s="3">
        <v>0</v>
      </c>
      <c r="AO304" s="3"/>
    </row>
    <row r="305" spans="2:41" x14ac:dyDescent="0.2">
      <c r="B305">
        <v>2184</v>
      </c>
      <c r="C305">
        <v>1</v>
      </c>
      <c r="D305" t="s">
        <v>364</v>
      </c>
      <c r="E305" s="3">
        <v>1101.27</v>
      </c>
      <c r="F305" s="3">
        <v>1101.27</v>
      </c>
      <c r="G305" s="3">
        <v>1101.27</v>
      </c>
      <c r="H305" s="3">
        <v>1101.27</v>
      </c>
      <c r="I305" s="3">
        <v>1101.27</v>
      </c>
      <c r="J305" s="3">
        <v>1101.27</v>
      </c>
      <c r="K305" s="3">
        <v>700</v>
      </c>
      <c r="L305" s="3">
        <v>700</v>
      </c>
      <c r="M305" s="3">
        <v>700</v>
      </c>
      <c r="N305" s="3">
        <v>700</v>
      </c>
      <c r="O305" s="3">
        <v>0</v>
      </c>
      <c r="P305" s="3">
        <v>0</v>
      </c>
      <c r="Q305" s="3">
        <v>401.27</v>
      </c>
      <c r="R305" s="3">
        <v>401.27</v>
      </c>
      <c r="S305" s="3">
        <v>401.27</v>
      </c>
      <c r="T305" s="3">
        <v>401.27</v>
      </c>
      <c r="U305" s="3">
        <v>401.27</v>
      </c>
      <c r="V305" s="3">
        <v>401.27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700</v>
      </c>
      <c r="AD305" s="3">
        <v>700</v>
      </c>
      <c r="AE305" s="3">
        <v>700</v>
      </c>
      <c r="AF305" s="3">
        <v>700</v>
      </c>
      <c r="AG305" s="3">
        <v>700</v>
      </c>
      <c r="AH305" s="3">
        <v>700</v>
      </c>
      <c r="AI305" s="3">
        <v>700</v>
      </c>
      <c r="AJ305" s="3">
        <v>700</v>
      </c>
      <c r="AK305" s="3">
        <v>700</v>
      </c>
      <c r="AL305" s="3">
        <v>700</v>
      </c>
      <c r="AM305" s="3">
        <v>0</v>
      </c>
      <c r="AN305" s="3">
        <v>0</v>
      </c>
      <c r="AO305" s="3"/>
    </row>
    <row r="306" spans="2:41" x14ac:dyDescent="0.2">
      <c r="B306">
        <v>2190</v>
      </c>
      <c r="C306">
        <v>1</v>
      </c>
      <c r="D306" t="s">
        <v>365</v>
      </c>
      <c r="E306" s="3">
        <v>419.13</v>
      </c>
      <c r="F306" s="3">
        <v>419.13</v>
      </c>
      <c r="G306" s="3">
        <v>401.19</v>
      </c>
      <c r="H306" s="3">
        <v>401.19</v>
      </c>
      <c r="I306" s="3">
        <v>401.19</v>
      </c>
      <c r="J306" s="3">
        <v>401.19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419.13</v>
      </c>
      <c r="R306" s="3">
        <v>419.13</v>
      </c>
      <c r="S306" s="3">
        <v>401.19</v>
      </c>
      <c r="T306" s="3">
        <v>401.19</v>
      </c>
      <c r="U306" s="3">
        <v>401.19</v>
      </c>
      <c r="V306" s="3">
        <v>401.19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/>
    </row>
    <row r="307" spans="2:41" x14ac:dyDescent="0.2">
      <c r="B307">
        <v>2198</v>
      </c>
      <c r="C307">
        <v>1</v>
      </c>
      <c r="D307" t="s">
        <v>366</v>
      </c>
      <c r="E307" s="3">
        <v>875.1</v>
      </c>
      <c r="F307" s="3">
        <v>875.1</v>
      </c>
      <c r="G307" s="3">
        <v>875.1</v>
      </c>
      <c r="H307" s="3">
        <v>875.1</v>
      </c>
      <c r="I307" s="3">
        <v>875.1</v>
      </c>
      <c r="J307" s="3">
        <v>875.1</v>
      </c>
      <c r="K307" s="3">
        <v>475</v>
      </c>
      <c r="L307" s="3">
        <v>475</v>
      </c>
      <c r="M307" s="3">
        <v>475</v>
      </c>
      <c r="N307" s="3">
        <v>475</v>
      </c>
      <c r="O307" s="3">
        <v>0</v>
      </c>
      <c r="P307" s="3">
        <v>0</v>
      </c>
      <c r="Q307" s="3">
        <v>400.1</v>
      </c>
      <c r="R307" s="3">
        <v>400.1</v>
      </c>
      <c r="S307" s="3">
        <v>400.1</v>
      </c>
      <c r="T307" s="3">
        <v>400.1</v>
      </c>
      <c r="U307" s="3">
        <v>400.1</v>
      </c>
      <c r="V307" s="3">
        <v>400.1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475</v>
      </c>
      <c r="AD307" s="3">
        <v>475</v>
      </c>
      <c r="AE307" s="3">
        <v>475</v>
      </c>
      <c r="AF307" s="3">
        <v>475</v>
      </c>
      <c r="AG307" s="3">
        <v>475</v>
      </c>
      <c r="AH307" s="3">
        <v>475</v>
      </c>
      <c r="AI307" s="3">
        <v>475</v>
      </c>
      <c r="AJ307" s="3">
        <v>475</v>
      </c>
      <c r="AK307" s="3">
        <v>475</v>
      </c>
      <c r="AL307" s="3">
        <v>475</v>
      </c>
      <c r="AM307" s="3">
        <v>0</v>
      </c>
      <c r="AN307" s="3">
        <v>0</v>
      </c>
      <c r="AO307" s="3"/>
    </row>
    <row r="308" spans="2:41" x14ac:dyDescent="0.2">
      <c r="B308">
        <v>2215</v>
      </c>
      <c r="C308">
        <v>1</v>
      </c>
      <c r="D308" t="s">
        <v>367</v>
      </c>
      <c r="E308" s="3">
        <v>588.89</v>
      </c>
      <c r="F308" s="3">
        <v>588.89</v>
      </c>
      <c r="G308" s="3">
        <v>543.16999999999996</v>
      </c>
      <c r="H308" s="3">
        <v>543.16999999999996</v>
      </c>
      <c r="I308" s="3">
        <v>543.16999999999996</v>
      </c>
      <c r="J308" s="3">
        <v>543.16999999999996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588.89</v>
      </c>
      <c r="R308" s="3">
        <v>588.89</v>
      </c>
      <c r="S308" s="3">
        <v>543.16999999999996</v>
      </c>
      <c r="T308" s="3">
        <v>543.16999999999996</v>
      </c>
      <c r="U308" s="3">
        <v>543.16999999999996</v>
      </c>
      <c r="V308" s="3">
        <v>543.16999999999996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/>
    </row>
    <row r="309" spans="2:41" x14ac:dyDescent="0.2">
      <c r="B309">
        <v>2310</v>
      </c>
      <c r="C309">
        <v>1</v>
      </c>
      <c r="D309" t="s">
        <v>368</v>
      </c>
      <c r="E309" s="3">
        <v>600</v>
      </c>
      <c r="F309" s="3">
        <v>600</v>
      </c>
      <c r="G309" s="3">
        <v>600</v>
      </c>
      <c r="H309" s="3">
        <v>600</v>
      </c>
      <c r="I309" s="3">
        <v>600</v>
      </c>
      <c r="J309" s="3">
        <v>600</v>
      </c>
      <c r="K309" s="3">
        <v>600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600</v>
      </c>
      <c r="AD309" s="3">
        <v>600</v>
      </c>
      <c r="AE309" s="3">
        <v>600</v>
      </c>
      <c r="AF309" s="3">
        <v>600</v>
      </c>
      <c r="AG309" s="3">
        <v>600</v>
      </c>
      <c r="AH309" s="3">
        <v>600</v>
      </c>
      <c r="AI309" s="3">
        <v>600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/>
    </row>
    <row r="310" spans="2:41" x14ac:dyDescent="0.2">
      <c r="B310">
        <v>2311</v>
      </c>
      <c r="C310">
        <v>1</v>
      </c>
      <c r="D310" t="s">
        <v>369</v>
      </c>
      <c r="E310" s="3">
        <v>600</v>
      </c>
      <c r="F310" s="3">
        <v>600</v>
      </c>
      <c r="G310" s="3">
        <v>600</v>
      </c>
      <c r="H310" s="3">
        <v>600</v>
      </c>
      <c r="I310" s="3">
        <v>600</v>
      </c>
      <c r="J310" s="3">
        <v>600</v>
      </c>
      <c r="K310" s="3">
        <v>600</v>
      </c>
      <c r="L310" s="3">
        <v>600</v>
      </c>
      <c r="M310" s="3">
        <v>600</v>
      </c>
      <c r="N310" s="3">
        <v>600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600</v>
      </c>
      <c r="AD310" s="3">
        <v>600</v>
      </c>
      <c r="AE310" s="3">
        <v>600</v>
      </c>
      <c r="AF310" s="3">
        <v>600</v>
      </c>
      <c r="AG310" s="3">
        <v>600</v>
      </c>
      <c r="AH310" s="3">
        <v>600</v>
      </c>
      <c r="AI310" s="3">
        <v>600</v>
      </c>
      <c r="AJ310" s="3">
        <v>600</v>
      </c>
      <c r="AK310" s="3">
        <v>600</v>
      </c>
      <c r="AL310" s="3">
        <v>600</v>
      </c>
      <c r="AM310" s="3">
        <v>0</v>
      </c>
      <c r="AN310" s="3">
        <v>0</v>
      </c>
      <c r="AO310" s="3"/>
    </row>
    <row r="311" spans="2:41" x14ac:dyDescent="0.2">
      <c r="B311">
        <v>2342</v>
      </c>
      <c r="C311">
        <v>1</v>
      </c>
      <c r="D311" t="s">
        <v>370</v>
      </c>
      <c r="E311" s="3">
        <v>425.42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425.42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/>
    </row>
    <row r="312" spans="2:41" x14ac:dyDescent="0.2">
      <c r="B312">
        <v>2358</v>
      </c>
      <c r="C312">
        <v>1</v>
      </c>
      <c r="D312" t="s">
        <v>371</v>
      </c>
      <c r="E312" s="3">
        <v>921.76</v>
      </c>
      <c r="F312" s="3">
        <v>921.76</v>
      </c>
      <c r="G312" s="3">
        <v>800</v>
      </c>
      <c r="H312" s="3">
        <v>800</v>
      </c>
      <c r="I312" s="3">
        <v>800</v>
      </c>
      <c r="J312" s="3">
        <v>800</v>
      </c>
      <c r="K312" s="3">
        <v>800</v>
      </c>
      <c r="L312" s="3">
        <v>800</v>
      </c>
      <c r="M312" s="3">
        <v>0</v>
      </c>
      <c r="N312" s="3">
        <v>0</v>
      </c>
      <c r="O312" s="3">
        <v>0</v>
      </c>
      <c r="P312" s="3">
        <v>0</v>
      </c>
      <c r="Q312" s="3">
        <v>921.76</v>
      </c>
      <c r="R312" s="3">
        <v>921.76</v>
      </c>
      <c r="S312" s="3">
        <v>800</v>
      </c>
      <c r="T312" s="3">
        <v>800</v>
      </c>
      <c r="U312" s="3">
        <v>800</v>
      </c>
      <c r="V312" s="3">
        <v>800</v>
      </c>
      <c r="W312" s="3">
        <v>800</v>
      </c>
      <c r="X312" s="3">
        <v>800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/>
    </row>
    <row r="313" spans="2:41" x14ac:dyDescent="0.2">
      <c r="B313">
        <v>2364</v>
      </c>
      <c r="C313">
        <v>1</v>
      </c>
      <c r="D313" t="s">
        <v>372</v>
      </c>
      <c r="E313" s="3">
        <v>837.76</v>
      </c>
      <c r="F313" s="3">
        <v>837.76</v>
      </c>
      <c r="G313" s="3">
        <v>837.76</v>
      </c>
      <c r="H313" s="3">
        <v>837.76</v>
      </c>
      <c r="I313" s="3">
        <v>837.76</v>
      </c>
      <c r="J313" s="3">
        <v>837.76</v>
      </c>
      <c r="K313" s="3">
        <v>294</v>
      </c>
      <c r="L313" s="3">
        <v>294</v>
      </c>
      <c r="M313" s="3">
        <v>0</v>
      </c>
      <c r="N313" s="3">
        <v>0</v>
      </c>
      <c r="O313" s="3">
        <v>0</v>
      </c>
      <c r="P313" s="3">
        <v>0</v>
      </c>
      <c r="Q313" s="3">
        <v>837.76</v>
      </c>
      <c r="R313" s="3">
        <v>837.76</v>
      </c>
      <c r="S313" s="3">
        <v>837.76</v>
      </c>
      <c r="T313" s="3">
        <v>837.76</v>
      </c>
      <c r="U313" s="3">
        <v>837.76</v>
      </c>
      <c r="V313" s="3">
        <v>837.76</v>
      </c>
      <c r="W313" s="3">
        <v>294</v>
      </c>
      <c r="X313" s="3">
        <v>294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/>
    </row>
    <row r="314" spans="2:41" x14ac:dyDescent="0.2">
      <c r="B314">
        <v>2365</v>
      </c>
      <c r="C314">
        <v>1</v>
      </c>
      <c r="D314" t="s">
        <v>373</v>
      </c>
      <c r="E314" s="3">
        <v>451.76</v>
      </c>
      <c r="F314" s="3">
        <v>451.76</v>
      </c>
      <c r="G314" s="3">
        <v>451.76</v>
      </c>
      <c r="H314" s="3">
        <v>451.76</v>
      </c>
      <c r="I314" s="3">
        <v>451.76</v>
      </c>
      <c r="J314" s="3">
        <v>351.99</v>
      </c>
      <c r="K314" s="3">
        <v>351.99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451.76</v>
      </c>
      <c r="R314" s="3">
        <v>451.76</v>
      </c>
      <c r="S314" s="3">
        <v>451.76</v>
      </c>
      <c r="T314" s="3">
        <v>451.76</v>
      </c>
      <c r="U314" s="3">
        <v>451.76</v>
      </c>
      <c r="V314" s="3">
        <v>351.99</v>
      </c>
      <c r="W314" s="3">
        <v>351.99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/>
    </row>
    <row r="315" spans="2:41" x14ac:dyDescent="0.2">
      <c r="B315">
        <v>2396</v>
      </c>
      <c r="C315">
        <v>1</v>
      </c>
      <c r="D315" t="s">
        <v>374</v>
      </c>
      <c r="E315" s="3">
        <v>650</v>
      </c>
      <c r="F315" s="3">
        <v>650</v>
      </c>
      <c r="G315" s="3">
        <v>650</v>
      </c>
      <c r="H315" s="3">
        <v>650</v>
      </c>
      <c r="I315" s="3">
        <v>650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650</v>
      </c>
      <c r="R315" s="3">
        <v>650</v>
      </c>
      <c r="S315" s="3">
        <v>650</v>
      </c>
      <c r="T315" s="3">
        <v>650</v>
      </c>
      <c r="U315" s="3">
        <v>650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/>
    </row>
    <row r="316" spans="2:41" x14ac:dyDescent="0.2">
      <c r="B316">
        <v>2397</v>
      </c>
      <c r="C316">
        <v>1</v>
      </c>
      <c r="D316" t="s">
        <v>375</v>
      </c>
      <c r="E316" s="3">
        <v>301.38</v>
      </c>
      <c r="F316" s="3">
        <v>300</v>
      </c>
      <c r="G316" s="3">
        <v>300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301.38</v>
      </c>
      <c r="R316" s="3">
        <v>300</v>
      </c>
      <c r="S316" s="3">
        <v>300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/>
    </row>
    <row r="317" spans="2:41" x14ac:dyDescent="0.2">
      <c r="B317">
        <v>2448</v>
      </c>
      <c r="C317">
        <v>1</v>
      </c>
      <c r="D317" t="s">
        <v>376</v>
      </c>
      <c r="E317" s="3">
        <v>700</v>
      </c>
      <c r="F317" s="3">
        <v>700</v>
      </c>
      <c r="G317" s="3">
        <v>700</v>
      </c>
      <c r="H317" s="3">
        <v>700</v>
      </c>
      <c r="I317" s="3">
        <v>700</v>
      </c>
      <c r="J317" s="3">
        <v>700</v>
      </c>
      <c r="K317" s="3">
        <v>700</v>
      </c>
      <c r="L317" s="3">
        <v>700</v>
      </c>
      <c r="M317" s="3">
        <v>700</v>
      </c>
      <c r="N317" s="3">
        <v>700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700</v>
      </c>
      <c r="AD317" s="3">
        <v>700</v>
      </c>
      <c r="AE317" s="3">
        <v>700</v>
      </c>
      <c r="AF317" s="3">
        <v>700</v>
      </c>
      <c r="AG317" s="3">
        <v>700</v>
      </c>
      <c r="AH317" s="3">
        <v>700</v>
      </c>
      <c r="AI317" s="3">
        <v>700</v>
      </c>
      <c r="AJ317" s="3">
        <v>700</v>
      </c>
      <c r="AK317" s="3">
        <v>700</v>
      </c>
      <c r="AL317" s="3">
        <v>700</v>
      </c>
      <c r="AM317" s="3">
        <v>0</v>
      </c>
      <c r="AN317" s="3">
        <v>0</v>
      </c>
      <c r="AO317" s="3"/>
    </row>
    <row r="318" spans="2:41" x14ac:dyDescent="0.2">
      <c r="B318">
        <v>2527</v>
      </c>
      <c r="C318">
        <v>1</v>
      </c>
      <c r="D318" t="s">
        <v>377</v>
      </c>
      <c r="E318" s="3">
        <v>1600.18</v>
      </c>
      <c r="F318" s="3">
        <v>1600.18</v>
      </c>
      <c r="G318" s="3">
        <v>1600.18</v>
      </c>
      <c r="H318" s="3">
        <v>1600.18</v>
      </c>
      <c r="I318" s="3">
        <v>1600.18</v>
      </c>
      <c r="J318" s="3">
        <v>1600.18</v>
      </c>
      <c r="K318" s="3">
        <v>900</v>
      </c>
      <c r="L318" s="3">
        <v>900</v>
      </c>
      <c r="M318" s="3">
        <v>900</v>
      </c>
      <c r="N318" s="3">
        <v>900</v>
      </c>
      <c r="O318" s="3">
        <v>0</v>
      </c>
      <c r="P318" s="3">
        <v>0</v>
      </c>
      <c r="Q318" s="3">
        <v>700.18</v>
      </c>
      <c r="R318" s="3">
        <v>700.18</v>
      </c>
      <c r="S318" s="3">
        <v>700.18</v>
      </c>
      <c r="T318" s="3">
        <v>700.18</v>
      </c>
      <c r="U318" s="3">
        <v>700.18</v>
      </c>
      <c r="V318" s="3">
        <v>700.18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900</v>
      </c>
      <c r="AD318" s="3">
        <v>900</v>
      </c>
      <c r="AE318" s="3">
        <v>900</v>
      </c>
      <c r="AF318" s="3">
        <v>900</v>
      </c>
      <c r="AG318" s="3">
        <v>900</v>
      </c>
      <c r="AH318" s="3">
        <v>900</v>
      </c>
      <c r="AI318" s="3">
        <v>900</v>
      </c>
      <c r="AJ318" s="3">
        <v>900</v>
      </c>
      <c r="AK318" s="3">
        <v>900</v>
      </c>
      <c r="AL318" s="3">
        <v>900</v>
      </c>
      <c r="AM318" s="3">
        <v>0</v>
      </c>
      <c r="AN318" s="3">
        <v>0</v>
      </c>
      <c r="AO318" s="3"/>
    </row>
    <row r="319" spans="2:41" x14ac:dyDescent="0.2">
      <c r="B319">
        <v>2534</v>
      </c>
      <c r="C319">
        <v>1</v>
      </c>
      <c r="D319" t="s">
        <v>378</v>
      </c>
      <c r="E319" s="3">
        <v>415.48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415.48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/>
    </row>
    <row r="320" spans="2:41" x14ac:dyDescent="0.2">
      <c r="B320">
        <v>2536</v>
      </c>
      <c r="C320">
        <v>1</v>
      </c>
      <c r="D320" t="s">
        <v>379</v>
      </c>
      <c r="E320" s="3">
        <v>758.05</v>
      </c>
      <c r="F320" s="3">
        <v>758.05</v>
      </c>
      <c r="G320" s="3">
        <v>758.05</v>
      </c>
      <c r="H320" s="3">
        <v>758.05</v>
      </c>
      <c r="I320" s="3">
        <v>256.69</v>
      </c>
      <c r="J320" s="3">
        <v>256.69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758.05</v>
      </c>
      <c r="R320" s="3">
        <v>758.05</v>
      </c>
      <c r="S320" s="3">
        <v>758.05</v>
      </c>
      <c r="T320" s="3">
        <v>758.05</v>
      </c>
      <c r="U320" s="3">
        <v>256.69</v>
      </c>
      <c r="V320" s="3">
        <v>256.69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/>
    </row>
    <row r="321" spans="2:41" x14ac:dyDescent="0.2">
      <c r="B321">
        <v>2580</v>
      </c>
      <c r="C321">
        <v>1</v>
      </c>
      <c r="D321" t="s">
        <v>380</v>
      </c>
      <c r="E321" s="3">
        <v>120</v>
      </c>
      <c r="F321" s="3">
        <v>120</v>
      </c>
      <c r="G321" s="3">
        <v>120</v>
      </c>
      <c r="H321" s="3">
        <v>120</v>
      </c>
      <c r="I321" s="3">
        <v>120</v>
      </c>
      <c r="J321" s="3">
        <v>120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120</v>
      </c>
      <c r="AD321" s="3">
        <v>120</v>
      </c>
      <c r="AE321" s="3">
        <v>120</v>
      </c>
      <c r="AF321" s="3">
        <v>120</v>
      </c>
      <c r="AG321" s="3">
        <v>120</v>
      </c>
      <c r="AH321" s="3">
        <v>120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/>
    </row>
    <row r="322" spans="2:41" x14ac:dyDescent="0.2">
      <c r="B322">
        <v>2609</v>
      </c>
      <c r="C322">
        <v>1</v>
      </c>
      <c r="D322" t="s">
        <v>381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/>
    </row>
    <row r="323" spans="2:41" x14ac:dyDescent="0.2">
      <c r="B323">
        <v>2683</v>
      </c>
      <c r="C323">
        <v>1</v>
      </c>
      <c r="D323" t="s">
        <v>382</v>
      </c>
      <c r="E323" s="3">
        <v>640.70000000000005</v>
      </c>
      <c r="F323" s="3">
        <v>640.70000000000005</v>
      </c>
      <c r="G323" s="3">
        <v>640.70000000000005</v>
      </c>
      <c r="H323" s="3">
        <v>640.70000000000005</v>
      </c>
      <c r="I323" s="3">
        <v>640.70000000000005</v>
      </c>
      <c r="J323" s="3">
        <v>640.70000000000005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640.70000000000005</v>
      </c>
      <c r="R323" s="3">
        <v>640.70000000000005</v>
      </c>
      <c r="S323" s="3">
        <v>640.70000000000005</v>
      </c>
      <c r="T323" s="3">
        <v>640.70000000000005</v>
      </c>
      <c r="U323" s="3">
        <v>640.70000000000005</v>
      </c>
      <c r="V323" s="3">
        <v>640.70000000000005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/>
    </row>
    <row r="324" spans="2:41" x14ac:dyDescent="0.2">
      <c r="B324">
        <v>2687</v>
      </c>
      <c r="C324">
        <v>1</v>
      </c>
      <c r="D324" t="s">
        <v>383</v>
      </c>
      <c r="E324" s="3">
        <v>651.80999999999995</v>
      </c>
      <c r="F324" s="3">
        <v>651.80999999999995</v>
      </c>
      <c r="G324" s="3">
        <v>550</v>
      </c>
      <c r="H324" s="3">
        <v>550</v>
      </c>
      <c r="I324" s="3">
        <v>550</v>
      </c>
      <c r="J324" s="3">
        <v>50</v>
      </c>
      <c r="K324" s="3">
        <v>50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101.81</v>
      </c>
      <c r="R324" s="3">
        <v>101.81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550</v>
      </c>
      <c r="AD324" s="3">
        <v>550</v>
      </c>
      <c r="AE324" s="3">
        <v>550</v>
      </c>
      <c r="AF324" s="3">
        <v>550</v>
      </c>
      <c r="AG324" s="3">
        <v>550</v>
      </c>
      <c r="AH324" s="3">
        <v>50</v>
      </c>
      <c r="AI324" s="3">
        <v>50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/>
    </row>
    <row r="325" spans="2:41" x14ac:dyDescent="0.2">
      <c r="B325">
        <v>2689</v>
      </c>
      <c r="C325">
        <v>1</v>
      </c>
      <c r="D325" t="s">
        <v>384</v>
      </c>
      <c r="E325" s="3">
        <v>400.88</v>
      </c>
      <c r="F325" s="3">
        <v>400.88</v>
      </c>
      <c r="G325" s="3">
        <v>400.88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400.88</v>
      </c>
      <c r="R325" s="3">
        <v>400.88</v>
      </c>
      <c r="S325" s="3">
        <v>400.88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/>
    </row>
    <row r="326" spans="2:41" x14ac:dyDescent="0.2">
      <c r="B326">
        <v>2711</v>
      </c>
      <c r="C326">
        <v>1</v>
      </c>
      <c r="D326" t="s">
        <v>385</v>
      </c>
      <c r="E326" s="3">
        <v>137.4</v>
      </c>
      <c r="F326" s="3">
        <v>137.4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137.4</v>
      </c>
      <c r="R326" s="3">
        <v>137.4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/>
    </row>
    <row r="327" spans="2:41" x14ac:dyDescent="0.2">
      <c r="B327">
        <v>2752</v>
      </c>
      <c r="C327">
        <v>1</v>
      </c>
      <c r="D327" t="s">
        <v>386</v>
      </c>
      <c r="E327" s="3">
        <v>500</v>
      </c>
      <c r="F327" s="3">
        <v>500</v>
      </c>
      <c r="G327" s="3">
        <v>500</v>
      </c>
      <c r="H327" s="3">
        <v>500</v>
      </c>
      <c r="I327" s="3">
        <v>500</v>
      </c>
      <c r="J327" s="3">
        <v>500</v>
      </c>
      <c r="K327" s="3">
        <v>500</v>
      </c>
      <c r="L327" s="3">
        <v>500</v>
      </c>
      <c r="M327" s="3">
        <v>0</v>
      </c>
      <c r="N327" s="3">
        <v>0</v>
      </c>
      <c r="O327" s="3">
        <v>0</v>
      </c>
      <c r="P327" s="3">
        <v>0</v>
      </c>
      <c r="Q327" s="3">
        <v>500</v>
      </c>
      <c r="R327" s="3">
        <v>500</v>
      </c>
      <c r="S327" s="3">
        <v>500</v>
      </c>
      <c r="T327" s="3">
        <v>500</v>
      </c>
      <c r="U327" s="3">
        <v>500</v>
      </c>
      <c r="V327" s="3">
        <v>500</v>
      </c>
      <c r="W327" s="3">
        <v>500</v>
      </c>
      <c r="X327" s="3">
        <v>500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/>
    </row>
    <row r="328" spans="2:41" x14ac:dyDescent="0.2">
      <c r="B328">
        <v>2753</v>
      </c>
      <c r="C328">
        <v>1</v>
      </c>
      <c r="D328" t="s">
        <v>387</v>
      </c>
      <c r="E328" s="3">
        <v>405</v>
      </c>
      <c r="F328" s="3">
        <v>405</v>
      </c>
      <c r="G328" s="3">
        <v>405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405</v>
      </c>
      <c r="R328" s="3">
        <v>405</v>
      </c>
      <c r="S328" s="3">
        <v>405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/>
    </row>
    <row r="329" spans="2:41" x14ac:dyDescent="0.2">
      <c r="B329">
        <v>2754</v>
      </c>
      <c r="C329">
        <v>1</v>
      </c>
      <c r="D329" t="s">
        <v>388</v>
      </c>
      <c r="E329" s="3">
        <v>538.19000000000005</v>
      </c>
      <c r="F329" s="3">
        <v>538.19000000000005</v>
      </c>
      <c r="G329" s="3">
        <v>290.05</v>
      </c>
      <c r="H329" s="3">
        <v>290.05</v>
      </c>
      <c r="I329" s="3">
        <v>290.05</v>
      </c>
      <c r="J329" s="3">
        <v>290.05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538.19000000000005</v>
      </c>
      <c r="R329" s="3">
        <v>538.19000000000005</v>
      </c>
      <c r="S329" s="3">
        <v>290.05</v>
      </c>
      <c r="T329" s="3">
        <v>290.05</v>
      </c>
      <c r="U329" s="3">
        <v>290.05</v>
      </c>
      <c r="V329" s="3">
        <v>290.05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/>
    </row>
    <row r="330" spans="2:41" x14ac:dyDescent="0.2">
      <c r="B330">
        <v>2759</v>
      </c>
      <c r="C330">
        <v>1</v>
      </c>
      <c r="D330" t="s">
        <v>389</v>
      </c>
      <c r="E330" s="3">
        <v>807.08</v>
      </c>
      <c r="F330" s="3">
        <v>807.08</v>
      </c>
      <c r="G330" s="3">
        <v>807.08</v>
      </c>
      <c r="H330" s="3">
        <v>807.08</v>
      </c>
      <c r="I330" s="3">
        <v>807.08</v>
      </c>
      <c r="J330" s="3">
        <v>807.08</v>
      </c>
      <c r="K330" s="3">
        <v>500</v>
      </c>
      <c r="L330" s="3">
        <v>500</v>
      </c>
      <c r="M330" s="3">
        <v>500</v>
      </c>
      <c r="N330" s="3">
        <v>0</v>
      </c>
      <c r="O330" s="3">
        <v>0</v>
      </c>
      <c r="P330" s="3">
        <v>0</v>
      </c>
      <c r="Q330" s="3">
        <v>307.08</v>
      </c>
      <c r="R330" s="3">
        <v>307.08</v>
      </c>
      <c r="S330" s="3">
        <v>307.08</v>
      </c>
      <c r="T330" s="3">
        <v>307.08</v>
      </c>
      <c r="U330" s="3">
        <v>307.08</v>
      </c>
      <c r="V330" s="3">
        <v>307.08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500</v>
      </c>
      <c r="AD330" s="3">
        <v>500</v>
      </c>
      <c r="AE330" s="3">
        <v>500</v>
      </c>
      <c r="AF330" s="3">
        <v>500</v>
      </c>
      <c r="AG330" s="3">
        <v>500</v>
      </c>
      <c r="AH330" s="3">
        <v>500</v>
      </c>
      <c r="AI330" s="3">
        <v>500</v>
      </c>
      <c r="AJ330" s="3">
        <v>500</v>
      </c>
      <c r="AK330" s="3">
        <v>500</v>
      </c>
      <c r="AL330" s="3">
        <v>0</v>
      </c>
      <c r="AM330" s="3">
        <v>0</v>
      </c>
      <c r="AN330" s="3">
        <v>0</v>
      </c>
      <c r="AO330" s="3"/>
    </row>
    <row r="331" spans="2:41" x14ac:dyDescent="0.2">
      <c r="B331">
        <v>2805</v>
      </c>
      <c r="C331">
        <v>1</v>
      </c>
      <c r="D331" t="s">
        <v>390</v>
      </c>
      <c r="E331" s="3">
        <v>600.03</v>
      </c>
      <c r="F331" s="3">
        <v>700.03</v>
      </c>
      <c r="G331" s="3">
        <v>700.03</v>
      </c>
      <c r="H331" s="3">
        <v>700.03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209.88</v>
      </c>
      <c r="R331" s="3">
        <v>209.88</v>
      </c>
      <c r="S331" s="3">
        <v>209.88</v>
      </c>
      <c r="T331" s="3">
        <v>209.88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390.15</v>
      </c>
      <c r="AD331" s="3">
        <v>490.15</v>
      </c>
      <c r="AE331" s="3">
        <v>490.15</v>
      </c>
      <c r="AF331" s="3">
        <v>490.15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/>
    </row>
    <row r="332" spans="2:41" x14ac:dyDescent="0.2">
      <c r="B332">
        <v>2835</v>
      </c>
      <c r="C332">
        <v>1</v>
      </c>
      <c r="D332" t="s">
        <v>391</v>
      </c>
      <c r="E332" s="3">
        <v>890.19</v>
      </c>
      <c r="F332" s="3">
        <v>890.19</v>
      </c>
      <c r="G332" s="3">
        <v>890.19</v>
      </c>
      <c r="H332" s="3">
        <v>890.19</v>
      </c>
      <c r="I332" s="3">
        <v>890.19</v>
      </c>
      <c r="J332" s="3">
        <v>571.61</v>
      </c>
      <c r="K332" s="3">
        <v>571.61</v>
      </c>
      <c r="L332" s="3">
        <v>571.61</v>
      </c>
      <c r="M332" s="3">
        <v>0</v>
      </c>
      <c r="N332" s="3">
        <v>0</v>
      </c>
      <c r="O332" s="3">
        <v>0</v>
      </c>
      <c r="P332" s="3">
        <v>0</v>
      </c>
      <c r="Q332" s="3">
        <v>318.58</v>
      </c>
      <c r="R332" s="3">
        <v>318.58</v>
      </c>
      <c r="S332" s="3">
        <v>318.58</v>
      </c>
      <c r="T332" s="3">
        <v>318.58</v>
      </c>
      <c r="U332" s="3">
        <v>318.58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571.61</v>
      </c>
      <c r="AD332" s="3">
        <v>571.61</v>
      </c>
      <c r="AE332" s="3">
        <v>571.61</v>
      </c>
      <c r="AF332" s="3">
        <v>571.61</v>
      </c>
      <c r="AG332" s="3">
        <v>571.61</v>
      </c>
      <c r="AH332" s="3">
        <v>571.61</v>
      </c>
      <c r="AI332" s="3">
        <v>571.61</v>
      </c>
      <c r="AJ332" s="3">
        <v>571.61</v>
      </c>
      <c r="AK332" s="3">
        <v>0</v>
      </c>
      <c r="AL332" s="3">
        <v>0</v>
      </c>
      <c r="AM332" s="3">
        <v>0</v>
      </c>
      <c r="AN332" s="3">
        <v>0</v>
      </c>
      <c r="AO332" s="3"/>
    </row>
    <row r="333" spans="2:41" x14ac:dyDescent="0.2">
      <c r="B333">
        <v>2853</v>
      </c>
      <c r="C333">
        <v>1</v>
      </c>
      <c r="D333" t="s">
        <v>392</v>
      </c>
      <c r="E333" s="3">
        <v>1100</v>
      </c>
      <c r="F333" s="3">
        <v>1100</v>
      </c>
      <c r="G333" s="3">
        <v>1100</v>
      </c>
      <c r="H333" s="3">
        <v>1100</v>
      </c>
      <c r="I333" s="3">
        <v>1100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1100</v>
      </c>
      <c r="AD333" s="3">
        <v>1100</v>
      </c>
      <c r="AE333" s="3">
        <v>1100</v>
      </c>
      <c r="AF333" s="3">
        <v>1100</v>
      </c>
      <c r="AG333" s="3">
        <v>1100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/>
    </row>
    <row r="334" spans="2:41" x14ac:dyDescent="0.2">
      <c r="B334">
        <v>2854</v>
      </c>
      <c r="C334">
        <v>1</v>
      </c>
      <c r="D334" t="s">
        <v>393</v>
      </c>
      <c r="E334" s="3">
        <v>800.91</v>
      </c>
      <c r="F334" s="3">
        <v>800.91</v>
      </c>
      <c r="G334" s="3">
        <v>800.91</v>
      </c>
      <c r="H334" s="3">
        <v>800.91</v>
      </c>
      <c r="I334" s="3">
        <v>800.91</v>
      </c>
      <c r="J334" s="3">
        <v>800.91</v>
      </c>
      <c r="K334" s="3">
        <v>400</v>
      </c>
      <c r="L334" s="3">
        <v>400</v>
      </c>
      <c r="M334" s="3">
        <v>400</v>
      </c>
      <c r="N334" s="3">
        <v>400</v>
      </c>
      <c r="O334" s="3">
        <v>0</v>
      </c>
      <c r="P334" s="3">
        <v>0</v>
      </c>
      <c r="Q334" s="3">
        <v>400.91</v>
      </c>
      <c r="R334" s="3">
        <v>400.91</v>
      </c>
      <c r="S334" s="3">
        <v>400.91</v>
      </c>
      <c r="T334" s="3">
        <v>400.91</v>
      </c>
      <c r="U334" s="3">
        <v>400.91</v>
      </c>
      <c r="V334" s="3">
        <v>400.91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400</v>
      </c>
      <c r="AD334" s="3">
        <v>400</v>
      </c>
      <c r="AE334" s="3">
        <v>400</v>
      </c>
      <c r="AF334" s="3">
        <v>400</v>
      </c>
      <c r="AG334" s="3">
        <v>400</v>
      </c>
      <c r="AH334" s="3">
        <v>400</v>
      </c>
      <c r="AI334" s="3">
        <v>400</v>
      </c>
      <c r="AJ334" s="3">
        <v>400</v>
      </c>
      <c r="AK334" s="3">
        <v>400</v>
      </c>
      <c r="AL334" s="3">
        <v>400</v>
      </c>
      <c r="AM334" s="3">
        <v>0</v>
      </c>
      <c r="AN334" s="3">
        <v>0</v>
      </c>
      <c r="AO334" s="3"/>
    </row>
    <row r="335" spans="2:41" x14ac:dyDescent="0.2">
      <c r="B335">
        <v>2856</v>
      </c>
      <c r="C335">
        <v>1</v>
      </c>
      <c r="D335" t="s">
        <v>394</v>
      </c>
      <c r="E335" s="3">
        <v>1238.06</v>
      </c>
      <c r="F335" s="3">
        <v>1238.06</v>
      </c>
      <c r="G335" s="3">
        <v>1000</v>
      </c>
      <c r="H335" s="3">
        <v>1000</v>
      </c>
      <c r="I335" s="3">
        <v>1000</v>
      </c>
      <c r="J335" s="3">
        <v>1000</v>
      </c>
      <c r="K335" s="3">
        <v>1000</v>
      </c>
      <c r="L335" s="3">
        <v>1000</v>
      </c>
      <c r="M335" s="3">
        <v>1000</v>
      </c>
      <c r="N335" s="3">
        <v>0</v>
      </c>
      <c r="O335" s="3">
        <v>0</v>
      </c>
      <c r="P335" s="3">
        <v>0</v>
      </c>
      <c r="Q335" s="3">
        <v>1238.06</v>
      </c>
      <c r="R335" s="3">
        <v>1238.06</v>
      </c>
      <c r="S335" s="3">
        <v>1000</v>
      </c>
      <c r="T335" s="3">
        <v>1000</v>
      </c>
      <c r="U335" s="3">
        <v>1000</v>
      </c>
      <c r="V335" s="3">
        <v>1000</v>
      </c>
      <c r="W335" s="3">
        <v>1000</v>
      </c>
      <c r="X335" s="3">
        <v>1000</v>
      </c>
      <c r="Y335" s="3">
        <v>1000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/>
    </row>
    <row r="336" spans="2:41" x14ac:dyDescent="0.2">
      <c r="B336">
        <v>2859</v>
      </c>
      <c r="C336">
        <v>1</v>
      </c>
      <c r="D336" t="s">
        <v>395</v>
      </c>
      <c r="E336" s="3">
        <v>680.05</v>
      </c>
      <c r="F336" s="3">
        <v>680.05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680.05</v>
      </c>
      <c r="R336" s="3">
        <v>680.05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/>
    </row>
    <row r="337" spans="1:41" x14ac:dyDescent="0.2">
      <c r="B337">
        <v>2860</v>
      </c>
      <c r="C337">
        <v>1</v>
      </c>
      <c r="D337" t="s">
        <v>396</v>
      </c>
      <c r="E337" s="3">
        <v>650</v>
      </c>
      <c r="F337" s="3">
        <v>650</v>
      </c>
      <c r="G337" s="3">
        <v>650</v>
      </c>
      <c r="H337" s="3">
        <v>650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650</v>
      </c>
      <c r="AD337" s="3">
        <v>650</v>
      </c>
      <c r="AE337" s="3">
        <v>650</v>
      </c>
      <c r="AF337" s="3">
        <v>650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/>
    </row>
    <row r="338" spans="1:41" x14ac:dyDescent="0.2">
      <c r="B338">
        <v>2884</v>
      </c>
      <c r="C338">
        <v>1</v>
      </c>
      <c r="D338" t="s">
        <v>397</v>
      </c>
      <c r="E338" s="3">
        <v>950.22</v>
      </c>
      <c r="F338" s="3">
        <v>950.22</v>
      </c>
      <c r="G338" s="3">
        <v>950.22</v>
      </c>
      <c r="H338" s="3">
        <v>950.22</v>
      </c>
      <c r="I338" s="3">
        <v>950.22</v>
      </c>
      <c r="J338" s="3">
        <v>950.22</v>
      </c>
      <c r="K338" s="3">
        <v>950.22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950.22</v>
      </c>
      <c r="R338" s="3">
        <v>950.22</v>
      </c>
      <c r="S338" s="3">
        <v>950.22</v>
      </c>
      <c r="T338" s="3">
        <v>950.22</v>
      </c>
      <c r="U338" s="3">
        <v>950.22</v>
      </c>
      <c r="V338" s="3">
        <v>950.22</v>
      </c>
      <c r="W338" s="3">
        <v>950.22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/>
    </row>
    <row r="339" spans="1:41" x14ac:dyDescent="0.2">
      <c r="B339">
        <v>2886</v>
      </c>
      <c r="C339">
        <v>1</v>
      </c>
      <c r="D339" t="s">
        <v>398</v>
      </c>
      <c r="E339" s="3">
        <v>881.91</v>
      </c>
      <c r="F339" s="3">
        <v>881.91</v>
      </c>
      <c r="G339" s="3">
        <v>881.91</v>
      </c>
      <c r="H339" s="3">
        <v>881.91</v>
      </c>
      <c r="I339" s="3">
        <v>881.91</v>
      </c>
      <c r="J339" s="3">
        <v>433.41</v>
      </c>
      <c r="K339" s="3">
        <v>433.41</v>
      </c>
      <c r="L339" s="3">
        <v>433.41</v>
      </c>
      <c r="M339" s="3">
        <v>433.41</v>
      </c>
      <c r="N339" s="3">
        <v>433.41</v>
      </c>
      <c r="O339" s="3">
        <v>0</v>
      </c>
      <c r="P339" s="3">
        <v>0</v>
      </c>
      <c r="Q339" s="3">
        <v>448.5</v>
      </c>
      <c r="R339" s="3">
        <v>448.5</v>
      </c>
      <c r="S339" s="3">
        <v>448.5</v>
      </c>
      <c r="T339" s="3">
        <v>448.5</v>
      </c>
      <c r="U339" s="3">
        <v>448.5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433.41</v>
      </c>
      <c r="AD339" s="3">
        <v>433.41</v>
      </c>
      <c r="AE339" s="3">
        <v>433.41</v>
      </c>
      <c r="AF339" s="3">
        <v>433.41</v>
      </c>
      <c r="AG339" s="3">
        <v>433.41</v>
      </c>
      <c r="AH339" s="3">
        <v>433.41</v>
      </c>
      <c r="AI339" s="3">
        <v>433.41</v>
      </c>
      <c r="AJ339" s="3">
        <v>433.41</v>
      </c>
      <c r="AK339" s="3">
        <v>433.41</v>
      </c>
      <c r="AL339" s="3">
        <v>433.41</v>
      </c>
      <c r="AM339" s="3">
        <v>0</v>
      </c>
      <c r="AN339" s="3">
        <v>0</v>
      </c>
      <c r="AO339" s="3"/>
    </row>
    <row r="340" spans="1:41" x14ac:dyDescent="0.2">
      <c r="B340">
        <v>2887</v>
      </c>
      <c r="C340">
        <v>1</v>
      </c>
      <c r="D340" t="s">
        <v>399</v>
      </c>
      <c r="E340" s="3">
        <v>703.29</v>
      </c>
      <c r="F340" s="3">
        <v>703.29</v>
      </c>
      <c r="G340" s="3">
        <v>703.29</v>
      </c>
      <c r="H340" s="3">
        <v>703.29</v>
      </c>
      <c r="I340" s="3">
        <v>703.29</v>
      </c>
      <c r="J340" s="3">
        <v>703.29</v>
      </c>
      <c r="K340" s="3">
        <v>452.11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703.29</v>
      </c>
      <c r="R340" s="3">
        <v>703.29</v>
      </c>
      <c r="S340" s="3">
        <v>703.29</v>
      </c>
      <c r="T340" s="3">
        <v>703.29</v>
      </c>
      <c r="U340" s="3">
        <v>703.29</v>
      </c>
      <c r="V340" s="3">
        <v>703.29</v>
      </c>
      <c r="W340" s="3">
        <v>452.11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/>
    </row>
    <row r="341" spans="1:41" x14ac:dyDescent="0.2">
      <c r="B341">
        <v>2888</v>
      </c>
      <c r="C341">
        <v>1</v>
      </c>
      <c r="D341" t="s">
        <v>400</v>
      </c>
      <c r="E341" s="3">
        <v>126.06</v>
      </c>
      <c r="F341" s="3">
        <v>126.06</v>
      </c>
      <c r="G341" s="3">
        <v>126.06</v>
      </c>
      <c r="H341" s="3">
        <v>126.06</v>
      </c>
      <c r="I341" s="3">
        <v>126.06</v>
      </c>
      <c r="J341" s="3">
        <v>126.06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126.06</v>
      </c>
      <c r="R341" s="3">
        <v>126.06</v>
      </c>
      <c r="S341" s="3">
        <v>126.06</v>
      </c>
      <c r="T341" s="3">
        <v>126.06</v>
      </c>
      <c r="U341" s="3">
        <v>126.06</v>
      </c>
      <c r="V341" s="3">
        <v>126.06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/>
    </row>
    <row r="342" spans="1:41" x14ac:dyDescent="0.2">
      <c r="B342">
        <v>2889</v>
      </c>
      <c r="C342">
        <v>1</v>
      </c>
      <c r="D342" t="s">
        <v>401</v>
      </c>
      <c r="E342" s="3">
        <v>503.59</v>
      </c>
      <c r="F342" s="3">
        <v>503.59</v>
      </c>
      <c r="G342" s="3">
        <v>500</v>
      </c>
      <c r="H342" s="3">
        <v>500</v>
      </c>
      <c r="I342" s="3">
        <v>500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3.589999999999975</v>
      </c>
      <c r="R342" s="3">
        <v>3.589999999999975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500</v>
      </c>
      <c r="AD342" s="3">
        <v>500</v>
      </c>
      <c r="AE342" s="3">
        <v>500</v>
      </c>
      <c r="AF342" s="3">
        <v>500</v>
      </c>
      <c r="AG342" s="3">
        <v>500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/>
    </row>
    <row r="343" spans="1:41" x14ac:dyDescent="0.2">
      <c r="B343">
        <v>2890</v>
      </c>
      <c r="C343">
        <v>1</v>
      </c>
      <c r="D343" t="s">
        <v>402</v>
      </c>
      <c r="E343" s="3">
        <v>803.97</v>
      </c>
      <c r="F343" s="3">
        <v>803.97</v>
      </c>
      <c r="G343" s="3">
        <v>803.97</v>
      </c>
      <c r="H343" s="3">
        <v>803.97</v>
      </c>
      <c r="I343" s="3">
        <v>803.97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803.97</v>
      </c>
      <c r="R343" s="3">
        <v>803.97</v>
      </c>
      <c r="S343" s="3">
        <v>803.97</v>
      </c>
      <c r="T343" s="3">
        <v>803.97</v>
      </c>
      <c r="U343" s="3">
        <v>803.97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/>
    </row>
    <row r="344" spans="1:41" x14ac:dyDescent="0.2">
      <c r="B344">
        <v>2895</v>
      </c>
      <c r="C344">
        <v>1</v>
      </c>
      <c r="D344" t="s">
        <v>403</v>
      </c>
      <c r="E344" s="3">
        <v>50.23</v>
      </c>
      <c r="F344" s="3">
        <v>50.23</v>
      </c>
      <c r="G344" s="3">
        <v>50.23</v>
      </c>
      <c r="H344" s="3">
        <v>50.23</v>
      </c>
      <c r="I344" s="3">
        <v>50.23</v>
      </c>
      <c r="J344" s="3">
        <v>50.23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50.23</v>
      </c>
      <c r="R344" s="3">
        <v>50.23</v>
      </c>
      <c r="S344" s="3">
        <v>50.23</v>
      </c>
      <c r="T344" s="3">
        <v>50.23</v>
      </c>
      <c r="U344" s="3">
        <v>50.23</v>
      </c>
      <c r="V344" s="3">
        <v>50.23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/>
    </row>
    <row r="345" spans="1:41" x14ac:dyDescent="0.2">
      <c r="B345">
        <v>2897</v>
      </c>
      <c r="C345">
        <v>1</v>
      </c>
      <c r="D345" t="s">
        <v>404</v>
      </c>
      <c r="E345" s="3">
        <v>500</v>
      </c>
      <c r="F345" s="3">
        <v>500</v>
      </c>
      <c r="G345" s="3">
        <v>500</v>
      </c>
      <c r="H345" s="3">
        <v>500</v>
      </c>
      <c r="I345" s="3">
        <v>500</v>
      </c>
      <c r="J345" s="3">
        <v>500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500</v>
      </c>
      <c r="AD345" s="3">
        <v>500</v>
      </c>
      <c r="AE345" s="3">
        <v>500</v>
      </c>
      <c r="AF345" s="3">
        <v>500</v>
      </c>
      <c r="AG345" s="3">
        <v>500</v>
      </c>
      <c r="AH345" s="3">
        <v>500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/>
    </row>
    <row r="346" spans="1:41" x14ac:dyDescent="0.2">
      <c r="B346">
        <v>2898</v>
      </c>
      <c r="C346">
        <v>1</v>
      </c>
      <c r="D346" t="s">
        <v>405</v>
      </c>
      <c r="E346" s="3">
        <v>500</v>
      </c>
      <c r="F346" s="3">
        <v>500</v>
      </c>
      <c r="G346" s="3">
        <v>500</v>
      </c>
      <c r="H346" s="3">
        <v>500</v>
      </c>
      <c r="I346" s="3">
        <v>500</v>
      </c>
      <c r="J346" s="3">
        <v>500</v>
      </c>
      <c r="K346" s="3">
        <v>500</v>
      </c>
      <c r="L346" s="3">
        <v>500</v>
      </c>
      <c r="M346" s="3">
        <v>500</v>
      </c>
      <c r="N346" s="3">
        <v>500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500</v>
      </c>
      <c r="AD346" s="3">
        <v>500</v>
      </c>
      <c r="AE346" s="3">
        <v>500</v>
      </c>
      <c r="AF346" s="3">
        <v>500</v>
      </c>
      <c r="AG346" s="3">
        <v>500</v>
      </c>
      <c r="AH346" s="3">
        <v>500</v>
      </c>
      <c r="AI346" s="3">
        <v>500</v>
      </c>
      <c r="AJ346" s="3">
        <v>500</v>
      </c>
      <c r="AK346" s="3">
        <v>500</v>
      </c>
      <c r="AL346" s="3">
        <v>500</v>
      </c>
      <c r="AM346" s="3">
        <v>0</v>
      </c>
      <c r="AN346" s="3">
        <v>0</v>
      </c>
      <c r="AO346" s="3"/>
    </row>
    <row r="347" spans="1:41" x14ac:dyDescent="0.2">
      <c r="B347" s="64">
        <v>2899</v>
      </c>
      <c r="C347" s="64">
        <v>1</v>
      </c>
      <c r="D347" s="22" t="s">
        <v>908</v>
      </c>
      <c r="E347" s="3">
        <v>292.99</v>
      </c>
      <c r="F347" s="3">
        <v>292.99</v>
      </c>
      <c r="G347" s="3">
        <v>292.99</v>
      </c>
      <c r="H347" s="3">
        <v>292.99</v>
      </c>
      <c r="I347" s="3">
        <v>292.99</v>
      </c>
      <c r="J347" s="3">
        <v>292.99</v>
      </c>
      <c r="K347" s="3">
        <v>292.99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292.99</v>
      </c>
      <c r="R347" s="3">
        <v>292.99</v>
      </c>
      <c r="S347" s="3">
        <v>292.99</v>
      </c>
      <c r="T347" s="3">
        <v>292.99</v>
      </c>
      <c r="U347" s="3">
        <v>292.99</v>
      </c>
      <c r="V347" s="3">
        <v>292.99</v>
      </c>
      <c r="W347" s="3">
        <v>292.99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/>
    </row>
    <row r="348" spans="1:41" x14ac:dyDescent="0.2">
      <c r="B348" s="64">
        <v>2902</v>
      </c>
      <c r="C348" s="64">
        <v>1</v>
      </c>
      <c r="D348" s="22" t="s">
        <v>909</v>
      </c>
      <c r="E348" s="3">
        <v>709.45</v>
      </c>
      <c r="F348" s="3">
        <v>709.45</v>
      </c>
      <c r="G348" s="3">
        <v>709.45</v>
      </c>
      <c r="H348" s="3">
        <v>709.45</v>
      </c>
      <c r="I348" s="3">
        <v>709.45</v>
      </c>
      <c r="J348" s="3">
        <v>709.45</v>
      </c>
      <c r="K348" s="3">
        <v>709.45</v>
      </c>
      <c r="L348" s="3">
        <v>709.45</v>
      </c>
      <c r="M348" s="3">
        <v>709.45</v>
      </c>
      <c r="N348" s="3">
        <v>709.45</v>
      </c>
      <c r="O348" s="3">
        <v>0</v>
      </c>
      <c r="P348" s="3">
        <v>0</v>
      </c>
      <c r="Q348" s="3">
        <v>129.61000000000001</v>
      </c>
      <c r="R348" s="3">
        <v>129.61000000000001</v>
      </c>
      <c r="S348" s="3">
        <v>129.61000000000001</v>
      </c>
      <c r="T348" s="3">
        <v>129.61000000000001</v>
      </c>
      <c r="U348" s="3">
        <v>129.61000000000001</v>
      </c>
      <c r="V348" s="3">
        <v>128.91999999999999</v>
      </c>
      <c r="W348" s="3">
        <v>128.91999999999999</v>
      </c>
      <c r="X348" s="3">
        <v>128.91999999999999</v>
      </c>
      <c r="Y348" s="3">
        <v>0</v>
      </c>
      <c r="Z348" s="3">
        <v>0</v>
      </c>
      <c r="AA348" s="3">
        <v>0</v>
      </c>
      <c r="AB348" s="3">
        <v>0</v>
      </c>
      <c r="AC348" s="3">
        <v>579.84</v>
      </c>
      <c r="AD348" s="3">
        <v>579.84</v>
      </c>
      <c r="AE348" s="3">
        <v>579.84</v>
      </c>
      <c r="AF348" s="3">
        <v>579.84</v>
      </c>
      <c r="AG348" s="3">
        <v>579.84</v>
      </c>
      <c r="AH348" s="3">
        <v>580.53</v>
      </c>
      <c r="AI348" s="3">
        <v>580.53</v>
      </c>
      <c r="AJ348" s="3">
        <v>580.53</v>
      </c>
      <c r="AK348" s="3">
        <v>709.45</v>
      </c>
      <c r="AL348" s="3">
        <v>709.45</v>
      </c>
      <c r="AM348" s="3">
        <v>0</v>
      </c>
      <c r="AN348" s="3">
        <v>0</v>
      </c>
      <c r="AO348" s="3"/>
    </row>
    <row r="350" spans="1:41" x14ac:dyDescent="0.2">
      <c r="A350" t="s">
        <v>915</v>
      </c>
      <c r="B350">
        <v>1</v>
      </c>
      <c r="C350">
        <v>1</v>
      </c>
      <c r="D350" t="s">
        <v>63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</row>
    <row r="351" spans="1:41" x14ac:dyDescent="0.2">
      <c r="A351" t="s">
        <v>922</v>
      </c>
      <c r="B351">
        <v>1.2</v>
      </c>
      <c r="C351">
        <v>1.2</v>
      </c>
      <c r="D351" t="s">
        <v>64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</row>
    <row r="352" spans="1:41" x14ac:dyDescent="0.2">
      <c r="A352" t="s">
        <v>923</v>
      </c>
      <c r="B352">
        <v>2</v>
      </c>
      <c r="C352">
        <v>1</v>
      </c>
      <c r="D352" t="s">
        <v>65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</row>
    <row r="353" spans="2:40" x14ac:dyDescent="0.2">
      <c r="B353">
        <v>4</v>
      </c>
      <c r="C353">
        <v>1</v>
      </c>
      <c r="D353" t="s">
        <v>66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</row>
    <row r="354" spans="2:40" x14ac:dyDescent="0.2">
      <c r="B354">
        <v>6</v>
      </c>
      <c r="C354">
        <v>3</v>
      </c>
      <c r="D354" t="s">
        <v>67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</row>
    <row r="355" spans="2:40" x14ac:dyDescent="0.2">
      <c r="B355">
        <v>11</v>
      </c>
      <c r="C355">
        <v>1</v>
      </c>
      <c r="D355" t="s">
        <v>68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</row>
    <row r="356" spans="2:40" x14ac:dyDescent="0.2">
      <c r="B356">
        <v>12</v>
      </c>
      <c r="C356">
        <v>1</v>
      </c>
      <c r="D356" t="s">
        <v>69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</row>
    <row r="357" spans="2:40" x14ac:dyDescent="0.2">
      <c r="B357">
        <v>13</v>
      </c>
      <c r="C357">
        <v>1</v>
      </c>
      <c r="D357" t="s">
        <v>70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</row>
    <row r="358" spans="2:40" x14ac:dyDescent="0.2">
      <c r="B358">
        <v>14</v>
      </c>
      <c r="C358">
        <v>1</v>
      </c>
      <c r="D358" t="s">
        <v>71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</row>
    <row r="359" spans="2:40" x14ac:dyDescent="0.2">
      <c r="B359">
        <v>15</v>
      </c>
      <c r="C359">
        <v>1</v>
      </c>
      <c r="D359" t="s">
        <v>72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</row>
    <row r="360" spans="2:40" x14ac:dyDescent="0.2">
      <c r="B360">
        <v>16</v>
      </c>
      <c r="C360">
        <v>1</v>
      </c>
      <c r="D360" t="s">
        <v>73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</row>
    <row r="361" spans="2:40" x14ac:dyDescent="0.2">
      <c r="B361">
        <v>22</v>
      </c>
      <c r="C361">
        <v>1</v>
      </c>
      <c r="D361" t="s">
        <v>74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</row>
    <row r="362" spans="2:40" x14ac:dyDescent="0.2">
      <c r="B362">
        <v>23</v>
      </c>
      <c r="C362">
        <v>1</v>
      </c>
      <c r="D362" t="s">
        <v>75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</row>
    <row r="363" spans="2:40" x14ac:dyDescent="0.2">
      <c r="B363">
        <v>25</v>
      </c>
      <c r="C363">
        <v>1</v>
      </c>
      <c r="D363" t="s">
        <v>76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</row>
    <row r="364" spans="2:40" x14ac:dyDescent="0.2">
      <c r="B364">
        <v>31</v>
      </c>
      <c r="C364">
        <v>1</v>
      </c>
      <c r="D364" t="s">
        <v>77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</row>
    <row r="365" spans="2:40" x14ac:dyDescent="0.2">
      <c r="B365">
        <v>32</v>
      </c>
      <c r="C365">
        <v>1</v>
      </c>
      <c r="D365" t="s">
        <v>78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</row>
    <row r="366" spans="2:40" x14ac:dyDescent="0.2">
      <c r="B366">
        <v>36</v>
      </c>
      <c r="C366">
        <v>1</v>
      </c>
      <c r="D366" t="s">
        <v>79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</row>
    <row r="367" spans="2:40" x14ac:dyDescent="0.2">
      <c r="B367">
        <v>38</v>
      </c>
      <c r="C367">
        <v>1</v>
      </c>
      <c r="D367" t="s">
        <v>80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</row>
    <row r="368" spans="2:40" x14ac:dyDescent="0.2">
      <c r="B368">
        <v>47</v>
      </c>
      <c r="C368">
        <v>1</v>
      </c>
      <c r="D368" t="s">
        <v>81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</row>
    <row r="369" spans="2:40" x14ac:dyDescent="0.2">
      <c r="B369">
        <v>51</v>
      </c>
      <c r="C369">
        <v>1</v>
      </c>
      <c r="D369" t="s">
        <v>82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</row>
    <row r="370" spans="2:40" x14ac:dyDescent="0.2">
      <c r="B370">
        <v>62</v>
      </c>
      <c r="C370">
        <v>1</v>
      </c>
      <c r="D370" t="s">
        <v>83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</row>
    <row r="371" spans="2:40" x14ac:dyDescent="0.2">
      <c r="B371">
        <v>75</v>
      </c>
      <c r="C371">
        <v>1</v>
      </c>
      <c r="D371" t="s">
        <v>84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</row>
    <row r="372" spans="2:40" x14ac:dyDescent="0.2">
      <c r="B372">
        <v>77</v>
      </c>
      <c r="C372">
        <v>1</v>
      </c>
      <c r="D372" t="s">
        <v>85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</row>
    <row r="373" spans="2:40" x14ac:dyDescent="0.2">
      <c r="B373">
        <v>81</v>
      </c>
      <c r="C373">
        <v>1</v>
      </c>
      <c r="D373" t="s">
        <v>86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</row>
    <row r="374" spans="2:40" x14ac:dyDescent="0.2">
      <c r="B374">
        <v>84</v>
      </c>
      <c r="C374">
        <v>1</v>
      </c>
      <c r="D374" t="s">
        <v>87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</row>
    <row r="375" spans="2:40" x14ac:dyDescent="0.2">
      <c r="B375">
        <v>85</v>
      </c>
      <c r="C375">
        <v>1</v>
      </c>
      <c r="D375" t="s">
        <v>88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</row>
    <row r="376" spans="2:40" x14ac:dyDescent="0.2">
      <c r="B376">
        <v>88</v>
      </c>
      <c r="C376">
        <v>1</v>
      </c>
      <c r="D376" t="s">
        <v>89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</row>
    <row r="377" spans="2:40" x14ac:dyDescent="0.2">
      <c r="B377">
        <v>91</v>
      </c>
      <c r="C377">
        <v>1</v>
      </c>
      <c r="D377" t="s">
        <v>90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</row>
    <row r="378" spans="2:40" x14ac:dyDescent="0.2">
      <c r="B378">
        <v>93</v>
      </c>
      <c r="C378">
        <v>1</v>
      </c>
      <c r="D378" t="s">
        <v>91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</row>
    <row r="379" spans="2:40" x14ac:dyDescent="0.2">
      <c r="B379">
        <v>94</v>
      </c>
      <c r="C379">
        <v>1</v>
      </c>
      <c r="D379" t="s">
        <v>92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</row>
    <row r="380" spans="2:40" x14ac:dyDescent="0.2">
      <c r="B380">
        <v>95</v>
      </c>
      <c r="C380">
        <v>1</v>
      </c>
      <c r="D380" t="s">
        <v>93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</row>
    <row r="381" spans="2:40" x14ac:dyDescent="0.2">
      <c r="B381">
        <v>97</v>
      </c>
      <c r="C381">
        <v>1</v>
      </c>
      <c r="D381" t="s">
        <v>94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</row>
    <row r="382" spans="2:40" x14ac:dyDescent="0.2">
      <c r="B382">
        <v>99</v>
      </c>
      <c r="C382">
        <v>1</v>
      </c>
      <c r="D382" t="s">
        <v>95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</row>
    <row r="383" spans="2:40" x14ac:dyDescent="0.2">
      <c r="B383">
        <v>100</v>
      </c>
      <c r="C383">
        <v>1</v>
      </c>
      <c r="D383" t="s">
        <v>96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</row>
    <row r="384" spans="2:40" x14ac:dyDescent="0.2">
      <c r="B384">
        <v>108</v>
      </c>
      <c r="C384">
        <v>1</v>
      </c>
      <c r="D384" t="s">
        <v>97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</row>
    <row r="385" spans="2:40" x14ac:dyDescent="0.2">
      <c r="B385">
        <v>110</v>
      </c>
      <c r="C385">
        <v>1</v>
      </c>
      <c r="D385" t="s">
        <v>98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</row>
    <row r="386" spans="2:40" x14ac:dyDescent="0.2">
      <c r="B386">
        <v>111</v>
      </c>
      <c r="C386">
        <v>1</v>
      </c>
      <c r="D386" t="s">
        <v>99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</row>
    <row r="387" spans="2:40" x14ac:dyDescent="0.2">
      <c r="B387">
        <v>112</v>
      </c>
      <c r="C387">
        <v>1</v>
      </c>
      <c r="D387" t="s">
        <v>100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</row>
    <row r="388" spans="2:40" x14ac:dyDescent="0.2">
      <c r="B388">
        <v>113</v>
      </c>
      <c r="C388">
        <v>1</v>
      </c>
      <c r="D388" t="s">
        <v>101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</row>
    <row r="389" spans="2:40" x14ac:dyDescent="0.2">
      <c r="B389">
        <v>115</v>
      </c>
      <c r="C389">
        <v>1</v>
      </c>
      <c r="D389" t="s">
        <v>102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</row>
    <row r="390" spans="2:40" x14ac:dyDescent="0.2">
      <c r="B390">
        <v>116</v>
      </c>
      <c r="C390">
        <v>1</v>
      </c>
      <c r="D390" t="s">
        <v>103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</row>
    <row r="391" spans="2:40" x14ac:dyDescent="0.2">
      <c r="B391">
        <v>118</v>
      </c>
      <c r="C391">
        <v>1</v>
      </c>
      <c r="D391" t="s">
        <v>104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</row>
    <row r="392" spans="2:40" x14ac:dyDescent="0.2">
      <c r="B392">
        <v>129</v>
      </c>
      <c r="C392">
        <v>1</v>
      </c>
      <c r="D392" t="s">
        <v>105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</row>
    <row r="393" spans="2:40" x14ac:dyDescent="0.2">
      <c r="B393">
        <v>138</v>
      </c>
      <c r="C393">
        <v>1</v>
      </c>
      <c r="D393" t="s">
        <v>106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</row>
    <row r="394" spans="2:40" x14ac:dyDescent="0.2">
      <c r="B394">
        <v>139</v>
      </c>
      <c r="C394">
        <v>1</v>
      </c>
      <c r="D394" t="s">
        <v>107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</row>
    <row r="395" spans="2:40" x14ac:dyDescent="0.2">
      <c r="B395">
        <v>146</v>
      </c>
      <c r="C395">
        <v>1</v>
      </c>
      <c r="D395" t="s">
        <v>108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</row>
    <row r="396" spans="2:40" x14ac:dyDescent="0.2">
      <c r="B396">
        <v>150</v>
      </c>
      <c r="C396">
        <v>1</v>
      </c>
      <c r="D396" t="s">
        <v>109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</row>
    <row r="397" spans="2:40" x14ac:dyDescent="0.2">
      <c r="B397">
        <v>152</v>
      </c>
      <c r="C397">
        <v>1</v>
      </c>
      <c r="D397" t="s">
        <v>110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</row>
    <row r="398" spans="2:40" x14ac:dyDescent="0.2">
      <c r="B398">
        <v>162</v>
      </c>
      <c r="C398">
        <v>1</v>
      </c>
      <c r="D398" t="s">
        <v>111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</row>
    <row r="399" spans="2:40" x14ac:dyDescent="0.2">
      <c r="B399">
        <v>166</v>
      </c>
      <c r="C399">
        <v>1</v>
      </c>
      <c r="D399" t="s">
        <v>112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</row>
    <row r="400" spans="2:40" x14ac:dyDescent="0.2">
      <c r="B400">
        <v>173</v>
      </c>
      <c r="C400">
        <v>1</v>
      </c>
      <c r="D400" t="s">
        <v>113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</row>
    <row r="401" spans="2:40" x14ac:dyDescent="0.2">
      <c r="B401">
        <v>177</v>
      </c>
      <c r="C401">
        <v>1</v>
      </c>
      <c r="D401" t="s">
        <v>114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</row>
    <row r="402" spans="2:40" x14ac:dyDescent="0.2">
      <c r="B402">
        <v>181</v>
      </c>
      <c r="C402">
        <v>1</v>
      </c>
      <c r="D402" t="s">
        <v>115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</row>
    <row r="403" spans="2:40" x14ac:dyDescent="0.2">
      <c r="B403">
        <v>182</v>
      </c>
      <c r="C403">
        <v>1</v>
      </c>
      <c r="D403" t="s">
        <v>116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</row>
    <row r="404" spans="2:40" x14ac:dyDescent="0.2">
      <c r="B404">
        <v>186</v>
      </c>
      <c r="C404">
        <v>1</v>
      </c>
      <c r="D404" t="s">
        <v>117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</row>
    <row r="405" spans="2:40" x14ac:dyDescent="0.2">
      <c r="B405">
        <v>191</v>
      </c>
      <c r="C405">
        <v>1</v>
      </c>
      <c r="D405" t="s">
        <v>118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</row>
    <row r="406" spans="2:40" x14ac:dyDescent="0.2">
      <c r="B406">
        <v>192</v>
      </c>
      <c r="C406">
        <v>1</v>
      </c>
      <c r="D406" t="s">
        <v>119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</row>
    <row r="407" spans="2:40" x14ac:dyDescent="0.2">
      <c r="B407">
        <v>194</v>
      </c>
      <c r="C407">
        <v>1</v>
      </c>
      <c r="D407" t="s">
        <v>120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</row>
    <row r="408" spans="2:40" x14ac:dyDescent="0.2">
      <c r="B408">
        <v>195</v>
      </c>
      <c r="C408">
        <v>1</v>
      </c>
      <c r="D408" t="s">
        <v>121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</row>
    <row r="409" spans="2:40" x14ac:dyDescent="0.2">
      <c r="B409">
        <v>196</v>
      </c>
      <c r="C409">
        <v>1</v>
      </c>
      <c r="D409" t="s">
        <v>122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</row>
    <row r="410" spans="2:40" x14ac:dyDescent="0.2">
      <c r="B410">
        <v>197</v>
      </c>
      <c r="C410">
        <v>1</v>
      </c>
      <c r="D410" t="s">
        <v>123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</row>
    <row r="411" spans="2:40" x14ac:dyDescent="0.2">
      <c r="B411">
        <v>199</v>
      </c>
      <c r="C411">
        <v>1</v>
      </c>
      <c r="D411" t="s">
        <v>124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</row>
    <row r="412" spans="2:40" x14ac:dyDescent="0.2">
      <c r="B412">
        <v>200</v>
      </c>
      <c r="C412">
        <v>1</v>
      </c>
      <c r="D412" t="s">
        <v>125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</row>
    <row r="413" spans="2:40" x14ac:dyDescent="0.2">
      <c r="B413">
        <v>203</v>
      </c>
      <c r="C413">
        <v>1</v>
      </c>
      <c r="D413" t="s">
        <v>126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</row>
    <row r="414" spans="2:40" x14ac:dyDescent="0.2">
      <c r="B414">
        <v>204</v>
      </c>
      <c r="C414">
        <v>1</v>
      </c>
      <c r="D414" t="s">
        <v>127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</row>
    <row r="415" spans="2:40" x14ac:dyDescent="0.2">
      <c r="B415">
        <v>206</v>
      </c>
      <c r="C415">
        <v>1</v>
      </c>
      <c r="D415" t="s">
        <v>128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</row>
    <row r="416" spans="2:40" x14ac:dyDescent="0.2">
      <c r="B416">
        <v>207</v>
      </c>
      <c r="C416">
        <v>1</v>
      </c>
      <c r="D416" t="s">
        <v>129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</row>
    <row r="417" spans="2:40" x14ac:dyDescent="0.2">
      <c r="B417">
        <v>208</v>
      </c>
      <c r="C417">
        <v>1</v>
      </c>
      <c r="D417" t="s">
        <v>130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</row>
    <row r="418" spans="2:40" x14ac:dyDescent="0.2">
      <c r="B418">
        <v>213</v>
      </c>
      <c r="C418">
        <v>1</v>
      </c>
      <c r="D418" t="s">
        <v>131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</row>
    <row r="419" spans="2:40" x14ac:dyDescent="0.2">
      <c r="B419">
        <v>227</v>
      </c>
      <c r="C419">
        <v>1</v>
      </c>
      <c r="D419" t="s">
        <v>132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</row>
    <row r="420" spans="2:40" x14ac:dyDescent="0.2">
      <c r="B420">
        <v>229</v>
      </c>
      <c r="C420">
        <v>1</v>
      </c>
      <c r="D420" t="s">
        <v>133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</row>
    <row r="421" spans="2:40" x14ac:dyDescent="0.2">
      <c r="B421">
        <v>238</v>
      </c>
      <c r="C421">
        <v>1</v>
      </c>
      <c r="D421" t="s">
        <v>134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</row>
    <row r="422" spans="2:40" x14ac:dyDescent="0.2">
      <c r="B422">
        <v>239</v>
      </c>
      <c r="C422">
        <v>1</v>
      </c>
      <c r="D422" t="s">
        <v>135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</row>
    <row r="423" spans="2:40" x14ac:dyDescent="0.2">
      <c r="B423">
        <v>241</v>
      </c>
      <c r="C423">
        <v>1</v>
      </c>
      <c r="D423" t="s">
        <v>136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</row>
    <row r="424" spans="2:40" x14ac:dyDescent="0.2">
      <c r="B424">
        <v>242</v>
      </c>
      <c r="C424">
        <v>1</v>
      </c>
      <c r="D424" t="s">
        <v>137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</row>
    <row r="425" spans="2:40" x14ac:dyDescent="0.2">
      <c r="B425">
        <v>252</v>
      </c>
      <c r="C425">
        <v>1</v>
      </c>
      <c r="D425" t="s">
        <v>138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</row>
    <row r="426" spans="2:40" x14ac:dyDescent="0.2">
      <c r="B426">
        <v>253</v>
      </c>
      <c r="C426">
        <v>1</v>
      </c>
      <c r="D426" t="s">
        <v>139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</row>
    <row r="427" spans="2:40" x14ac:dyDescent="0.2">
      <c r="B427">
        <v>255</v>
      </c>
      <c r="C427">
        <v>1</v>
      </c>
      <c r="D427" t="s">
        <v>140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</row>
    <row r="428" spans="2:40" x14ac:dyDescent="0.2">
      <c r="B428">
        <v>256</v>
      </c>
      <c r="C428">
        <v>1</v>
      </c>
      <c r="D428" t="s">
        <v>141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</row>
    <row r="429" spans="2:40" x14ac:dyDescent="0.2">
      <c r="B429">
        <v>261</v>
      </c>
      <c r="C429">
        <v>1</v>
      </c>
      <c r="D429" t="s">
        <v>142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</row>
    <row r="430" spans="2:40" x14ac:dyDescent="0.2">
      <c r="B430">
        <v>264</v>
      </c>
      <c r="C430">
        <v>1</v>
      </c>
      <c r="D430" t="s">
        <v>143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</row>
    <row r="431" spans="2:40" x14ac:dyDescent="0.2">
      <c r="B431">
        <v>270</v>
      </c>
      <c r="C431">
        <v>1</v>
      </c>
      <c r="D431" t="s">
        <v>144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</row>
    <row r="432" spans="2:40" x14ac:dyDescent="0.2">
      <c r="B432">
        <v>271</v>
      </c>
      <c r="C432">
        <v>1</v>
      </c>
      <c r="D432" t="s">
        <v>145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</row>
    <row r="433" spans="2:40" x14ac:dyDescent="0.2">
      <c r="B433">
        <v>272</v>
      </c>
      <c r="C433">
        <v>1</v>
      </c>
      <c r="D433" t="s">
        <v>146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</row>
    <row r="434" spans="2:40" x14ac:dyDescent="0.2">
      <c r="B434">
        <v>273</v>
      </c>
      <c r="C434">
        <v>1</v>
      </c>
      <c r="D434" t="s">
        <v>147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</row>
    <row r="435" spans="2:40" x14ac:dyDescent="0.2">
      <c r="B435">
        <v>276</v>
      </c>
      <c r="C435">
        <v>1</v>
      </c>
      <c r="D435" t="s">
        <v>148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</row>
    <row r="436" spans="2:40" x14ac:dyDescent="0.2">
      <c r="B436">
        <v>277</v>
      </c>
      <c r="C436">
        <v>1</v>
      </c>
      <c r="D436" t="s">
        <v>149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</row>
    <row r="437" spans="2:40" x14ac:dyDescent="0.2">
      <c r="B437">
        <v>278</v>
      </c>
      <c r="C437">
        <v>1</v>
      </c>
      <c r="D437" t="s">
        <v>150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</row>
    <row r="438" spans="2:40" x14ac:dyDescent="0.2">
      <c r="B438">
        <v>279</v>
      </c>
      <c r="C438">
        <v>1</v>
      </c>
      <c r="D438" t="s">
        <v>151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</row>
    <row r="439" spans="2:40" x14ac:dyDescent="0.2">
      <c r="B439">
        <v>280</v>
      </c>
      <c r="C439">
        <v>1</v>
      </c>
      <c r="D439" t="s">
        <v>152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</row>
    <row r="440" spans="2:40" x14ac:dyDescent="0.2">
      <c r="B440">
        <v>281</v>
      </c>
      <c r="C440">
        <v>1</v>
      </c>
      <c r="D440" t="s">
        <v>153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</row>
    <row r="441" spans="2:40" x14ac:dyDescent="0.2">
      <c r="B441">
        <v>282</v>
      </c>
      <c r="C441">
        <v>1</v>
      </c>
      <c r="D441" t="s">
        <v>154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</row>
    <row r="442" spans="2:40" x14ac:dyDescent="0.2">
      <c r="B442">
        <v>283</v>
      </c>
      <c r="C442">
        <v>1</v>
      </c>
      <c r="D442" t="s">
        <v>155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</row>
    <row r="443" spans="2:40" x14ac:dyDescent="0.2">
      <c r="B443">
        <v>284</v>
      </c>
      <c r="C443">
        <v>1</v>
      </c>
      <c r="D443" t="s">
        <v>156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</row>
    <row r="444" spans="2:40" x14ac:dyDescent="0.2">
      <c r="B444">
        <v>286</v>
      </c>
      <c r="C444">
        <v>1</v>
      </c>
      <c r="D444" t="s">
        <v>157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</row>
    <row r="445" spans="2:40" x14ac:dyDescent="0.2">
      <c r="B445">
        <v>294</v>
      </c>
      <c r="C445">
        <v>1</v>
      </c>
      <c r="D445" t="s">
        <v>158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</row>
    <row r="446" spans="2:40" x14ac:dyDescent="0.2">
      <c r="B446">
        <v>297</v>
      </c>
      <c r="C446">
        <v>1</v>
      </c>
      <c r="D446" t="s">
        <v>159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</row>
    <row r="447" spans="2:40" x14ac:dyDescent="0.2">
      <c r="B447">
        <v>299</v>
      </c>
      <c r="C447">
        <v>1</v>
      </c>
      <c r="D447" t="s">
        <v>160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</row>
    <row r="448" spans="2:40" x14ac:dyDescent="0.2">
      <c r="B448">
        <v>300</v>
      </c>
      <c r="C448">
        <v>1</v>
      </c>
      <c r="D448" t="s">
        <v>161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</row>
    <row r="449" spans="2:40" x14ac:dyDescent="0.2">
      <c r="B449">
        <v>306</v>
      </c>
      <c r="C449">
        <v>1</v>
      </c>
      <c r="D449" t="s">
        <v>162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</row>
    <row r="450" spans="2:40" x14ac:dyDescent="0.2">
      <c r="B450">
        <v>308</v>
      </c>
      <c r="C450">
        <v>1</v>
      </c>
      <c r="D450" t="s">
        <v>163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</row>
    <row r="451" spans="2:40" x14ac:dyDescent="0.2">
      <c r="B451">
        <v>309</v>
      </c>
      <c r="C451">
        <v>1</v>
      </c>
      <c r="D451" t="s">
        <v>164</v>
      </c>
      <c r="E451" s="3">
        <v>0</v>
      </c>
      <c r="F451" s="3">
        <v>600</v>
      </c>
      <c r="G451" s="3">
        <v>600</v>
      </c>
      <c r="H451" s="3">
        <v>600</v>
      </c>
      <c r="I451" s="3">
        <v>600</v>
      </c>
      <c r="J451" s="3">
        <v>600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600</v>
      </c>
      <c r="AE451" s="3">
        <v>600</v>
      </c>
      <c r="AF451" s="3">
        <v>600</v>
      </c>
      <c r="AG451" s="3">
        <v>600</v>
      </c>
      <c r="AH451" s="3">
        <v>600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</row>
    <row r="452" spans="2:40" x14ac:dyDescent="0.2">
      <c r="B452">
        <v>314</v>
      </c>
      <c r="C452">
        <v>1</v>
      </c>
      <c r="D452" t="s">
        <v>165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</row>
    <row r="453" spans="2:40" x14ac:dyDescent="0.2">
      <c r="B453">
        <v>316</v>
      </c>
      <c r="C453">
        <v>1</v>
      </c>
      <c r="D453" t="s">
        <v>166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</row>
    <row r="454" spans="2:40" x14ac:dyDescent="0.2">
      <c r="B454">
        <v>317</v>
      </c>
      <c r="C454">
        <v>1</v>
      </c>
      <c r="D454" t="s">
        <v>167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</row>
    <row r="455" spans="2:40" x14ac:dyDescent="0.2">
      <c r="B455">
        <v>318</v>
      </c>
      <c r="C455">
        <v>1</v>
      </c>
      <c r="D455" t="s">
        <v>168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</row>
    <row r="456" spans="2:40" x14ac:dyDescent="0.2">
      <c r="B456">
        <v>319</v>
      </c>
      <c r="C456">
        <v>1</v>
      </c>
      <c r="D456" t="s">
        <v>169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</row>
    <row r="457" spans="2:40" x14ac:dyDescent="0.2">
      <c r="B457">
        <v>323</v>
      </c>
      <c r="C457">
        <v>2</v>
      </c>
      <c r="D457" t="s">
        <v>170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</row>
    <row r="458" spans="2:40" x14ac:dyDescent="0.2">
      <c r="B458">
        <v>330</v>
      </c>
      <c r="C458">
        <v>1</v>
      </c>
      <c r="D458" t="s">
        <v>171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</row>
    <row r="459" spans="2:40" x14ac:dyDescent="0.2">
      <c r="B459">
        <v>332</v>
      </c>
      <c r="C459">
        <v>1</v>
      </c>
      <c r="D459" t="s">
        <v>172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</row>
    <row r="460" spans="2:40" x14ac:dyDescent="0.2">
      <c r="B460">
        <v>333</v>
      </c>
      <c r="C460">
        <v>1</v>
      </c>
      <c r="D460" t="s">
        <v>173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</row>
    <row r="461" spans="2:40" x14ac:dyDescent="0.2">
      <c r="B461">
        <v>345</v>
      </c>
      <c r="C461">
        <v>1</v>
      </c>
      <c r="D461" t="s">
        <v>174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</row>
    <row r="462" spans="2:40" x14ac:dyDescent="0.2">
      <c r="B462">
        <v>347</v>
      </c>
      <c r="C462">
        <v>1</v>
      </c>
      <c r="D462" t="s">
        <v>175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</row>
    <row r="463" spans="2:40" x14ac:dyDescent="0.2">
      <c r="B463">
        <v>356</v>
      </c>
      <c r="C463">
        <v>1</v>
      </c>
      <c r="D463" t="s">
        <v>176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</row>
    <row r="464" spans="2:40" x14ac:dyDescent="0.2">
      <c r="B464">
        <v>361</v>
      </c>
      <c r="C464">
        <v>1</v>
      </c>
      <c r="D464" t="s">
        <v>177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</row>
    <row r="465" spans="2:40" x14ac:dyDescent="0.2">
      <c r="B465">
        <v>362</v>
      </c>
      <c r="C465">
        <v>1</v>
      </c>
      <c r="D465" t="s">
        <v>178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</row>
    <row r="466" spans="2:40" x14ac:dyDescent="0.2">
      <c r="B466">
        <v>363</v>
      </c>
      <c r="C466">
        <v>1</v>
      </c>
      <c r="D466" t="s">
        <v>179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</row>
    <row r="467" spans="2:40" x14ac:dyDescent="0.2">
      <c r="B467">
        <v>371</v>
      </c>
      <c r="C467">
        <v>1</v>
      </c>
      <c r="D467" t="s">
        <v>180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</row>
    <row r="468" spans="2:40" x14ac:dyDescent="0.2">
      <c r="B468">
        <v>378</v>
      </c>
      <c r="C468">
        <v>1</v>
      </c>
      <c r="D468" t="s">
        <v>181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</row>
    <row r="469" spans="2:40" x14ac:dyDescent="0.2">
      <c r="B469">
        <v>381</v>
      </c>
      <c r="C469">
        <v>1</v>
      </c>
      <c r="D469" t="s">
        <v>182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</row>
    <row r="470" spans="2:40" x14ac:dyDescent="0.2">
      <c r="B470">
        <v>390</v>
      </c>
      <c r="C470">
        <v>1</v>
      </c>
      <c r="D470" t="s">
        <v>183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</row>
    <row r="471" spans="2:40" x14ac:dyDescent="0.2">
      <c r="B471">
        <v>391</v>
      </c>
      <c r="C471">
        <v>1</v>
      </c>
      <c r="D471" t="s">
        <v>184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</row>
    <row r="472" spans="2:40" x14ac:dyDescent="0.2">
      <c r="B472">
        <v>392</v>
      </c>
      <c r="C472">
        <v>1</v>
      </c>
      <c r="D472" t="s">
        <v>185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</row>
    <row r="473" spans="2:40" x14ac:dyDescent="0.2">
      <c r="B473">
        <v>394</v>
      </c>
      <c r="C473">
        <v>1</v>
      </c>
      <c r="D473" t="s">
        <v>186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</row>
    <row r="474" spans="2:40" x14ac:dyDescent="0.2">
      <c r="B474">
        <v>402</v>
      </c>
      <c r="C474">
        <v>1</v>
      </c>
      <c r="D474" t="s">
        <v>187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</row>
    <row r="475" spans="2:40" x14ac:dyDescent="0.2">
      <c r="B475">
        <v>403</v>
      </c>
      <c r="C475">
        <v>1</v>
      </c>
      <c r="D475" t="s">
        <v>188</v>
      </c>
      <c r="E475" s="3">
        <v>0</v>
      </c>
      <c r="F475" s="3">
        <v>1200</v>
      </c>
      <c r="G475" s="3">
        <v>1200</v>
      </c>
      <c r="H475" s="3">
        <v>1200</v>
      </c>
      <c r="I475" s="3">
        <v>1200</v>
      </c>
      <c r="J475" s="3">
        <v>1200</v>
      </c>
      <c r="K475" s="3">
        <v>1200</v>
      </c>
      <c r="L475" s="3">
        <v>1200</v>
      </c>
      <c r="M475" s="3">
        <v>1200</v>
      </c>
      <c r="N475" s="3">
        <v>1200</v>
      </c>
      <c r="O475" s="3">
        <v>1200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1200</v>
      </c>
      <c r="AF475" s="3">
        <v>1200</v>
      </c>
      <c r="AG475" s="3">
        <v>1200</v>
      </c>
      <c r="AH475" s="3">
        <v>1200</v>
      </c>
      <c r="AI475" s="3">
        <v>1200</v>
      </c>
      <c r="AJ475" s="3">
        <v>1200</v>
      </c>
      <c r="AK475" s="3">
        <v>1200</v>
      </c>
      <c r="AL475" s="3">
        <v>1200</v>
      </c>
      <c r="AM475" s="3">
        <v>1200</v>
      </c>
      <c r="AN475" s="3">
        <v>1200</v>
      </c>
    </row>
    <row r="476" spans="2:40" x14ac:dyDescent="0.2">
      <c r="B476">
        <v>404</v>
      </c>
      <c r="C476">
        <v>1</v>
      </c>
      <c r="D476" t="s">
        <v>189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</row>
    <row r="477" spans="2:40" x14ac:dyDescent="0.2">
      <c r="B477">
        <v>411</v>
      </c>
      <c r="C477">
        <v>1</v>
      </c>
      <c r="D477" t="s">
        <v>191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</row>
    <row r="478" spans="2:40" x14ac:dyDescent="0.2">
      <c r="B478">
        <v>413</v>
      </c>
      <c r="C478">
        <v>1</v>
      </c>
      <c r="D478" t="s">
        <v>192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</row>
    <row r="479" spans="2:40" x14ac:dyDescent="0.2">
      <c r="B479">
        <v>414</v>
      </c>
      <c r="C479">
        <v>1</v>
      </c>
      <c r="D479" t="s">
        <v>193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</row>
    <row r="480" spans="2:40" x14ac:dyDescent="0.2">
      <c r="B480">
        <v>415</v>
      </c>
      <c r="C480">
        <v>1</v>
      </c>
      <c r="D480" t="s">
        <v>194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</row>
    <row r="481" spans="2:40" x14ac:dyDescent="0.2">
      <c r="B481">
        <v>417</v>
      </c>
      <c r="C481">
        <v>1</v>
      </c>
      <c r="D481" t="s">
        <v>195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</row>
    <row r="482" spans="2:40" x14ac:dyDescent="0.2">
      <c r="B482">
        <v>423</v>
      </c>
      <c r="C482">
        <v>1</v>
      </c>
      <c r="D482" t="s">
        <v>197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</row>
    <row r="483" spans="2:40" x14ac:dyDescent="0.2">
      <c r="B483">
        <v>424</v>
      </c>
      <c r="C483">
        <v>1</v>
      </c>
      <c r="D483" t="s">
        <v>198</v>
      </c>
      <c r="E483" s="3">
        <v>0</v>
      </c>
      <c r="F483" s="3">
        <v>521</v>
      </c>
      <c r="G483" s="3">
        <v>521</v>
      </c>
      <c r="H483" s="3">
        <v>521</v>
      </c>
      <c r="I483" s="3">
        <v>521</v>
      </c>
      <c r="J483" s="3">
        <v>521</v>
      </c>
      <c r="K483" s="3">
        <v>521</v>
      </c>
      <c r="L483" s="3">
        <v>521</v>
      </c>
      <c r="M483" s="3">
        <v>521</v>
      </c>
      <c r="N483" s="3">
        <v>521</v>
      </c>
      <c r="O483" s="3">
        <v>521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521</v>
      </c>
      <c r="AE483" s="3">
        <v>521</v>
      </c>
      <c r="AF483" s="3">
        <v>521</v>
      </c>
      <c r="AG483" s="3">
        <v>521</v>
      </c>
      <c r="AH483" s="3">
        <v>521</v>
      </c>
      <c r="AI483" s="3">
        <v>521</v>
      </c>
      <c r="AJ483" s="3">
        <v>521</v>
      </c>
      <c r="AK483" s="3">
        <v>521</v>
      </c>
      <c r="AL483" s="3">
        <v>521</v>
      </c>
      <c r="AM483" s="3">
        <v>521</v>
      </c>
      <c r="AN483" s="3">
        <v>0</v>
      </c>
    </row>
    <row r="484" spans="2:40" x14ac:dyDescent="0.2">
      <c r="B484">
        <v>432</v>
      </c>
      <c r="C484">
        <v>1</v>
      </c>
      <c r="D484" t="s">
        <v>199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</row>
    <row r="485" spans="2:40" x14ac:dyDescent="0.2">
      <c r="B485">
        <v>435</v>
      </c>
      <c r="C485">
        <v>1</v>
      </c>
      <c r="D485" t="s">
        <v>200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</row>
    <row r="486" spans="2:40" x14ac:dyDescent="0.2">
      <c r="B486">
        <v>441</v>
      </c>
      <c r="C486">
        <v>1</v>
      </c>
      <c r="D486" t="s">
        <v>201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</row>
    <row r="487" spans="2:40" x14ac:dyDescent="0.2">
      <c r="B487">
        <v>447</v>
      </c>
      <c r="C487">
        <v>1</v>
      </c>
      <c r="D487" t="s">
        <v>202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</row>
    <row r="488" spans="2:40" x14ac:dyDescent="0.2">
      <c r="B488">
        <v>458</v>
      </c>
      <c r="C488">
        <v>1</v>
      </c>
      <c r="D488" t="s">
        <v>203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</row>
    <row r="489" spans="2:40" x14ac:dyDescent="0.2">
      <c r="B489">
        <v>463</v>
      </c>
      <c r="C489">
        <v>1</v>
      </c>
      <c r="D489" t="s">
        <v>204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</row>
    <row r="490" spans="2:40" x14ac:dyDescent="0.2">
      <c r="B490">
        <v>465</v>
      </c>
      <c r="C490">
        <v>1</v>
      </c>
      <c r="D490" t="s">
        <v>205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</row>
    <row r="491" spans="2:40" x14ac:dyDescent="0.2">
      <c r="B491">
        <v>466</v>
      </c>
      <c r="C491">
        <v>1</v>
      </c>
      <c r="D491" t="s">
        <v>206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</row>
    <row r="492" spans="2:40" x14ac:dyDescent="0.2">
      <c r="B492">
        <v>473</v>
      </c>
      <c r="C492">
        <v>1</v>
      </c>
      <c r="D492" t="s">
        <v>207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</row>
    <row r="493" spans="2:40" x14ac:dyDescent="0.2">
      <c r="B493">
        <v>477</v>
      </c>
      <c r="C493">
        <v>1</v>
      </c>
      <c r="D493" t="s">
        <v>208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</row>
    <row r="494" spans="2:40" x14ac:dyDescent="0.2">
      <c r="B494">
        <v>480</v>
      </c>
      <c r="C494">
        <v>1</v>
      </c>
      <c r="D494" t="s">
        <v>209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</row>
    <row r="495" spans="2:40" x14ac:dyDescent="0.2">
      <c r="B495">
        <v>482</v>
      </c>
      <c r="C495">
        <v>1</v>
      </c>
      <c r="D495" t="s">
        <v>210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</row>
    <row r="496" spans="2:40" x14ac:dyDescent="0.2">
      <c r="B496">
        <v>484</v>
      </c>
      <c r="C496">
        <v>1</v>
      </c>
      <c r="D496" t="s">
        <v>211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</row>
    <row r="497" spans="2:40" x14ac:dyDescent="0.2">
      <c r="B497">
        <v>485</v>
      </c>
      <c r="C497">
        <v>1</v>
      </c>
      <c r="D497" t="s">
        <v>212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</row>
    <row r="498" spans="2:40" x14ac:dyDescent="0.2">
      <c r="B498">
        <v>486</v>
      </c>
      <c r="C498">
        <v>1</v>
      </c>
      <c r="D498" t="s">
        <v>213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</row>
    <row r="499" spans="2:40" x14ac:dyDescent="0.2">
      <c r="B499">
        <v>487</v>
      </c>
      <c r="C499">
        <v>1</v>
      </c>
      <c r="D499" t="s">
        <v>214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</row>
    <row r="500" spans="2:40" x14ac:dyDescent="0.2">
      <c r="B500">
        <v>492</v>
      </c>
      <c r="C500">
        <v>1</v>
      </c>
      <c r="D500" t="s">
        <v>215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</row>
    <row r="501" spans="2:40" x14ac:dyDescent="0.2">
      <c r="B501">
        <v>495</v>
      </c>
      <c r="C501">
        <v>1</v>
      </c>
      <c r="D501" t="s">
        <v>216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</row>
    <row r="502" spans="2:40" x14ac:dyDescent="0.2">
      <c r="B502">
        <v>497</v>
      </c>
      <c r="C502">
        <v>1</v>
      </c>
      <c r="D502" t="s">
        <v>217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</row>
    <row r="503" spans="2:40" x14ac:dyDescent="0.2">
      <c r="B503">
        <v>499</v>
      </c>
      <c r="C503">
        <v>1</v>
      </c>
      <c r="D503" t="s">
        <v>218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</row>
    <row r="504" spans="2:40" x14ac:dyDescent="0.2">
      <c r="B504">
        <v>500</v>
      </c>
      <c r="C504">
        <v>1</v>
      </c>
      <c r="D504" t="s">
        <v>219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</row>
    <row r="505" spans="2:40" x14ac:dyDescent="0.2">
      <c r="B505">
        <v>505</v>
      </c>
      <c r="C505">
        <v>1</v>
      </c>
      <c r="D505" t="s">
        <v>220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</row>
    <row r="506" spans="2:40" x14ac:dyDescent="0.2">
      <c r="B506">
        <v>507</v>
      </c>
      <c r="C506">
        <v>1</v>
      </c>
      <c r="D506" t="s">
        <v>221</v>
      </c>
      <c r="E506" s="3">
        <v>0</v>
      </c>
      <c r="F506" s="3">
        <v>800</v>
      </c>
      <c r="G506" s="3">
        <v>800</v>
      </c>
      <c r="H506" s="3">
        <v>800</v>
      </c>
      <c r="I506" s="3">
        <v>800</v>
      </c>
      <c r="J506" s="3">
        <v>800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800</v>
      </c>
      <c r="AE506" s="3">
        <v>800</v>
      </c>
      <c r="AF506" s="3">
        <v>800</v>
      </c>
      <c r="AG506" s="3">
        <v>800</v>
      </c>
      <c r="AH506" s="3">
        <v>800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</row>
    <row r="507" spans="2:40" x14ac:dyDescent="0.2">
      <c r="B507">
        <v>508</v>
      </c>
      <c r="C507">
        <v>1</v>
      </c>
      <c r="D507" t="s">
        <v>222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</row>
    <row r="508" spans="2:40" x14ac:dyDescent="0.2">
      <c r="B508">
        <v>511</v>
      </c>
      <c r="C508">
        <v>1</v>
      </c>
      <c r="D508" t="s">
        <v>223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</row>
    <row r="509" spans="2:40" x14ac:dyDescent="0.2">
      <c r="B509">
        <v>513</v>
      </c>
      <c r="C509">
        <v>1</v>
      </c>
      <c r="D509" t="s">
        <v>224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</row>
    <row r="510" spans="2:40" x14ac:dyDescent="0.2">
      <c r="B510">
        <v>514</v>
      </c>
      <c r="C510">
        <v>1</v>
      </c>
      <c r="D510" t="s">
        <v>225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</row>
    <row r="511" spans="2:40" x14ac:dyDescent="0.2">
      <c r="B511">
        <v>516</v>
      </c>
      <c r="C511">
        <v>1</v>
      </c>
      <c r="D511" t="s">
        <v>226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</row>
    <row r="512" spans="2:40" x14ac:dyDescent="0.2">
      <c r="B512">
        <v>518</v>
      </c>
      <c r="C512">
        <v>1</v>
      </c>
      <c r="D512" t="s">
        <v>227</v>
      </c>
      <c r="E512" s="3">
        <v>0</v>
      </c>
      <c r="F512" s="3">
        <v>1000</v>
      </c>
      <c r="G512" s="3">
        <v>1000</v>
      </c>
      <c r="H512" s="3">
        <v>1000</v>
      </c>
      <c r="I512" s="3">
        <v>1000</v>
      </c>
      <c r="J512" s="3">
        <v>1000</v>
      </c>
      <c r="K512" s="3">
        <v>1000</v>
      </c>
      <c r="L512" s="3">
        <v>1000</v>
      </c>
      <c r="M512" s="3">
        <v>1000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1000</v>
      </c>
      <c r="AE512" s="3">
        <v>1000</v>
      </c>
      <c r="AF512" s="3">
        <v>1000</v>
      </c>
      <c r="AG512" s="3">
        <v>1000</v>
      </c>
      <c r="AH512" s="3">
        <v>1000</v>
      </c>
      <c r="AI512" s="3">
        <v>1000</v>
      </c>
      <c r="AJ512" s="3">
        <v>1000</v>
      </c>
      <c r="AK512" s="3">
        <v>1000</v>
      </c>
      <c r="AL512" s="3">
        <v>0</v>
      </c>
      <c r="AM512" s="3">
        <v>0</v>
      </c>
      <c r="AN512" s="3">
        <v>0</v>
      </c>
    </row>
    <row r="513" spans="2:40" x14ac:dyDescent="0.2">
      <c r="B513">
        <v>531</v>
      </c>
      <c r="C513">
        <v>1</v>
      </c>
      <c r="D513" t="s">
        <v>228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</row>
    <row r="514" spans="2:40" x14ac:dyDescent="0.2">
      <c r="B514">
        <v>533</v>
      </c>
      <c r="C514">
        <v>1</v>
      </c>
      <c r="D514" t="s">
        <v>229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</row>
    <row r="515" spans="2:40" x14ac:dyDescent="0.2">
      <c r="B515">
        <v>534</v>
      </c>
      <c r="C515">
        <v>1</v>
      </c>
      <c r="D515" t="s">
        <v>230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</row>
    <row r="516" spans="2:40" x14ac:dyDescent="0.2">
      <c r="B516">
        <v>535</v>
      </c>
      <c r="C516">
        <v>1</v>
      </c>
      <c r="D516" t="s">
        <v>231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</row>
    <row r="517" spans="2:40" x14ac:dyDescent="0.2">
      <c r="B517">
        <v>542</v>
      </c>
      <c r="C517">
        <v>1</v>
      </c>
      <c r="D517" t="s">
        <v>232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</row>
    <row r="518" spans="2:40" x14ac:dyDescent="0.2">
      <c r="B518">
        <v>544</v>
      </c>
      <c r="C518">
        <v>1</v>
      </c>
      <c r="D518" t="s">
        <v>233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</row>
    <row r="519" spans="2:40" x14ac:dyDescent="0.2">
      <c r="B519">
        <v>545</v>
      </c>
      <c r="C519">
        <v>1</v>
      </c>
      <c r="D519" t="s">
        <v>234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</row>
    <row r="520" spans="2:40" x14ac:dyDescent="0.2">
      <c r="B520">
        <v>547</v>
      </c>
      <c r="C520">
        <v>1</v>
      </c>
      <c r="D520" t="s">
        <v>235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</row>
    <row r="521" spans="2:40" x14ac:dyDescent="0.2">
      <c r="B521">
        <v>548</v>
      </c>
      <c r="C521">
        <v>1</v>
      </c>
      <c r="D521" t="s">
        <v>236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</row>
    <row r="522" spans="2:40" x14ac:dyDescent="0.2">
      <c r="B522">
        <v>549</v>
      </c>
      <c r="C522">
        <v>1</v>
      </c>
      <c r="D522" t="s">
        <v>237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</row>
    <row r="523" spans="2:40" x14ac:dyDescent="0.2">
      <c r="B523">
        <v>550</v>
      </c>
      <c r="C523">
        <v>1</v>
      </c>
      <c r="D523" t="s">
        <v>238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</row>
    <row r="524" spans="2:40" x14ac:dyDescent="0.2">
      <c r="B524">
        <v>553</v>
      </c>
      <c r="C524">
        <v>1</v>
      </c>
      <c r="D524" t="s">
        <v>239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</row>
    <row r="525" spans="2:40" x14ac:dyDescent="0.2">
      <c r="B525">
        <v>561</v>
      </c>
      <c r="C525">
        <v>1</v>
      </c>
      <c r="D525" t="s">
        <v>240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</row>
    <row r="526" spans="2:40" x14ac:dyDescent="0.2">
      <c r="B526">
        <v>564</v>
      </c>
      <c r="C526">
        <v>1</v>
      </c>
      <c r="D526" t="s">
        <v>241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</row>
    <row r="527" spans="2:40" x14ac:dyDescent="0.2">
      <c r="B527">
        <v>577</v>
      </c>
      <c r="C527">
        <v>1</v>
      </c>
      <c r="D527" t="s">
        <v>242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</row>
    <row r="528" spans="2:40" x14ac:dyDescent="0.2">
      <c r="B528">
        <v>578</v>
      </c>
      <c r="C528">
        <v>1</v>
      </c>
      <c r="D528" t="s">
        <v>243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</row>
    <row r="529" spans="2:40" x14ac:dyDescent="0.2">
      <c r="B529">
        <v>581</v>
      </c>
      <c r="C529">
        <v>1</v>
      </c>
      <c r="D529" t="s">
        <v>244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</row>
    <row r="530" spans="2:40" x14ac:dyDescent="0.2">
      <c r="B530">
        <v>592</v>
      </c>
      <c r="C530">
        <v>1</v>
      </c>
      <c r="D530" t="s">
        <v>246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</row>
    <row r="531" spans="2:40" x14ac:dyDescent="0.2">
      <c r="B531">
        <v>593</v>
      </c>
      <c r="C531">
        <v>1</v>
      </c>
      <c r="D531" t="s">
        <v>247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</row>
    <row r="532" spans="2:40" x14ac:dyDescent="0.2">
      <c r="B532">
        <v>595</v>
      </c>
      <c r="C532">
        <v>1</v>
      </c>
      <c r="D532" t="s">
        <v>248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</row>
    <row r="533" spans="2:40" x14ac:dyDescent="0.2">
      <c r="B533">
        <v>599</v>
      </c>
      <c r="C533">
        <v>1</v>
      </c>
      <c r="D533" t="s">
        <v>249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</row>
    <row r="534" spans="2:40" x14ac:dyDescent="0.2">
      <c r="B534">
        <v>600</v>
      </c>
      <c r="C534">
        <v>1</v>
      </c>
      <c r="D534" t="s">
        <v>250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</row>
    <row r="535" spans="2:40" x14ac:dyDescent="0.2">
      <c r="B535">
        <v>601</v>
      </c>
      <c r="C535">
        <v>1</v>
      </c>
      <c r="D535" t="s">
        <v>251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</row>
    <row r="536" spans="2:40" x14ac:dyDescent="0.2">
      <c r="B536">
        <v>611</v>
      </c>
      <c r="C536">
        <v>1</v>
      </c>
      <c r="D536" t="s">
        <v>252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</row>
    <row r="537" spans="2:40" x14ac:dyDescent="0.2">
      <c r="B537">
        <v>621</v>
      </c>
      <c r="C537">
        <v>1</v>
      </c>
      <c r="D537" t="s">
        <v>253</v>
      </c>
      <c r="E537" s="3">
        <v>0</v>
      </c>
      <c r="F537" s="3">
        <v>990</v>
      </c>
      <c r="G537" s="3">
        <v>990</v>
      </c>
      <c r="H537" s="3">
        <v>990</v>
      </c>
      <c r="I537" s="3">
        <v>990</v>
      </c>
      <c r="J537" s="3">
        <v>990</v>
      </c>
      <c r="K537" s="3">
        <v>990</v>
      </c>
      <c r="L537" s="3">
        <v>990</v>
      </c>
      <c r="M537" s="3">
        <v>990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990</v>
      </c>
      <c r="AE537" s="3">
        <v>990</v>
      </c>
      <c r="AF537" s="3">
        <v>990</v>
      </c>
      <c r="AG537" s="3">
        <v>990</v>
      </c>
      <c r="AH537" s="3">
        <v>990</v>
      </c>
      <c r="AI537" s="3">
        <v>990</v>
      </c>
      <c r="AJ537" s="3">
        <v>990</v>
      </c>
      <c r="AK537" s="3">
        <v>990</v>
      </c>
      <c r="AL537" s="3">
        <v>0</v>
      </c>
      <c r="AM537" s="3">
        <v>0</v>
      </c>
      <c r="AN537" s="3">
        <v>0</v>
      </c>
    </row>
    <row r="538" spans="2:40" x14ac:dyDescent="0.2">
      <c r="B538">
        <v>622</v>
      </c>
      <c r="C538">
        <v>1</v>
      </c>
      <c r="D538" t="s">
        <v>254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</row>
    <row r="539" spans="2:40" x14ac:dyDescent="0.2">
      <c r="B539">
        <v>623</v>
      </c>
      <c r="C539">
        <v>1</v>
      </c>
      <c r="D539" t="s">
        <v>255</v>
      </c>
      <c r="E539" s="3">
        <v>0</v>
      </c>
      <c r="F539" s="3">
        <v>1575</v>
      </c>
      <c r="G539" s="3">
        <v>1575</v>
      </c>
      <c r="H539" s="3">
        <v>1575</v>
      </c>
      <c r="I539" s="3">
        <v>1575</v>
      </c>
      <c r="J539" s="3">
        <v>1575</v>
      </c>
      <c r="K539" s="3">
        <v>1575</v>
      </c>
      <c r="L539" s="3">
        <v>1575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1575</v>
      </c>
      <c r="AE539" s="3">
        <v>1575</v>
      </c>
      <c r="AF539" s="3">
        <v>1575</v>
      </c>
      <c r="AG539" s="3">
        <v>1575</v>
      </c>
      <c r="AH539" s="3">
        <v>1575</v>
      </c>
      <c r="AI539" s="3">
        <v>1575</v>
      </c>
      <c r="AJ539" s="3">
        <v>1575</v>
      </c>
      <c r="AK539" s="3">
        <v>0</v>
      </c>
      <c r="AL539" s="3">
        <v>0</v>
      </c>
      <c r="AM539" s="3">
        <v>0</v>
      </c>
      <c r="AN539" s="3">
        <v>0</v>
      </c>
    </row>
    <row r="540" spans="2:40" x14ac:dyDescent="0.2">
      <c r="B540">
        <v>624</v>
      </c>
      <c r="C540">
        <v>1</v>
      </c>
      <c r="D540" t="s">
        <v>256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</row>
    <row r="541" spans="2:40" x14ac:dyDescent="0.2">
      <c r="B541">
        <v>625</v>
      </c>
      <c r="C541">
        <v>1</v>
      </c>
      <c r="D541" t="s">
        <v>257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</row>
    <row r="542" spans="2:40" x14ac:dyDescent="0.2">
      <c r="B542">
        <v>627</v>
      </c>
      <c r="C542">
        <v>1</v>
      </c>
      <c r="D542" t="s">
        <v>258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</row>
    <row r="543" spans="2:40" x14ac:dyDescent="0.2">
      <c r="B543">
        <v>628</v>
      </c>
      <c r="C543">
        <v>1</v>
      </c>
      <c r="D543" t="s">
        <v>259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</row>
    <row r="544" spans="2:40" x14ac:dyDescent="0.2">
      <c r="B544">
        <v>630</v>
      </c>
      <c r="C544">
        <v>1</v>
      </c>
      <c r="D544" t="s">
        <v>260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</row>
    <row r="545" spans="2:40" x14ac:dyDescent="0.2">
      <c r="B545">
        <v>635</v>
      </c>
      <c r="C545">
        <v>1</v>
      </c>
      <c r="D545" t="s">
        <v>261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</row>
    <row r="546" spans="2:40" x14ac:dyDescent="0.2">
      <c r="B546">
        <v>640</v>
      </c>
      <c r="C546">
        <v>1</v>
      </c>
      <c r="D546" t="s">
        <v>262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</row>
    <row r="547" spans="2:40" x14ac:dyDescent="0.2">
      <c r="B547">
        <v>656</v>
      </c>
      <c r="C547">
        <v>1</v>
      </c>
      <c r="D547" t="s">
        <v>263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</row>
    <row r="548" spans="2:40" x14ac:dyDescent="0.2">
      <c r="B548">
        <v>659</v>
      </c>
      <c r="C548">
        <v>1</v>
      </c>
      <c r="D548" t="s">
        <v>264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</row>
    <row r="549" spans="2:40" x14ac:dyDescent="0.2">
      <c r="B549">
        <v>671</v>
      </c>
      <c r="C549">
        <v>1</v>
      </c>
      <c r="D549" t="s">
        <v>265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</row>
    <row r="550" spans="2:40" x14ac:dyDescent="0.2">
      <c r="B550">
        <v>676</v>
      </c>
      <c r="C550">
        <v>1</v>
      </c>
      <c r="D550" t="s">
        <v>266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</row>
    <row r="551" spans="2:40" x14ac:dyDescent="0.2">
      <c r="B551">
        <v>682</v>
      </c>
      <c r="C551">
        <v>1</v>
      </c>
      <c r="D551" t="s">
        <v>267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</row>
    <row r="552" spans="2:40" x14ac:dyDescent="0.2">
      <c r="B552">
        <v>690</v>
      </c>
      <c r="C552">
        <v>1</v>
      </c>
      <c r="D552" t="s">
        <v>268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</row>
    <row r="553" spans="2:40" x14ac:dyDescent="0.2">
      <c r="B553">
        <v>695</v>
      </c>
      <c r="C553">
        <v>1</v>
      </c>
      <c r="D553" t="s">
        <v>269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</row>
    <row r="554" spans="2:40" x14ac:dyDescent="0.2">
      <c r="B554">
        <v>696</v>
      </c>
      <c r="C554">
        <v>1</v>
      </c>
      <c r="D554" t="s">
        <v>270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</row>
    <row r="555" spans="2:40" x14ac:dyDescent="0.2">
      <c r="B555">
        <v>698</v>
      </c>
      <c r="C555">
        <v>1</v>
      </c>
      <c r="D555" t="s">
        <v>271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</row>
    <row r="556" spans="2:40" x14ac:dyDescent="0.2">
      <c r="B556">
        <v>700</v>
      </c>
      <c r="C556">
        <v>1</v>
      </c>
      <c r="D556" t="s">
        <v>272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</row>
    <row r="557" spans="2:40" x14ac:dyDescent="0.2">
      <c r="B557">
        <v>701</v>
      </c>
      <c r="C557">
        <v>1</v>
      </c>
      <c r="D557" t="s">
        <v>273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</row>
    <row r="558" spans="2:40" x14ac:dyDescent="0.2">
      <c r="B558">
        <v>704</v>
      </c>
      <c r="C558">
        <v>1</v>
      </c>
      <c r="D558" t="s">
        <v>274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</row>
    <row r="559" spans="2:40" x14ac:dyDescent="0.2">
      <c r="B559">
        <v>706</v>
      </c>
      <c r="C559">
        <v>1</v>
      </c>
      <c r="D559" t="s">
        <v>275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</row>
    <row r="560" spans="2:40" x14ac:dyDescent="0.2">
      <c r="B560">
        <v>707</v>
      </c>
      <c r="C560">
        <v>1</v>
      </c>
      <c r="D560" t="s">
        <v>276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</row>
    <row r="561" spans="2:40" x14ac:dyDescent="0.2">
      <c r="B561">
        <v>709</v>
      </c>
      <c r="C561">
        <v>1</v>
      </c>
      <c r="D561" t="s">
        <v>277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</row>
    <row r="562" spans="2:40" x14ac:dyDescent="0.2">
      <c r="B562">
        <v>712</v>
      </c>
      <c r="C562">
        <v>1</v>
      </c>
      <c r="D562" t="s">
        <v>278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</row>
    <row r="563" spans="2:40" x14ac:dyDescent="0.2">
      <c r="B563">
        <v>716</v>
      </c>
      <c r="C563">
        <v>1</v>
      </c>
      <c r="D563" t="s">
        <v>279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</row>
    <row r="564" spans="2:40" x14ac:dyDescent="0.2">
      <c r="B564">
        <v>717</v>
      </c>
      <c r="C564">
        <v>1</v>
      </c>
      <c r="D564" t="s">
        <v>280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</row>
    <row r="565" spans="2:40" x14ac:dyDescent="0.2">
      <c r="B565">
        <v>719</v>
      </c>
      <c r="C565">
        <v>1</v>
      </c>
      <c r="D565" t="s">
        <v>281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</row>
    <row r="566" spans="2:40" x14ac:dyDescent="0.2">
      <c r="B566">
        <v>720</v>
      </c>
      <c r="C566">
        <v>1</v>
      </c>
      <c r="D566" t="s">
        <v>282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</row>
    <row r="567" spans="2:40" x14ac:dyDescent="0.2">
      <c r="B567">
        <v>721</v>
      </c>
      <c r="C567">
        <v>1</v>
      </c>
      <c r="D567" t="s">
        <v>283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</row>
    <row r="568" spans="2:40" x14ac:dyDescent="0.2">
      <c r="B568">
        <v>726</v>
      </c>
      <c r="C568">
        <v>1</v>
      </c>
      <c r="D568" t="s">
        <v>284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</row>
    <row r="569" spans="2:40" x14ac:dyDescent="0.2">
      <c r="B569">
        <v>727</v>
      </c>
      <c r="C569">
        <v>1</v>
      </c>
      <c r="D569" t="s">
        <v>285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</row>
    <row r="570" spans="2:40" x14ac:dyDescent="0.2">
      <c r="B570">
        <v>728</v>
      </c>
      <c r="C570">
        <v>1</v>
      </c>
      <c r="D570" t="s">
        <v>286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</row>
    <row r="571" spans="2:40" x14ac:dyDescent="0.2">
      <c r="B571">
        <v>738</v>
      </c>
      <c r="C571">
        <v>1</v>
      </c>
      <c r="D571" t="s">
        <v>287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</row>
    <row r="572" spans="2:40" x14ac:dyDescent="0.2">
      <c r="B572">
        <v>739</v>
      </c>
      <c r="C572">
        <v>1</v>
      </c>
      <c r="D572" t="s">
        <v>288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</row>
    <row r="573" spans="2:40" x14ac:dyDescent="0.2">
      <c r="B573">
        <v>740</v>
      </c>
      <c r="C573">
        <v>1</v>
      </c>
      <c r="D573" t="s">
        <v>289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</row>
    <row r="574" spans="2:40" x14ac:dyDescent="0.2">
      <c r="B574">
        <v>741</v>
      </c>
      <c r="C574">
        <v>1</v>
      </c>
      <c r="D574" t="s">
        <v>290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</row>
    <row r="575" spans="2:40" x14ac:dyDescent="0.2">
      <c r="B575">
        <v>742</v>
      </c>
      <c r="C575">
        <v>1</v>
      </c>
      <c r="D575" t="s">
        <v>291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</row>
    <row r="576" spans="2:40" x14ac:dyDescent="0.2">
      <c r="B576">
        <v>743</v>
      </c>
      <c r="C576">
        <v>1</v>
      </c>
      <c r="D576" t="s">
        <v>292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</row>
    <row r="577" spans="2:40" x14ac:dyDescent="0.2">
      <c r="B577">
        <v>745</v>
      </c>
      <c r="C577">
        <v>1</v>
      </c>
      <c r="D577" t="s">
        <v>293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</row>
    <row r="578" spans="2:40" x14ac:dyDescent="0.2">
      <c r="B578">
        <v>748</v>
      </c>
      <c r="C578">
        <v>1</v>
      </c>
      <c r="D578" t="s">
        <v>294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</row>
    <row r="579" spans="2:40" x14ac:dyDescent="0.2">
      <c r="B579">
        <v>750</v>
      </c>
      <c r="C579">
        <v>1</v>
      </c>
      <c r="D579" t="s">
        <v>295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</row>
    <row r="580" spans="2:40" x14ac:dyDescent="0.2">
      <c r="B580">
        <v>756</v>
      </c>
      <c r="C580">
        <v>1</v>
      </c>
      <c r="D580" t="s">
        <v>296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</row>
    <row r="581" spans="2:40" x14ac:dyDescent="0.2">
      <c r="B581">
        <v>761</v>
      </c>
      <c r="C581">
        <v>1</v>
      </c>
      <c r="D581" t="s">
        <v>297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</row>
    <row r="582" spans="2:40" x14ac:dyDescent="0.2">
      <c r="B582">
        <v>763</v>
      </c>
      <c r="C582">
        <v>1</v>
      </c>
      <c r="D582" t="s">
        <v>298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</row>
    <row r="583" spans="2:40" x14ac:dyDescent="0.2">
      <c r="B583">
        <v>768</v>
      </c>
      <c r="C583">
        <v>1</v>
      </c>
      <c r="D583" t="s">
        <v>299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</row>
    <row r="584" spans="2:40" x14ac:dyDescent="0.2">
      <c r="B584">
        <v>769</v>
      </c>
      <c r="C584">
        <v>1</v>
      </c>
      <c r="D584" t="s">
        <v>300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</row>
    <row r="585" spans="2:40" x14ac:dyDescent="0.2">
      <c r="B585">
        <v>771</v>
      </c>
      <c r="C585">
        <v>1</v>
      </c>
      <c r="D585" t="s">
        <v>301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</row>
    <row r="586" spans="2:40" x14ac:dyDescent="0.2">
      <c r="B586">
        <v>775</v>
      </c>
      <c r="C586">
        <v>1</v>
      </c>
      <c r="D586" t="s">
        <v>302</v>
      </c>
      <c r="E586" s="3">
        <v>0</v>
      </c>
      <c r="F586" s="3">
        <v>200</v>
      </c>
      <c r="G586" s="3">
        <v>200</v>
      </c>
      <c r="H586" s="3">
        <v>200</v>
      </c>
      <c r="I586" s="3">
        <v>200</v>
      </c>
      <c r="J586" s="3">
        <v>200</v>
      </c>
      <c r="K586" s="3">
        <v>200</v>
      </c>
      <c r="L586" s="3">
        <v>200</v>
      </c>
      <c r="M586" s="3">
        <v>200</v>
      </c>
      <c r="N586" s="3">
        <v>200</v>
      </c>
      <c r="O586" s="3">
        <v>200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200</v>
      </c>
      <c r="AE586" s="3">
        <v>200</v>
      </c>
      <c r="AF586" s="3">
        <v>200</v>
      </c>
      <c r="AG586" s="3">
        <v>200</v>
      </c>
      <c r="AH586" s="3">
        <v>200</v>
      </c>
      <c r="AI586" s="3">
        <v>200</v>
      </c>
      <c r="AJ586" s="3">
        <v>200</v>
      </c>
      <c r="AK586" s="3">
        <v>200</v>
      </c>
      <c r="AL586" s="3">
        <v>200</v>
      </c>
      <c r="AM586" s="3">
        <v>200</v>
      </c>
      <c r="AN586" s="3">
        <v>0</v>
      </c>
    </row>
    <row r="587" spans="2:40" x14ac:dyDescent="0.2">
      <c r="B587">
        <v>777</v>
      </c>
      <c r="C587">
        <v>1</v>
      </c>
      <c r="D587" t="s">
        <v>303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</row>
    <row r="588" spans="2:40" x14ac:dyDescent="0.2">
      <c r="B588">
        <v>786</v>
      </c>
      <c r="C588">
        <v>1</v>
      </c>
      <c r="D588" t="s">
        <v>304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</row>
    <row r="589" spans="2:40" x14ac:dyDescent="0.2">
      <c r="B589">
        <v>787</v>
      </c>
      <c r="C589">
        <v>1</v>
      </c>
      <c r="D589" t="s">
        <v>305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</row>
    <row r="590" spans="2:40" x14ac:dyDescent="0.2">
      <c r="B590">
        <v>801</v>
      </c>
      <c r="C590">
        <v>1</v>
      </c>
      <c r="D590" t="s">
        <v>306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</row>
    <row r="591" spans="2:40" x14ac:dyDescent="0.2">
      <c r="B591">
        <v>803</v>
      </c>
      <c r="C591">
        <v>1</v>
      </c>
      <c r="D591" t="s">
        <v>307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</row>
    <row r="592" spans="2:40" x14ac:dyDescent="0.2">
      <c r="B592">
        <v>811</v>
      </c>
      <c r="C592">
        <v>1</v>
      </c>
      <c r="D592" t="s">
        <v>310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</row>
    <row r="593" spans="2:40" x14ac:dyDescent="0.2">
      <c r="B593">
        <v>813</v>
      </c>
      <c r="C593">
        <v>1</v>
      </c>
      <c r="D593" t="s">
        <v>311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</row>
    <row r="594" spans="2:40" x14ac:dyDescent="0.2">
      <c r="B594">
        <v>815</v>
      </c>
      <c r="C594">
        <v>2</v>
      </c>
      <c r="D594" t="s">
        <v>312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</row>
    <row r="595" spans="2:40" x14ac:dyDescent="0.2">
      <c r="B595">
        <v>818</v>
      </c>
      <c r="C595">
        <v>1</v>
      </c>
      <c r="D595" t="s">
        <v>313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</row>
    <row r="596" spans="2:40" x14ac:dyDescent="0.2">
      <c r="B596">
        <v>820</v>
      </c>
      <c r="C596">
        <v>1</v>
      </c>
      <c r="D596" t="s">
        <v>314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</row>
    <row r="597" spans="2:40" x14ac:dyDescent="0.2">
      <c r="B597">
        <v>821</v>
      </c>
      <c r="C597">
        <v>1</v>
      </c>
      <c r="D597" t="s">
        <v>315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</row>
    <row r="598" spans="2:40" x14ac:dyDescent="0.2">
      <c r="B598">
        <v>829</v>
      </c>
      <c r="C598">
        <v>1</v>
      </c>
      <c r="D598" t="s">
        <v>316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</row>
    <row r="599" spans="2:40" x14ac:dyDescent="0.2">
      <c r="B599">
        <v>831</v>
      </c>
      <c r="C599">
        <v>1</v>
      </c>
      <c r="D599" t="s">
        <v>317</v>
      </c>
      <c r="E599" s="3">
        <v>0</v>
      </c>
      <c r="F599" s="3">
        <v>725</v>
      </c>
      <c r="G599" s="3">
        <v>725</v>
      </c>
      <c r="H599" s="3">
        <v>725</v>
      </c>
      <c r="I599" s="3">
        <v>725</v>
      </c>
      <c r="J599" s="3">
        <v>725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725</v>
      </c>
      <c r="AE599" s="3">
        <v>725</v>
      </c>
      <c r="AF599" s="3">
        <v>725</v>
      </c>
      <c r="AG599" s="3">
        <v>725</v>
      </c>
      <c r="AH599" s="3">
        <v>725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</row>
    <row r="600" spans="2:40" x14ac:dyDescent="0.2">
      <c r="B600">
        <v>832</v>
      </c>
      <c r="C600">
        <v>1</v>
      </c>
      <c r="D600" t="s">
        <v>318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</row>
    <row r="601" spans="2:40" x14ac:dyDescent="0.2">
      <c r="B601">
        <v>833</v>
      </c>
      <c r="C601">
        <v>1</v>
      </c>
      <c r="D601" t="s">
        <v>319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</row>
    <row r="602" spans="2:40" x14ac:dyDescent="0.2">
      <c r="B602">
        <v>834</v>
      </c>
      <c r="C602">
        <v>1</v>
      </c>
      <c r="D602" t="s">
        <v>320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</row>
    <row r="603" spans="2:40" x14ac:dyDescent="0.2">
      <c r="B603">
        <v>836</v>
      </c>
      <c r="C603">
        <v>1</v>
      </c>
      <c r="D603" t="s">
        <v>321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</row>
    <row r="604" spans="2:40" x14ac:dyDescent="0.2">
      <c r="B604">
        <v>837</v>
      </c>
      <c r="C604">
        <v>1</v>
      </c>
      <c r="D604" t="s">
        <v>322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</row>
    <row r="605" spans="2:40" x14ac:dyDescent="0.2">
      <c r="B605">
        <v>840</v>
      </c>
      <c r="C605">
        <v>1</v>
      </c>
      <c r="D605" t="s">
        <v>323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</row>
    <row r="606" spans="2:40" x14ac:dyDescent="0.2">
      <c r="B606">
        <v>846</v>
      </c>
      <c r="C606">
        <v>1</v>
      </c>
      <c r="D606" t="s">
        <v>324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</row>
    <row r="607" spans="2:40" x14ac:dyDescent="0.2">
      <c r="B607">
        <v>850</v>
      </c>
      <c r="C607">
        <v>1</v>
      </c>
      <c r="D607" t="s">
        <v>325</v>
      </c>
      <c r="E607" s="3">
        <v>0</v>
      </c>
      <c r="F607" s="3">
        <v>750</v>
      </c>
      <c r="G607" s="3">
        <v>750</v>
      </c>
      <c r="H607" s="3">
        <v>750</v>
      </c>
      <c r="I607" s="3">
        <v>750</v>
      </c>
      <c r="J607" s="3">
        <v>750</v>
      </c>
      <c r="K607" s="3">
        <v>750</v>
      </c>
      <c r="L607" s="3">
        <v>750</v>
      </c>
      <c r="M607" s="3">
        <v>750</v>
      </c>
      <c r="N607" s="3">
        <v>750</v>
      </c>
      <c r="O607" s="3">
        <v>750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750</v>
      </c>
      <c r="AE607" s="3">
        <v>750</v>
      </c>
      <c r="AF607" s="3">
        <v>750</v>
      </c>
      <c r="AG607" s="3">
        <v>750</v>
      </c>
      <c r="AH607" s="3">
        <v>750</v>
      </c>
      <c r="AI607" s="3">
        <v>750</v>
      </c>
      <c r="AJ607" s="3">
        <v>750</v>
      </c>
      <c r="AK607" s="3">
        <v>750</v>
      </c>
      <c r="AL607" s="3">
        <v>750</v>
      </c>
      <c r="AM607" s="3">
        <v>750</v>
      </c>
      <c r="AN607" s="3">
        <v>0</v>
      </c>
    </row>
    <row r="608" spans="2:40" x14ac:dyDescent="0.2">
      <c r="B608">
        <v>852</v>
      </c>
      <c r="C608">
        <v>1</v>
      </c>
      <c r="D608" t="s">
        <v>326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</row>
    <row r="609" spans="2:40" x14ac:dyDescent="0.2">
      <c r="B609">
        <v>857</v>
      </c>
      <c r="C609">
        <v>1</v>
      </c>
      <c r="D609" t="s">
        <v>327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</row>
    <row r="610" spans="2:40" x14ac:dyDescent="0.2">
      <c r="B610">
        <v>858</v>
      </c>
      <c r="C610">
        <v>1</v>
      </c>
      <c r="D610" t="s">
        <v>328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</row>
    <row r="611" spans="2:40" x14ac:dyDescent="0.2">
      <c r="B611">
        <v>861</v>
      </c>
      <c r="C611">
        <v>1</v>
      </c>
      <c r="D611" t="s">
        <v>329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</row>
    <row r="612" spans="2:40" x14ac:dyDescent="0.2">
      <c r="B612">
        <v>876</v>
      </c>
      <c r="C612">
        <v>1</v>
      </c>
      <c r="D612" t="s">
        <v>330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</row>
    <row r="613" spans="2:40" x14ac:dyDescent="0.2">
      <c r="B613">
        <v>877</v>
      </c>
      <c r="C613">
        <v>1</v>
      </c>
      <c r="D613" t="s">
        <v>331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</row>
    <row r="614" spans="2:40" x14ac:dyDescent="0.2">
      <c r="B614">
        <v>879</v>
      </c>
      <c r="C614">
        <v>1</v>
      </c>
      <c r="D614" t="s">
        <v>332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</row>
    <row r="615" spans="2:40" x14ac:dyDescent="0.2">
      <c r="B615">
        <v>881</v>
      </c>
      <c r="C615">
        <v>1</v>
      </c>
      <c r="D615" t="s">
        <v>333</v>
      </c>
      <c r="E615" s="3">
        <v>0</v>
      </c>
      <c r="F615" s="3">
        <v>699.39</v>
      </c>
      <c r="G615" s="3">
        <v>699.39</v>
      </c>
      <c r="H615" s="3">
        <v>699.39</v>
      </c>
      <c r="I615" s="3">
        <v>699.39</v>
      </c>
      <c r="J615" s="3">
        <v>699.39</v>
      </c>
      <c r="K615" s="3">
        <v>699.39</v>
      </c>
      <c r="L615" s="3">
        <v>699.39</v>
      </c>
      <c r="M615" s="3">
        <v>699.39</v>
      </c>
      <c r="N615" s="3">
        <v>699.39</v>
      </c>
      <c r="O615" s="3">
        <v>699.39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699.39</v>
      </c>
      <c r="AE615" s="3">
        <v>699.39</v>
      </c>
      <c r="AF615" s="3">
        <v>699.39</v>
      </c>
      <c r="AG615" s="3">
        <v>699.39</v>
      </c>
      <c r="AH615" s="3">
        <v>699.39</v>
      </c>
      <c r="AI615" s="3">
        <v>699.39</v>
      </c>
      <c r="AJ615" s="3">
        <v>699.39</v>
      </c>
      <c r="AK615" s="3">
        <v>699.39</v>
      </c>
      <c r="AL615" s="3">
        <v>699.39</v>
      </c>
      <c r="AM615" s="3">
        <v>699.39</v>
      </c>
      <c r="AN615" s="3">
        <v>0</v>
      </c>
    </row>
    <row r="616" spans="2:40" x14ac:dyDescent="0.2">
      <c r="B616">
        <v>882</v>
      </c>
      <c r="C616">
        <v>1</v>
      </c>
      <c r="D616" t="s">
        <v>334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</row>
    <row r="617" spans="2:40" x14ac:dyDescent="0.2">
      <c r="B617">
        <v>883</v>
      </c>
      <c r="C617">
        <v>1</v>
      </c>
      <c r="D617" t="s">
        <v>335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</row>
    <row r="618" spans="2:40" x14ac:dyDescent="0.2">
      <c r="B618">
        <v>885</v>
      </c>
      <c r="C618">
        <v>1</v>
      </c>
      <c r="D618" t="s">
        <v>336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</row>
    <row r="619" spans="2:40" x14ac:dyDescent="0.2">
      <c r="B619">
        <v>891</v>
      </c>
      <c r="C619">
        <v>1</v>
      </c>
      <c r="D619" t="s">
        <v>337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</row>
    <row r="620" spans="2:40" x14ac:dyDescent="0.2">
      <c r="B620">
        <v>911</v>
      </c>
      <c r="C620">
        <v>1</v>
      </c>
      <c r="D620" t="s">
        <v>338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</row>
    <row r="621" spans="2:40" x14ac:dyDescent="0.2">
      <c r="B621">
        <v>912</v>
      </c>
      <c r="C621">
        <v>1</v>
      </c>
      <c r="D621" t="s">
        <v>339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</row>
    <row r="622" spans="2:40" x14ac:dyDescent="0.2">
      <c r="B622">
        <v>914</v>
      </c>
      <c r="C622">
        <v>1</v>
      </c>
      <c r="D622" t="s">
        <v>340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</row>
    <row r="623" spans="2:40" x14ac:dyDescent="0.2">
      <c r="B623">
        <v>2071</v>
      </c>
      <c r="C623">
        <v>1</v>
      </c>
      <c r="D623" t="s">
        <v>341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</row>
    <row r="624" spans="2:40" x14ac:dyDescent="0.2">
      <c r="B624">
        <v>2125</v>
      </c>
      <c r="C624">
        <v>1</v>
      </c>
      <c r="D624" t="s">
        <v>342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</row>
    <row r="625" spans="2:40" x14ac:dyDescent="0.2">
      <c r="B625">
        <v>2134</v>
      </c>
      <c r="C625">
        <v>1</v>
      </c>
      <c r="D625" t="s">
        <v>343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</row>
    <row r="626" spans="2:40" x14ac:dyDescent="0.2">
      <c r="B626">
        <v>2135</v>
      </c>
      <c r="C626">
        <v>1</v>
      </c>
      <c r="D626" t="s">
        <v>344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</row>
    <row r="627" spans="2:40" x14ac:dyDescent="0.2">
      <c r="B627">
        <v>2137</v>
      </c>
      <c r="C627">
        <v>1</v>
      </c>
      <c r="D627" t="s">
        <v>345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</row>
    <row r="628" spans="2:40" x14ac:dyDescent="0.2">
      <c r="B628">
        <v>2142</v>
      </c>
      <c r="C628">
        <v>1</v>
      </c>
      <c r="D628" t="s">
        <v>346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</row>
    <row r="629" spans="2:40" x14ac:dyDescent="0.2">
      <c r="B629">
        <v>2143</v>
      </c>
      <c r="C629">
        <v>1</v>
      </c>
      <c r="D629" t="s">
        <v>347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</row>
    <row r="630" spans="2:40" x14ac:dyDescent="0.2">
      <c r="B630">
        <v>2144</v>
      </c>
      <c r="C630">
        <v>1</v>
      </c>
      <c r="D630" t="s">
        <v>348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</row>
    <row r="631" spans="2:40" x14ac:dyDescent="0.2">
      <c r="B631">
        <v>2149</v>
      </c>
      <c r="C631">
        <v>1</v>
      </c>
      <c r="D631" t="s">
        <v>349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</row>
    <row r="632" spans="2:40" x14ac:dyDescent="0.2">
      <c r="B632">
        <v>2154</v>
      </c>
      <c r="C632">
        <v>1</v>
      </c>
      <c r="D632" t="s">
        <v>350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</row>
    <row r="633" spans="2:40" x14ac:dyDescent="0.2">
      <c r="B633">
        <v>2155</v>
      </c>
      <c r="C633">
        <v>1</v>
      </c>
      <c r="D633" t="s">
        <v>351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</row>
    <row r="634" spans="2:40" x14ac:dyDescent="0.2">
      <c r="B634">
        <v>2159</v>
      </c>
      <c r="C634">
        <v>1</v>
      </c>
      <c r="D634" t="s">
        <v>352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</row>
    <row r="635" spans="2:40" x14ac:dyDescent="0.2">
      <c r="B635">
        <v>2164</v>
      </c>
      <c r="C635">
        <v>1</v>
      </c>
      <c r="D635" t="s">
        <v>353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</row>
    <row r="636" spans="2:40" x14ac:dyDescent="0.2">
      <c r="B636">
        <v>2165</v>
      </c>
      <c r="C636">
        <v>1</v>
      </c>
      <c r="D636" t="s">
        <v>354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</row>
    <row r="637" spans="2:40" x14ac:dyDescent="0.2">
      <c r="B637">
        <v>2167</v>
      </c>
      <c r="C637">
        <v>1</v>
      </c>
      <c r="D637" t="s">
        <v>355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</row>
    <row r="638" spans="2:40" x14ac:dyDescent="0.2">
      <c r="B638">
        <v>2168</v>
      </c>
      <c r="C638">
        <v>1</v>
      </c>
      <c r="D638" t="s">
        <v>356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</row>
    <row r="639" spans="2:40" x14ac:dyDescent="0.2">
      <c r="B639">
        <v>2169</v>
      </c>
      <c r="C639">
        <v>1</v>
      </c>
      <c r="D639" t="s">
        <v>357</v>
      </c>
      <c r="E639" s="3">
        <v>0</v>
      </c>
      <c r="F639" s="3">
        <v>450</v>
      </c>
      <c r="G639" s="3">
        <v>450</v>
      </c>
      <c r="H639" s="3">
        <v>450</v>
      </c>
      <c r="I639" s="3">
        <v>450</v>
      </c>
      <c r="J639" s="3">
        <v>450</v>
      </c>
      <c r="K639" s="3">
        <v>450</v>
      </c>
      <c r="L639" s="3">
        <v>450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450</v>
      </c>
      <c r="AE639" s="3">
        <v>450</v>
      </c>
      <c r="AF639" s="3">
        <v>450</v>
      </c>
      <c r="AG639" s="3">
        <v>450</v>
      </c>
      <c r="AH639" s="3">
        <v>450</v>
      </c>
      <c r="AI639" s="3">
        <v>450</v>
      </c>
      <c r="AJ639" s="3">
        <v>450</v>
      </c>
      <c r="AK639" s="3">
        <v>0</v>
      </c>
      <c r="AL639" s="3">
        <v>0</v>
      </c>
      <c r="AM639" s="3">
        <v>0</v>
      </c>
      <c r="AN639" s="3">
        <v>0</v>
      </c>
    </row>
    <row r="640" spans="2:40" x14ac:dyDescent="0.2">
      <c r="B640">
        <v>2170</v>
      </c>
      <c r="C640">
        <v>1</v>
      </c>
      <c r="D640" t="s">
        <v>358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440</v>
      </c>
      <c r="AE640" s="3">
        <v>440</v>
      </c>
      <c r="AF640" s="3">
        <v>440</v>
      </c>
      <c r="AG640" s="3">
        <v>440</v>
      </c>
      <c r="AH640" s="3">
        <v>440</v>
      </c>
      <c r="AI640" s="3">
        <v>440</v>
      </c>
      <c r="AJ640" s="3">
        <v>440</v>
      </c>
      <c r="AK640" s="3">
        <v>0</v>
      </c>
      <c r="AL640" s="3">
        <v>0</v>
      </c>
      <c r="AM640" s="3">
        <v>0</v>
      </c>
      <c r="AN640" s="3">
        <v>0</v>
      </c>
    </row>
    <row r="641" spans="2:40" x14ac:dyDescent="0.2">
      <c r="B641">
        <v>2171</v>
      </c>
      <c r="C641">
        <v>1</v>
      </c>
      <c r="D641" t="s">
        <v>359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</row>
    <row r="642" spans="2:40" x14ac:dyDescent="0.2">
      <c r="B642">
        <v>2172</v>
      </c>
      <c r="C642">
        <v>1</v>
      </c>
      <c r="D642" t="s">
        <v>360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</row>
    <row r="643" spans="2:40" x14ac:dyDescent="0.2">
      <c r="B643">
        <v>2174</v>
      </c>
      <c r="C643">
        <v>1</v>
      </c>
      <c r="D643" t="s">
        <v>361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</row>
    <row r="644" spans="2:40" x14ac:dyDescent="0.2">
      <c r="B644">
        <v>2176</v>
      </c>
      <c r="C644">
        <v>1</v>
      </c>
      <c r="D644" t="s">
        <v>362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</row>
    <row r="645" spans="2:40" x14ac:dyDescent="0.2">
      <c r="B645">
        <v>2180</v>
      </c>
      <c r="C645">
        <v>1</v>
      </c>
      <c r="D645" t="s">
        <v>363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</row>
    <row r="646" spans="2:40" x14ac:dyDescent="0.2">
      <c r="B646">
        <v>2184</v>
      </c>
      <c r="C646">
        <v>1</v>
      </c>
      <c r="D646" t="s">
        <v>364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</row>
    <row r="647" spans="2:40" x14ac:dyDescent="0.2">
      <c r="B647">
        <v>2190</v>
      </c>
      <c r="C647">
        <v>1</v>
      </c>
      <c r="D647" t="s">
        <v>365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</row>
    <row r="648" spans="2:40" x14ac:dyDescent="0.2">
      <c r="B648">
        <v>2198</v>
      </c>
      <c r="C648">
        <v>1</v>
      </c>
      <c r="D648" t="s">
        <v>366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</row>
    <row r="649" spans="2:40" x14ac:dyDescent="0.2">
      <c r="B649">
        <v>2215</v>
      </c>
      <c r="C649">
        <v>1</v>
      </c>
      <c r="D649" t="s">
        <v>367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</row>
    <row r="650" spans="2:40" x14ac:dyDescent="0.2">
      <c r="B650">
        <v>2310</v>
      </c>
      <c r="C650">
        <v>1</v>
      </c>
      <c r="D650" t="s">
        <v>368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</row>
    <row r="651" spans="2:40" x14ac:dyDescent="0.2">
      <c r="B651">
        <v>2311</v>
      </c>
      <c r="C651">
        <v>1</v>
      </c>
      <c r="D651" t="s">
        <v>369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</row>
    <row r="652" spans="2:40" x14ac:dyDescent="0.2">
      <c r="B652">
        <v>2342</v>
      </c>
      <c r="C652">
        <v>1</v>
      </c>
      <c r="D652" t="s">
        <v>370</v>
      </c>
      <c r="E652" s="3">
        <v>0</v>
      </c>
      <c r="F652" s="3">
        <v>950</v>
      </c>
      <c r="G652" s="3">
        <v>950</v>
      </c>
      <c r="H652" s="3">
        <v>950</v>
      </c>
      <c r="I652" s="3">
        <v>950</v>
      </c>
      <c r="J652" s="3">
        <v>950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950</v>
      </c>
      <c r="AE652" s="3">
        <v>950</v>
      </c>
      <c r="AF652" s="3">
        <v>950</v>
      </c>
      <c r="AG652" s="3">
        <v>950</v>
      </c>
      <c r="AH652" s="3">
        <v>950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</row>
    <row r="653" spans="2:40" x14ac:dyDescent="0.2">
      <c r="B653">
        <v>2358</v>
      </c>
      <c r="C653">
        <v>1</v>
      </c>
      <c r="D653" t="s">
        <v>371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</row>
    <row r="654" spans="2:40" x14ac:dyDescent="0.2">
      <c r="B654">
        <v>2364</v>
      </c>
      <c r="C654">
        <v>1</v>
      </c>
      <c r="D654" t="s">
        <v>372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</row>
    <row r="655" spans="2:40" x14ac:dyDescent="0.2">
      <c r="B655">
        <v>2365</v>
      </c>
      <c r="C655">
        <v>1</v>
      </c>
      <c r="D655" t="s">
        <v>373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</row>
    <row r="656" spans="2:40" x14ac:dyDescent="0.2">
      <c r="B656">
        <v>2396</v>
      </c>
      <c r="C656">
        <v>1</v>
      </c>
      <c r="D656" t="s">
        <v>374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</row>
    <row r="657" spans="2:40" x14ac:dyDescent="0.2">
      <c r="B657">
        <v>2397</v>
      </c>
      <c r="C657">
        <v>1</v>
      </c>
      <c r="D657" t="s">
        <v>375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</row>
    <row r="658" spans="2:40" x14ac:dyDescent="0.2">
      <c r="B658">
        <v>2448</v>
      </c>
      <c r="C658">
        <v>1</v>
      </c>
      <c r="D658" t="s">
        <v>376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</row>
    <row r="659" spans="2:40" x14ac:dyDescent="0.2">
      <c r="B659">
        <v>2527</v>
      </c>
      <c r="C659">
        <v>1</v>
      </c>
      <c r="D659" t="s">
        <v>377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</row>
    <row r="660" spans="2:40" x14ac:dyDescent="0.2">
      <c r="B660">
        <v>2534</v>
      </c>
      <c r="C660">
        <v>1</v>
      </c>
      <c r="D660" t="s">
        <v>378</v>
      </c>
      <c r="E660" s="3">
        <v>0</v>
      </c>
      <c r="F660" s="3">
        <v>700</v>
      </c>
      <c r="G660" s="3">
        <v>700</v>
      </c>
      <c r="H660" s="3">
        <v>700</v>
      </c>
      <c r="I660" s="3">
        <v>700</v>
      </c>
      <c r="J660" s="3">
        <v>700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700</v>
      </c>
      <c r="AE660" s="3">
        <v>700</v>
      </c>
      <c r="AF660" s="3">
        <v>700</v>
      </c>
      <c r="AG660" s="3">
        <v>700</v>
      </c>
      <c r="AH660" s="3">
        <v>700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</row>
    <row r="661" spans="2:40" x14ac:dyDescent="0.2">
      <c r="B661">
        <v>2536</v>
      </c>
      <c r="C661">
        <v>1</v>
      </c>
      <c r="D661" t="s">
        <v>379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</row>
    <row r="662" spans="2:40" x14ac:dyDescent="0.2">
      <c r="B662">
        <v>2580</v>
      </c>
      <c r="C662">
        <v>1</v>
      </c>
      <c r="D662" t="s">
        <v>380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</row>
    <row r="663" spans="2:40" x14ac:dyDescent="0.2">
      <c r="B663">
        <v>2609</v>
      </c>
      <c r="C663">
        <v>1</v>
      </c>
      <c r="D663" t="s">
        <v>381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</row>
    <row r="664" spans="2:40" x14ac:dyDescent="0.2">
      <c r="B664">
        <v>2683</v>
      </c>
      <c r="C664">
        <v>1</v>
      </c>
      <c r="D664" t="s">
        <v>382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</row>
    <row r="665" spans="2:40" x14ac:dyDescent="0.2">
      <c r="B665">
        <v>2687</v>
      </c>
      <c r="C665">
        <v>1</v>
      </c>
      <c r="D665" t="s">
        <v>383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</row>
    <row r="666" spans="2:40" x14ac:dyDescent="0.2">
      <c r="B666">
        <v>2689</v>
      </c>
      <c r="C666">
        <v>1</v>
      </c>
      <c r="D666" t="s">
        <v>384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</row>
    <row r="667" spans="2:40" x14ac:dyDescent="0.2">
      <c r="B667">
        <v>2711</v>
      </c>
      <c r="C667">
        <v>1</v>
      </c>
      <c r="D667" t="s">
        <v>385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</row>
    <row r="668" spans="2:40" x14ac:dyDescent="0.2">
      <c r="B668">
        <v>2752</v>
      </c>
      <c r="C668">
        <v>1</v>
      </c>
      <c r="D668" t="s">
        <v>386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</row>
    <row r="669" spans="2:40" x14ac:dyDescent="0.2">
      <c r="B669">
        <v>2753</v>
      </c>
      <c r="C669">
        <v>1</v>
      </c>
      <c r="D669" t="s">
        <v>387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</row>
    <row r="670" spans="2:40" x14ac:dyDescent="0.2">
      <c r="B670">
        <v>2754</v>
      </c>
      <c r="C670">
        <v>1</v>
      </c>
      <c r="D670" t="s">
        <v>388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</row>
    <row r="671" spans="2:40" x14ac:dyDescent="0.2">
      <c r="B671">
        <v>2759</v>
      </c>
      <c r="C671">
        <v>1</v>
      </c>
      <c r="D671" t="s">
        <v>389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</row>
    <row r="672" spans="2:40" x14ac:dyDescent="0.2">
      <c r="B672">
        <v>2805</v>
      </c>
      <c r="C672">
        <v>1</v>
      </c>
      <c r="D672" t="s">
        <v>390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</row>
    <row r="673" spans="2:40" x14ac:dyDescent="0.2">
      <c r="B673">
        <v>2835</v>
      </c>
      <c r="C673">
        <v>1</v>
      </c>
      <c r="D673" t="s">
        <v>391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</row>
    <row r="674" spans="2:40" x14ac:dyDescent="0.2">
      <c r="B674">
        <v>2853</v>
      </c>
      <c r="C674">
        <v>1</v>
      </c>
      <c r="D674" t="s">
        <v>392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</row>
    <row r="675" spans="2:40" x14ac:dyDescent="0.2">
      <c r="B675">
        <v>2854</v>
      </c>
      <c r="C675">
        <v>1</v>
      </c>
      <c r="D675" t="s">
        <v>393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</row>
    <row r="676" spans="2:40" x14ac:dyDescent="0.2">
      <c r="B676">
        <v>2856</v>
      </c>
      <c r="C676">
        <v>1</v>
      </c>
      <c r="D676" t="s">
        <v>394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</row>
    <row r="677" spans="2:40" x14ac:dyDescent="0.2">
      <c r="B677">
        <v>2859</v>
      </c>
      <c r="C677">
        <v>1</v>
      </c>
      <c r="D677" t="s">
        <v>395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</row>
    <row r="678" spans="2:40" x14ac:dyDescent="0.2">
      <c r="B678">
        <v>2860</v>
      </c>
      <c r="C678">
        <v>1</v>
      </c>
      <c r="D678" t="s">
        <v>396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</row>
    <row r="679" spans="2:40" x14ac:dyDescent="0.2">
      <c r="B679">
        <v>2884</v>
      </c>
      <c r="C679">
        <v>1</v>
      </c>
      <c r="D679" t="s">
        <v>397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</row>
    <row r="680" spans="2:40" x14ac:dyDescent="0.2">
      <c r="B680">
        <v>2886</v>
      </c>
      <c r="C680">
        <v>1</v>
      </c>
      <c r="D680" t="s">
        <v>398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</row>
    <row r="681" spans="2:40" x14ac:dyDescent="0.2">
      <c r="B681">
        <v>2887</v>
      </c>
      <c r="C681">
        <v>1</v>
      </c>
      <c r="D681" t="s">
        <v>399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</row>
    <row r="682" spans="2:40" x14ac:dyDescent="0.2">
      <c r="B682">
        <v>2888</v>
      </c>
      <c r="C682">
        <v>1</v>
      </c>
      <c r="D682" t="s">
        <v>400</v>
      </c>
      <c r="E682" s="3">
        <v>0</v>
      </c>
      <c r="F682" s="3">
        <v>975</v>
      </c>
      <c r="G682" s="3">
        <v>975</v>
      </c>
      <c r="H682" s="3">
        <v>975</v>
      </c>
      <c r="I682" s="3">
        <v>975</v>
      </c>
      <c r="J682" s="3">
        <v>975</v>
      </c>
      <c r="K682" s="3">
        <v>975</v>
      </c>
      <c r="L682" s="3">
        <v>975</v>
      </c>
      <c r="M682" s="3">
        <v>975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975</v>
      </c>
      <c r="AE682" s="3">
        <v>975</v>
      </c>
      <c r="AF682" s="3">
        <v>975</v>
      </c>
      <c r="AG682" s="3">
        <v>975</v>
      </c>
      <c r="AH682" s="3">
        <v>975</v>
      </c>
      <c r="AI682" s="3">
        <v>975</v>
      </c>
      <c r="AJ682" s="3">
        <v>975</v>
      </c>
      <c r="AK682" s="3">
        <v>975</v>
      </c>
      <c r="AL682" s="3">
        <v>0</v>
      </c>
      <c r="AM682" s="3">
        <v>0</v>
      </c>
      <c r="AN682" s="3">
        <v>0</v>
      </c>
    </row>
    <row r="683" spans="2:40" x14ac:dyDescent="0.2">
      <c r="B683">
        <v>2889</v>
      </c>
      <c r="C683">
        <v>1</v>
      </c>
      <c r="D683" t="s">
        <v>401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</row>
    <row r="684" spans="2:40" x14ac:dyDescent="0.2">
      <c r="B684">
        <v>2890</v>
      </c>
      <c r="C684">
        <v>1</v>
      </c>
      <c r="D684" t="s">
        <v>402</v>
      </c>
      <c r="E684" s="3">
        <v>0</v>
      </c>
      <c r="F684" s="3">
        <v>400</v>
      </c>
      <c r="G684" s="3">
        <v>400</v>
      </c>
      <c r="H684" s="3">
        <v>400</v>
      </c>
      <c r="I684" s="3">
        <v>400</v>
      </c>
      <c r="J684" s="3">
        <v>400</v>
      </c>
      <c r="K684" s="3">
        <v>400</v>
      </c>
      <c r="L684" s="3">
        <v>400</v>
      </c>
      <c r="M684" s="3">
        <v>400</v>
      </c>
      <c r="N684" s="3">
        <v>400</v>
      </c>
      <c r="O684" s="3">
        <v>400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400</v>
      </c>
      <c r="AE684" s="3">
        <v>400</v>
      </c>
      <c r="AF684" s="3">
        <v>400</v>
      </c>
      <c r="AG684" s="3">
        <v>400</v>
      </c>
      <c r="AH684" s="3">
        <v>400</v>
      </c>
      <c r="AI684" s="3">
        <v>400</v>
      </c>
      <c r="AJ684" s="3">
        <v>400</v>
      </c>
      <c r="AK684" s="3">
        <v>400</v>
      </c>
      <c r="AL684" s="3">
        <v>400</v>
      </c>
      <c r="AM684" s="3">
        <v>400</v>
      </c>
      <c r="AN684" s="3">
        <v>0</v>
      </c>
    </row>
    <row r="685" spans="2:40" x14ac:dyDescent="0.2">
      <c r="B685">
        <v>2895</v>
      </c>
      <c r="C685">
        <v>1</v>
      </c>
      <c r="D685" t="s">
        <v>403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</row>
    <row r="686" spans="2:40" x14ac:dyDescent="0.2">
      <c r="B686">
        <v>2897</v>
      </c>
      <c r="C686">
        <v>1</v>
      </c>
      <c r="D686" t="s">
        <v>404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</row>
    <row r="687" spans="2:40" x14ac:dyDescent="0.2">
      <c r="B687">
        <v>2898</v>
      </c>
      <c r="C687">
        <v>1</v>
      </c>
      <c r="D687" t="s">
        <v>405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</row>
    <row r="688" spans="2:40" x14ac:dyDescent="0.2">
      <c r="B688" s="64">
        <v>2899</v>
      </c>
      <c r="C688" s="64">
        <v>1</v>
      </c>
      <c r="D688" s="22" t="s">
        <v>908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</row>
    <row r="689" spans="1:40" x14ac:dyDescent="0.2">
      <c r="B689" s="64">
        <v>2902</v>
      </c>
      <c r="C689" s="64">
        <v>1</v>
      </c>
      <c r="D689" s="22" t="s">
        <v>909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</row>
    <row r="691" spans="1:40" x14ac:dyDescent="0.2">
      <c r="A691" t="s">
        <v>915</v>
      </c>
      <c r="B691">
        <v>1</v>
      </c>
      <c r="C691">
        <v>1</v>
      </c>
      <c r="D691" t="s">
        <v>63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</row>
    <row r="692" spans="1:40" x14ac:dyDescent="0.2">
      <c r="A692" t="s">
        <v>924</v>
      </c>
      <c r="B692">
        <v>1.2</v>
      </c>
      <c r="C692">
        <v>1.2</v>
      </c>
      <c r="D692" t="s">
        <v>64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</row>
    <row r="693" spans="1:40" x14ac:dyDescent="0.2">
      <c r="A693" t="s">
        <v>923</v>
      </c>
      <c r="B693">
        <v>2</v>
      </c>
      <c r="C693">
        <v>1</v>
      </c>
      <c r="D693" t="s">
        <v>65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</row>
    <row r="694" spans="1:40" x14ac:dyDescent="0.2">
      <c r="B694">
        <v>4</v>
      </c>
      <c r="C694">
        <v>1</v>
      </c>
      <c r="D694" t="s">
        <v>66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</row>
    <row r="695" spans="1:40" x14ac:dyDescent="0.2">
      <c r="B695">
        <v>6</v>
      </c>
      <c r="C695">
        <v>3</v>
      </c>
      <c r="D695" t="s">
        <v>67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</row>
    <row r="696" spans="1:40" x14ac:dyDescent="0.2">
      <c r="B696">
        <v>11</v>
      </c>
      <c r="C696">
        <v>1</v>
      </c>
      <c r="D696" t="s">
        <v>68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</row>
    <row r="697" spans="1:40" x14ac:dyDescent="0.2">
      <c r="B697">
        <v>12</v>
      </c>
      <c r="C697">
        <v>1</v>
      </c>
      <c r="D697" t="s">
        <v>69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</row>
    <row r="698" spans="1:40" x14ac:dyDescent="0.2">
      <c r="B698">
        <v>13</v>
      </c>
      <c r="C698">
        <v>1</v>
      </c>
      <c r="D698" t="s">
        <v>70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</row>
    <row r="699" spans="1:40" x14ac:dyDescent="0.2">
      <c r="B699">
        <v>14</v>
      </c>
      <c r="C699">
        <v>1</v>
      </c>
      <c r="D699" t="s">
        <v>71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</row>
    <row r="700" spans="1:40" x14ac:dyDescent="0.2">
      <c r="B700">
        <v>15</v>
      </c>
      <c r="C700">
        <v>1</v>
      </c>
      <c r="D700" t="s">
        <v>72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</row>
    <row r="701" spans="1:40" x14ac:dyDescent="0.2">
      <c r="B701">
        <v>16</v>
      </c>
      <c r="C701">
        <v>1</v>
      </c>
      <c r="D701" t="s">
        <v>73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</row>
    <row r="702" spans="1:40" x14ac:dyDescent="0.2">
      <c r="B702">
        <v>22</v>
      </c>
      <c r="C702">
        <v>1</v>
      </c>
      <c r="D702" t="s">
        <v>74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</row>
    <row r="703" spans="1:40" x14ac:dyDescent="0.2">
      <c r="B703">
        <v>23</v>
      </c>
      <c r="C703">
        <v>1</v>
      </c>
      <c r="D703" t="s">
        <v>75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</row>
    <row r="704" spans="1:40" x14ac:dyDescent="0.2">
      <c r="B704">
        <v>25</v>
      </c>
      <c r="C704">
        <v>1</v>
      </c>
      <c r="D704" t="s">
        <v>76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</row>
    <row r="705" spans="2:40" x14ac:dyDescent="0.2">
      <c r="B705">
        <v>31</v>
      </c>
      <c r="C705">
        <v>1</v>
      </c>
      <c r="D705" t="s">
        <v>77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</row>
    <row r="706" spans="2:40" x14ac:dyDescent="0.2">
      <c r="B706">
        <v>32</v>
      </c>
      <c r="C706">
        <v>1</v>
      </c>
      <c r="D706" t="s">
        <v>78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</row>
    <row r="707" spans="2:40" x14ac:dyDescent="0.2">
      <c r="B707">
        <v>36</v>
      </c>
      <c r="C707">
        <v>1</v>
      </c>
      <c r="D707" t="s">
        <v>79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</row>
    <row r="708" spans="2:40" x14ac:dyDescent="0.2">
      <c r="B708">
        <v>38</v>
      </c>
      <c r="C708">
        <v>1</v>
      </c>
      <c r="D708" t="s">
        <v>80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</row>
    <row r="709" spans="2:40" x14ac:dyDescent="0.2">
      <c r="B709">
        <v>47</v>
      </c>
      <c r="C709">
        <v>1</v>
      </c>
      <c r="D709" t="s">
        <v>81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</row>
    <row r="710" spans="2:40" x14ac:dyDescent="0.2">
      <c r="B710">
        <v>51</v>
      </c>
      <c r="C710">
        <v>1</v>
      </c>
      <c r="D710" t="s">
        <v>82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</row>
    <row r="711" spans="2:40" x14ac:dyDescent="0.2">
      <c r="B711">
        <v>62</v>
      </c>
      <c r="C711">
        <v>1</v>
      </c>
      <c r="D711" t="s">
        <v>83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</row>
    <row r="712" spans="2:40" x14ac:dyDescent="0.2">
      <c r="B712">
        <v>75</v>
      </c>
      <c r="C712">
        <v>1</v>
      </c>
      <c r="D712" t="s">
        <v>84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</row>
    <row r="713" spans="2:40" x14ac:dyDescent="0.2">
      <c r="B713">
        <v>77</v>
      </c>
      <c r="C713">
        <v>1</v>
      </c>
      <c r="D713" t="s">
        <v>85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</row>
    <row r="714" spans="2:40" x14ac:dyDescent="0.2">
      <c r="B714">
        <v>81</v>
      </c>
      <c r="C714">
        <v>1</v>
      </c>
      <c r="D714" t="s">
        <v>86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</row>
    <row r="715" spans="2:40" x14ac:dyDescent="0.2">
      <c r="B715">
        <v>84</v>
      </c>
      <c r="C715">
        <v>1</v>
      </c>
      <c r="D715" t="s">
        <v>87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</row>
    <row r="716" spans="2:40" x14ac:dyDescent="0.2">
      <c r="B716">
        <v>85</v>
      </c>
      <c r="C716">
        <v>1</v>
      </c>
      <c r="D716" t="s">
        <v>88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</row>
    <row r="717" spans="2:40" x14ac:dyDescent="0.2">
      <c r="B717">
        <v>88</v>
      </c>
      <c r="C717">
        <v>1</v>
      </c>
      <c r="D717" t="s">
        <v>89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</row>
    <row r="718" spans="2:40" x14ac:dyDescent="0.2">
      <c r="B718">
        <v>91</v>
      </c>
      <c r="C718">
        <v>1</v>
      </c>
      <c r="D718" t="s">
        <v>90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</row>
    <row r="719" spans="2:40" x14ac:dyDescent="0.2">
      <c r="B719">
        <v>93</v>
      </c>
      <c r="C719">
        <v>1</v>
      </c>
      <c r="D719" t="s">
        <v>91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</row>
    <row r="720" spans="2:40" x14ac:dyDescent="0.2">
      <c r="B720">
        <v>94</v>
      </c>
      <c r="C720">
        <v>1</v>
      </c>
      <c r="D720" t="s">
        <v>92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</row>
    <row r="721" spans="2:40" x14ac:dyDescent="0.2">
      <c r="B721">
        <v>95</v>
      </c>
      <c r="C721">
        <v>1</v>
      </c>
      <c r="D721" t="s">
        <v>93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</row>
    <row r="722" spans="2:40" x14ac:dyDescent="0.2">
      <c r="B722">
        <v>97</v>
      </c>
      <c r="C722">
        <v>1</v>
      </c>
      <c r="D722" t="s">
        <v>94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</row>
    <row r="723" spans="2:40" x14ac:dyDescent="0.2">
      <c r="B723">
        <v>99</v>
      </c>
      <c r="C723">
        <v>1</v>
      </c>
      <c r="D723" t="s">
        <v>95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</row>
    <row r="724" spans="2:40" x14ac:dyDescent="0.2">
      <c r="B724">
        <v>100</v>
      </c>
      <c r="C724">
        <v>1</v>
      </c>
      <c r="D724" t="s">
        <v>96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</row>
    <row r="725" spans="2:40" x14ac:dyDescent="0.2">
      <c r="B725">
        <v>108</v>
      </c>
      <c r="C725">
        <v>1</v>
      </c>
      <c r="D725" t="s">
        <v>97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</row>
    <row r="726" spans="2:40" x14ac:dyDescent="0.2">
      <c r="B726">
        <v>110</v>
      </c>
      <c r="C726">
        <v>1</v>
      </c>
      <c r="D726" t="s">
        <v>98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</row>
    <row r="727" spans="2:40" x14ac:dyDescent="0.2">
      <c r="B727">
        <v>111</v>
      </c>
      <c r="C727">
        <v>1</v>
      </c>
      <c r="D727" t="s">
        <v>99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</row>
    <row r="728" spans="2:40" x14ac:dyDescent="0.2">
      <c r="B728">
        <v>112</v>
      </c>
      <c r="C728">
        <v>1</v>
      </c>
      <c r="D728" t="s">
        <v>100</v>
      </c>
      <c r="E728" s="3">
        <v>0</v>
      </c>
      <c r="F728" s="3">
        <v>285</v>
      </c>
      <c r="G728" s="3">
        <v>285</v>
      </c>
      <c r="H728" s="3">
        <v>285</v>
      </c>
      <c r="I728" s="3">
        <v>285</v>
      </c>
      <c r="J728" s="3">
        <v>285</v>
      </c>
      <c r="K728" s="3">
        <v>285</v>
      </c>
      <c r="L728" s="3">
        <v>285</v>
      </c>
      <c r="M728" s="3">
        <v>285</v>
      </c>
      <c r="N728" s="3">
        <v>285</v>
      </c>
      <c r="O728" s="3">
        <v>285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285</v>
      </c>
      <c r="AE728" s="3">
        <v>285</v>
      </c>
      <c r="AF728" s="3">
        <v>285</v>
      </c>
      <c r="AG728" s="3">
        <v>285</v>
      </c>
      <c r="AH728" s="3">
        <v>285</v>
      </c>
      <c r="AI728" s="3">
        <v>285</v>
      </c>
      <c r="AJ728" s="3">
        <v>285</v>
      </c>
      <c r="AK728" s="3">
        <v>285</v>
      </c>
      <c r="AL728" s="3">
        <v>285</v>
      </c>
      <c r="AM728" s="3">
        <v>285</v>
      </c>
      <c r="AN728" s="3">
        <v>0</v>
      </c>
    </row>
    <row r="729" spans="2:40" x14ac:dyDescent="0.2">
      <c r="B729">
        <v>113</v>
      </c>
      <c r="C729">
        <v>1</v>
      </c>
      <c r="D729" t="s">
        <v>101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</row>
    <row r="730" spans="2:40" x14ac:dyDescent="0.2">
      <c r="B730">
        <v>115</v>
      </c>
      <c r="C730">
        <v>1</v>
      </c>
      <c r="D730" t="s">
        <v>102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</row>
    <row r="731" spans="2:40" x14ac:dyDescent="0.2">
      <c r="B731">
        <v>116</v>
      </c>
      <c r="C731">
        <v>1</v>
      </c>
      <c r="D731" t="s">
        <v>103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</row>
    <row r="732" spans="2:40" x14ac:dyDescent="0.2">
      <c r="B732">
        <v>118</v>
      </c>
      <c r="C732">
        <v>1</v>
      </c>
      <c r="D732" t="s">
        <v>104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</row>
    <row r="733" spans="2:40" x14ac:dyDescent="0.2">
      <c r="B733">
        <v>129</v>
      </c>
      <c r="C733">
        <v>1</v>
      </c>
      <c r="D733" t="s">
        <v>105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</row>
    <row r="734" spans="2:40" x14ac:dyDescent="0.2">
      <c r="B734">
        <v>138</v>
      </c>
      <c r="C734">
        <v>1</v>
      </c>
      <c r="D734" t="s">
        <v>106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</row>
    <row r="735" spans="2:40" x14ac:dyDescent="0.2">
      <c r="B735">
        <v>139</v>
      </c>
      <c r="C735">
        <v>1</v>
      </c>
      <c r="D735" t="s">
        <v>107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</row>
    <row r="736" spans="2:40" x14ac:dyDescent="0.2">
      <c r="B736">
        <v>146</v>
      </c>
      <c r="C736">
        <v>1</v>
      </c>
      <c r="D736" t="s">
        <v>108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</row>
    <row r="737" spans="2:40" x14ac:dyDescent="0.2">
      <c r="B737">
        <v>150</v>
      </c>
      <c r="C737">
        <v>1</v>
      </c>
      <c r="D737" t="s">
        <v>109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</row>
    <row r="738" spans="2:40" x14ac:dyDescent="0.2">
      <c r="B738">
        <v>152</v>
      </c>
      <c r="C738">
        <v>1</v>
      </c>
      <c r="D738" t="s">
        <v>110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</row>
    <row r="739" spans="2:40" x14ac:dyDescent="0.2">
      <c r="B739">
        <v>162</v>
      </c>
      <c r="C739">
        <v>1</v>
      </c>
      <c r="D739" t="s">
        <v>111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</row>
    <row r="740" spans="2:40" x14ac:dyDescent="0.2">
      <c r="B740">
        <v>166</v>
      </c>
      <c r="C740">
        <v>1</v>
      </c>
      <c r="D740" t="s">
        <v>112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</row>
    <row r="741" spans="2:40" x14ac:dyDescent="0.2">
      <c r="B741">
        <v>173</v>
      </c>
      <c r="C741">
        <v>1</v>
      </c>
      <c r="D741" t="s">
        <v>113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</row>
    <row r="742" spans="2:40" x14ac:dyDescent="0.2">
      <c r="B742">
        <v>177</v>
      </c>
      <c r="C742">
        <v>1</v>
      </c>
      <c r="D742" t="s">
        <v>114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</row>
    <row r="743" spans="2:40" x14ac:dyDescent="0.2">
      <c r="B743">
        <v>181</v>
      </c>
      <c r="C743">
        <v>1</v>
      </c>
      <c r="D743" t="s">
        <v>115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</row>
    <row r="744" spans="2:40" x14ac:dyDescent="0.2">
      <c r="B744">
        <v>182</v>
      </c>
      <c r="C744">
        <v>1</v>
      </c>
      <c r="D744" t="s">
        <v>116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</row>
    <row r="745" spans="2:40" x14ac:dyDescent="0.2">
      <c r="B745">
        <v>186</v>
      </c>
      <c r="C745">
        <v>1</v>
      </c>
      <c r="D745" t="s">
        <v>117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</row>
    <row r="746" spans="2:40" x14ac:dyDescent="0.2">
      <c r="B746">
        <v>191</v>
      </c>
      <c r="C746">
        <v>1</v>
      </c>
      <c r="D746" t="s">
        <v>118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</row>
    <row r="747" spans="2:40" x14ac:dyDescent="0.2">
      <c r="B747">
        <v>192</v>
      </c>
      <c r="C747">
        <v>1</v>
      </c>
      <c r="D747" t="s">
        <v>119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</row>
    <row r="748" spans="2:40" x14ac:dyDescent="0.2">
      <c r="B748">
        <v>194</v>
      </c>
      <c r="C748">
        <v>1</v>
      </c>
      <c r="D748" t="s">
        <v>120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</row>
    <row r="749" spans="2:40" x14ac:dyDescent="0.2">
      <c r="B749">
        <v>195</v>
      </c>
      <c r="C749">
        <v>1</v>
      </c>
      <c r="D749" t="s">
        <v>121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</row>
    <row r="750" spans="2:40" x14ac:dyDescent="0.2">
      <c r="B750">
        <v>196</v>
      </c>
      <c r="C750">
        <v>1</v>
      </c>
      <c r="D750" t="s">
        <v>122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</row>
    <row r="751" spans="2:40" x14ac:dyDescent="0.2">
      <c r="B751">
        <v>197</v>
      </c>
      <c r="C751">
        <v>1</v>
      </c>
      <c r="D751" t="s">
        <v>123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</row>
    <row r="752" spans="2:40" x14ac:dyDescent="0.2">
      <c r="B752">
        <v>199</v>
      </c>
      <c r="C752">
        <v>1</v>
      </c>
      <c r="D752" t="s">
        <v>124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</row>
    <row r="753" spans="2:40" x14ac:dyDescent="0.2">
      <c r="B753">
        <v>200</v>
      </c>
      <c r="C753">
        <v>1</v>
      </c>
      <c r="D753" t="s">
        <v>125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</row>
    <row r="754" spans="2:40" x14ac:dyDescent="0.2">
      <c r="B754">
        <v>203</v>
      </c>
      <c r="C754">
        <v>1</v>
      </c>
      <c r="D754" t="s">
        <v>126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</row>
    <row r="755" spans="2:40" x14ac:dyDescent="0.2">
      <c r="B755">
        <v>204</v>
      </c>
      <c r="C755">
        <v>1</v>
      </c>
      <c r="D755" t="s">
        <v>127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</row>
    <row r="756" spans="2:40" x14ac:dyDescent="0.2">
      <c r="B756">
        <v>206</v>
      </c>
      <c r="C756">
        <v>1</v>
      </c>
      <c r="D756" t="s">
        <v>128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</row>
    <row r="757" spans="2:40" x14ac:dyDescent="0.2">
      <c r="B757">
        <v>207</v>
      </c>
      <c r="C757">
        <v>1</v>
      </c>
      <c r="D757" t="s">
        <v>129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</row>
    <row r="758" spans="2:40" x14ac:dyDescent="0.2">
      <c r="B758">
        <v>208</v>
      </c>
      <c r="C758">
        <v>1</v>
      </c>
      <c r="D758" t="s">
        <v>130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</row>
    <row r="759" spans="2:40" x14ac:dyDescent="0.2">
      <c r="B759">
        <v>213</v>
      </c>
      <c r="C759">
        <v>1</v>
      </c>
      <c r="D759" t="s">
        <v>131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</row>
    <row r="760" spans="2:40" x14ac:dyDescent="0.2">
      <c r="B760">
        <v>227</v>
      </c>
      <c r="C760">
        <v>1</v>
      </c>
      <c r="D760" t="s">
        <v>132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</row>
    <row r="761" spans="2:40" x14ac:dyDescent="0.2">
      <c r="B761">
        <v>229</v>
      </c>
      <c r="C761">
        <v>1</v>
      </c>
      <c r="D761" t="s">
        <v>133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</row>
    <row r="762" spans="2:40" x14ac:dyDescent="0.2">
      <c r="B762">
        <v>238</v>
      </c>
      <c r="C762">
        <v>1</v>
      </c>
      <c r="D762" t="s">
        <v>134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</row>
    <row r="763" spans="2:40" x14ac:dyDescent="0.2">
      <c r="B763">
        <v>239</v>
      </c>
      <c r="C763">
        <v>1</v>
      </c>
      <c r="D763" t="s">
        <v>135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</row>
    <row r="764" spans="2:40" x14ac:dyDescent="0.2">
      <c r="B764">
        <v>241</v>
      </c>
      <c r="C764">
        <v>1</v>
      </c>
      <c r="D764" t="s">
        <v>136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</row>
    <row r="765" spans="2:40" x14ac:dyDescent="0.2">
      <c r="B765">
        <v>242</v>
      </c>
      <c r="C765">
        <v>1</v>
      </c>
      <c r="D765" t="s">
        <v>137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</row>
    <row r="766" spans="2:40" x14ac:dyDescent="0.2">
      <c r="B766">
        <v>252</v>
      </c>
      <c r="C766">
        <v>1</v>
      </c>
      <c r="D766" t="s">
        <v>138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</row>
    <row r="767" spans="2:40" x14ac:dyDescent="0.2">
      <c r="B767">
        <v>253</v>
      </c>
      <c r="C767">
        <v>1</v>
      </c>
      <c r="D767" t="s">
        <v>139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</row>
    <row r="768" spans="2:40" x14ac:dyDescent="0.2">
      <c r="B768">
        <v>255</v>
      </c>
      <c r="C768">
        <v>1</v>
      </c>
      <c r="D768" t="s">
        <v>140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</row>
    <row r="769" spans="2:40" x14ac:dyDescent="0.2">
      <c r="B769">
        <v>256</v>
      </c>
      <c r="C769">
        <v>1</v>
      </c>
      <c r="D769" t="s">
        <v>141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</row>
    <row r="770" spans="2:40" x14ac:dyDescent="0.2">
      <c r="B770">
        <v>261</v>
      </c>
      <c r="C770">
        <v>1</v>
      </c>
      <c r="D770" t="s">
        <v>142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</row>
    <row r="771" spans="2:40" x14ac:dyDescent="0.2">
      <c r="B771">
        <v>264</v>
      </c>
      <c r="C771">
        <v>1</v>
      </c>
      <c r="D771" t="s">
        <v>143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</row>
    <row r="772" spans="2:40" x14ac:dyDescent="0.2">
      <c r="B772">
        <v>270</v>
      </c>
      <c r="C772">
        <v>1</v>
      </c>
      <c r="D772" t="s">
        <v>144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</row>
    <row r="773" spans="2:40" x14ac:dyDescent="0.2">
      <c r="B773">
        <v>271</v>
      </c>
      <c r="C773">
        <v>1</v>
      </c>
      <c r="D773" t="s">
        <v>145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</row>
    <row r="774" spans="2:40" x14ac:dyDescent="0.2">
      <c r="B774">
        <v>272</v>
      </c>
      <c r="C774">
        <v>1</v>
      </c>
      <c r="D774" t="s">
        <v>146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</row>
    <row r="775" spans="2:40" x14ac:dyDescent="0.2">
      <c r="B775">
        <v>273</v>
      </c>
      <c r="C775">
        <v>1</v>
      </c>
      <c r="D775" t="s">
        <v>147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</row>
    <row r="776" spans="2:40" x14ac:dyDescent="0.2">
      <c r="B776">
        <v>276</v>
      </c>
      <c r="C776">
        <v>1</v>
      </c>
      <c r="D776" t="s">
        <v>148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</row>
    <row r="777" spans="2:40" x14ac:dyDescent="0.2">
      <c r="B777">
        <v>277</v>
      </c>
      <c r="C777">
        <v>1</v>
      </c>
      <c r="D777" t="s">
        <v>149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</row>
    <row r="778" spans="2:40" x14ac:dyDescent="0.2">
      <c r="B778">
        <v>278</v>
      </c>
      <c r="C778">
        <v>1</v>
      </c>
      <c r="D778" t="s">
        <v>150</v>
      </c>
      <c r="E778" s="3">
        <v>0</v>
      </c>
      <c r="F778" s="3">
        <v>550</v>
      </c>
      <c r="G778" s="3">
        <v>550</v>
      </c>
      <c r="H778" s="3">
        <v>550</v>
      </c>
      <c r="I778" s="3">
        <v>550</v>
      </c>
      <c r="J778" s="3">
        <v>550</v>
      </c>
      <c r="K778" s="3">
        <v>550</v>
      </c>
      <c r="L778" s="3">
        <v>550</v>
      </c>
      <c r="M778" s="3">
        <v>550</v>
      </c>
      <c r="N778" s="3">
        <v>550</v>
      </c>
      <c r="O778" s="3">
        <v>550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550</v>
      </c>
      <c r="AE778" s="3">
        <v>550</v>
      </c>
      <c r="AF778" s="3">
        <v>550</v>
      </c>
      <c r="AG778" s="3">
        <v>550</v>
      </c>
      <c r="AH778" s="3">
        <v>550</v>
      </c>
      <c r="AI778" s="3">
        <v>550</v>
      </c>
      <c r="AJ778" s="3">
        <v>550</v>
      </c>
      <c r="AK778" s="3">
        <v>550</v>
      </c>
      <c r="AL778" s="3">
        <v>550</v>
      </c>
      <c r="AM778" s="3">
        <v>550</v>
      </c>
      <c r="AN778" s="3">
        <v>0</v>
      </c>
    </row>
    <row r="779" spans="2:40" x14ac:dyDescent="0.2">
      <c r="B779">
        <v>279</v>
      </c>
      <c r="C779">
        <v>1</v>
      </c>
      <c r="D779" t="s">
        <v>151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</row>
    <row r="780" spans="2:40" x14ac:dyDescent="0.2">
      <c r="B780">
        <v>280</v>
      </c>
      <c r="C780">
        <v>1</v>
      </c>
      <c r="D780" t="s">
        <v>152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</row>
    <row r="781" spans="2:40" x14ac:dyDescent="0.2">
      <c r="B781">
        <v>281</v>
      </c>
      <c r="C781">
        <v>1</v>
      </c>
      <c r="D781" t="s">
        <v>153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</row>
    <row r="782" spans="2:40" x14ac:dyDescent="0.2">
      <c r="B782">
        <v>282</v>
      </c>
      <c r="C782">
        <v>1</v>
      </c>
      <c r="D782" t="s">
        <v>154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</row>
    <row r="783" spans="2:40" x14ac:dyDescent="0.2">
      <c r="B783">
        <v>283</v>
      </c>
      <c r="C783">
        <v>1</v>
      </c>
      <c r="D783" t="s">
        <v>155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</row>
    <row r="784" spans="2:40" x14ac:dyDescent="0.2">
      <c r="B784">
        <v>284</v>
      </c>
      <c r="C784">
        <v>1</v>
      </c>
      <c r="D784" t="s">
        <v>156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</row>
    <row r="785" spans="2:40" x14ac:dyDescent="0.2">
      <c r="B785">
        <v>286</v>
      </c>
      <c r="C785">
        <v>1</v>
      </c>
      <c r="D785" t="s">
        <v>157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</row>
    <row r="786" spans="2:40" x14ac:dyDescent="0.2">
      <c r="B786">
        <v>294</v>
      </c>
      <c r="C786">
        <v>1</v>
      </c>
      <c r="D786" t="s">
        <v>158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</row>
    <row r="787" spans="2:40" x14ac:dyDescent="0.2">
      <c r="B787">
        <v>297</v>
      </c>
      <c r="C787">
        <v>1</v>
      </c>
      <c r="D787" t="s">
        <v>159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</row>
    <row r="788" spans="2:40" x14ac:dyDescent="0.2">
      <c r="B788">
        <v>299</v>
      </c>
      <c r="C788">
        <v>1</v>
      </c>
      <c r="D788" t="s">
        <v>160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</row>
    <row r="789" spans="2:40" x14ac:dyDescent="0.2">
      <c r="B789">
        <v>300</v>
      </c>
      <c r="C789">
        <v>1</v>
      </c>
      <c r="D789" t="s">
        <v>161</v>
      </c>
      <c r="E789" s="3">
        <v>0</v>
      </c>
      <c r="F789" s="3">
        <v>575</v>
      </c>
      <c r="G789" s="3">
        <v>575</v>
      </c>
      <c r="H789" s="3">
        <v>575</v>
      </c>
      <c r="I789" s="3">
        <v>575</v>
      </c>
      <c r="J789" s="3">
        <v>575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575</v>
      </c>
      <c r="AE789" s="3">
        <v>575</v>
      </c>
      <c r="AF789" s="3">
        <v>575</v>
      </c>
      <c r="AG789" s="3">
        <v>575</v>
      </c>
      <c r="AH789" s="3">
        <v>575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</row>
    <row r="790" spans="2:40" x14ac:dyDescent="0.2">
      <c r="B790">
        <v>306</v>
      </c>
      <c r="C790">
        <v>1</v>
      </c>
      <c r="D790" t="s">
        <v>162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</row>
    <row r="791" spans="2:40" x14ac:dyDescent="0.2">
      <c r="B791">
        <v>308</v>
      </c>
      <c r="C791">
        <v>1</v>
      </c>
      <c r="D791" t="s">
        <v>163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</row>
    <row r="792" spans="2:40" x14ac:dyDescent="0.2">
      <c r="B792">
        <v>309</v>
      </c>
      <c r="C792">
        <v>1</v>
      </c>
      <c r="D792" t="s">
        <v>164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</row>
    <row r="793" spans="2:40" x14ac:dyDescent="0.2">
      <c r="B793">
        <v>314</v>
      </c>
      <c r="C793">
        <v>1</v>
      </c>
      <c r="D793" t="s">
        <v>165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</row>
    <row r="794" spans="2:40" x14ac:dyDescent="0.2">
      <c r="B794">
        <v>316</v>
      </c>
      <c r="C794">
        <v>1</v>
      </c>
      <c r="D794" t="s">
        <v>166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</row>
    <row r="795" spans="2:40" x14ac:dyDescent="0.2">
      <c r="B795">
        <v>317</v>
      </c>
      <c r="C795">
        <v>1</v>
      </c>
      <c r="D795" t="s">
        <v>167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</row>
    <row r="796" spans="2:40" x14ac:dyDescent="0.2">
      <c r="B796">
        <v>318</v>
      </c>
      <c r="C796">
        <v>1</v>
      </c>
      <c r="D796" t="s">
        <v>168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</row>
    <row r="797" spans="2:40" x14ac:dyDescent="0.2">
      <c r="B797">
        <v>319</v>
      </c>
      <c r="C797">
        <v>1</v>
      </c>
      <c r="D797" t="s">
        <v>169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</row>
    <row r="798" spans="2:40" x14ac:dyDescent="0.2">
      <c r="B798">
        <v>323</v>
      </c>
      <c r="C798">
        <v>2</v>
      </c>
      <c r="D798" t="s">
        <v>170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</row>
    <row r="799" spans="2:40" x14ac:dyDescent="0.2">
      <c r="B799">
        <v>330</v>
      </c>
      <c r="C799">
        <v>1</v>
      </c>
      <c r="D799" t="s">
        <v>171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</row>
    <row r="800" spans="2:40" x14ac:dyDescent="0.2">
      <c r="B800">
        <v>332</v>
      </c>
      <c r="C800">
        <v>1</v>
      </c>
      <c r="D800" t="s">
        <v>172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</row>
    <row r="801" spans="2:40" x14ac:dyDescent="0.2">
      <c r="B801">
        <v>333</v>
      </c>
      <c r="C801">
        <v>1</v>
      </c>
      <c r="D801" t="s">
        <v>173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</row>
    <row r="802" spans="2:40" x14ac:dyDescent="0.2">
      <c r="B802">
        <v>345</v>
      </c>
      <c r="C802">
        <v>1</v>
      </c>
      <c r="D802" t="s">
        <v>174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</row>
    <row r="803" spans="2:40" x14ac:dyDescent="0.2">
      <c r="B803">
        <v>347</v>
      </c>
      <c r="C803">
        <v>1</v>
      </c>
      <c r="D803" t="s">
        <v>175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</row>
    <row r="804" spans="2:40" x14ac:dyDescent="0.2">
      <c r="B804">
        <v>356</v>
      </c>
      <c r="C804">
        <v>1</v>
      </c>
      <c r="D804" t="s">
        <v>176</v>
      </c>
      <c r="E804" s="3">
        <v>0</v>
      </c>
      <c r="F804" s="3">
        <v>0</v>
      </c>
      <c r="G804" s="3">
        <v>1009.08</v>
      </c>
      <c r="H804" s="3">
        <v>1009.08</v>
      </c>
      <c r="I804" s="3">
        <v>1009.08</v>
      </c>
      <c r="J804" s="3">
        <v>1009.08</v>
      </c>
      <c r="K804" s="3">
        <v>1009.08</v>
      </c>
      <c r="L804" s="3">
        <v>1009.08</v>
      </c>
      <c r="M804" s="3">
        <v>1009.08</v>
      </c>
      <c r="N804" s="3">
        <v>1009.08</v>
      </c>
      <c r="O804" s="3">
        <v>1009.08</v>
      </c>
      <c r="P804" s="3">
        <v>1009.08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1009.08</v>
      </c>
      <c r="AF804" s="3">
        <v>1009.08</v>
      </c>
      <c r="AG804" s="3">
        <v>1009.08</v>
      </c>
      <c r="AH804" s="3">
        <v>1009.08</v>
      </c>
      <c r="AI804" s="3">
        <v>1009.08</v>
      </c>
      <c r="AJ804" s="3">
        <v>1009.08</v>
      </c>
      <c r="AK804" s="3">
        <v>1009.08</v>
      </c>
      <c r="AL804" s="3">
        <v>1009.08</v>
      </c>
      <c r="AM804" s="3">
        <v>1009.08</v>
      </c>
      <c r="AN804" s="3">
        <v>1009.08</v>
      </c>
    </row>
    <row r="805" spans="2:40" x14ac:dyDescent="0.2">
      <c r="B805">
        <v>361</v>
      </c>
      <c r="C805">
        <v>1</v>
      </c>
      <c r="D805" t="s">
        <v>177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</row>
    <row r="806" spans="2:40" x14ac:dyDescent="0.2">
      <c r="B806">
        <v>362</v>
      </c>
      <c r="C806">
        <v>1</v>
      </c>
      <c r="D806" t="s">
        <v>178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</row>
    <row r="807" spans="2:40" x14ac:dyDescent="0.2">
      <c r="B807">
        <v>363</v>
      </c>
      <c r="C807">
        <v>1</v>
      </c>
      <c r="D807" t="s">
        <v>179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</row>
    <row r="808" spans="2:40" x14ac:dyDescent="0.2">
      <c r="B808">
        <v>371</v>
      </c>
      <c r="C808">
        <v>1</v>
      </c>
      <c r="D808" t="s">
        <v>180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</row>
    <row r="809" spans="2:40" x14ac:dyDescent="0.2">
      <c r="B809">
        <v>378</v>
      </c>
      <c r="C809">
        <v>1</v>
      </c>
      <c r="D809" t="s">
        <v>181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</row>
    <row r="810" spans="2:40" x14ac:dyDescent="0.2">
      <c r="B810">
        <v>381</v>
      </c>
      <c r="C810">
        <v>1</v>
      </c>
      <c r="D810" t="s">
        <v>182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</row>
    <row r="811" spans="2:40" x14ac:dyDescent="0.2">
      <c r="B811">
        <v>390</v>
      </c>
      <c r="C811">
        <v>1</v>
      </c>
      <c r="D811" t="s">
        <v>183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</row>
    <row r="812" spans="2:40" x14ac:dyDescent="0.2">
      <c r="B812">
        <v>391</v>
      </c>
      <c r="C812">
        <v>1</v>
      </c>
      <c r="D812" t="s">
        <v>184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</row>
    <row r="813" spans="2:40" x14ac:dyDescent="0.2">
      <c r="B813">
        <v>392</v>
      </c>
      <c r="C813">
        <v>1</v>
      </c>
      <c r="D813" t="s">
        <v>185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</row>
    <row r="814" spans="2:40" x14ac:dyDescent="0.2">
      <c r="B814">
        <v>394</v>
      </c>
      <c r="C814">
        <v>1</v>
      </c>
      <c r="D814" t="s">
        <v>186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</row>
    <row r="815" spans="2:40" x14ac:dyDescent="0.2">
      <c r="B815">
        <v>402</v>
      </c>
      <c r="C815">
        <v>1</v>
      </c>
      <c r="D815" t="s">
        <v>187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</row>
    <row r="816" spans="2:40" x14ac:dyDescent="0.2">
      <c r="B816">
        <v>403</v>
      </c>
      <c r="C816">
        <v>1</v>
      </c>
      <c r="D816" t="s">
        <v>188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</row>
    <row r="817" spans="2:40" x14ac:dyDescent="0.2">
      <c r="B817">
        <v>404</v>
      </c>
      <c r="C817">
        <v>1</v>
      </c>
      <c r="D817" t="s">
        <v>189</v>
      </c>
      <c r="E817" s="3">
        <v>0</v>
      </c>
      <c r="F817" s="3">
        <v>1443.72</v>
      </c>
      <c r="G817" s="3">
        <v>1443.72</v>
      </c>
      <c r="H817" s="3">
        <v>1443.72</v>
      </c>
      <c r="I817" s="3">
        <v>1443.72</v>
      </c>
      <c r="J817" s="3">
        <v>1443.72</v>
      </c>
      <c r="K817" s="3">
        <v>1443.72</v>
      </c>
      <c r="L817" s="3">
        <v>1443.72</v>
      </c>
      <c r="M817" s="3">
        <v>1443.72</v>
      </c>
      <c r="N817" s="3">
        <v>1443.72</v>
      </c>
      <c r="O817" s="3">
        <v>1443.72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1443.72</v>
      </c>
      <c r="AE817" s="3">
        <v>1443.72</v>
      </c>
      <c r="AF817" s="3">
        <v>1443.72</v>
      </c>
      <c r="AG817" s="3">
        <v>1443.72</v>
      </c>
      <c r="AH817" s="3">
        <v>1443.72</v>
      </c>
      <c r="AI817" s="3">
        <v>1443.72</v>
      </c>
      <c r="AJ817" s="3">
        <v>1443.72</v>
      </c>
      <c r="AK817" s="3">
        <v>1443.72</v>
      </c>
      <c r="AL817" s="3">
        <v>1443.72</v>
      </c>
      <c r="AM817" s="3">
        <v>1443.72</v>
      </c>
      <c r="AN817" s="3">
        <v>0</v>
      </c>
    </row>
    <row r="818" spans="2:40" x14ac:dyDescent="0.2">
      <c r="B818">
        <v>411</v>
      </c>
      <c r="C818">
        <v>1</v>
      </c>
      <c r="D818" t="s">
        <v>191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</row>
    <row r="819" spans="2:40" x14ac:dyDescent="0.2">
      <c r="B819">
        <v>413</v>
      </c>
      <c r="C819">
        <v>1</v>
      </c>
      <c r="D819" t="s">
        <v>192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</row>
    <row r="820" spans="2:40" x14ac:dyDescent="0.2">
      <c r="B820">
        <v>414</v>
      </c>
      <c r="C820">
        <v>1</v>
      </c>
      <c r="D820" t="s">
        <v>193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</row>
    <row r="821" spans="2:40" x14ac:dyDescent="0.2">
      <c r="B821">
        <v>415</v>
      </c>
      <c r="C821">
        <v>1</v>
      </c>
      <c r="D821" t="s">
        <v>194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</row>
    <row r="822" spans="2:40" x14ac:dyDescent="0.2">
      <c r="B822">
        <v>417</v>
      </c>
      <c r="C822">
        <v>1</v>
      </c>
      <c r="D822" t="s">
        <v>195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</row>
    <row r="823" spans="2:40" x14ac:dyDescent="0.2">
      <c r="B823">
        <v>423</v>
      </c>
      <c r="C823">
        <v>1</v>
      </c>
      <c r="D823" t="s">
        <v>197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</row>
    <row r="824" spans="2:40" x14ac:dyDescent="0.2">
      <c r="B824">
        <v>424</v>
      </c>
      <c r="C824">
        <v>1</v>
      </c>
      <c r="D824" t="s">
        <v>198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</row>
    <row r="825" spans="2:40" x14ac:dyDescent="0.2">
      <c r="B825">
        <v>432</v>
      </c>
      <c r="C825">
        <v>1</v>
      </c>
      <c r="D825" t="s">
        <v>199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</row>
    <row r="826" spans="2:40" x14ac:dyDescent="0.2">
      <c r="B826">
        <v>435</v>
      </c>
      <c r="C826">
        <v>1</v>
      </c>
      <c r="D826" t="s">
        <v>200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</row>
    <row r="827" spans="2:40" x14ac:dyDescent="0.2">
      <c r="B827">
        <v>441</v>
      </c>
      <c r="C827">
        <v>1</v>
      </c>
      <c r="D827" t="s">
        <v>201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</row>
    <row r="828" spans="2:40" x14ac:dyDescent="0.2">
      <c r="B828">
        <v>447</v>
      </c>
      <c r="C828">
        <v>1</v>
      </c>
      <c r="D828" t="s">
        <v>202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</row>
    <row r="829" spans="2:40" x14ac:dyDescent="0.2">
      <c r="B829">
        <v>458</v>
      </c>
      <c r="C829">
        <v>1</v>
      </c>
      <c r="D829" t="s">
        <v>203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</row>
    <row r="830" spans="2:40" x14ac:dyDescent="0.2">
      <c r="B830">
        <v>463</v>
      </c>
      <c r="C830">
        <v>1</v>
      </c>
      <c r="D830" t="s">
        <v>204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</row>
    <row r="831" spans="2:40" x14ac:dyDescent="0.2">
      <c r="B831">
        <v>465</v>
      </c>
      <c r="C831">
        <v>1</v>
      </c>
      <c r="D831" t="s">
        <v>205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</row>
    <row r="832" spans="2:40" x14ac:dyDescent="0.2">
      <c r="B832">
        <v>466</v>
      </c>
      <c r="C832">
        <v>1</v>
      </c>
      <c r="D832" t="s">
        <v>206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</row>
    <row r="833" spans="2:40" x14ac:dyDescent="0.2">
      <c r="B833">
        <v>473</v>
      </c>
      <c r="C833">
        <v>1</v>
      </c>
      <c r="D833" t="s">
        <v>207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</row>
    <row r="834" spans="2:40" x14ac:dyDescent="0.2">
      <c r="B834">
        <v>477</v>
      </c>
      <c r="C834">
        <v>1</v>
      </c>
      <c r="D834" t="s">
        <v>208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</row>
    <row r="835" spans="2:40" x14ac:dyDescent="0.2">
      <c r="B835">
        <v>480</v>
      </c>
      <c r="C835">
        <v>1</v>
      </c>
      <c r="D835" t="s">
        <v>209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</row>
    <row r="836" spans="2:40" x14ac:dyDescent="0.2">
      <c r="B836">
        <v>482</v>
      </c>
      <c r="C836">
        <v>1</v>
      </c>
      <c r="D836" t="s">
        <v>210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</row>
    <row r="837" spans="2:40" x14ac:dyDescent="0.2">
      <c r="B837">
        <v>484</v>
      </c>
      <c r="C837">
        <v>1</v>
      </c>
      <c r="D837" t="s">
        <v>211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</row>
    <row r="838" spans="2:40" x14ac:dyDescent="0.2">
      <c r="B838">
        <v>485</v>
      </c>
      <c r="C838">
        <v>1</v>
      </c>
      <c r="D838" t="s">
        <v>212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</row>
    <row r="839" spans="2:40" x14ac:dyDescent="0.2">
      <c r="B839">
        <v>486</v>
      </c>
      <c r="C839">
        <v>1</v>
      </c>
      <c r="D839" t="s">
        <v>213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</row>
    <row r="840" spans="2:40" x14ac:dyDescent="0.2">
      <c r="B840">
        <v>487</v>
      </c>
      <c r="C840">
        <v>1</v>
      </c>
      <c r="D840" t="s">
        <v>214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</row>
    <row r="841" spans="2:40" x14ac:dyDescent="0.2">
      <c r="B841">
        <v>492</v>
      </c>
      <c r="C841">
        <v>1</v>
      </c>
      <c r="D841" t="s">
        <v>215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</row>
    <row r="842" spans="2:40" x14ac:dyDescent="0.2">
      <c r="B842">
        <v>495</v>
      </c>
      <c r="C842">
        <v>1</v>
      </c>
      <c r="D842" t="s">
        <v>216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</row>
    <row r="843" spans="2:40" x14ac:dyDescent="0.2">
      <c r="B843">
        <v>497</v>
      </c>
      <c r="C843">
        <v>1</v>
      </c>
      <c r="D843" t="s">
        <v>217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</row>
    <row r="844" spans="2:40" x14ac:dyDescent="0.2">
      <c r="B844">
        <v>499</v>
      </c>
      <c r="C844">
        <v>1</v>
      </c>
      <c r="D844" t="s">
        <v>218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</row>
    <row r="845" spans="2:40" x14ac:dyDescent="0.2">
      <c r="B845">
        <v>500</v>
      </c>
      <c r="C845">
        <v>1</v>
      </c>
      <c r="D845" t="s">
        <v>219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</row>
    <row r="846" spans="2:40" x14ac:dyDescent="0.2">
      <c r="B846">
        <v>505</v>
      </c>
      <c r="C846">
        <v>1</v>
      </c>
      <c r="D846" t="s">
        <v>220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</row>
    <row r="847" spans="2:40" x14ac:dyDescent="0.2">
      <c r="B847">
        <v>507</v>
      </c>
      <c r="C847">
        <v>1</v>
      </c>
      <c r="D847" t="s">
        <v>221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</row>
    <row r="848" spans="2:40" x14ac:dyDescent="0.2">
      <c r="B848">
        <v>508</v>
      </c>
      <c r="C848">
        <v>1</v>
      </c>
      <c r="D848" t="s">
        <v>222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</row>
    <row r="849" spans="2:40" x14ac:dyDescent="0.2">
      <c r="B849">
        <v>511</v>
      </c>
      <c r="C849">
        <v>1</v>
      </c>
      <c r="D849" t="s">
        <v>223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</row>
    <row r="850" spans="2:40" x14ac:dyDescent="0.2">
      <c r="B850">
        <v>513</v>
      </c>
      <c r="C850">
        <v>1</v>
      </c>
      <c r="D850" t="s">
        <v>224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</row>
    <row r="851" spans="2:40" x14ac:dyDescent="0.2">
      <c r="B851">
        <v>514</v>
      </c>
      <c r="C851">
        <v>1</v>
      </c>
      <c r="D851" t="s">
        <v>225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</row>
    <row r="852" spans="2:40" x14ac:dyDescent="0.2">
      <c r="B852">
        <v>516</v>
      </c>
      <c r="C852">
        <v>1</v>
      </c>
      <c r="D852" t="s">
        <v>226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</row>
    <row r="853" spans="2:40" x14ac:dyDescent="0.2">
      <c r="B853">
        <v>518</v>
      </c>
      <c r="C853">
        <v>1</v>
      </c>
      <c r="D853" t="s">
        <v>227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</row>
    <row r="854" spans="2:40" x14ac:dyDescent="0.2">
      <c r="B854">
        <v>531</v>
      </c>
      <c r="C854">
        <v>1</v>
      </c>
      <c r="D854" t="s">
        <v>228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</row>
    <row r="855" spans="2:40" x14ac:dyDescent="0.2">
      <c r="B855">
        <v>533</v>
      </c>
      <c r="C855">
        <v>1</v>
      </c>
      <c r="D855" t="s">
        <v>229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</row>
    <row r="856" spans="2:40" x14ac:dyDescent="0.2">
      <c r="B856">
        <v>534</v>
      </c>
      <c r="C856">
        <v>1</v>
      </c>
      <c r="D856" t="s">
        <v>230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</row>
    <row r="857" spans="2:40" x14ac:dyDescent="0.2">
      <c r="B857">
        <v>535</v>
      </c>
      <c r="C857">
        <v>1</v>
      </c>
      <c r="D857" t="s">
        <v>231</v>
      </c>
      <c r="E857" s="3">
        <v>0</v>
      </c>
      <c r="F857" s="3">
        <v>0</v>
      </c>
      <c r="G857" s="3">
        <v>440.84</v>
      </c>
      <c r="H857" s="3">
        <v>440.84</v>
      </c>
      <c r="I857" s="3">
        <v>440.84</v>
      </c>
      <c r="J857" s="3">
        <v>440.84</v>
      </c>
      <c r="K857" s="3">
        <v>440.84</v>
      </c>
      <c r="L857" s="3">
        <v>440.84</v>
      </c>
      <c r="M857" s="3">
        <v>440.84</v>
      </c>
      <c r="N857" s="3">
        <v>440.84</v>
      </c>
      <c r="O857" s="3">
        <v>440.84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440.84</v>
      </c>
      <c r="AF857" s="3">
        <v>440.84</v>
      </c>
      <c r="AG857" s="3">
        <v>440.84</v>
      </c>
      <c r="AH857" s="3">
        <v>440.84</v>
      </c>
      <c r="AI857" s="3">
        <v>440.84</v>
      </c>
      <c r="AJ857" s="3">
        <v>440.84</v>
      </c>
      <c r="AK857" s="3">
        <v>440.84</v>
      </c>
      <c r="AL857" s="3">
        <v>440.84</v>
      </c>
      <c r="AM857" s="3">
        <v>440.84</v>
      </c>
      <c r="AN857" s="3">
        <v>0</v>
      </c>
    </row>
    <row r="858" spans="2:40" x14ac:dyDescent="0.2">
      <c r="B858">
        <v>542</v>
      </c>
      <c r="C858">
        <v>1</v>
      </c>
      <c r="D858" t="s">
        <v>232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</row>
    <row r="859" spans="2:40" x14ac:dyDescent="0.2">
      <c r="B859">
        <v>544</v>
      </c>
      <c r="C859">
        <v>1</v>
      </c>
      <c r="D859" t="s">
        <v>233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</row>
    <row r="860" spans="2:40" x14ac:dyDescent="0.2">
      <c r="B860">
        <v>545</v>
      </c>
      <c r="C860">
        <v>1</v>
      </c>
      <c r="D860" t="s">
        <v>234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</row>
    <row r="861" spans="2:40" x14ac:dyDescent="0.2">
      <c r="B861">
        <v>547</v>
      </c>
      <c r="C861">
        <v>1</v>
      </c>
      <c r="D861" t="s">
        <v>235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</row>
    <row r="862" spans="2:40" x14ac:dyDescent="0.2">
      <c r="B862">
        <v>548</v>
      </c>
      <c r="C862">
        <v>1</v>
      </c>
      <c r="D862" t="s">
        <v>236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</row>
    <row r="863" spans="2:40" x14ac:dyDescent="0.2">
      <c r="B863">
        <v>549</v>
      </c>
      <c r="C863">
        <v>1</v>
      </c>
      <c r="D863" t="s">
        <v>237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</row>
    <row r="864" spans="2:40" x14ac:dyDescent="0.2">
      <c r="B864">
        <v>550</v>
      </c>
      <c r="C864">
        <v>1</v>
      </c>
      <c r="D864" t="s">
        <v>238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</row>
    <row r="865" spans="2:40" x14ac:dyDescent="0.2">
      <c r="B865">
        <v>553</v>
      </c>
      <c r="C865">
        <v>1</v>
      </c>
      <c r="D865" t="s">
        <v>239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</row>
    <row r="866" spans="2:40" x14ac:dyDescent="0.2">
      <c r="B866">
        <v>561</v>
      </c>
      <c r="C866">
        <v>1</v>
      </c>
      <c r="D866" t="s">
        <v>240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</row>
    <row r="867" spans="2:40" x14ac:dyDescent="0.2">
      <c r="B867">
        <v>564</v>
      </c>
      <c r="C867">
        <v>1</v>
      </c>
      <c r="D867" t="s">
        <v>241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</row>
    <row r="868" spans="2:40" x14ac:dyDescent="0.2">
      <c r="B868">
        <v>577</v>
      </c>
      <c r="C868">
        <v>1</v>
      </c>
      <c r="D868" t="s">
        <v>242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</row>
    <row r="869" spans="2:40" x14ac:dyDescent="0.2">
      <c r="B869">
        <v>578</v>
      </c>
      <c r="C869">
        <v>1</v>
      </c>
      <c r="D869" t="s">
        <v>243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</row>
    <row r="870" spans="2:40" x14ac:dyDescent="0.2">
      <c r="B870">
        <v>581</v>
      </c>
      <c r="C870">
        <v>1</v>
      </c>
      <c r="D870" t="s">
        <v>244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</row>
    <row r="871" spans="2:40" x14ac:dyDescent="0.2">
      <c r="B871">
        <v>592</v>
      </c>
      <c r="C871">
        <v>1</v>
      </c>
      <c r="D871" t="s">
        <v>246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</row>
    <row r="872" spans="2:40" x14ac:dyDescent="0.2">
      <c r="B872">
        <v>593</v>
      </c>
      <c r="C872">
        <v>1</v>
      </c>
      <c r="D872" t="s">
        <v>247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</row>
    <row r="873" spans="2:40" x14ac:dyDescent="0.2">
      <c r="B873">
        <v>595</v>
      </c>
      <c r="C873">
        <v>1</v>
      </c>
      <c r="D873" t="s">
        <v>248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</row>
    <row r="874" spans="2:40" x14ac:dyDescent="0.2">
      <c r="B874">
        <v>599</v>
      </c>
      <c r="C874">
        <v>1</v>
      </c>
      <c r="D874" t="s">
        <v>249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</row>
    <row r="875" spans="2:40" x14ac:dyDescent="0.2">
      <c r="B875">
        <v>600</v>
      </c>
      <c r="C875">
        <v>1</v>
      </c>
      <c r="D875" t="s">
        <v>250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</row>
    <row r="876" spans="2:40" x14ac:dyDescent="0.2">
      <c r="B876">
        <v>601</v>
      </c>
      <c r="C876">
        <v>1</v>
      </c>
      <c r="D876" t="s">
        <v>251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</row>
    <row r="877" spans="2:40" x14ac:dyDescent="0.2">
      <c r="B877">
        <v>611</v>
      </c>
      <c r="C877">
        <v>1</v>
      </c>
      <c r="D877" t="s">
        <v>252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</row>
    <row r="878" spans="2:40" x14ac:dyDescent="0.2">
      <c r="B878">
        <v>621</v>
      </c>
      <c r="C878">
        <v>1</v>
      </c>
      <c r="D878" t="s">
        <v>253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</row>
    <row r="879" spans="2:40" x14ac:dyDescent="0.2">
      <c r="B879">
        <v>622</v>
      </c>
      <c r="C879">
        <v>1</v>
      </c>
      <c r="D879" t="s">
        <v>254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</row>
    <row r="880" spans="2:40" x14ac:dyDescent="0.2">
      <c r="B880">
        <v>623</v>
      </c>
      <c r="C880">
        <v>1</v>
      </c>
      <c r="D880" t="s">
        <v>255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</row>
    <row r="881" spans="2:40" x14ac:dyDescent="0.2">
      <c r="B881">
        <v>624</v>
      </c>
      <c r="C881">
        <v>1</v>
      </c>
      <c r="D881" t="s">
        <v>256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</row>
    <row r="882" spans="2:40" x14ac:dyDescent="0.2">
      <c r="B882">
        <v>625</v>
      </c>
      <c r="C882">
        <v>1</v>
      </c>
      <c r="D882" t="s">
        <v>257</v>
      </c>
      <c r="E882" s="3">
        <v>0</v>
      </c>
      <c r="F882" s="3">
        <v>593</v>
      </c>
      <c r="G882" s="3">
        <v>593</v>
      </c>
      <c r="H882" s="3">
        <v>593</v>
      </c>
      <c r="I882" s="3">
        <v>593</v>
      </c>
      <c r="J882" s="3">
        <v>593</v>
      </c>
      <c r="K882" s="3">
        <v>593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593</v>
      </c>
      <c r="AE882" s="3">
        <v>593</v>
      </c>
      <c r="AF882" s="3">
        <v>593</v>
      </c>
      <c r="AG882" s="3">
        <v>593</v>
      </c>
      <c r="AH882" s="3">
        <v>593</v>
      </c>
      <c r="AI882" s="3">
        <v>593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</row>
    <row r="883" spans="2:40" x14ac:dyDescent="0.2">
      <c r="B883">
        <v>627</v>
      </c>
      <c r="C883">
        <v>1</v>
      </c>
      <c r="D883" t="s">
        <v>258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</row>
    <row r="884" spans="2:40" x14ac:dyDescent="0.2">
      <c r="B884">
        <v>628</v>
      </c>
      <c r="C884">
        <v>1</v>
      </c>
      <c r="D884" t="s">
        <v>259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</row>
    <row r="885" spans="2:40" x14ac:dyDescent="0.2">
      <c r="B885">
        <v>630</v>
      </c>
      <c r="C885">
        <v>1</v>
      </c>
      <c r="D885" t="s">
        <v>260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</row>
    <row r="886" spans="2:40" x14ac:dyDescent="0.2">
      <c r="B886">
        <v>635</v>
      </c>
      <c r="C886">
        <v>1</v>
      </c>
      <c r="D886" t="s">
        <v>261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</row>
    <row r="887" spans="2:40" x14ac:dyDescent="0.2">
      <c r="B887">
        <v>640</v>
      </c>
      <c r="C887">
        <v>1</v>
      </c>
      <c r="D887" t="s">
        <v>262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</row>
    <row r="888" spans="2:40" x14ac:dyDescent="0.2">
      <c r="B888">
        <v>656</v>
      </c>
      <c r="C888">
        <v>1</v>
      </c>
      <c r="D888" t="s">
        <v>263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</row>
    <row r="889" spans="2:40" x14ac:dyDescent="0.2">
      <c r="B889">
        <v>659</v>
      </c>
      <c r="C889">
        <v>1</v>
      </c>
      <c r="D889" t="s">
        <v>264</v>
      </c>
      <c r="E889" s="3">
        <v>0</v>
      </c>
      <c r="F889" s="3">
        <v>1180</v>
      </c>
      <c r="G889" s="3">
        <v>1180</v>
      </c>
      <c r="H889" s="3">
        <v>1180</v>
      </c>
      <c r="I889" s="3">
        <v>1180</v>
      </c>
      <c r="J889" s="3">
        <v>1180</v>
      </c>
      <c r="K889" s="3">
        <v>1180</v>
      </c>
      <c r="L889" s="3">
        <v>1180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1180</v>
      </c>
      <c r="AE889" s="3">
        <v>1180</v>
      </c>
      <c r="AF889" s="3">
        <v>1180</v>
      </c>
      <c r="AG889" s="3">
        <v>1180</v>
      </c>
      <c r="AH889" s="3">
        <v>1180</v>
      </c>
      <c r="AI889" s="3">
        <v>1180</v>
      </c>
      <c r="AJ889" s="3">
        <v>1180</v>
      </c>
      <c r="AK889" s="3">
        <v>0</v>
      </c>
      <c r="AL889" s="3">
        <v>0</v>
      </c>
      <c r="AM889" s="3">
        <v>0</v>
      </c>
      <c r="AN889" s="3">
        <v>0</v>
      </c>
    </row>
    <row r="890" spans="2:40" x14ac:dyDescent="0.2">
      <c r="B890">
        <v>671</v>
      </c>
      <c r="C890">
        <v>1</v>
      </c>
      <c r="D890" t="s">
        <v>265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</row>
    <row r="891" spans="2:40" x14ac:dyDescent="0.2">
      <c r="B891">
        <v>676</v>
      </c>
      <c r="C891">
        <v>1</v>
      </c>
      <c r="D891" t="s">
        <v>266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</row>
    <row r="892" spans="2:40" x14ac:dyDescent="0.2">
      <c r="B892">
        <v>682</v>
      </c>
      <c r="C892">
        <v>1</v>
      </c>
      <c r="D892" t="s">
        <v>267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</row>
    <row r="893" spans="2:40" x14ac:dyDescent="0.2">
      <c r="B893">
        <v>690</v>
      </c>
      <c r="C893">
        <v>1</v>
      </c>
      <c r="D893" t="s">
        <v>268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</row>
    <row r="894" spans="2:40" x14ac:dyDescent="0.2">
      <c r="B894">
        <v>695</v>
      </c>
      <c r="C894">
        <v>1</v>
      </c>
      <c r="D894" t="s">
        <v>269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</row>
    <row r="895" spans="2:40" x14ac:dyDescent="0.2">
      <c r="B895">
        <v>696</v>
      </c>
      <c r="C895">
        <v>1</v>
      </c>
      <c r="D895" t="s">
        <v>270</v>
      </c>
      <c r="E895" s="3">
        <v>0</v>
      </c>
      <c r="F895" s="3">
        <v>900</v>
      </c>
      <c r="G895" s="3">
        <v>900</v>
      </c>
      <c r="H895" s="3">
        <v>900</v>
      </c>
      <c r="I895" s="3">
        <v>900</v>
      </c>
      <c r="J895" s="3">
        <v>900</v>
      </c>
      <c r="K895" s="3">
        <v>900</v>
      </c>
      <c r="L895" s="3">
        <v>900</v>
      </c>
      <c r="M895" s="3">
        <v>900</v>
      </c>
      <c r="N895" s="3">
        <v>900</v>
      </c>
      <c r="O895" s="3">
        <v>900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900</v>
      </c>
      <c r="AE895" s="3">
        <v>900</v>
      </c>
      <c r="AF895" s="3">
        <v>900</v>
      </c>
      <c r="AG895" s="3">
        <v>900</v>
      </c>
      <c r="AH895" s="3">
        <v>900</v>
      </c>
      <c r="AI895" s="3">
        <v>900</v>
      </c>
      <c r="AJ895" s="3">
        <v>900</v>
      </c>
      <c r="AK895" s="3">
        <v>900</v>
      </c>
      <c r="AL895" s="3">
        <v>900</v>
      </c>
      <c r="AM895" s="3">
        <v>900</v>
      </c>
      <c r="AN895" s="3">
        <v>0</v>
      </c>
    </row>
    <row r="896" spans="2:40" x14ac:dyDescent="0.2">
      <c r="B896">
        <v>698</v>
      </c>
      <c r="C896">
        <v>1</v>
      </c>
      <c r="D896" t="s">
        <v>271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</row>
    <row r="897" spans="2:40" x14ac:dyDescent="0.2">
      <c r="B897">
        <v>700</v>
      </c>
      <c r="C897">
        <v>1</v>
      </c>
      <c r="D897" t="s">
        <v>272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</row>
    <row r="898" spans="2:40" x14ac:dyDescent="0.2">
      <c r="B898">
        <v>701</v>
      </c>
      <c r="C898">
        <v>1</v>
      </c>
      <c r="D898" t="s">
        <v>273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</row>
    <row r="899" spans="2:40" x14ac:dyDescent="0.2">
      <c r="B899">
        <v>704</v>
      </c>
      <c r="C899">
        <v>1</v>
      </c>
      <c r="D899" t="s">
        <v>274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</row>
    <row r="900" spans="2:40" x14ac:dyDescent="0.2">
      <c r="B900">
        <v>706</v>
      </c>
      <c r="C900">
        <v>1</v>
      </c>
      <c r="D900" t="s">
        <v>275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</row>
    <row r="901" spans="2:40" x14ac:dyDescent="0.2">
      <c r="B901">
        <v>707</v>
      </c>
      <c r="C901">
        <v>1</v>
      </c>
      <c r="D901" t="s">
        <v>276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</row>
    <row r="902" spans="2:40" x14ac:dyDescent="0.2">
      <c r="B902">
        <v>709</v>
      </c>
      <c r="C902">
        <v>1</v>
      </c>
      <c r="D902" t="s">
        <v>277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</row>
    <row r="903" spans="2:40" x14ac:dyDescent="0.2">
      <c r="B903">
        <v>712</v>
      </c>
      <c r="C903">
        <v>1</v>
      </c>
      <c r="D903" t="s">
        <v>278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</row>
    <row r="904" spans="2:40" x14ac:dyDescent="0.2">
      <c r="B904">
        <v>716</v>
      </c>
      <c r="C904">
        <v>1</v>
      </c>
      <c r="D904" t="s">
        <v>279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</row>
    <row r="905" spans="2:40" x14ac:dyDescent="0.2">
      <c r="B905">
        <v>717</v>
      </c>
      <c r="C905">
        <v>1</v>
      </c>
      <c r="D905" t="s">
        <v>280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</row>
    <row r="906" spans="2:40" x14ac:dyDescent="0.2">
      <c r="B906">
        <v>719</v>
      </c>
      <c r="C906">
        <v>1</v>
      </c>
      <c r="D906" t="s">
        <v>281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</row>
    <row r="907" spans="2:40" x14ac:dyDescent="0.2">
      <c r="B907">
        <v>720</v>
      </c>
      <c r="C907">
        <v>1</v>
      </c>
      <c r="D907" t="s">
        <v>282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</row>
    <row r="908" spans="2:40" x14ac:dyDescent="0.2">
      <c r="B908">
        <v>721</v>
      </c>
      <c r="C908">
        <v>1</v>
      </c>
      <c r="D908" t="s">
        <v>283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</row>
    <row r="909" spans="2:40" x14ac:dyDescent="0.2">
      <c r="B909">
        <v>726</v>
      </c>
      <c r="C909">
        <v>1</v>
      </c>
      <c r="D909" t="s">
        <v>284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</row>
    <row r="910" spans="2:40" x14ac:dyDescent="0.2">
      <c r="B910">
        <v>727</v>
      </c>
      <c r="C910">
        <v>1</v>
      </c>
      <c r="D910" t="s">
        <v>285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</row>
    <row r="911" spans="2:40" x14ac:dyDescent="0.2">
      <c r="B911">
        <v>728</v>
      </c>
      <c r="C911">
        <v>1</v>
      </c>
      <c r="D911" t="s">
        <v>286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</row>
    <row r="912" spans="2:40" x14ac:dyDescent="0.2">
      <c r="B912">
        <v>738</v>
      </c>
      <c r="C912">
        <v>1</v>
      </c>
      <c r="D912" t="s">
        <v>287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</row>
    <row r="913" spans="2:40" x14ac:dyDescent="0.2">
      <c r="B913">
        <v>739</v>
      </c>
      <c r="C913">
        <v>1</v>
      </c>
      <c r="D913" t="s">
        <v>288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</row>
    <row r="914" spans="2:40" x14ac:dyDescent="0.2">
      <c r="B914">
        <v>740</v>
      </c>
      <c r="C914">
        <v>1</v>
      </c>
      <c r="D914" t="s">
        <v>289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</row>
    <row r="915" spans="2:40" x14ac:dyDescent="0.2">
      <c r="B915">
        <v>741</v>
      </c>
      <c r="C915">
        <v>1</v>
      </c>
      <c r="D915" t="s">
        <v>290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</row>
    <row r="916" spans="2:40" x14ac:dyDescent="0.2">
      <c r="B916">
        <v>742</v>
      </c>
      <c r="C916">
        <v>1</v>
      </c>
      <c r="D916" t="s">
        <v>291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</row>
    <row r="917" spans="2:40" x14ac:dyDescent="0.2">
      <c r="B917">
        <v>743</v>
      </c>
      <c r="C917">
        <v>1</v>
      </c>
      <c r="D917" t="s">
        <v>292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</row>
    <row r="918" spans="2:40" x14ac:dyDescent="0.2">
      <c r="B918">
        <v>745</v>
      </c>
      <c r="C918">
        <v>1</v>
      </c>
      <c r="D918" t="s">
        <v>293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</row>
    <row r="919" spans="2:40" x14ac:dyDescent="0.2">
      <c r="B919">
        <v>748</v>
      </c>
      <c r="C919">
        <v>1</v>
      </c>
      <c r="D919" t="s">
        <v>294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</row>
    <row r="920" spans="2:40" x14ac:dyDescent="0.2">
      <c r="B920">
        <v>750</v>
      </c>
      <c r="C920">
        <v>1</v>
      </c>
      <c r="D920" t="s">
        <v>295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</row>
    <row r="921" spans="2:40" x14ac:dyDescent="0.2">
      <c r="B921">
        <v>756</v>
      </c>
      <c r="C921">
        <v>1</v>
      </c>
      <c r="D921" t="s">
        <v>296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</row>
    <row r="922" spans="2:40" x14ac:dyDescent="0.2">
      <c r="B922">
        <v>761</v>
      </c>
      <c r="C922">
        <v>1</v>
      </c>
      <c r="D922" t="s">
        <v>297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</row>
    <row r="923" spans="2:40" x14ac:dyDescent="0.2">
      <c r="B923">
        <v>763</v>
      </c>
      <c r="C923">
        <v>1</v>
      </c>
      <c r="D923" t="s">
        <v>298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</row>
    <row r="924" spans="2:40" x14ac:dyDescent="0.2">
      <c r="B924">
        <v>768</v>
      </c>
      <c r="C924">
        <v>1</v>
      </c>
      <c r="D924" t="s">
        <v>299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</row>
    <row r="925" spans="2:40" x14ac:dyDescent="0.2">
      <c r="B925">
        <v>769</v>
      </c>
      <c r="C925">
        <v>1</v>
      </c>
      <c r="D925" t="s">
        <v>300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</row>
    <row r="926" spans="2:40" x14ac:dyDescent="0.2">
      <c r="B926">
        <v>771</v>
      </c>
      <c r="C926">
        <v>1</v>
      </c>
      <c r="D926" t="s">
        <v>301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</row>
    <row r="927" spans="2:40" x14ac:dyDescent="0.2">
      <c r="B927">
        <v>775</v>
      </c>
      <c r="C927">
        <v>1</v>
      </c>
      <c r="D927" t="s">
        <v>302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</row>
    <row r="928" spans="2:40" x14ac:dyDescent="0.2">
      <c r="B928">
        <v>777</v>
      </c>
      <c r="C928">
        <v>1</v>
      </c>
      <c r="D928" t="s">
        <v>303</v>
      </c>
      <c r="E928" s="3">
        <v>0</v>
      </c>
      <c r="F928" s="3">
        <v>515</v>
      </c>
      <c r="G928" s="3">
        <v>515</v>
      </c>
      <c r="H928" s="3">
        <v>515</v>
      </c>
      <c r="I928" s="3">
        <v>515</v>
      </c>
      <c r="J928" s="3">
        <v>515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515</v>
      </c>
      <c r="AE928" s="3">
        <v>515</v>
      </c>
      <c r="AF928" s="3">
        <v>515</v>
      </c>
      <c r="AG928" s="3">
        <v>515</v>
      </c>
      <c r="AH928" s="3">
        <v>515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</row>
    <row r="929" spans="2:40" x14ac:dyDescent="0.2">
      <c r="B929">
        <v>786</v>
      </c>
      <c r="C929">
        <v>1</v>
      </c>
      <c r="D929" t="s">
        <v>304</v>
      </c>
      <c r="E929" s="3">
        <v>0</v>
      </c>
      <c r="F929" s="3">
        <v>700</v>
      </c>
      <c r="G929" s="3">
        <v>700</v>
      </c>
      <c r="H929" s="3">
        <v>700</v>
      </c>
      <c r="I929" s="3">
        <v>700</v>
      </c>
      <c r="J929" s="3">
        <v>700</v>
      </c>
      <c r="K929" s="3">
        <v>700</v>
      </c>
      <c r="L929" s="3">
        <v>700</v>
      </c>
      <c r="M929" s="3">
        <v>700</v>
      </c>
      <c r="N929" s="3">
        <v>700</v>
      </c>
      <c r="O929" s="3">
        <v>700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700</v>
      </c>
      <c r="AE929" s="3">
        <v>700</v>
      </c>
      <c r="AF929" s="3">
        <v>700</v>
      </c>
      <c r="AG929" s="3">
        <v>700</v>
      </c>
      <c r="AH929" s="3">
        <v>700</v>
      </c>
      <c r="AI929" s="3">
        <v>700</v>
      </c>
      <c r="AJ929" s="3">
        <v>700</v>
      </c>
      <c r="AK929" s="3">
        <v>700</v>
      </c>
      <c r="AL929" s="3">
        <v>700</v>
      </c>
      <c r="AM929" s="3">
        <v>700</v>
      </c>
      <c r="AN929" s="3">
        <v>0</v>
      </c>
    </row>
    <row r="930" spans="2:40" x14ac:dyDescent="0.2">
      <c r="B930">
        <v>787</v>
      </c>
      <c r="C930">
        <v>1</v>
      </c>
      <c r="D930" t="s">
        <v>305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</row>
    <row r="931" spans="2:40" x14ac:dyDescent="0.2">
      <c r="B931">
        <v>801</v>
      </c>
      <c r="C931">
        <v>1</v>
      </c>
      <c r="D931" t="s">
        <v>306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</row>
    <row r="932" spans="2:40" x14ac:dyDescent="0.2">
      <c r="B932">
        <v>803</v>
      </c>
      <c r="C932">
        <v>1</v>
      </c>
      <c r="D932" t="s">
        <v>307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</row>
    <row r="933" spans="2:40" x14ac:dyDescent="0.2">
      <c r="B933">
        <v>811</v>
      </c>
      <c r="C933">
        <v>1</v>
      </c>
      <c r="D933" t="s">
        <v>310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</row>
    <row r="934" spans="2:40" x14ac:dyDescent="0.2">
      <c r="B934">
        <v>813</v>
      </c>
      <c r="C934">
        <v>1</v>
      </c>
      <c r="D934" t="s">
        <v>311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</row>
    <row r="935" spans="2:40" x14ac:dyDescent="0.2">
      <c r="B935">
        <v>815</v>
      </c>
      <c r="C935">
        <v>2</v>
      </c>
      <c r="D935" t="s">
        <v>312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</row>
    <row r="936" spans="2:40" x14ac:dyDescent="0.2">
      <c r="B936">
        <v>818</v>
      </c>
      <c r="C936">
        <v>1</v>
      </c>
      <c r="D936" t="s">
        <v>313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</row>
    <row r="937" spans="2:40" x14ac:dyDescent="0.2">
      <c r="B937">
        <v>820</v>
      </c>
      <c r="C937">
        <v>1</v>
      </c>
      <c r="D937" t="s">
        <v>314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</row>
    <row r="938" spans="2:40" x14ac:dyDescent="0.2">
      <c r="B938">
        <v>821</v>
      </c>
      <c r="C938">
        <v>1</v>
      </c>
      <c r="D938" t="s">
        <v>315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</row>
    <row r="939" spans="2:40" x14ac:dyDescent="0.2">
      <c r="B939">
        <v>829</v>
      </c>
      <c r="C939">
        <v>1</v>
      </c>
      <c r="D939" t="s">
        <v>316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</row>
    <row r="940" spans="2:40" x14ac:dyDescent="0.2">
      <c r="B940">
        <v>831</v>
      </c>
      <c r="C940">
        <v>1</v>
      </c>
      <c r="D940" t="s">
        <v>317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</row>
    <row r="941" spans="2:40" x14ac:dyDescent="0.2">
      <c r="B941">
        <v>832</v>
      </c>
      <c r="C941">
        <v>1</v>
      </c>
      <c r="D941" t="s">
        <v>318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</row>
    <row r="942" spans="2:40" x14ac:dyDescent="0.2">
      <c r="B942">
        <v>833</v>
      </c>
      <c r="C942">
        <v>1</v>
      </c>
      <c r="D942" t="s">
        <v>319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</row>
    <row r="943" spans="2:40" x14ac:dyDescent="0.2">
      <c r="B943">
        <v>834</v>
      </c>
      <c r="C943">
        <v>1</v>
      </c>
      <c r="D943" t="s">
        <v>320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</row>
    <row r="944" spans="2:40" x14ac:dyDescent="0.2">
      <c r="B944">
        <v>836</v>
      </c>
      <c r="C944">
        <v>1</v>
      </c>
      <c r="D944" t="s">
        <v>321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</row>
    <row r="945" spans="2:40" x14ac:dyDescent="0.2">
      <c r="B945">
        <v>837</v>
      </c>
      <c r="C945">
        <v>1</v>
      </c>
      <c r="D945" t="s">
        <v>322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</row>
    <row r="946" spans="2:40" x14ac:dyDescent="0.2">
      <c r="B946">
        <v>840</v>
      </c>
      <c r="C946">
        <v>1</v>
      </c>
      <c r="D946" t="s">
        <v>323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</row>
    <row r="947" spans="2:40" x14ac:dyDescent="0.2">
      <c r="B947">
        <v>846</v>
      </c>
      <c r="C947">
        <v>1</v>
      </c>
      <c r="D947" t="s">
        <v>324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</row>
    <row r="948" spans="2:40" x14ac:dyDescent="0.2">
      <c r="B948">
        <v>850</v>
      </c>
      <c r="C948">
        <v>1</v>
      </c>
      <c r="D948" t="s">
        <v>325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</row>
    <row r="949" spans="2:40" x14ac:dyDescent="0.2">
      <c r="B949">
        <v>852</v>
      </c>
      <c r="C949">
        <v>1</v>
      </c>
      <c r="D949" t="s">
        <v>326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</row>
    <row r="950" spans="2:40" x14ac:dyDescent="0.2">
      <c r="B950">
        <v>857</v>
      </c>
      <c r="C950">
        <v>1</v>
      </c>
      <c r="D950" t="s">
        <v>327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</row>
    <row r="951" spans="2:40" x14ac:dyDescent="0.2">
      <c r="B951">
        <v>858</v>
      </c>
      <c r="C951">
        <v>1</v>
      </c>
      <c r="D951" t="s">
        <v>328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</row>
    <row r="952" spans="2:40" x14ac:dyDescent="0.2">
      <c r="B952">
        <v>861</v>
      </c>
      <c r="C952">
        <v>1</v>
      </c>
      <c r="D952" t="s">
        <v>329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</row>
    <row r="953" spans="2:40" x14ac:dyDescent="0.2">
      <c r="B953">
        <v>876</v>
      </c>
      <c r="C953">
        <v>1</v>
      </c>
      <c r="D953" t="s">
        <v>330</v>
      </c>
      <c r="E953" s="3">
        <v>0</v>
      </c>
      <c r="F953" s="3">
        <v>650</v>
      </c>
      <c r="G953" s="3">
        <v>650</v>
      </c>
      <c r="H953" s="3">
        <v>650</v>
      </c>
      <c r="I953" s="3">
        <v>650</v>
      </c>
      <c r="J953" s="3">
        <v>650</v>
      </c>
      <c r="K953" s="3">
        <v>650</v>
      </c>
      <c r="L953" s="3">
        <v>650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650</v>
      </c>
      <c r="AE953" s="3">
        <v>650</v>
      </c>
      <c r="AF953" s="3">
        <v>650</v>
      </c>
      <c r="AG953" s="3">
        <v>650</v>
      </c>
      <c r="AH953" s="3">
        <v>650</v>
      </c>
      <c r="AI953" s="3">
        <v>650</v>
      </c>
      <c r="AJ953" s="3">
        <v>650</v>
      </c>
      <c r="AK953" s="3">
        <v>0</v>
      </c>
      <c r="AL953" s="3">
        <v>0</v>
      </c>
      <c r="AM953" s="3">
        <v>0</v>
      </c>
      <c r="AN953" s="3">
        <v>0</v>
      </c>
    </row>
    <row r="954" spans="2:40" x14ac:dyDescent="0.2">
      <c r="B954">
        <v>877</v>
      </c>
      <c r="C954">
        <v>1</v>
      </c>
      <c r="D954" t="s">
        <v>331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</row>
    <row r="955" spans="2:40" x14ac:dyDescent="0.2">
      <c r="B955">
        <v>879</v>
      </c>
      <c r="C955">
        <v>1</v>
      </c>
      <c r="D955" t="s">
        <v>332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</row>
    <row r="956" spans="2:40" x14ac:dyDescent="0.2">
      <c r="B956">
        <v>881</v>
      </c>
      <c r="C956">
        <v>1</v>
      </c>
      <c r="D956" t="s">
        <v>333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</row>
    <row r="957" spans="2:40" x14ac:dyDescent="0.2">
      <c r="B957">
        <v>882</v>
      </c>
      <c r="C957">
        <v>1</v>
      </c>
      <c r="D957" t="s">
        <v>334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</row>
    <row r="958" spans="2:40" x14ac:dyDescent="0.2">
      <c r="B958">
        <v>883</v>
      </c>
      <c r="C958">
        <v>1</v>
      </c>
      <c r="D958" t="s">
        <v>335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</row>
    <row r="959" spans="2:40" x14ac:dyDescent="0.2">
      <c r="B959">
        <v>885</v>
      </c>
      <c r="C959">
        <v>1</v>
      </c>
      <c r="D959" t="s">
        <v>336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</row>
    <row r="960" spans="2:40" x14ac:dyDescent="0.2">
      <c r="B960">
        <v>891</v>
      </c>
      <c r="C960">
        <v>1</v>
      </c>
      <c r="D960" t="s">
        <v>337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</row>
    <row r="961" spans="2:40" x14ac:dyDescent="0.2">
      <c r="B961">
        <v>911</v>
      </c>
      <c r="C961">
        <v>1</v>
      </c>
      <c r="D961" t="s">
        <v>338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</row>
    <row r="962" spans="2:40" x14ac:dyDescent="0.2">
      <c r="B962">
        <v>912</v>
      </c>
      <c r="C962">
        <v>1</v>
      </c>
      <c r="D962" t="s">
        <v>339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</row>
    <row r="963" spans="2:40" x14ac:dyDescent="0.2">
      <c r="B963">
        <v>914</v>
      </c>
      <c r="C963">
        <v>1</v>
      </c>
      <c r="D963" t="s">
        <v>340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</row>
    <row r="964" spans="2:40" x14ac:dyDescent="0.2">
      <c r="B964">
        <v>2071</v>
      </c>
      <c r="C964">
        <v>1</v>
      </c>
      <c r="D964" t="s">
        <v>341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</row>
    <row r="965" spans="2:40" x14ac:dyDescent="0.2">
      <c r="B965">
        <v>2125</v>
      </c>
      <c r="C965">
        <v>1</v>
      </c>
      <c r="D965" t="s">
        <v>342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</row>
    <row r="966" spans="2:40" x14ac:dyDescent="0.2">
      <c r="B966">
        <v>2134</v>
      </c>
      <c r="C966">
        <v>1</v>
      </c>
      <c r="D966" t="s">
        <v>343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</row>
    <row r="967" spans="2:40" x14ac:dyDescent="0.2">
      <c r="B967">
        <v>2135</v>
      </c>
      <c r="C967">
        <v>1</v>
      </c>
      <c r="D967" t="s">
        <v>344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</row>
    <row r="968" spans="2:40" x14ac:dyDescent="0.2">
      <c r="B968">
        <v>2137</v>
      </c>
      <c r="C968">
        <v>1</v>
      </c>
      <c r="D968" t="s">
        <v>345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</row>
    <row r="969" spans="2:40" x14ac:dyDescent="0.2">
      <c r="B969">
        <v>2142</v>
      </c>
      <c r="C969">
        <v>1</v>
      </c>
      <c r="D969" t="s">
        <v>346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</row>
    <row r="970" spans="2:40" x14ac:dyDescent="0.2">
      <c r="B970">
        <v>2143</v>
      </c>
      <c r="C970">
        <v>1</v>
      </c>
      <c r="D970" t="s">
        <v>347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</row>
    <row r="971" spans="2:40" x14ac:dyDescent="0.2">
      <c r="B971">
        <v>2144</v>
      </c>
      <c r="C971">
        <v>1</v>
      </c>
      <c r="D971" t="s">
        <v>348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</row>
    <row r="972" spans="2:40" x14ac:dyDescent="0.2">
      <c r="B972">
        <v>2149</v>
      </c>
      <c r="C972">
        <v>1</v>
      </c>
      <c r="D972" t="s">
        <v>349</v>
      </c>
      <c r="E972" s="3">
        <v>0</v>
      </c>
      <c r="F972" s="3">
        <v>629</v>
      </c>
      <c r="G972" s="3">
        <v>629</v>
      </c>
      <c r="H972" s="3">
        <v>629</v>
      </c>
      <c r="I972" s="3">
        <v>629</v>
      </c>
      <c r="J972" s="3">
        <v>629</v>
      </c>
      <c r="K972" s="3">
        <v>629</v>
      </c>
      <c r="L972" s="3">
        <v>629</v>
      </c>
      <c r="M972" s="3">
        <v>629</v>
      </c>
      <c r="N972" s="3">
        <v>629</v>
      </c>
      <c r="O972" s="3">
        <v>629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629</v>
      </c>
      <c r="AE972" s="3">
        <v>629</v>
      </c>
      <c r="AF972" s="3">
        <v>629</v>
      </c>
      <c r="AG972" s="3">
        <v>629</v>
      </c>
      <c r="AH972" s="3">
        <v>629</v>
      </c>
      <c r="AI972" s="3">
        <v>629</v>
      </c>
      <c r="AJ972" s="3">
        <v>629</v>
      </c>
      <c r="AK972" s="3">
        <v>629</v>
      </c>
      <c r="AL972" s="3">
        <v>629</v>
      </c>
      <c r="AM972" s="3">
        <v>629</v>
      </c>
      <c r="AN972" s="3">
        <v>0</v>
      </c>
    </row>
    <row r="973" spans="2:40" x14ac:dyDescent="0.2">
      <c r="B973">
        <v>2154</v>
      </c>
      <c r="C973">
        <v>1</v>
      </c>
      <c r="D973" t="s">
        <v>350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</row>
    <row r="974" spans="2:40" x14ac:dyDescent="0.2">
      <c r="B974">
        <v>2155</v>
      </c>
      <c r="C974">
        <v>1</v>
      </c>
      <c r="D974" t="s">
        <v>351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</row>
    <row r="975" spans="2:40" x14ac:dyDescent="0.2">
      <c r="B975">
        <v>2159</v>
      </c>
      <c r="C975">
        <v>1</v>
      </c>
      <c r="D975" t="s">
        <v>352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</row>
    <row r="976" spans="2:40" x14ac:dyDescent="0.2">
      <c r="B976">
        <v>2164</v>
      </c>
      <c r="C976">
        <v>1</v>
      </c>
      <c r="D976" t="s">
        <v>353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</row>
    <row r="977" spans="2:40" x14ac:dyDescent="0.2">
      <c r="B977">
        <v>2165</v>
      </c>
      <c r="C977">
        <v>1</v>
      </c>
      <c r="D977" t="s">
        <v>354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</row>
    <row r="978" spans="2:40" x14ac:dyDescent="0.2">
      <c r="B978">
        <v>2167</v>
      </c>
      <c r="C978">
        <v>1</v>
      </c>
      <c r="D978" t="s">
        <v>355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</row>
    <row r="979" spans="2:40" x14ac:dyDescent="0.2">
      <c r="B979">
        <v>2168</v>
      </c>
      <c r="C979">
        <v>1</v>
      </c>
      <c r="D979" t="s">
        <v>356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</row>
    <row r="980" spans="2:40" x14ac:dyDescent="0.2">
      <c r="B980">
        <v>2169</v>
      </c>
      <c r="C980">
        <v>1</v>
      </c>
      <c r="D980" t="s">
        <v>357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</row>
    <row r="981" spans="2:40" x14ac:dyDescent="0.2">
      <c r="B981">
        <v>2170</v>
      </c>
      <c r="C981">
        <v>1</v>
      </c>
      <c r="D981" t="s">
        <v>358</v>
      </c>
      <c r="E981" s="3">
        <v>0</v>
      </c>
      <c r="F981" s="3">
        <v>440</v>
      </c>
      <c r="G981" s="3">
        <v>440</v>
      </c>
      <c r="H981" s="3">
        <v>440</v>
      </c>
      <c r="I981" s="3">
        <v>440</v>
      </c>
      <c r="J981" s="3">
        <v>440</v>
      </c>
      <c r="K981" s="3">
        <v>440</v>
      </c>
      <c r="L981" s="3">
        <v>440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</row>
    <row r="982" spans="2:40" x14ac:dyDescent="0.2">
      <c r="B982">
        <v>2171</v>
      </c>
      <c r="C982">
        <v>1</v>
      </c>
      <c r="D982" t="s">
        <v>359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</row>
    <row r="983" spans="2:40" x14ac:dyDescent="0.2">
      <c r="B983">
        <v>2172</v>
      </c>
      <c r="C983">
        <v>1</v>
      </c>
      <c r="D983" t="s">
        <v>360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</row>
    <row r="984" spans="2:40" x14ac:dyDescent="0.2">
      <c r="B984">
        <v>2174</v>
      </c>
      <c r="C984">
        <v>1</v>
      </c>
      <c r="D984" t="s">
        <v>361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</row>
    <row r="985" spans="2:40" x14ac:dyDescent="0.2">
      <c r="B985">
        <v>2176</v>
      </c>
      <c r="C985">
        <v>1</v>
      </c>
      <c r="D985" t="s">
        <v>362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</row>
    <row r="986" spans="2:40" x14ac:dyDescent="0.2">
      <c r="B986">
        <v>2180</v>
      </c>
      <c r="C986">
        <v>1</v>
      </c>
      <c r="D986" t="s">
        <v>363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</row>
    <row r="987" spans="2:40" x14ac:dyDescent="0.2">
      <c r="B987">
        <v>2184</v>
      </c>
      <c r="C987">
        <v>1</v>
      </c>
      <c r="D987" t="s">
        <v>364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</row>
    <row r="988" spans="2:40" x14ac:dyDescent="0.2">
      <c r="B988">
        <v>2190</v>
      </c>
      <c r="C988">
        <v>1</v>
      </c>
      <c r="D988" t="s">
        <v>365</v>
      </c>
      <c r="E988" s="3">
        <v>0</v>
      </c>
      <c r="F988" s="3">
        <v>581</v>
      </c>
      <c r="G988" s="3">
        <v>581</v>
      </c>
      <c r="H988" s="3">
        <v>581</v>
      </c>
      <c r="I988" s="3">
        <v>581</v>
      </c>
      <c r="J988" s="3">
        <v>581</v>
      </c>
      <c r="K988" s="3">
        <v>581</v>
      </c>
      <c r="L988" s="3">
        <v>581</v>
      </c>
      <c r="M988" s="3">
        <v>581</v>
      </c>
      <c r="N988" s="3">
        <v>581</v>
      </c>
      <c r="O988" s="3">
        <v>581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581</v>
      </c>
      <c r="AE988" s="3">
        <v>581</v>
      </c>
      <c r="AF988" s="3">
        <v>581</v>
      </c>
      <c r="AG988" s="3">
        <v>581</v>
      </c>
      <c r="AH988" s="3">
        <v>581</v>
      </c>
      <c r="AI988" s="3">
        <v>581</v>
      </c>
      <c r="AJ988" s="3">
        <v>581</v>
      </c>
      <c r="AK988" s="3">
        <v>581</v>
      </c>
      <c r="AL988" s="3">
        <v>581</v>
      </c>
      <c r="AM988" s="3">
        <v>581</v>
      </c>
      <c r="AN988" s="3">
        <v>0</v>
      </c>
    </row>
    <row r="989" spans="2:40" x14ac:dyDescent="0.2">
      <c r="B989">
        <v>2198</v>
      </c>
      <c r="C989">
        <v>1</v>
      </c>
      <c r="D989" t="s">
        <v>366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</row>
    <row r="990" spans="2:40" x14ac:dyDescent="0.2">
      <c r="B990">
        <v>2215</v>
      </c>
      <c r="C990">
        <v>1</v>
      </c>
      <c r="D990" t="s">
        <v>367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</row>
    <row r="991" spans="2:40" x14ac:dyDescent="0.2">
      <c r="B991">
        <v>2310</v>
      </c>
      <c r="C991">
        <v>1</v>
      </c>
      <c r="D991" t="s">
        <v>368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</row>
    <row r="992" spans="2:40" x14ac:dyDescent="0.2">
      <c r="B992">
        <v>2311</v>
      </c>
      <c r="C992">
        <v>1</v>
      </c>
      <c r="D992" t="s">
        <v>369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</row>
    <row r="993" spans="2:40" x14ac:dyDescent="0.2">
      <c r="B993">
        <v>2342</v>
      </c>
      <c r="C993">
        <v>1</v>
      </c>
      <c r="D993" t="s">
        <v>370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</row>
    <row r="994" spans="2:40" x14ac:dyDescent="0.2">
      <c r="B994">
        <v>2358</v>
      </c>
      <c r="C994">
        <v>1</v>
      </c>
      <c r="D994" t="s">
        <v>371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</row>
    <row r="995" spans="2:40" x14ac:dyDescent="0.2">
      <c r="B995">
        <v>2364</v>
      </c>
      <c r="C995">
        <v>1</v>
      </c>
      <c r="D995" t="s">
        <v>372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</row>
    <row r="996" spans="2:40" x14ac:dyDescent="0.2">
      <c r="B996">
        <v>2365</v>
      </c>
      <c r="C996">
        <v>1</v>
      </c>
      <c r="D996" t="s">
        <v>373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</row>
    <row r="997" spans="2:40" x14ac:dyDescent="0.2">
      <c r="B997">
        <v>2396</v>
      </c>
      <c r="C997">
        <v>1</v>
      </c>
      <c r="D997" t="s">
        <v>374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</row>
    <row r="998" spans="2:40" x14ac:dyDescent="0.2">
      <c r="B998">
        <v>2397</v>
      </c>
      <c r="C998">
        <v>1</v>
      </c>
      <c r="D998" t="s">
        <v>375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</row>
    <row r="999" spans="2:40" x14ac:dyDescent="0.2">
      <c r="B999">
        <v>2448</v>
      </c>
      <c r="C999">
        <v>1</v>
      </c>
      <c r="D999" t="s">
        <v>376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</row>
    <row r="1000" spans="2:40" x14ac:dyDescent="0.2">
      <c r="B1000">
        <v>2527</v>
      </c>
      <c r="C1000">
        <v>1</v>
      </c>
      <c r="D1000" t="s">
        <v>377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</row>
    <row r="1001" spans="2:40" x14ac:dyDescent="0.2">
      <c r="B1001">
        <v>2534</v>
      </c>
      <c r="C1001">
        <v>1</v>
      </c>
      <c r="D1001" t="s">
        <v>378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</row>
    <row r="1002" spans="2:40" x14ac:dyDescent="0.2">
      <c r="B1002">
        <v>2536</v>
      </c>
      <c r="C1002">
        <v>1</v>
      </c>
      <c r="D1002" t="s">
        <v>379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</row>
    <row r="1003" spans="2:40" x14ac:dyDescent="0.2">
      <c r="B1003">
        <v>2580</v>
      </c>
      <c r="C1003">
        <v>1</v>
      </c>
      <c r="D1003" t="s">
        <v>380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</row>
    <row r="1004" spans="2:40" x14ac:dyDescent="0.2">
      <c r="B1004">
        <v>2609</v>
      </c>
      <c r="C1004">
        <v>1</v>
      </c>
      <c r="D1004" t="s">
        <v>381</v>
      </c>
      <c r="E1004" s="3">
        <v>0</v>
      </c>
      <c r="F1004" s="3">
        <v>800</v>
      </c>
      <c r="G1004" s="3">
        <v>800</v>
      </c>
      <c r="H1004" s="3">
        <v>800</v>
      </c>
      <c r="I1004" s="3">
        <v>800</v>
      </c>
      <c r="J1004" s="3">
        <v>800</v>
      </c>
      <c r="K1004" s="3">
        <v>800</v>
      </c>
      <c r="L1004" s="3">
        <v>800</v>
      </c>
      <c r="M1004" s="3">
        <v>800</v>
      </c>
      <c r="N1004" s="3">
        <v>800</v>
      </c>
      <c r="O1004" s="3">
        <v>800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800</v>
      </c>
      <c r="AE1004" s="3">
        <v>800</v>
      </c>
      <c r="AF1004" s="3">
        <v>800</v>
      </c>
      <c r="AG1004" s="3">
        <v>800</v>
      </c>
      <c r="AH1004" s="3">
        <v>800</v>
      </c>
      <c r="AI1004" s="3">
        <v>800</v>
      </c>
      <c r="AJ1004" s="3">
        <v>800</v>
      </c>
      <c r="AK1004" s="3">
        <v>800</v>
      </c>
      <c r="AL1004" s="3">
        <v>800</v>
      </c>
      <c r="AM1004" s="3">
        <v>800</v>
      </c>
      <c r="AN1004" s="3">
        <v>0</v>
      </c>
    </row>
    <row r="1005" spans="2:40" x14ac:dyDescent="0.2">
      <c r="B1005">
        <v>2683</v>
      </c>
      <c r="C1005">
        <v>1</v>
      </c>
      <c r="D1005" t="s">
        <v>382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</row>
    <row r="1006" spans="2:40" x14ac:dyDescent="0.2">
      <c r="B1006">
        <v>2687</v>
      </c>
      <c r="C1006">
        <v>1</v>
      </c>
      <c r="D1006" t="s">
        <v>383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</row>
    <row r="1007" spans="2:40" x14ac:dyDescent="0.2">
      <c r="B1007">
        <v>2689</v>
      </c>
      <c r="C1007">
        <v>1</v>
      </c>
      <c r="D1007" t="s">
        <v>384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</row>
    <row r="1008" spans="2:40" x14ac:dyDescent="0.2">
      <c r="B1008">
        <v>2711</v>
      </c>
      <c r="C1008">
        <v>1</v>
      </c>
      <c r="D1008" t="s">
        <v>385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</row>
    <row r="1009" spans="2:40" x14ac:dyDescent="0.2">
      <c r="B1009">
        <v>2752</v>
      </c>
      <c r="C1009">
        <v>1</v>
      </c>
      <c r="D1009" t="s">
        <v>386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</row>
    <row r="1010" spans="2:40" x14ac:dyDescent="0.2">
      <c r="B1010">
        <v>2753</v>
      </c>
      <c r="C1010">
        <v>1</v>
      </c>
      <c r="D1010" t="s">
        <v>387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</row>
    <row r="1011" spans="2:40" x14ac:dyDescent="0.2">
      <c r="B1011">
        <v>2754</v>
      </c>
      <c r="C1011">
        <v>1</v>
      </c>
      <c r="D1011" t="s">
        <v>388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</row>
    <row r="1012" spans="2:40" x14ac:dyDescent="0.2">
      <c r="B1012">
        <v>2759</v>
      </c>
      <c r="C1012">
        <v>1</v>
      </c>
      <c r="D1012" t="s">
        <v>389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</row>
    <row r="1013" spans="2:40" x14ac:dyDescent="0.2">
      <c r="B1013">
        <v>2805</v>
      </c>
      <c r="C1013">
        <v>1</v>
      </c>
      <c r="D1013" t="s">
        <v>390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</row>
    <row r="1014" spans="2:40" x14ac:dyDescent="0.2">
      <c r="B1014">
        <v>2835</v>
      </c>
      <c r="C1014">
        <v>1</v>
      </c>
      <c r="D1014" t="s">
        <v>391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</row>
    <row r="1015" spans="2:40" x14ac:dyDescent="0.2">
      <c r="B1015">
        <v>2853</v>
      </c>
      <c r="C1015">
        <v>1</v>
      </c>
      <c r="D1015" t="s">
        <v>392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</row>
    <row r="1016" spans="2:40" x14ac:dyDescent="0.2">
      <c r="B1016">
        <v>2854</v>
      </c>
      <c r="C1016">
        <v>1</v>
      </c>
      <c r="D1016" t="s">
        <v>393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</row>
    <row r="1017" spans="2:40" x14ac:dyDescent="0.2">
      <c r="B1017">
        <v>2856</v>
      </c>
      <c r="C1017">
        <v>1</v>
      </c>
      <c r="D1017" t="s">
        <v>394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</row>
    <row r="1018" spans="2:40" x14ac:dyDescent="0.2">
      <c r="B1018">
        <v>2859</v>
      </c>
      <c r="C1018">
        <v>1</v>
      </c>
      <c r="D1018" t="s">
        <v>395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</row>
    <row r="1019" spans="2:40" x14ac:dyDescent="0.2">
      <c r="B1019">
        <v>2860</v>
      </c>
      <c r="C1019">
        <v>1</v>
      </c>
      <c r="D1019" t="s">
        <v>396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</row>
    <row r="1020" spans="2:40" x14ac:dyDescent="0.2">
      <c r="B1020">
        <v>2884</v>
      </c>
      <c r="C1020">
        <v>1</v>
      </c>
      <c r="D1020" t="s">
        <v>397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</row>
    <row r="1021" spans="2:40" x14ac:dyDescent="0.2">
      <c r="B1021">
        <v>2886</v>
      </c>
      <c r="C1021">
        <v>1</v>
      </c>
      <c r="D1021" t="s">
        <v>398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</row>
    <row r="1022" spans="2:40" x14ac:dyDescent="0.2">
      <c r="B1022">
        <v>2887</v>
      </c>
      <c r="C1022">
        <v>1</v>
      </c>
      <c r="D1022" t="s">
        <v>399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</row>
    <row r="1023" spans="2:40" x14ac:dyDescent="0.2">
      <c r="B1023">
        <v>2888</v>
      </c>
      <c r="C1023">
        <v>1</v>
      </c>
      <c r="D1023" t="s">
        <v>400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</row>
    <row r="1024" spans="2:40" x14ac:dyDescent="0.2">
      <c r="B1024">
        <v>2889</v>
      </c>
      <c r="C1024">
        <v>1</v>
      </c>
      <c r="D1024" t="s">
        <v>401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</row>
    <row r="1025" spans="1:40" x14ac:dyDescent="0.2">
      <c r="B1025">
        <v>2890</v>
      </c>
      <c r="C1025">
        <v>1</v>
      </c>
      <c r="D1025" t="s">
        <v>402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</row>
    <row r="1026" spans="1:40" x14ac:dyDescent="0.2">
      <c r="B1026">
        <v>2895</v>
      </c>
      <c r="C1026">
        <v>1</v>
      </c>
      <c r="D1026" t="s">
        <v>403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</row>
    <row r="1027" spans="1:40" x14ac:dyDescent="0.2">
      <c r="B1027">
        <v>2897</v>
      </c>
      <c r="C1027">
        <v>1</v>
      </c>
      <c r="D1027" t="s">
        <v>404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</row>
    <row r="1028" spans="1:40" x14ac:dyDescent="0.2">
      <c r="B1028">
        <v>2898</v>
      </c>
      <c r="C1028">
        <v>1</v>
      </c>
      <c r="D1028" t="s">
        <v>405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</row>
    <row r="1029" spans="1:40" x14ac:dyDescent="0.2">
      <c r="B1029" s="64">
        <v>2899</v>
      </c>
      <c r="C1029" s="64">
        <v>1</v>
      </c>
      <c r="D1029" s="22" t="s">
        <v>908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</row>
    <row r="1030" spans="1:40" x14ac:dyDescent="0.2">
      <c r="B1030" s="64">
        <v>2902</v>
      </c>
      <c r="C1030" s="64">
        <v>1</v>
      </c>
      <c r="D1030" s="22" t="s">
        <v>909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</row>
    <row r="1032" spans="1:40" x14ac:dyDescent="0.2">
      <c r="A1032" t="s">
        <v>925</v>
      </c>
      <c r="B1032">
        <v>1</v>
      </c>
      <c r="C1032">
        <v>1</v>
      </c>
      <c r="D1032" t="s">
        <v>63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</row>
    <row r="1033" spans="1:40" x14ac:dyDescent="0.2">
      <c r="A1033" t="s">
        <v>926</v>
      </c>
      <c r="B1033">
        <v>1.2</v>
      </c>
      <c r="C1033">
        <v>1.2</v>
      </c>
      <c r="D1033" t="s">
        <v>64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</row>
    <row r="1034" spans="1:40" x14ac:dyDescent="0.2">
      <c r="B1034">
        <v>2</v>
      </c>
      <c r="C1034">
        <v>1</v>
      </c>
      <c r="D1034" t="s">
        <v>65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</row>
    <row r="1035" spans="1:40" x14ac:dyDescent="0.2">
      <c r="B1035">
        <v>4</v>
      </c>
      <c r="C1035">
        <v>1</v>
      </c>
      <c r="D1035" t="s">
        <v>66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</row>
    <row r="1036" spans="1:40" x14ac:dyDescent="0.2">
      <c r="B1036">
        <v>6</v>
      </c>
      <c r="C1036">
        <v>3</v>
      </c>
      <c r="D1036" t="s">
        <v>67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</row>
    <row r="1037" spans="1:40" x14ac:dyDescent="0.2">
      <c r="B1037">
        <v>11</v>
      </c>
      <c r="C1037">
        <v>1</v>
      </c>
      <c r="D1037" t="s">
        <v>68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</row>
    <row r="1038" spans="1:40" x14ac:dyDescent="0.2">
      <c r="B1038">
        <v>12</v>
      </c>
      <c r="C1038">
        <v>1</v>
      </c>
      <c r="D1038" t="s">
        <v>69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</row>
    <row r="1039" spans="1:40" x14ac:dyDescent="0.2">
      <c r="B1039">
        <v>13</v>
      </c>
      <c r="C1039">
        <v>1</v>
      </c>
      <c r="D1039" t="s">
        <v>70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</row>
    <row r="1040" spans="1:40" x14ac:dyDescent="0.2">
      <c r="B1040">
        <v>14</v>
      </c>
      <c r="C1040">
        <v>1</v>
      </c>
      <c r="D1040" t="s">
        <v>71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</row>
    <row r="1041" spans="2:40" x14ac:dyDescent="0.2">
      <c r="B1041">
        <v>15</v>
      </c>
      <c r="C1041">
        <v>1</v>
      </c>
      <c r="D1041" t="s">
        <v>72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</row>
    <row r="1042" spans="2:40" x14ac:dyDescent="0.2">
      <c r="B1042">
        <v>16</v>
      </c>
      <c r="C1042">
        <v>1</v>
      </c>
      <c r="D1042" t="s">
        <v>73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</row>
    <row r="1043" spans="2:40" x14ac:dyDescent="0.2">
      <c r="B1043">
        <v>22</v>
      </c>
      <c r="C1043">
        <v>1</v>
      </c>
      <c r="D1043" t="s">
        <v>74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</row>
    <row r="1044" spans="2:40" x14ac:dyDescent="0.2">
      <c r="B1044">
        <v>23</v>
      </c>
      <c r="C1044">
        <v>1</v>
      </c>
      <c r="D1044" t="s">
        <v>75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</row>
    <row r="1045" spans="2:40" x14ac:dyDescent="0.2">
      <c r="B1045">
        <v>25</v>
      </c>
      <c r="C1045">
        <v>1</v>
      </c>
      <c r="D1045" t="s">
        <v>76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</row>
    <row r="1046" spans="2:40" x14ac:dyDescent="0.2">
      <c r="B1046">
        <v>31</v>
      </c>
      <c r="C1046">
        <v>1</v>
      </c>
      <c r="D1046" t="s">
        <v>77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</row>
    <row r="1047" spans="2:40" x14ac:dyDescent="0.2">
      <c r="B1047">
        <v>32</v>
      </c>
      <c r="C1047">
        <v>1</v>
      </c>
      <c r="D1047" t="s">
        <v>78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</row>
    <row r="1048" spans="2:40" x14ac:dyDescent="0.2">
      <c r="B1048">
        <v>36</v>
      </c>
      <c r="C1048">
        <v>1</v>
      </c>
      <c r="D1048" t="s">
        <v>79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</row>
    <row r="1049" spans="2:40" x14ac:dyDescent="0.2">
      <c r="B1049">
        <v>38</v>
      </c>
      <c r="C1049">
        <v>1</v>
      </c>
      <c r="D1049" t="s">
        <v>80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</row>
    <row r="1050" spans="2:40" x14ac:dyDescent="0.2">
      <c r="B1050">
        <v>47</v>
      </c>
      <c r="C1050">
        <v>1</v>
      </c>
      <c r="D1050" t="s">
        <v>81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</row>
    <row r="1051" spans="2:40" x14ac:dyDescent="0.2">
      <c r="B1051">
        <v>51</v>
      </c>
      <c r="C1051">
        <v>1</v>
      </c>
      <c r="D1051" t="s">
        <v>82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</row>
    <row r="1052" spans="2:40" x14ac:dyDescent="0.2">
      <c r="B1052">
        <v>62</v>
      </c>
      <c r="C1052">
        <v>1</v>
      </c>
      <c r="D1052" t="s">
        <v>83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</row>
    <row r="1053" spans="2:40" x14ac:dyDescent="0.2">
      <c r="B1053">
        <v>75</v>
      </c>
      <c r="C1053">
        <v>1</v>
      </c>
      <c r="D1053" t="s">
        <v>84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</row>
    <row r="1054" spans="2:40" x14ac:dyDescent="0.2">
      <c r="B1054">
        <v>77</v>
      </c>
      <c r="C1054">
        <v>1</v>
      </c>
      <c r="D1054" t="s">
        <v>85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</row>
    <row r="1055" spans="2:40" x14ac:dyDescent="0.2">
      <c r="B1055">
        <v>81</v>
      </c>
      <c r="C1055">
        <v>1</v>
      </c>
      <c r="D1055" t="s">
        <v>86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</row>
    <row r="1056" spans="2:40" x14ac:dyDescent="0.2">
      <c r="B1056">
        <v>84</v>
      </c>
      <c r="C1056">
        <v>1</v>
      </c>
      <c r="D1056" t="s">
        <v>87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</row>
    <row r="1057" spans="2:40" x14ac:dyDescent="0.2">
      <c r="B1057">
        <v>85</v>
      </c>
      <c r="C1057">
        <v>1</v>
      </c>
      <c r="D1057" t="s">
        <v>88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</row>
    <row r="1058" spans="2:40" x14ac:dyDescent="0.2">
      <c r="B1058">
        <v>88</v>
      </c>
      <c r="C1058">
        <v>1</v>
      </c>
      <c r="D1058" t="s">
        <v>89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</row>
    <row r="1059" spans="2:40" x14ac:dyDescent="0.2">
      <c r="B1059">
        <v>91</v>
      </c>
      <c r="C1059">
        <v>1</v>
      </c>
      <c r="D1059" t="s">
        <v>90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</row>
    <row r="1060" spans="2:40" x14ac:dyDescent="0.2">
      <c r="B1060">
        <v>93</v>
      </c>
      <c r="C1060">
        <v>1</v>
      </c>
      <c r="D1060" t="s">
        <v>91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</row>
    <row r="1061" spans="2:40" x14ac:dyDescent="0.2">
      <c r="B1061">
        <v>94</v>
      </c>
      <c r="C1061">
        <v>1</v>
      </c>
      <c r="D1061" t="s">
        <v>92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</row>
    <row r="1062" spans="2:40" x14ac:dyDescent="0.2">
      <c r="B1062">
        <v>95</v>
      </c>
      <c r="C1062">
        <v>1</v>
      </c>
      <c r="D1062" t="s">
        <v>93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</row>
    <row r="1063" spans="2:40" x14ac:dyDescent="0.2">
      <c r="B1063">
        <v>97</v>
      </c>
      <c r="C1063">
        <v>1</v>
      </c>
      <c r="D1063" t="s">
        <v>94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</row>
    <row r="1064" spans="2:40" x14ac:dyDescent="0.2">
      <c r="B1064">
        <v>99</v>
      </c>
      <c r="C1064">
        <v>1</v>
      </c>
      <c r="D1064" t="s">
        <v>95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</row>
    <row r="1065" spans="2:40" x14ac:dyDescent="0.2">
      <c r="B1065">
        <v>100</v>
      </c>
      <c r="C1065">
        <v>1</v>
      </c>
      <c r="D1065" t="s">
        <v>96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</row>
    <row r="1066" spans="2:40" x14ac:dyDescent="0.2">
      <c r="B1066">
        <v>108</v>
      </c>
      <c r="C1066">
        <v>1</v>
      </c>
      <c r="D1066" t="s">
        <v>97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</row>
    <row r="1067" spans="2:40" x14ac:dyDescent="0.2">
      <c r="B1067">
        <v>110</v>
      </c>
      <c r="C1067">
        <v>1</v>
      </c>
      <c r="D1067" t="s">
        <v>98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</row>
    <row r="1068" spans="2:40" x14ac:dyDescent="0.2">
      <c r="B1068">
        <v>111</v>
      </c>
      <c r="C1068">
        <v>1</v>
      </c>
      <c r="D1068" t="s">
        <v>99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</row>
    <row r="1069" spans="2:40" x14ac:dyDescent="0.2">
      <c r="B1069">
        <v>112</v>
      </c>
      <c r="C1069">
        <v>1</v>
      </c>
      <c r="D1069" t="s">
        <v>100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</row>
    <row r="1070" spans="2:40" x14ac:dyDescent="0.2">
      <c r="B1070">
        <v>113</v>
      </c>
      <c r="C1070">
        <v>1</v>
      </c>
      <c r="D1070" t="s">
        <v>101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</row>
    <row r="1071" spans="2:40" x14ac:dyDescent="0.2">
      <c r="B1071">
        <v>115</v>
      </c>
      <c r="C1071">
        <v>1</v>
      </c>
      <c r="D1071" t="s">
        <v>102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</row>
    <row r="1072" spans="2:40" x14ac:dyDescent="0.2">
      <c r="B1072">
        <v>116</v>
      </c>
      <c r="C1072">
        <v>1</v>
      </c>
      <c r="D1072" t="s">
        <v>103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</row>
    <row r="1073" spans="2:40" x14ac:dyDescent="0.2">
      <c r="B1073">
        <v>118</v>
      </c>
      <c r="C1073">
        <v>1</v>
      </c>
      <c r="D1073" t="s">
        <v>104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</row>
    <row r="1074" spans="2:40" x14ac:dyDescent="0.2">
      <c r="B1074">
        <v>129</v>
      </c>
      <c r="C1074">
        <v>1</v>
      </c>
      <c r="D1074" t="s">
        <v>105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</row>
    <row r="1075" spans="2:40" x14ac:dyDescent="0.2">
      <c r="B1075">
        <v>138</v>
      </c>
      <c r="C1075">
        <v>1</v>
      </c>
      <c r="D1075" t="s">
        <v>106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</row>
    <row r="1076" spans="2:40" x14ac:dyDescent="0.2">
      <c r="B1076">
        <v>139</v>
      </c>
      <c r="C1076">
        <v>1</v>
      </c>
      <c r="D1076" t="s">
        <v>107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</row>
    <row r="1077" spans="2:40" x14ac:dyDescent="0.2">
      <c r="B1077">
        <v>146</v>
      </c>
      <c r="C1077">
        <v>1</v>
      </c>
      <c r="D1077" t="s">
        <v>108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</row>
    <row r="1078" spans="2:40" x14ac:dyDescent="0.2">
      <c r="B1078">
        <v>150</v>
      </c>
      <c r="C1078">
        <v>1</v>
      </c>
      <c r="D1078" t="s">
        <v>109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</row>
    <row r="1079" spans="2:40" x14ac:dyDescent="0.2">
      <c r="B1079">
        <v>152</v>
      </c>
      <c r="C1079">
        <v>1</v>
      </c>
      <c r="D1079" t="s">
        <v>110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</row>
    <row r="1080" spans="2:40" x14ac:dyDescent="0.2">
      <c r="B1080">
        <v>162</v>
      </c>
      <c r="C1080">
        <v>1</v>
      </c>
      <c r="D1080" t="s">
        <v>111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</row>
    <row r="1081" spans="2:40" x14ac:dyDescent="0.2">
      <c r="B1081">
        <v>166</v>
      </c>
      <c r="C1081">
        <v>1</v>
      </c>
      <c r="D1081" t="s">
        <v>112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</row>
    <row r="1082" spans="2:40" x14ac:dyDescent="0.2">
      <c r="B1082">
        <v>173</v>
      </c>
      <c r="C1082">
        <v>1</v>
      </c>
      <c r="D1082" t="s">
        <v>113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</row>
    <row r="1083" spans="2:40" x14ac:dyDescent="0.2">
      <c r="B1083">
        <v>177</v>
      </c>
      <c r="C1083">
        <v>1</v>
      </c>
      <c r="D1083" t="s">
        <v>114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</row>
    <row r="1084" spans="2:40" x14ac:dyDescent="0.2">
      <c r="B1084">
        <v>181</v>
      </c>
      <c r="C1084">
        <v>1</v>
      </c>
      <c r="D1084" t="s">
        <v>115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</row>
    <row r="1085" spans="2:40" x14ac:dyDescent="0.2">
      <c r="B1085">
        <v>182</v>
      </c>
      <c r="C1085">
        <v>1</v>
      </c>
      <c r="D1085" t="s">
        <v>116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</row>
    <row r="1086" spans="2:40" x14ac:dyDescent="0.2">
      <c r="B1086">
        <v>186</v>
      </c>
      <c r="C1086">
        <v>1</v>
      </c>
      <c r="D1086" t="s">
        <v>117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</row>
    <row r="1087" spans="2:40" x14ac:dyDescent="0.2">
      <c r="B1087">
        <v>191</v>
      </c>
      <c r="C1087">
        <v>1</v>
      </c>
      <c r="D1087" t="s">
        <v>118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</row>
    <row r="1088" spans="2:40" x14ac:dyDescent="0.2">
      <c r="B1088">
        <v>192</v>
      </c>
      <c r="C1088">
        <v>1</v>
      </c>
      <c r="D1088" t="s">
        <v>119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</row>
    <row r="1089" spans="2:40" x14ac:dyDescent="0.2">
      <c r="B1089">
        <v>194</v>
      </c>
      <c r="C1089">
        <v>1</v>
      </c>
      <c r="D1089" t="s">
        <v>120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</row>
    <row r="1090" spans="2:40" x14ac:dyDescent="0.2">
      <c r="B1090">
        <v>195</v>
      </c>
      <c r="C1090">
        <v>1</v>
      </c>
      <c r="D1090" t="s">
        <v>121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</row>
    <row r="1091" spans="2:40" x14ac:dyDescent="0.2">
      <c r="B1091">
        <v>196</v>
      </c>
      <c r="C1091">
        <v>1</v>
      </c>
      <c r="D1091" t="s">
        <v>122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</row>
    <row r="1092" spans="2:40" x14ac:dyDescent="0.2">
      <c r="B1092">
        <v>197</v>
      </c>
      <c r="C1092">
        <v>1</v>
      </c>
      <c r="D1092" t="s">
        <v>123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</row>
    <row r="1093" spans="2:40" x14ac:dyDescent="0.2">
      <c r="B1093">
        <v>199</v>
      </c>
      <c r="C1093">
        <v>1</v>
      </c>
      <c r="D1093" t="s">
        <v>124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</row>
    <row r="1094" spans="2:40" x14ac:dyDescent="0.2">
      <c r="B1094">
        <v>200</v>
      </c>
      <c r="C1094">
        <v>1</v>
      </c>
      <c r="D1094" t="s">
        <v>125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</row>
    <row r="1095" spans="2:40" x14ac:dyDescent="0.2">
      <c r="B1095">
        <v>203</v>
      </c>
      <c r="C1095">
        <v>1</v>
      </c>
      <c r="D1095" t="s">
        <v>126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</row>
    <row r="1096" spans="2:40" x14ac:dyDescent="0.2">
      <c r="B1096">
        <v>204</v>
      </c>
      <c r="C1096">
        <v>1</v>
      </c>
      <c r="D1096" t="s">
        <v>127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</row>
    <row r="1097" spans="2:40" x14ac:dyDescent="0.2">
      <c r="B1097">
        <v>206</v>
      </c>
      <c r="C1097">
        <v>1</v>
      </c>
      <c r="D1097" t="s">
        <v>128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</row>
    <row r="1098" spans="2:40" x14ac:dyDescent="0.2">
      <c r="B1098">
        <v>207</v>
      </c>
      <c r="C1098">
        <v>1</v>
      </c>
      <c r="D1098" t="s">
        <v>129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</row>
    <row r="1099" spans="2:40" x14ac:dyDescent="0.2">
      <c r="B1099">
        <v>208</v>
      </c>
      <c r="C1099">
        <v>1</v>
      </c>
      <c r="D1099" t="s">
        <v>130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</row>
    <row r="1100" spans="2:40" x14ac:dyDescent="0.2">
      <c r="B1100">
        <v>213</v>
      </c>
      <c r="C1100">
        <v>1</v>
      </c>
      <c r="D1100" t="s">
        <v>131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</row>
    <row r="1101" spans="2:40" x14ac:dyDescent="0.2">
      <c r="B1101">
        <v>227</v>
      </c>
      <c r="C1101">
        <v>1</v>
      </c>
      <c r="D1101" t="s">
        <v>132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</row>
    <row r="1102" spans="2:40" x14ac:dyDescent="0.2">
      <c r="B1102">
        <v>229</v>
      </c>
      <c r="C1102">
        <v>1</v>
      </c>
      <c r="D1102" t="s">
        <v>133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</row>
    <row r="1103" spans="2:40" x14ac:dyDescent="0.2">
      <c r="B1103">
        <v>238</v>
      </c>
      <c r="C1103">
        <v>1</v>
      </c>
      <c r="D1103" t="s">
        <v>134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</row>
    <row r="1104" spans="2:40" x14ac:dyDescent="0.2">
      <c r="B1104">
        <v>239</v>
      </c>
      <c r="C1104">
        <v>1</v>
      </c>
      <c r="D1104" t="s">
        <v>135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</row>
    <row r="1105" spans="2:40" x14ac:dyDescent="0.2">
      <c r="B1105">
        <v>241</v>
      </c>
      <c r="C1105">
        <v>1</v>
      </c>
      <c r="D1105" t="s">
        <v>136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</row>
    <row r="1106" spans="2:40" x14ac:dyDescent="0.2">
      <c r="B1106">
        <v>242</v>
      </c>
      <c r="C1106">
        <v>1</v>
      </c>
      <c r="D1106" t="s">
        <v>137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</row>
    <row r="1107" spans="2:40" x14ac:dyDescent="0.2">
      <c r="B1107">
        <v>252</v>
      </c>
      <c r="C1107">
        <v>1</v>
      </c>
      <c r="D1107" t="s">
        <v>138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</row>
    <row r="1108" spans="2:40" x14ac:dyDescent="0.2">
      <c r="B1108">
        <v>253</v>
      </c>
      <c r="C1108">
        <v>1</v>
      </c>
      <c r="D1108" t="s">
        <v>139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</row>
    <row r="1109" spans="2:40" x14ac:dyDescent="0.2">
      <c r="B1109">
        <v>255</v>
      </c>
      <c r="C1109">
        <v>1</v>
      </c>
      <c r="D1109" t="s">
        <v>140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</row>
    <row r="1110" spans="2:40" x14ac:dyDescent="0.2">
      <c r="B1110">
        <v>256</v>
      </c>
      <c r="C1110">
        <v>1</v>
      </c>
      <c r="D1110" t="s">
        <v>141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</row>
    <row r="1111" spans="2:40" x14ac:dyDescent="0.2">
      <c r="B1111">
        <v>261</v>
      </c>
      <c r="C1111">
        <v>1</v>
      </c>
      <c r="D1111" t="s">
        <v>142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</row>
    <row r="1112" spans="2:40" x14ac:dyDescent="0.2">
      <c r="B1112">
        <v>264</v>
      </c>
      <c r="C1112">
        <v>1</v>
      </c>
      <c r="D1112" t="s">
        <v>143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</row>
    <row r="1113" spans="2:40" x14ac:dyDescent="0.2">
      <c r="B1113">
        <v>270</v>
      </c>
      <c r="C1113">
        <v>1</v>
      </c>
      <c r="D1113" t="s">
        <v>144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</row>
    <row r="1114" spans="2:40" x14ac:dyDescent="0.2">
      <c r="B1114">
        <v>271</v>
      </c>
      <c r="C1114">
        <v>1</v>
      </c>
      <c r="D1114" t="s">
        <v>145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</row>
    <row r="1115" spans="2:40" x14ac:dyDescent="0.2">
      <c r="B1115">
        <v>272</v>
      </c>
      <c r="C1115">
        <v>1</v>
      </c>
      <c r="D1115" t="s">
        <v>146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</row>
    <row r="1116" spans="2:40" x14ac:dyDescent="0.2">
      <c r="B1116">
        <v>273</v>
      </c>
      <c r="C1116">
        <v>1</v>
      </c>
      <c r="D1116" t="s">
        <v>147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</row>
    <row r="1117" spans="2:40" x14ac:dyDescent="0.2">
      <c r="B1117">
        <v>276</v>
      </c>
      <c r="C1117">
        <v>1</v>
      </c>
      <c r="D1117" t="s">
        <v>148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</row>
    <row r="1118" spans="2:40" x14ac:dyDescent="0.2">
      <c r="B1118">
        <v>277</v>
      </c>
      <c r="C1118">
        <v>1</v>
      </c>
      <c r="D1118" t="s">
        <v>149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</row>
    <row r="1119" spans="2:40" x14ac:dyDescent="0.2">
      <c r="B1119">
        <v>278</v>
      </c>
      <c r="C1119">
        <v>1</v>
      </c>
      <c r="D1119" t="s">
        <v>150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</row>
    <row r="1120" spans="2:40" x14ac:dyDescent="0.2">
      <c r="B1120">
        <v>279</v>
      </c>
      <c r="C1120">
        <v>1</v>
      </c>
      <c r="D1120" t="s">
        <v>151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</row>
    <row r="1121" spans="2:40" x14ac:dyDescent="0.2">
      <c r="B1121">
        <v>280</v>
      </c>
      <c r="C1121">
        <v>1</v>
      </c>
      <c r="D1121" t="s">
        <v>152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</row>
    <row r="1122" spans="2:40" x14ac:dyDescent="0.2">
      <c r="B1122">
        <v>281</v>
      </c>
      <c r="C1122">
        <v>1</v>
      </c>
      <c r="D1122" t="s">
        <v>153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</row>
    <row r="1123" spans="2:40" x14ac:dyDescent="0.2">
      <c r="B1123">
        <v>282</v>
      </c>
      <c r="C1123">
        <v>1</v>
      </c>
      <c r="D1123" t="s">
        <v>154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</row>
    <row r="1124" spans="2:40" x14ac:dyDescent="0.2">
      <c r="B1124">
        <v>283</v>
      </c>
      <c r="C1124">
        <v>1</v>
      </c>
      <c r="D1124" t="s">
        <v>155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</row>
    <row r="1125" spans="2:40" x14ac:dyDescent="0.2">
      <c r="B1125">
        <v>284</v>
      </c>
      <c r="C1125">
        <v>1</v>
      </c>
      <c r="D1125" t="s">
        <v>156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</row>
    <row r="1126" spans="2:40" x14ac:dyDescent="0.2">
      <c r="B1126">
        <v>286</v>
      </c>
      <c r="C1126">
        <v>1</v>
      </c>
      <c r="D1126" t="s">
        <v>157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</row>
    <row r="1127" spans="2:40" x14ac:dyDescent="0.2">
      <c r="B1127">
        <v>294</v>
      </c>
      <c r="C1127">
        <v>1</v>
      </c>
      <c r="D1127" t="s">
        <v>158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</row>
    <row r="1128" spans="2:40" x14ac:dyDescent="0.2">
      <c r="B1128">
        <v>297</v>
      </c>
      <c r="C1128">
        <v>1</v>
      </c>
      <c r="D1128" t="s">
        <v>159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</row>
    <row r="1129" spans="2:40" x14ac:dyDescent="0.2">
      <c r="B1129">
        <v>299</v>
      </c>
      <c r="C1129">
        <v>1</v>
      </c>
      <c r="D1129" t="s">
        <v>160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</row>
    <row r="1130" spans="2:40" x14ac:dyDescent="0.2">
      <c r="B1130">
        <v>300</v>
      </c>
      <c r="C1130">
        <v>1</v>
      </c>
      <c r="D1130" t="s">
        <v>161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</row>
    <row r="1131" spans="2:40" x14ac:dyDescent="0.2">
      <c r="B1131">
        <v>306</v>
      </c>
      <c r="C1131">
        <v>1</v>
      </c>
      <c r="D1131" t="s">
        <v>162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</row>
    <row r="1132" spans="2:40" x14ac:dyDescent="0.2">
      <c r="B1132">
        <v>308</v>
      </c>
      <c r="C1132">
        <v>1</v>
      </c>
      <c r="D1132" t="s">
        <v>163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</row>
    <row r="1133" spans="2:40" x14ac:dyDescent="0.2">
      <c r="B1133">
        <v>309</v>
      </c>
      <c r="C1133">
        <v>1</v>
      </c>
      <c r="D1133" t="s">
        <v>164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</row>
    <row r="1134" spans="2:40" x14ac:dyDescent="0.2">
      <c r="B1134">
        <v>314</v>
      </c>
      <c r="C1134">
        <v>1</v>
      </c>
      <c r="D1134" t="s">
        <v>165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</row>
    <row r="1135" spans="2:40" x14ac:dyDescent="0.2">
      <c r="B1135">
        <v>316</v>
      </c>
      <c r="C1135">
        <v>1</v>
      </c>
      <c r="D1135" t="s">
        <v>166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</row>
    <row r="1136" spans="2:40" x14ac:dyDescent="0.2">
      <c r="B1136">
        <v>317</v>
      </c>
      <c r="C1136">
        <v>1</v>
      </c>
      <c r="D1136" t="s">
        <v>167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</row>
    <row r="1137" spans="2:40" x14ac:dyDescent="0.2">
      <c r="B1137">
        <v>318</v>
      </c>
      <c r="C1137">
        <v>1</v>
      </c>
      <c r="D1137" t="s">
        <v>168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</row>
    <row r="1138" spans="2:40" x14ac:dyDescent="0.2">
      <c r="B1138">
        <v>319</v>
      </c>
      <c r="C1138">
        <v>1</v>
      </c>
      <c r="D1138" t="s">
        <v>169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</row>
    <row r="1139" spans="2:40" x14ac:dyDescent="0.2">
      <c r="B1139">
        <v>323</v>
      </c>
      <c r="C1139">
        <v>2</v>
      </c>
      <c r="D1139" t="s">
        <v>170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</row>
    <row r="1140" spans="2:40" x14ac:dyDescent="0.2">
      <c r="B1140">
        <v>330</v>
      </c>
      <c r="C1140">
        <v>1</v>
      </c>
      <c r="D1140" t="s">
        <v>171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</row>
    <row r="1141" spans="2:40" x14ac:dyDescent="0.2">
      <c r="B1141">
        <v>332</v>
      </c>
      <c r="C1141">
        <v>1</v>
      </c>
      <c r="D1141" t="s">
        <v>172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</row>
    <row r="1142" spans="2:40" x14ac:dyDescent="0.2">
      <c r="B1142">
        <v>333</v>
      </c>
      <c r="C1142">
        <v>1</v>
      </c>
      <c r="D1142" t="s">
        <v>173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</row>
    <row r="1143" spans="2:40" x14ac:dyDescent="0.2">
      <c r="B1143">
        <v>345</v>
      </c>
      <c r="C1143">
        <v>1</v>
      </c>
      <c r="D1143" t="s">
        <v>174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</row>
    <row r="1144" spans="2:40" x14ac:dyDescent="0.2">
      <c r="B1144">
        <v>347</v>
      </c>
      <c r="C1144">
        <v>1</v>
      </c>
      <c r="D1144" t="s">
        <v>175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</row>
    <row r="1145" spans="2:40" x14ac:dyDescent="0.2">
      <c r="B1145">
        <v>356</v>
      </c>
      <c r="C1145">
        <v>1</v>
      </c>
      <c r="D1145" t="s">
        <v>176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</row>
    <row r="1146" spans="2:40" x14ac:dyDescent="0.2">
      <c r="B1146">
        <v>361</v>
      </c>
      <c r="C1146">
        <v>1</v>
      </c>
      <c r="D1146" t="s">
        <v>177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</row>
    <row r="1147" spans="2:40" x14ac:dyDescent="0.2">
      <c r="B1147">
        <v>362</v>
      </c>
      <c r="C1147">
        <v>1</v>
      </c>
      <c r="D1147" t="s">
        <v>178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</row>
    <row r="1148" spans="2:40" x14ac:dyDescent="0.2">
      <c r="B1148">
        <v>363</v>
      </c>
      <c r="C1148">
        <v>1</v>
      </c>
      <c r="D1148" t="s">
        <v>179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</row>
    <row r="1149" spans="2:40" x14ac:dyDescent="0.2">
      <c r="B1149">
        <v>371</v>
      </c>
      <c r="C1149">
        <v>1</v>
      </c>
      <c r="D1149" t="s">
        <v>180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</row>
    <row r="1150" spans="2:40" x14ac:dyDescent="0.2">
      <c r="B1150">
        <v>378</v>
      </c>
      <c r="C1150">
        <v>1</v>
      </c>
      <c r="D1150" t="s">
        <v>181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</row>
    <row r="1151" spans="2:40" x14ac:dyDescent="0.2">
      <c r="B1151">
        <v>381</v>
      </c>
      <c r="C1151">
        <v>1</v>
      </c>
      <c r="D1151" t="s">
        <v>182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</row>
    <row r="1152" spans="2:40" x14ac:dyDescent="0.2">
      <c r="B1152">
        <v>390</v>
      </c>
      <c r="C1152">
        <v>1</v>
      </c>
      <c r="D1152" t="s">
        <v>183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</row>
    <row r="1153" spans="2:40" x14ac:dyDescent="0.2">
      <c r="B1153">
        <v>391</v>
      </c>
      <c r="C1153">
        <v>1</v>
      </c>
      <c r="D1153" t="s">
        <v>184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</row>
    <row r="1154" spans="2:40" x14ac:dyDescent="0.2">
      <c r="B1154">
        <v>392</v>
      </c>
      <c r="C1154">
        <v>1</v>
      </c>
      <c r="D1154" t="s">
        <v>185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</row>
    <row r="1155" spans="2:40" x14ac:dyDescent="0.2">
      <c r="B1155">
        <v>394</v>
      </c>
      <c r="C1155">
        <v>1</v>
      </c>
      <c r="D1155" t="s">
        <v>186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</row>
    <row r="1156" spans="2:40" x14ac:dyDescent="0.2">
      <c r="B1156">
        <v>402</v>
      </c>
      <c r="C1156">
        <v>1</v>
      </c>
      <c r="D1156" t="s">
        <v>187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</row>
    <row r="1157" spans="2:40" x14ac:dyDescent="0.2">
      <c r="B1157">
        <v>403</v>
      </c>
      <c r="C1157">
        <v>1</v>
      </c>
      <c r="D1157" t="s">
        <v>188</v>
      </c>
      <c r="E1157" s="3">
        <v>0</v>
      </c>
      <c r="F1157" s="3">
        <v>400.45</v>
      </c>
      <c r="G1157" s="3">
        <v>400.45</v>
      </c>
      <c r="H1157" s="3">
        <v>400.45</v>
      </c>
      <c r="I1157" s="3">
        <v>400.45</v>
      </c>
      <c r="J1157" s="3">
        <v>400.45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400.45</v>
      </c>
      <c r="S1157" s="3">
        <v>400.45</v>
      </c>
      <c r="T1157" s="3">
        <v>400.45</v>
      </c>
      <c r="U1157" s="3">
        <v>400.45</v>
      </c>
      <c r="V1157" s="3">
        <v>400.45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</row>
    <row r="1158" spans="2:40" x14ac:dyDescent="0.2">
      <c r="B1158">
        <v>404</v>
      </c>
      <c r="C1158">
        <v>1</v>
      </c>
      <c r="D1158" t="s">
        <v>189</v>
      </c>
      <c r="E1158" s="3">
        <v>0</v>
      </c>
      <c r="F1158" s="3">
        <v>603.09</v>
      </c>
      <c r="G1158" s="3">
        <v>603.09</v>
      </c>
      <c r="H1158" s="3">
        <v>603.09</v>
      </c>
      <c r="I1158" s="3">
        <v>603.09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603.09</v>
      </c>
      <c r="S1158" s="3">
        <v>603.09</v>
      </c>
      <c r="T1158" s="3">
        <v>603.09</v>
      </c>
      <c r="U1158" s="3">
        <v>603.09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</row>
    <row r="1159" spans="2:40" x14ac:dyDescent="0.2">
      <c r="B1159">
        <v>411</v>
      </c>
      <c r="C1159">
        <v>1</v>
      </c>
      <c r="D1159" t="s">
        <v>191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</row>
    <row r="1160" spans="2:40" x14ac:dyDescent="0.2">
      <c r="B1160">
        <v>413</v>
      </c>
      <c r="C1160">
        <v>1</v>
      </c>
      <c r="D1160" t="s">
        <v>192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</row>
    <row r="1161" spans="2:40" x14ac:dyDescent="0.2">
      <c r="B1161">
        <v>414</v>
      </c>
      <c r="C1161">
        <v>1</v>
      </c>
      <c r="D1161" t="s">
        <v>193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</row>
    <row r="1162" spans="2:40" x14ac:dyDescent="0.2">
      <c r="B1162">
        <v>415</v>
      </c>
      <c r="C1162">
        <v>1</v>
      </c>
      <c r="D1162" t="s">
        <v>194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</row>
    <row r="1163" spans="2:40" x14ac:dyDescent="0.2">
      <c r="B1163">
        <v>417</v>
      </c>
      <c r="C1163">
        <v>1</v>
      </c>
      <c r="D1163" t="s">
        <v>195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</row>
    <row r="1164" spans="2:40" x14ac:dyDescent="0.2">
      <c r="B1164">
        <v>423</v>
      </c>
      <c r="C1164">
        <v>1</v>
      </c>
      <c r="D1164" t="s">
        <v>197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</row>
    <row r="1165" spans="2:40" x14ac:dyDescent="0.2">
      <c r="B1165">
        <v>424</v>
      </c>
      <c r="C1165">
        <v>1</v>
      </c>
      <c r="D1165" t="s">
        <v>198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</row>
    <row r="1166" spans="2:40" x14ac:dyDescent="0.2">
      <c r="B1166">
        <v>432</v>
      </c>
      <c r="C1166">
        <v>1</v>
      </c>
      <c r="D1166" t="s">
        <v>199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</row>
    <row r="1167" spans="2:40" x14ac:dyDescent="0.2">
      <c r="B1167">
        <v>435</v>
      </c>
      <c r="C1167">
        <v>1</v>
      </c>
      <c r="D1167" t="s">
        <v>200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</row>
    <row r="1168" spans="2:40" x14ac:dyDescent="0.2">
      <c r="B1168">
        <v>441</v>
      </c>
      <c r="C1168">
        <v>1</v>
      </c>
      <c r="D1168" t="s">
        <v>201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</row>
    <row r="1169" spans="2:40" x14ac:dyDescent="0.2">
      <c r="B1169">
        <v>447</v>
      </c>
      <c r="C1169">
        <v>1</v>
      </c>
      <c r="D1169" t="s">
        <v>202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</row>
    <row r="1170" spans="2:40" x14ac:dyDescent="0.2">
      <c r="B1170">
        <v>458</v>
      </c>
      <c r="C1170">
        <v>1</v>
      </c>
      <c r="D1170" t="s">
        <v>203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</row>
    <row r="1171" spans="2:40" x14ac:dyDescent="0.2">
      <c r="B1171">
        <v>463</v>
      </c>
      <c r="C1171">
        <v>1</v>
      </c>
      <c r="D1171" t="s">
        <v>204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</row>
    <row r="1172" spans="2:40" x14ac:dyDescent="0.2">
      <c r="B1172">
        <v>465</v>
      </c>
      <c r="C1172">
        <v>1</v>
      </c>
      <c r="D1172" t="s">
        <v>205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</row>
    <row r="1173" spans="2:40" x14ac:dyDescent="0.2">
      <c r="B1173">
        <v>466</v>
      </c>
      <c r="C1173">
        <v>1</v>
      </c>
      <c r="D1173" t="s">
        <v>206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</row>
    <row r="1174" spans="2:40" x14ac:dyDescent="0.2">
      <c r="B1174">
        <v>473</v>
      </c>
      <c r="C1174">
        <v>1</v>
      </c>
      <c r="D1174" t="s">
        <v>207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</row>
    <row r="1175" spans="2:40" x14ac:dyDescent="0.2">
      <c r="B1175">
        <v>477</v>
      </c>
      <c r="C1175">
        <v>1</v>
      </c>
      <c r="D1175" t="s">
        <v>208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</row>
    <row r="1176" spans="2:40" x14ac:dyDescent="0.2">
      <c r="B1176">
        <v>480</v>
      </c>
      <c r="C1176">
        <v>1</v>
      </c>
      <c r="D1176" t="s">
        <v>209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</row>
    <row r="1177" spans="2:40" x14ac:dyDescent="0.2">
      <c r="B1177">
        <v>482</v>
      </c>
      <c r="C1177">
        <v>1</v>
      </c>
      <c r="D1177" t="s">
        <v>210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</row>
    <row r="1178" spans="2:40" x14ac:dyDescent="0.2">
      <c r="B1178">
        <v>484</v>
      </c>
      <c r="C1178">
        <v>1</v>
      </c>
      <c r="D1178" t="s">
        <v>211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</row>
    <row r="1179" spans="2:40" x14ac:dyDescent="0.2">
      <c r="B1179">
        <v>485</v>
      </c>
      <c r="C1179">
        <v>1</v>
      </c>
      <c r="D1179" t="s">
        <v>212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</row>
    <row r="1180" spans="2:40" x14ac:dyDescent="0.2">
      <c r="B1180">
        <v>486</v>
      </c>
      <c r="C1180">
        <v>1</v>
      </c>
      <c r="D1180" t="s">
        <v>213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</row>
    <row r="1181" spans="2:40" x14ac:dyDescent="0.2">
      <c r="B1181">
        <v>487</v>
      </c>
      <c r="C1181">
        <v>1</v>
      </c>
      <c r="D1181" t="s">
        <v>214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</row>
    <row r="1182" spans="2:40" x14ac:dyDescent="0.2">
      <c r="B1182">
        <v>492</v>
      </c>
      <c r="C1182">
        <v>1</v>
      </c>
      <c r="D1182" t="s">
        <v>215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</row>
    <row r="1183" spans="2:40" x14ac:dyDescent="0.2">
      <c r="B1183">
        <v>495</v>
      </c>
      <c r="C1183">
        <v>1</v>
      </c>
      <c r="D1183" t="s">
        <v>216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</row>
    <row r="1184" spans="2:40" x14ac:dyDescent="0.2">
      <c r="B1184">
        <v>497</v>
      </c>
      <c r="C1184">
        <v>1</v>
      </c>
      <c r="D1184" t="s">
        <v>217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</row>
    <row r="1185" spans="2:40" x14ac:dyDescent="0.2">
      <c r="B1185">
        <v>499</v>
      </c>
      <c r="C1185">
        <v>1</v>
      </c>
      <c r="D1185" t="s">
        <v>218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</row>
    <row r="1186" spans="2:40" x14ac:dyDescent="0.2">
      <c r="B1186">
        <v>500</v>
      </c>
      <c r="C1186">
        <v>1</v>
      </c>
      <c r="D1186" t="s">
        <v>219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</row>
    <row r="1187" spans="2:40" x14ac:dyDescent="0.2">
      <c r="B1187">
        <v>505</v>
      </c>
      <c r="C1187">
        <v>1</v>
      </c>
      <c r="D1187" t="s">
        <v>220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</row>
    <row r="1188" spans="2:40" x14ac:dyDescent="0.2">
      <c r="B1188">
        <v>507</v>
      </c>
      <c r="C1188">
        <v>1</v>
      </c>
      <c r="D1188" t="s">
        <v>221</v>
      </c>
      <c r="E1188" s="3">
        <v>0</v>
      </c>
      <c r="F1188" s="3">
        <v>581.91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581.91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</row>
    <row r="1189" spans="2:40" x14ac:dyDescent="0.2">
      <c r="B1189">
        <v>508</v>
      </c>
      <c r="C1189">
        <v>1</v>
      </c>
      <c r="D1189" t="s">
        <v>222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</row>
    <row r="1190" spans="2:40" x14ac:dyDescent="0.2">
      <c r="B1190">
        <v>511</v>
      </c>
      <c r="C1190">
        <v>1</v>
      </c>
      <c r="D1190" t="s">
        <v>223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</row>
    <row r="1191" spans="2:40" x14ac:dyDescent="0.2">
      <c r="B1191">
        <v>513</v>
      </c>
      <c r="C1191">
        <v>1</v>
      </c>
      <c r="D1191" t="s">
        <v>224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</row>
    <row r="1192" spans="2:40" x14ac:dyDescent="0.2">
      <c r="B1192">
        <v>514</v>
      </c>
      <c r="C1192">
        <v>1</v>
      </c>
      <c r="D1192" t="s">
        <v>225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</row>
    <row r="1193" spans="2:40" x14ac:dyDescent="0.2">
      <c r="B1193">
        <v>516</v>
      </c>
      <c r="C1193">
        <v>1</v>
      </c>
      <c r="D1193" t="s">
        <v>226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</row>
    <row r="1194" spans="2:40" x14ac:dyDescent="0.2">
      <c r="B1194">
        <v>518</v>
      </c>
      <c r="C1194">
        <v>1</v>
      </c>
      <c r="D1194" t="s">
        <v>227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</row>
    <row r="1195" spans="2:40" x14ac:dyDescent="0.2">
      <c r="B1195">
        <v>531</v>
      </c>
      <c r="C1195">
        <v>1</v>
      </c>
      <c r="D1195" t="s">
        <v>228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</row>
    <row r="1196" spans="2:40" x14ac:dyDescent="0.2">
      <c r="B1196">
        <v>533</v>
      </c>
      <c r="C1196">
        <v>1</v>
      </c>
      <c r="D1196" t="s">
        <v>229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</row>
    <row r="1197" spans="2:40" x14ac:dyDescent="0.2">
      <c r="B1197">
        <v>534</v>
      </c>
      <c r="C1197">
        <v>1</v>
      </c>
      <c r="D1197" t="s">
        <v>230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</row>
    <row r="1198" spans="2:40" x14ac:dyDescent="0.2">
      <c r="B1198">
        <v>535</v>
      </c>
      <c r="C1198">
        <v>1</v>
      </c>
      <c r="D1198" t="s">
        <v>231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</row>
    <row r="1199" spans="2:40" x14ac:dyDescent="0.2">
      <c r="B1199">
        <v>542</v>
      </c>
      <c r="C1199">
        <v>1</v>
      </c>
      <c r="D1199" t="s">
        <v>232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</row>
    <row r="1200" spans="2:40" x14ac:dyDescent="0.2">
      <c r="B1200">
        <v>544</v>
      </c>
      <c r="C1200">
        <v>1</v>
      </c>
      <c r="D1200" t="s">
        <v>233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</row>
    <row r="1201" spans="2:40" x14ac:dyDescent="0.2">
      <c r="B1201">
        <v>545</v>
      </c>
      <c r="C1201">
        <v>1</v>
      </c>
      <c r="D1201" t="s">
        <v>234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</row>
    <row r="1202" spans="2:40" x14ac:dyDescent="0.2">
      <c r="B1202">
        <v>547</v>
      </c>
      <c r="C1202">
        <v>1</v>
      </c>
      <c r="D1202" t="s">
        <v>235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</row>
    <row r="1203" spans="2:40" x14ac:dyDescent="0.2">
      <c r="B1203">
        <v>548</v>
      </c>
      <c r="C1203">
        <v>1</v>
      </c>
      <c r="D1203" t="s">
        <v>236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</row>
    <row r="1204" spans="2:40" x14ac:dyDescent="0.2">
      <c r="B1204">
        <v>549</v>
      </c>
      <c r="C1204">
        <v>1</v>
      </c>
      <c r="D1204" t="s">
        <v>237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</row>
    <row r="1205" spans="2:40" x14ac:dyDescent="0.2">
      <c r="B1205">
        <v>550</v>
      </c>
      <c r="C1205">
        <v>1</v>
      </c>
      <c r="D1205" t="s">
        <v>238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</row>
    <row r="1206" spans="2:40" x14ac:dyDescent="0.2">
      <c r="B1206">
        <v>553</v>
      </c>
      <c r="C1206">
        <v>1</v>
      </c>
      <c r="D1206" t="s">
        <v>239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</row>
    <row r="1207" spans="2:40" x14ac:dyDescent="0.2">
      <c r="B1207">
        <v>561</v>
      </c>
      <c r="C1207">
        <v>1</v>
      </c>
      <c r="D1207" t="s">
        <v>240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</row>
    <row r="1208" spans="2:40" x14ac:dyDescent="0.2">
      <c r="B1208">
        <v>564</v>
      </c>
      <c r="C1208">
        <v>1</v>
      </c>
      <c r="D1208" t="s">
        <v>241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</row>
    <row r="1209" spans="2:40" x14ac:dyDescent="0.2">
      <c r="B1209">
        <v>577</v>
      </c>
      <c r="C1209">
        <v>1</v>
      </c>
      <c r="D1209" t="s">
        <v>242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</row>
    <row r="1210" spans="2:40" x14ac:dyDescent="0.2">
      <c r="B1210">
        <v>578</v>
      </c>
      <c r="C1210">
        <v>1</v>
      </c>
      <c r="D1210" t="s">
        <v>243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</row>
    <row r="1211" spans="2:40" x14ac:dyDescent="0.2">
      <c r="B1211">
        <v>581</v>
      </c>
      <c r="C1211">
        <v>1</v>
      </c>
      <c r="D1211" t="s">
        <v>244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</row>
    <row r="1212" spans="2:40" x14ac:dyDescent="0.2">
      <c r="B1212">
        <v>592</v>
      </c>
      <c r="C1212">
        <v>1</v>
      </c>
      <c r="D1212" t="s">
        <v>246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</row>
    <row r="1213" spans="2:40" x14ac:dyDescent="0.2">
      <c r="B1213">
        <v>593</v>
      </c>
      <c r="C1213">
        <v>1</v>
      </c>
      <c r="D1213" t="s">
        <v>247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</row>
    <row r="1214" spans="2:40" x14ac:dyDescent="0.2">
      <c r="B1214">
        <v>595</v>
      </c>
      <c r="C1214">
        <v>1</v>
      </c>
      <c r="D1214" t="s">
        <v>248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</row>
    <row r="1215" spans="2:40" x14ac:dyDescent="0.2">
      <c r="B1215">
        <v>599</v>
      </c>
      <c r="C1215">
        <v>1</v>
      </c>
      <c r="D1215" t="s">
        <v>249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</row>
    <row r="1216" spans="2:40" x14ac:dyDescent="0.2">
      <c r="B1216">
        <v>600</v>
      </c>
      <c r="C1216">
        <v>1</v>
      </c>
      <c r="D1216" t="s">
        <v>250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</row>
    <row r="1217" spans="2:40" x14ac:dyDescent="0.2">
      <c r="B1217">
        <v>601</v>
      </c>
      <c r="C1217">
        <v>1</v>
      </c>
      <c r="D1217" t="s">
        <v>251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</row>
    <row r="1218" spans="2:40" x14ac:dyDescent="0.2">
      <c r="B1218">
        <v>611</v>
      </c>
      <c r="C1218">
        <v>1</v>
      </c>
      <c r="D1218" t="s">
        <v>252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</row>
    <row r="1219" spans="2:40" x14ac:dyDescent="0.2">
      <c r="B1219">
        <v>621</v>
      </c>
      <c r="C1219">
        <v>1</v>
      </c>
      <c r="D1219" t="s">
        <v>253</v>
      </c>
      <c r="E1219" s="3">
        <v>0</v>
      </c>
      <c r="F1219" s="3">
        <v>321.39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321.39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</row>
    <row r="1220" spans="2:40" x14ac:dyDescent="0.2">
      <c r="B1220">
        <v>622</v>
      </c>
      <c r="C1220">
        <v>1</v>
      </c>
      <c r="D1220" t="s">
        <v>254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</row>
    <row r="1221" spans="2:40" x14ac:dyDescent="0.2">
      <c r="B1221">
        <v>623</v>
      </c>
      <c r="C1221">
        <v>1</v>
      </c>
      <c r="D1221" t="s">
        <v>255</v>
      </c>
      <c r="E1221" s="3">
        <v>0</v>
      </c>
      <c r="F1221" s="3">
        <v>1188.73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1188.73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0</v>
      </c>
    </row>
    <row r="1222" spans="2:40" x14ac:dyDescent="0.2">
      <c r="B1222">
        <v>624</v>
      </c>
      <c r="C1222">
        <v>1</v>
      </c>
      <c r="D1222" t="s">
        <v>256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</row>
    <row r="1223" spans="2:40" x14ac:dyDescent="0.2">
      <c r="B1223">
        <v>625</v>
      </c>
      <c r="C1223">
        <v>1</v>
      </c>
      <c r="D1223" t="s">
        <v>257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</row>
    <row r="1224" spans="2:40" x14ac:dyDescent="0.2">
      <c r="B1224">
        <v>627</v>
      </c>
      <c r="C1224">
        <v>1</v>
      </c>
      <c r="D1224" t="s">
        <v>258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</row>
    <row r="1225" spans="2:40" x14ac:dyDescent="0.2">
      <c r="B1225">
        <v>628</v>
      </c>
      <c r="C1225">
        <v>1</v>
      </c>
      <c r="D1225" t="s">
        <v>259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</row>
    <row r="1226" spans="2:40" x14ac:dyDescent="0.2">
      <c r="B1226">
        <v>630</v>
      </c>
      <c r="C1226">
        <v>1</v>
      </c>
      <c r="D1226" t="s">
        <v>260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</row>
    <row r="1227" spans="2:40" x14ac:dyDescent="0.2">
      <c r="B1227">
        <v>635</v>
      </c>
      <c r="C1227">
        <v>1</v>
      </c>
      <c r="D1227" t="s">
        <v>261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</row>
    <row r="1228" spans="2:40" x14ac:dyDescent="0.2">
      <c r="B1228">
        <v>640</v>
      </c>
      <c r="C1228">
        <v>1</v>
      </c>
      <c r="D1228" t="s">
        <v>262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</row>
    <row r="1229" spans="2:40" x14ac:dyDescent="0.2">
      <c r="B1229">
        <v>656</v>
      </c>
      <c r="C1229">
        <v>1</v>
      </c>
      <c r="D1229" t="s">
        <v>263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</row>
    <row r="1230" spans="2:40" x14ac:dyDescent="0.2">
      <c r="B1230">
        <v>659</v>
      </c>
      <c r="C1230">
        <v>1</v>
      </c>
      <c r="D1230" t="s">
        <v>264</v>
      </c>
      <c r="E1230" s="3">
        <v>0</v>
      </c>
      <c r="F1230" s="3">
        <v>685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685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</row>
    <row r="1231" spans="2:40" x14ac:dyDescent="0.2">
      <c r="B1231">
        <v>671</v>
      </c>
      <c r="C1231">
        <v>1</v>
      </c>
      <c r="D1231" t="s">
        <v>265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</row>
    <row r="1232" spans="2:40" x14ac:dyDescent="0.2">
      <c r="B1232">
        <v>676</v>
      </c>
      <c r="C1232">
        <v>1</v>
      </c>
      <c r="D1232" t="s">
        <v>266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</row>
    <row r="1233" spans="2:40" x14ac:dyDescent="0.2">
      <c r="B1233">
        <v>682</v>
      </c>
      <c r="C1233">
        <v>1</v>
      </c>
      <c r="D1233" t="s">
        <v>267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</row>
    <row r="1234" spans="2:40" x14ac:dyDescent="0.2">
      <c r="B1234">
        <v>690</v>
      </c>
      <c r="C1234">
        <v>1</v>
      </c>
      <c r="D1234" t="s">
        <v>268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</row>
    <row r="1235" spans="2:40" x14ac:dyDescent="0.2">
      <c r="B1235">
        <v>695</v>
      </c>
      <c r="C1235">
        <v>1</v>
      </c>
      <c r="D1235" t="s">
        <v>269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</row>
    <row r="1236" spans="2:40" x14ac:dyDescent="0.2">
      <c r="B1236">
        <v>696</v>
      </c>
      <c r="C1236">
        <v>1</v>
      </c>
      <c r="D1236" t="s">
        <v>270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</row>
    <row r="1237" spans="2:40" x14ac:dyDescent="0.2">
      <c r="B1237">
        <v>698</v>
      </c>
      <c r="C1237">
        <v>1</v>
      </c>
      <c r="D1237" t="s">
        <v>271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</row>
    <row r="1238" spans="2:40" x14ac:dyDescent="0.2">
      <c r="B1238">
        <v>700</v>
      </c>
      <c r="C1238">
        <v>1</v>
      </c>
      <c r="D1238" t="s">
        <v>272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</row>
    <row r="1239" spans="2:40" x14ac:dyDescent="0.2">
      <c r="B1239">
        <v>701</v>
      </c>
      <c r="C1239">
        <v>1</v>
      </c>
      <c r="D1239" t="s">
        <v>273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</row>
    <row r="1240" spans="2:40" x14ac:dyDescent="0.2">
      <c r="B1240">
        <v>704</v>
      </c>
      <c r="C1240">
        <v>1</v>
      </c>
      <c r="D1240" t="s">
        <v>274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</row>
    <row r="1241" spans="2:40" x14ac:dyDescent="0.2">
      <c r="B1241">
        <v>706</v>
      </c>
      <c r="C1241">
        <v>1</v>
      </c>
      <c r="D1241" t="s">
        <v>275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</row>
    <row r="1242" spans="2:40" x14ac:dyDescent="0.2">
      <c r="B1242">
        <v>707</v>
      </c>
      <c r="C1242">
        <v>1</v>
      </c>
      <c r="D1242" t="s">
        <v>276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</row>
    <row r="1243" spans="2:40" x14ac:dyDescent="0.2">
      <c r="B1243">
        <v>709</v>
      </c>
      <c r="C1243">
        <v>1</v>
      </c>
      <c r="D1243" t="s">
        <v>277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</row>
    <row r="1244" spans="2:40" x14ac:dyDescent="0.2">
      <c r="B1244">
        <v>712</v>
      </c>
      <c r="C1244">
        <v>1</v>
      </c>
      <c r="D1244" t="s">
        <v>278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0</v>
      </c>
    </row>
    <row r="1245" spans="2:40" x14ac:dyDescent="0.2">
      <c r="B1245">
        <v>716</v>
      </c>
      <c r="C1245">
        <v>1</v>
      </c>
      <c r="D1245" t="s">
        <v>279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</row>
    <row r="1246" spans="2:40" x14ac:dyDescent="0.2">
      <c r="B1246">
        <v>717</v>
      </c>
      <c r="C1246">
        <v>1</v>
      </c>
      <c r="D1246" t="s">
        <v>280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</row>
    <row r="1247" spans="2:40" x14ac:dyDescent="0.2">
      <c r="B1247">
        <v>719</v>
      </c>
      <c r="C1247">
        <v>1</v>
      </c>
      <c r="D1247" t="s">
        <v>281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</row>
    <row r="1248" spans="2:40" x14ac:dyDescent="0.2">
      <c r="B1248">
        <v>720</v>
      </c>
      <c r="C1248">
        <v>1</v>
      </c>
      <c r="D1248" t="s">
        <v>282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</row>
    <row r="1249" spans="2:40" x14ac:dyDescent="0.2">
      <c r="B1249">
        <v>721</v>
      </c>
      <c r="C1249">
        <v>1</v>
      </c>
      <c r="D1249" t="s">
        <v>283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</row>
    <row r="1250" spans="2:40" x14ac:dyDescent="0.2">
      <c r="B1250">
        <v>726</v>
      </c>
      <c r="C1250">
        <v>1</v>
      </c>
      <c r="D1250" t="s">
        <v>284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</row>
    <row r="1251" spans="2:40" x14ac:dyDescent="0.2">
      <c r="B1251">
        <v>727</v>
      </c>
      <c r="C1251">
        <v>1</v>
      </c>
      <c r="D1251" t="s">
        <v>285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</row>
    <row r="1252" spans="2:40" x14ac:dyDescent="0.2">
      <c r="B1252">
        <v>728</v>
      </c>
      <c r="C1252">
        <v>1</v>
      </c>
      <c r="D1252" t="s">
        <v>286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</row>
    <row r="1253" spans="2:40" x14ac:dyDescent="0.2">
      <c r="B1253">
        <v>738</v>
      </c>
      <c r="C1253">
        <v>1</v>
      </c>
      <c r="D1253" t="s">
        <v>287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</row>
    <row r="1254" spans="2:40" x14ac:dyDescent="0.2">
      <c r="B1254">
        <v>739</v>
      </c>
      <c r="C1254">
        <v>1</v>
      </c>
      <c r="D1254" t="s">
        <v>288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</row>
    <row r="1255" spans="2:40" x14ac:dyDescent="0.2">
      <c r="B1255">
        <v>740</v>
      </c>
      <c r="C1255">
        <v>1</v>
      </c>
      <c r="D1255" t="s">
        <v>289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</row>
    <row r="1256" spans="2:40" x14ac:dyDescent="0.2">
      <c r="B1256">
        <v>741</v>
      </c>
      <c r="C1256">
        <v>1</v>
      </c>
      <c r="D1256" t="s">
        <v>290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</row>
    <row r="1257" spans="2:40" x14ac:dyDescent="0.2">
      <c r="B1257">
        <v>742</v>
      </c>
      <c r="C1257">
        <v>1</v>
      </c>
      <c r="D1257" t="s">
        <v>291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</row>
    <row r="1258" spans="2:40" x14ac:dyDescent="0.2">
      <c r="B1258">
        <v>743</v>
      </c>
      <c r="C1258">
        <v>1</v>
      </c>
      <c r="D1258" t="s">
        <v>292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</row>
    <row r="1259" spans="2:40" x14ac:dyDescent="0.2">
      <c r="B1259">
        <v>745</v>
      </c>
      <c r="C1259">
        <v>1</v>
      </c>
      <c r="D1259" t="s">
        <v>293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</row>
    <row r="1260" spans="2:40" x14ac:dyDescent="0.2">
      <c r="B1260">
        <v>748</v>
      </c>
      <c r="C1260">
        <v>1</v>
      </c>
      <c r="D1260" t="s">
        <v>294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</row>
    <row r="1261" spans="2:40" x14ac:dyDescent="0.2">
      <c r="B1261">
        <v>750</v>
      </c>
      <c r="C1261">
        <v>1</v>
      </c>
      <c r="D1261" t="s">
        <v>295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</row>
    <row r="1262" spans="2:40" x14ac:dyDescent="0.2">
      <c r="B1262">
        <v>756</v>
      </c>
      <c r="C1262">
        <v>1</v>
      </c>
      <c r="D1262" t="s">
        <v>296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</row>
    <row r="1263" spans="2:40" x14ac:dyDescent="0.2">
      <c r="B1263">
        <v>761</v>
      </c>
      <c r="C1263">
        <v>1</v>
      </c>
      <c r="D1263" t="s">
        <v>297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</row>
    <row r="1264" spans="2:40" x14ac:dyDescent="0.2">
      <c r="B1264">
        <v>763</v>
      </c>
      <c r="C1264">
        <v>1</v>
      </c>
      <c r="D1264" t="s">
        <v>298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</row>
    <row r="1265" spans="2:40" x14ac:dyDescent="0.2">
      <c r="B1265">
        <v>768</v>
      </c>
      <c r="C1265">
        <v>1</v>
      </c>
      <c r="D1265" t="s">
        <v>299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</row>
    <row r="1266" spans="2:40" x14ac:dyDescent="0.2">
      <c r="B1266">
        <v>769</v>
      </c>
      <c r="C1266">
        <v>1</v>
      </c>
      <c r="D1266" t="s">
        <v>300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</row>
    <row r="1267" spans="2:40" x14ac:dyDescent="0.2">
      <c r="B1267">
        <v>771</v>
      </c>
      <c r="C1267">
        <v>1</v>
      </c>
      <c r="D1267" t="s">
        <v>301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</row>
    <row r="1268" spans="2:40" x14ac:dyDescent="0.2">
      <c r="B1268">
        <v>775</v>
      </c>
      <c r="C1268">
        <v>1</v>
      </c>
      <c r="D1268" t="s">
        <v>302</v>
      </c>
      <c r="E1268" s="3">
        <v>0</v>
      </c>
      <c r="F1268" s="3">
        <v>104.81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104.81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</row>
    <row r="1269" spans="2:40" x14ac:dyDescent="0.2">
      <c r="B1269">
        <v>777</v>
      </c>
      <c r="C1269">
        <v>1</v>
      </c>
      <c r="D1269" t="s">
        <v>303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</row>
    <row r="1270" spans="2:40" x14ac:dyDescent="0.2">
      <c r="B1270">
        <v>786</v>
      </c>
      <c r="C1270">
        <v>1</v>
      </c>
      <c r="D1270" t="s">
        <v>304</v>
      </c>
      <c r="E1270" s="3">
        <v>0</v>
      </c>
      <c r="F1270" s="3">
        <v>126.99</v>
      </c>
      <c r="G1270" s="3">
        <v>126.99</v>
      </c>
      <c r="H1270" s="3">
        <v>126.99</v>
      </c>
      <c r="I1270" s="3">
        <v>126.99</v>
      </c>
      <c r="J1270" s="3">
        <v>126.99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126.99</v>
      </c>
      <c r="S1270" s="3">
        <v>126.99</v>
      </c>
      <c r="T1270" s="3">
        <v>126.99</v>
      </c>
      <c r="U1270" s="3">
        <v>126.99</v>
      </c>
      <c r="V1270" s="3">
        <v>126.99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</row>
    <row r="1271" spans="2:40" x14ac:dyDescent="0.2">
      <c r="B1271">
        <v>787</v>
      </c>
      <c r="C1271">
        <v>1</v>
      </c>
      <c r="D1271" t="s">
        <v>305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</row>
    <row r="1272" spans="2:40" x14ac:dyDescent="0.2">
      <c r="B1272">
        <v>801</v>
      </c>
      <c r="C1272">
        <v>1</v>
      </c>
      <c r="D1272" t="s">
        <v>306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</row>
    <row r="1273" spans="2:40" x14ac:dyDescent="0.2">
      <c r="B1273">
        <v>803</v>
      </c>
      <c r="C1273">
        <v>1</v>
      </c>
      <c r="D1273" t="s">
        <v>307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</row>
    <row r="1274" spans="2:40" x14ac:dyDescent="0.2">
      <c r="B1274">
        <v>811</v>
      </c>
      <c r="C1274">
        <v>1</v>
      </c>
      <c r="D1274" t="s">
        <v>310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</row>
    <row r="1275" spans="2:40" x14ac:dyDescent="0.2">
      <c r="B1275">
        <v>813</v>
      </c>
      <c r="C1275">
        <v>1</v>
      </c>
      <c r="D1275" t="s">
        <v>311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</row>
    <row r="1276" spans="2:40" x14ac:dyDescent="0.2">
      <c r="B1276">
        <v>815</v>
      </c>
      <c r="C1276">
        <v>2</v>
      </c>
      <c r="D1276" t="s">
        <v>312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</row>
    <row r="1277" spans="2:40" x14ac:dyDescent="0.2">
      <c r="B1277">
        <v>818</v>
      </c>
      <c r="C1277">
        <v>1</v>
      </c>
      <c r="D1277" t="s">
        <v>313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</row>
    <row r="1278" spans="2:40" x14ac:dyDescent="0.2">
      <c r="B1278">
        <v>820</v>
      </c>
      <c r="C1278">
        <v>1</v>
      </c>
      <c r="D1278" t="s">
        <v>314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</row>
    <row r="1279" spans="2:40" x14ac:dyDescent="0.2">
      <c r="B1279">
        <v>821</v>
      </c>
      <c r="C1279">
        <v>1</v>
      </c>
      <c r="D1279" t="s">
        <v>315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</row>
    <row r="1280" spans="2:40" x14ac:dyDescent="0.2">
      <c r="B1280">
        <v>829</v>
      </c>
      <c r="C1280">
        <v>1</v>
      </c>
      <c r="D1280" t="s">
        <v>316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</row>
    <row r="1281" spans="2:40" x14ac:dyDescent="0.2">
      <c r="B1281">
        <v>831</v>
      </c>
      <c r="C1281">
        <v>1</v>
      </c>
      <c r="D1281" t="s">
        <v>317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</row>
    <row r="1282" spans="2:40" x14ac:dyDescent="0.2">
      <c r="B1282">
        <v>832</v>
      </c>
      <c r="C1282">
        <v>1</v>
      </c>
      <c r="D1282" t="s">
        <v>318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</row>
    <row r="1283" spans="2:40" x14ac:dyDescent="0.2">
      <c r="B1283">
        <v>833</v>
      </c>
      <c r="C1283">
        <v>1</v>
      </c>
      <c r="D1283" t="s">
        <v>319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</row>
    <row r="1284" spans="2:40" x14ac:dyDescent="0.2">
      <c r="B1284">
        <v>834</v>
      </c>
      <c r="C1284">
        <v>1</v>
      </c>
      <c r="D1284" t="s">
        <v>320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</row>
    <row r="1285" spans="2:40" x14ac:dyDescent="0.2">
      <c r="B1285">
        <v>836</v>
      </c>
      <c r="C1285">
        <v>1</v>
      </c>
      <c r="D1285" t="s">
        <v>321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</row>
    <row r="1286" spans="2:40" x14ac:dyDescent="0.2">
      <c r="B1286">
        <v>837</v>
      </c>
      <c r="C1286">
        <v>1</v>
      </c>
      <c r="D1286" t="s">
        <v>322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</row>
    <row r="1287" spans="2:40" x14ac:dyDescent="0.2">
      <c r="B1287">
        <v>840</v>
      </c>
      <c r="C1287">
        <v>1</v>
      </c>
      <c r="D1287" t="s">
        <v>323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</row>
    <row r="1288" spans="2:40" x14ac:dyDescent="0.2">
      <c r="B1288">
        <v>846</v>
      </c>
      <c r="C1288">
        <v>1</v>
      </c>
      <c r="D1288" t="s">
        <v>324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</row>
    <row r="1289" spans="2:40" x14ac:dyDescent="0.2">
      <c r="B1289">
        <v>850</v>
      </c>
      <c r="C1289">
        <v>1</v>
      </c>
      <c r="D1289" t="s">
        <v>325</v>
      </c>
      <c r="E1289" s="3">
        <v>0</v>
      </c>
      <c r="F1289" s="3">
        <v>140.12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140.12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</row>
    <row r="1290" spans="2:40" x14ac:dyDescent="0.2">
      <c r="B1290">
        <v>852</v>
      </c>
      <c r="C1290">
        <v>1</v>
      </c>
      <c r="D1290" t="s">
        <v>326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</row>
    <row r="1291" spans="2:40" x14ac:dyDescent="0.2">
      <c r="B1291">
        <v>857</v>
      </c>
      <c r="C1291">
        <v>1</v>
      </c>
      <c r="D1291" t="s">
        <v>327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</row>
    <row r="1292" spans="2:40" x14ac:dyDescent="0.2">
      <c r="B1292">
        <v>858</v>
      </c>
      <c r="C1292">
        <v>1</v>
      </c>
      <c r="D1292" t="s">
        <v>328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</row>
    <row r="1293" spans="2:40" x14ac:dyDescent="0.2">
      <c r="B1293">
        <v>861</v>
      </c>
      <c r="C1293">
        <v>1</v>
      </c>
      <c r="D1293" t="s">
        <v>329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</row>
    <row r="1294" spans="2:40" x14ac:dyDescent="0.2">
      <c r="B1294">
        <v>876</v>
      </c>
      <c r="C1294">
        <v>1</v>
      </c>
      <c r="D1294" t="s">
        <v>330</v>
      </c>
      <c r="E1294" s="3">
        <v>0</v>
      </c>
      <c r="F1294" s="3">
        <v>457.69</v>
      </c>
      <c r="G1294" s="3">
        <v>105.39</v>
      </c>
      <c r="H1294" s="3">
        <v>105.39</v>
      </c>
      <c r="I1294" s="3">
        <v>105.39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457.69</v>
      </c>
      <c r="S1294" s="3">
        <v>105.39</v>
      </c>
      <c r="T1294" s="3">
        <v>105.39</v>
      </c>
      <c r="U1294" s="3">
        <v>105.39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</row>
    <row r="1295" spans="2:40" x14ac:dyDescent="0.2">
      <c r="B1295">
        <v>877</v>
      </c>
      <c r="C1295">
        <v>1</v>
      </c>
      <c r="D1295" t="s">
        <v>331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</row>
    <row r="1296" spans="2:40" x14ac:dyDescent="0.2">
      <c r="B1296">
        <v>879</v>
      </c>
      <c r="C1296">
        <v>1</v>
      </c>
      <c r="D1296" t="s">
        <v>332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</row>
    <row r="1297" spans="2:40" x14ac:dyDescent="0.2">
      <c r="B1297">
        <v>881</v>
      </c>
      <c r="C1297">
        <v>1</v>
      </c>
      <c r="D1297" t="s">
        <v>333</v>
      </c>
      <c r="E1297" s="3">
        <v>0</v>
      </c>
      <c r="F1297" s="3">
        <v>640.39</v>
      </c>
      <c r="G1297" s="3">
        <v>640.39</v>
      </c>
      <c r="H1297" s="3">
        <v>452.78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640.39</v>
      </c>
      <c r="S1297" s="3">
        <v>640.39</v>
      </c>
      <c r="T1297" s="3">
        <v>452.78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</v>
      </c>
    </row>
    <row r="1298" spans="2:40" x14ac:dyDescent="0.2">
      <c r="B1298">
        <v>882</v>
      </c>
      <c r="C1298">
        <v>1</v>
      </c>
      <c r="D1298" t="s">
        <v>334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</row>
    <row r="1299" spans="2:40" x14ac:dyDescent="0.2">
      <c r="B1299">
        <v>883</v>
      </c>
      <c r="C1299">
        <v>1</v>
      </c>
      <c r="D1299" t="s">
        <v>335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</row>
    <row r="1300" spans="2:40" x14ac:dyDescent="0.2">
      <c r="B1300">
        <v>885</v>
      </c>
      <c r="C1300">
        <v>1</v>
      </c>
      <c r="D1300" t="s">
        <v>336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</row>
    <row r="1301" spans="2:40" x14ac:dyDescent="0.2">
      <c r="B1301">
        <v>891</v>
      </c>
      <c r="C1301">
        <v>1</v>
      </c>
      <c r="D1301" t="s">
        <v>337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</row>
    <row r="1302" spans="2:40" x14ac:dyDescent="0.2">
      <c r="B1302">
        <v>911</v>
      </c>
      <c r="C1302">
        <v>1</v>
      </c>
      <c r="D1302" t="s">
        <v>338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</row>
    <row r="1303" spans="2:40" x14ac:dyDescent="0.2">
      <c r="B1303">
        <v>912</v>
      </c>
      <c r="C1303">
        <v>1</v>
      </c>
      <c r="D1303" t="s">
        <v>339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</row>
    <row r="1304" spans="2:40" x14ac:dyDescent="0.2">
      <c r="B1304">
        <v>914</v>
      </c>
      <c r="C1304">
        <v>1</v>
      </c>
      <c r="D1304" t="s">
        <v>340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</row>
    <row r="1305" spans="2:40" x14ac:dyDescent="0.2">
      <c r="B1305">
        <v>2071</v>
      </c>
      <c r="C1305">
        <v>1</v>
      </c>
      <c r="D1305" t="s">
        <v>341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</row>
    <row r="1306" spans="2:40" x14ac:dyDescent="0.2">
      <c r="B1306">
        <v>2125</v>
      </c>
      <c r="C1306">
        <v>1</v>
      </c>
      <c r="D1306" t="s">
        <v>342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</row>
    <row r="1307" spans="2:40" x14ac:dyDescent="0.2">
      <c r="B1307">
        <v>2134</v>
      </c>
      <c r="C1307">
        <v>1</v>
      </c>
      <c r="D1307" t="s">
        <v>343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</row>
    <row r="1308" spans="2:40" x14ac:dyDescent="0.2">
      <c r="B1308">
        <v>2135</v>
      </c>
      <c r="C1308">
        <v>1</v>
      </c>
      <c r="D1308" t="s">
        <v>344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</row>
    <row r="1309" spans="2:40" x14ac:dyDescent="0.2">
      <c r="B1309">
        <v>2137</v>
      </c>
      <c r="C1309">
        <v>1</v>
      </c>
      <c r="D1309" t="s">
        <v>345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</row>
    <row r="1310" spans="2:40" x14ac:dyDescent="0.2">
      <c r="B1310">
        <v>2142</v>
      </c>
      <c r="C1310">
        <v>1</v>
      </c>
      <c r="D1310" t="s">
        <v>346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</row>
    <row r="1311" spans="2:40" x14ac:dyDescent="0.2">
      <c r="B1311">
        <v>2143</v>
      </c>
      <c r="C1311">
        <v>1</v>
      </c>
      <c r="D1311" t="s">
        <v>347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</row>
    <row r="1312" spans="2:40" x14ac:dyDescent="0.2">
      <c r="B1312">
        <v>2144</v>
      </c>
      <c r="C1312">
        <v>1</v>
      </c>
      <c r="D1312" t="s">
        <v>348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</row>
    <row r="1313" spans="2:40" x14ac:dyDescent="0.2">
      <c r="B1313">
        <v>2149</v>
      </c>
      <c r="C1313">
        <v>1</v>
      </c>
      <c r="D1313" t="s">
        <v>349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</row>
    <row r="1314" spans="2:40" x14ac:dyDescent="0.2">
      <c r="B1314">
        <v>2154</v>
      </c>
      <c r="C1314">
        <v>1</v>
      </c>
      <c r="D1314" t="s">
        <v>350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</row>
    <row r="1315" spans="2:40" x14ac:dyDescent="0.2">
      <c r="B1315">
        <v>2155</v>
      </c>
      <c r="C1315">
        <v>1</v>
      </c>
      <c r="D1315" t="s">
        <v>351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</row>
    <row r="1316" spans="2:40" x14ac:dyDescent="0.2">
      <c r="B1316">
        <v>2159</v>
      </c>
      <c r="C1316">
        <v>1</v>
      </c>
      <c r="D1316" t="s">
        <v>352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</row>
    <row r="1317" spans="2:40" x14ac:dyDescent="0.2">
      <c r="B1317">
        <v>2164</v>
      </c>
      <c r="C1317">
        <v>1</v>
      </c>
      <c r="D1317" t="s">
        <v>353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</row>
    <row r="1318" spans="2:40" x14ac:dyDescent="0.2">
      <c r="B1318">
        <v>2165</v>
      </c>
      <c r="C1318">
        <v>1</v>
      </c>
      <c r="D1318" t="s">
        <v>354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</row>
    <row r="1319" spans="2:40" x14ac:dyDescent="0.2">
      <c r="B1319">
        <v>2167</v>
      </c>
      <c r="C1319">
        <v>1</v>
      </c>
      <c r="D1319" t="s">
        <v>355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</row>
    <row r="1320" spans="2:40" x14ac:dyDescent="0.2">
      <c r="B1320">
        <v>2168</v>
      </c>
      <c r="C1320">
        <v>1</v>
      </c>
      <c r="D1320" t="s">
        <v>356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</row>
    <row r="1321" spans="2:40" x14ac:dyDescent="0.2">
      <c r="B1321">
        <v>2169</v>
      </c>
      <c r="C1321">
        <v>1</v>
      </c>
      <c r="D1321" t="s">
        <v>357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</row>
    <row r="1322" spans="2:40" x14ac:dyDescent="0.2">
      <c r="B1322">
        <v>2170</v>
      </c>
      <c r="C1322">
        <v>1</v>
      </c>
      <c r="D1322" t="s">
        <v>358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</row>
    <row r="1323" spans="2:40" x14ac:dyDescent="0.2">
      <c r="B1323">
        <v>2171</v>
      </c>
      <c r="C1323">
        <v>1</v>
      </c>
      <c r="D1323" t="s">
        <v>359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</row>
    <row r="1324" spans="2:40" x14ac:dyDescent="0.2">
      <c r="B1324">
        <v>2172</v>
      </c>
      <c r="C1324">
        <v>1</v>
      </c>
      <c r="D1324" t="s">
        <v>360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</row>
    <row r="1325" spans="2:40" x14ac:dyDescent="0.2">
      <c r="B1325">
        <v>2174</v>
      </c>
      <c r="C1325">
        <v>1</v>
      </c>
      <c r="D1325" t="s">
        <v>361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</row>
    <row r="1326" spans="2:40" x14ac:dyDescent="0.2">
      <c r="B1326">
        <v>2176</v>
      </c>
      <c r="C1326">
        <v>1</v>
      </c>
      <c r="D1326" t="s">
        <v>362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</row>
    <row r="1327" spans="2:40" x14ac:dyDescent="0.2">
      <c r="B1327">
        <v>2180</v>
      </c>
      <c r="C1327">
        <v>1</v>
      </c>
      <c r="D1327" t="s">
        <v>363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</row>
    <row r="1328" spans="2:40" x14ac:dyDescent="0.2">
      <c r="B1328">
        <v>2184</v>
      </c>
      <c r="C1328">
        <v>1</v>
      </c>
      <c r="D1328" t="s">
        <v>364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</row>
    <row r="1329" spans="2:40" x14ac:dyDescent="0.2">
      <c r="B1329">
        <v>2190</v>
      </c>
      <c r="C1329">
        <v>1</v>
      </c>
      <c r="D1329" t="s">
        <v>365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</row>
    <row r="1330" spans="2:40" x14ac:dyDescent="0.2">
      <c r="B1330">
        <v>2198</v>
      </c>
      <c r="C1330">
        <v>1</v>
      </c>
      <c r="D1330" t="s">
        <v>366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</row>
    <row r="1331" spans="2:40" x14ac:dyDescent="0.2">
      <c r="B1331">
        <v>2215</v>
      </c>
      <c r="C1331">
        <v>1</v>
      </c>
      <c r="D1331" t="s">
        <v>367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</row>
    <row r="1332" spans="2:40" x14ac:dyDescent="0.2">
      <c r="B1332">
        <v>2310</v>
      </c>
      <c r="C1332">
        <v>1</v>
      </c>
      <c r="D1332" t="s">
        <v>368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</row>
    <row r="1333" spans="2:40" x14ac:dyDescent="0.2">
      <c r="B1333">
        <v>2311</v>
      </c>
      <c r="C1333">
        <v>1</v>
      </c>
      <c r="D1333" t="s">
        <v>369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0</v>
      </c>
    </row>
    <row r="1334" spans="2:40" x14ac:dyDescent="0.2">
      <c r="B1334">
        <v>2342</v>
      </c>
      <c r="C1334">
        <v>1</v>
      </c>
      <c r="D1334" t="s">
        <v>370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</row>
    <row r="1335" spans="2:40" x14ac:dyDescent="0.2">
      <c r="B1335">
        <v>2358</v>
      </c>
      <c r="C1335">
        <v>1</v>
      </c>
      <c r="D1335" t="s">
        <v>371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</row>
    <row r="1336" spans="2:40" x14ac:dyDescent="0.2">
      <c r="B1336">
        <v>2364</v>
      </c>
      <c r="C1336">
        <v>1</v>
      </c>
      <c r="D1336" t="s">
        <v>372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</row>
    <row r="1337" spans="2:40" x14ac:dyDescent="0.2">
      <c r="B1337">
        <v>2365</v>
      </c>
      <c r="C1337">
        <v>1</v>
      </c>
      <c r="D1337" t="s">
        <v>373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</row>
    <row r="1338" spans="2:40" x14ac:dyDescent="0.2">
      <c r="B1338">
        <v>2396</v>
      </c>
      <c r="C1338">
        <v>1</v>
      </c>
      <c r="D1338" t="s">
        <v>374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</row>
    <row r="1339" spans="2:40" x14ac:dyDescent="0.2">
      <c r="B1339">
        <v>2397</v>
      </c>
      <c r="C1339">
        <v>1</v>
      </c>
      <c r="D1339" t="s">
        <v>375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</row>
    <row r="1340" spans="2:40" x14ac:dyDescent="0.2">
      <c r="B1340">
        <v>2448</v>
      </c>
      <c r="C1340">
        <v>1</v>
      </c>
      <c r="D1340" t="s">
        <v>376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</row>
    <row r="1341" spans="2:40" x14ac:dyDescent="0.2">
      <c r="B1341">
        <v>2527</v>
      </c>
      <c r="C1341">
        <v>1</v>
      </c>
      <c r="D1341" t="s">
        <v>377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</row>
    <row r="1342" spans="2:40" x14ac:dyDescent="0.2">
      <c r="B1342">
        <v>2534</v>
      </c>
      <c r="C1342">
        <v>1</v>
      </c>
      <c r="D1342" t="s">
        <v>378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</row>
    <row r="1343" spans="2:40" x14ac:dyDescent="0.2">
      <c r="B1343">
        <v>2536</v>
      </c>
      <c r="C1343">
        <v>1</v>
      </c>
      <c r="D1343" t="s">
        <v>379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</row>
    <row r="1344" spans="2:40" x14ac:dyDescent="0.2">
      <c r="B1344">
        <v>2580</v>
      </c>
      <c r="C1344">
        <v>1</v>
      </c>
      <c r="D1344" t="s">
        <v>380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</row>
    <row r="1345" spans="2:40" x14ac:dyDescent="0.2">
      <c r="B1345">
        <v>2609</v>
      </c>
      <c r="C1345">
        <v>1</v>
      </c>
      <c r="D1345" t="s">
        <v>381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</row>
    <row r="1346" spans="2:40" x14ac:dyDescent="0.2">
      <c r="B1346">
        <v>2683</v>
      </c>
      <c r="C1346">
        <v>1</v>
      </c>
      <c r="D1346" t="s">
        <v>382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</row>
    <row r="1347" spans="2:40" x14ac:dyDescent="0.2">
      <c r="B1347">
        <v>2687</v>
      </c>
      <c r="C1347">
        <v>1</v>
      </c>
      <c r="D1347" t="s">
        <v>383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</row>
    <row r="1348" spans="2:40" x14ac:dyDescent="0.2">
      <c r="B1348">
        <v>2689</v>
      </c>
      <c r="C1348">
        <v>1</v>
      </c>
      <c r="D1348" t="s">
        <v>384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</row>
    <row r="1349" spans="2:40" x14ac:dyDescent="0.2">
      <c r="B1349">
        <v>2711</v>
      </c>
      <c r="C1349">
        <v>1</v>
      </c>
      <c r="D1349" t="s">
        <v>385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</row>
    <row r="1350" spans="2:40" x14ac:dyDescent="0.2">
      <c r="B1350">
        <v>2752</v>
      </c>
      <c r="C1350">
        <v>1</v>
      </c>
      <c r="D1350" t="s">
        <v>386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</row>
    <row r="1351" spans="2:40" x14ac:dyDescent="0.2">
      <c r="B1351">
        <v>2753</v>
      </c>
      <c r="C1351">
        <v>1</v>
      </c>
      <c r="D1351" t="s">
        <v>387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</row>
    <row r="1352" spans="2:40" x14ac:dyDescent="0.2">
      <c r="B1352">
        <v>2754</v>
      </c>
      <c r="C1352">
        <v>1</v>
      </c>
      <c r="D1352" t="s">
        <v>388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</row>
    <row r="1353" spans="2:40" x14ac:dyDescent="0.2">
      <c r="B1353">
        <v>2759</v>
      </c>
      <c r="C1353">
        <v>1</v>
      </c>
      <c r="D1353" t="s">
        <v>389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</row>
    <row r="1354" spans="2:40" x14ac:dyDescent="0.2">
      <c r="B1354">
        <v>2805</v>
      </c>
      <c r="C1354">
        <v>1</v>
      </c>
      <c r="D1354" t="s">
        <v>390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</row>
    <row r="1355" spans="2:40" x14ac:dyDescent="0.2">
      <c r="B1355">
        <v>2835</v>
      </c>
      <c r="C1355">
        <v>1</v>
      </c>
      <c r="D1355" t="s">
        <v>391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</row>
    <row r="1356" spans="2:40" x14ac:dyDescent="0.2">
      <c r="B1356">
        <v>2853</v>
      </c>
      <c r="C1356">
        <v>1</v>
      </c>
      <c r="D1356" t="s">
        <v>392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</row>
    <row r="1357" spans="2:40" x14ac:dyDescent="0.2">
      <c r="B1357">
        <v>2854</v>
      </c>
      <c r="C1357">
        <v>1</v>
      </c>
      <c r="D1357" t="s">
        <v>393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</row>
    <row r="1358" spans="2:40" x14ac:dyDescent="0.2">
      <c r="B1358">
        <v>2856</v>
      </c>
      <c r="C1358">
        <v>1</v>
      </c>
      <c r="D1358" t="s">
        <v>394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</row>
    <row r="1359" spans="2:40" x14ac:dyDescent="0.2">
      <c r="B1359">
        <v>2859</v>
      </c>
      <c r="C1359">
        <v>1</v>
      </c>
      <c r="D1359" t="s">
        <v>395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</row>
    <row r="1360" spans="2:40" x14ac:dyDescent="0.2">
      <c r="B1360">
        <v>2860</v>
      </c>
      <c r="C1360">
        <v>1</v>
      </c>
      <c r="D1360" t="s">
        <v>396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</row>
    <row r="1361" spans="2:40" x14ac:dyDescent="0.2">
      <c r="B1361">
        <v>2884</v>
      </c>
      <c r="C1361">
        <v>1</v>
      </c>
      <c r="D1361" t="s">
        <v>397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</row>
    <row r="1362" spans="2:40" x14ac:dyDescent="0.2">
      <c r="B1362">
        <v>2886</v>
      </c>
      <c r="C1362">
        <v>1</v>
      </c>
      <c r="D1362" t="s">
        <v>398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</row>
    <row r="1363" spans="2:40" x14ac:dyDescent="0.2">
      <c r="B1363">
        <v>2887</v>
      </c>
      <c r="C1363">
        <v>1</v>
      </c>
      <c r="D1363" t="s">
        <v>399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</row>
    <row r="1364" spans="2:40" x14ac:dyDescent="0.2">
      <c r="B1364">
        <v>2888</v>
      </c>
      <c r="C1364">
        <v>1</v>
      </c>
      <c r="D1364" t="s">
        <v>400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</row>
    <row r="1365" spans="2:40" x14ac:dyDescent="0.2">
      <c r="B1365">
        <v>2889</v>
      </c>
      <c r="C1365">
        <v>1</v>
      </c>
      <c r="D1365" t="s">
        <v>401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</row>
    <row r="1366" spans="2:40" x14ac:dyDescent="0.2">
      <c r="B1366">
        <v>2890</v>
      </c>
      <c r="C1366">
        <v>1</v>
      </c>
      <c r="D1366" t="s">
        <v>402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</row>
    <row r="1367" spans="2:40" x14ac:dyDescent="0.2">
      <c r="B1367">
        <v>2895</v>
      </c>
      <c r="C1367">
        <v>1</v>
      </c>
      <c r="D1367" t="s">
        <v>403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</row>
    <row r="1368" spans="2:40" x14ac:dyDescent="0.2">
      <c r="B1368">
        <v>2897</v>
      </c>
      <c r="C1368">
        <v>1</v>
      </c>
      <c r="D1368" t="s">
        <v>404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</row>
    <row r="1369" spans="2:40" x14ac:dyDescent="0.2">
      <c r="B1369">
        <v>2898</v>
      </c>
      <c r="C1369">
        <v>1</v>
      </c>
      <c r="D1369" t="s">
        <v>405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</row>
    <row r="1370" spans="2:40" x14ac:dyDescent="0.2">
      <c r="B1370" s="64">
        <v>2899</v>
      </c>
      <c r="C1370" s="64">
        <v>1</v>
      </c>
      <c r="D1370" s="22" t="s">
        <v>908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</row>
    <row r="1371" spans="2:40" x14ac:dyDescent="0.2">
      <c r="B1371" s="64">
        <v>2902</v>
      </c>
      <c r="C1371" s="64">
        <v>1</v>
      </c>
      <c r="D1371" s="22" t="s">
        <v>909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</row>
    <row r="1711" spans="2:4" x14ac:dyDescent="0.2">
      <c r="B1711" s="64"/>
      <c r="C1711" s="64"/>
      <c r="D1711" s="22"/>
    </row>
    <row r="1712" spans="2:4" x14ac:dyDescent="0.2">
      <c r="B1712" s="64"/>
      <c r="C1712" s="64"/>
      <c r="D1712" s="22"/>
    </row>
  </sheetData>
  <phoneticPr fontId="6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1:Z353"/>
  <sheetViews>
    <sheetView zoomScale="75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F12" sqref="F12"/>
    </sheetView>
  </sheetViews>
  <sheetFormatPr defaultRowHeight="12.75" x14ac:dyDescent="0.2"/>
  <cols>
    <col min="2" max="2" width="2.7109375" customWidth="1"/>
    <col min="3" max="3" width="5.5703125" customWidth="1"/>
    <col min="4" max="4" width="3" customWidth="1"/>
    <col min="5" max="5" width="12.7109375" customWidth="1"/>
    <col min="6" max="7" width="10.28515625" bestFit="1" customWidth="1"/>
    <col min="8" max="13" width="9.42578125" bestFit="1" customWidth="1"/>
    <col min="14" max="15" width="9.28515625" bestFit="1" customWidth="1"/>
    <col min="16" max="18" width="10.140625" bestFit="1" customWidth="1"/>
    <col min="19" max="26" width="9.28515625" bestFit="1" customWidth="1"/>
  </cols>
  <sheetData>
    <row r="1" spans="2:26" x14ac:dyDescent="0.2">
      <c r="F1" s="3"/>
      <c r="G1" s="3"/>
      <c r="H1" s="3"/>
      <c r="I1" s="3"/>
      <c r="J1" s="3"/>
      <c r="K1" s="3"/>
      <c r="L1" s="3"/>
      <c r="M1" s="3"/>
      <c r="O1" s="3"/>
    </row>
    <row r="2" spans="2:26" x14ac:dyDescent="0.2"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2:26" x14ac:dyDescent="0.2">
      <c r="F3" s="3"/>
      <c r="G3" s="3"/>
      <c r="H3" s="3"/>
      <c r="I3" s="3"/>
      <c r="J3" s="3"/>
      <c r="K3" s="3"/>
      <c r="L3" s="3"/>
      <c r="M3" s="3"/>
      <c r="N3" s="3"/>
      <c r="O3" s="3"/>
    </row>
    <row r="4" spans="2:26" x14ac:dyDescent="0.2">
      <c r="F4" s="75"/>
      <c r="G4" s="75"/>
      <c r="H4" s="75"/>
      <c r="I4" s="75"/>
      <c r="J4" s="75"/>
      <c r="K4" s="75"/>
      <c r="L4" s="75"/>
      <c r="M4" s="75"/>
      <c r="N4" s="75"/>
      <c r="O4" s="75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2:26" x14ac:dyDescent="0.2">
      <c r="F5" s="3"/>
      <c r="G5" s="3"/>
      <c r="H5" s="3"/>
      <c r="I5" s="3"/>
      <c r="J5" s="3"/>
      <c r="K5" s="3"/>
      <c r="L5" s="3"/>
      <c r="M5" s="3"/>
      <c r="N5" s="3"/>
      <c r="O5" s="3"/>
    </row>
    <row r="6" spans="2:26" x14ac:dyDescent="0.2">
      <c r="F6" s="3"/>
      <c r="G6" s="3"/>
      <c r="H6" s="3"/>
      <c r="I6" s="3"/>
      <c r="J6" s="3"/>
      <c r="K6" s="3"/>
      <c r="L6" s="3"/>
      <c r="M6" s="3"/>
      <c r="N6" s="3"/>
      <c r="O6" s="3"/>
    </row>
    <row r="7" spans="2:26" x14ac:dyDescent="0.2">
      <c r="F7" s="3"/>
      <c r="G7" s="3"/>
      <c r="H7" s="3"/>
      <c r="I7" s="3"/>
      <c r="J7" s="3"/>
      <c r="K7" s="3"/>
      <c r="L7" s="3"/>
      <c r="M7" s="3"/>
      <c r="N7" s="3"/>
      <c r="O7" s="3"/>
    </row>
    <row r="8" spans="2:26" x14ac:dyDescent="0.2">
      <c r="F8" s="1" t="s">
        <v>48</v>
      </c>
      <c r="G8" s="1" t="s">
        <v>48</v>
      </c>
      <c r="H8" s="1" t="s">
        <v>48</v>
      </c>
      <c r="I8" s="1" t="s">
        <v>48</v>
      </c>
      <c r="J8" s="1" t="s">
        <v>48</v>
      </c>
      <c r="K8" s="1" t="s">
        <v>48</v>
      </c>
      <c r="L8" s="1" t="s">
        <v>48</v>
      </c>
      <c r="M8" s="1" t="s">
        <v>48</v>
      </c>
      <c r="N8" s="1" t="s">
        <v>48</v>
      </c>
      <c r="O8" s="1" t="s">
        <v>48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2:26" x14ac:dyDescent="0.2">
      <c r="F9">
        <v>2009</v>
      </c>
      <c r="G9">
        <v>2010</v>
      </c>
      <c r="H9">
        <v>2011</v>
      </c>
      <c r="I9">
        <v>2012</v>
      </c>
      <c r="J9">
        <v>2013</v>
      </c>
      <c r="K9">
        <v>2014</v>
      </c>
      <c r="L9">
        <v>2015</v>
      </c>
      <c r="M9">
        <v>2016</v>
      </c>
      <c r="N9">
        <v>2017</v>
      </c>
      <c r="O9">
        <v>2018</v>
      </c>
    </row>
    <row r="10" spans="2:26" x14ac:dyDescent="0.2"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x14ac:dyDescent="0.2"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2:26" x14ac:dyDescent="0.2">
      <c r="B12">
        <v>1</v>
      </c>
      <c r="E12" t="s">
        <v>45</v>
      </c>
      <c r="F12" s="3">
        <f t="shared" ref="F12:O12" si="0">SUM(F14:F353)</f>
        <v>198682.00999999998</v>
      </c>
      <c r="G12" s="3">
        <f t="shared" si="0"/>
        <v>187865.56000000003</v>
      </c>
      <c r="H12" s="3">
        <f t="shared" si="0"/>
        <v>176452.09000000003</v>
      </c>
      <c r="I12" s="3">
        <f t="shared" si="0"/>
        <v>158168.46999999997</v>
      </c>
      <c r="J12" s="3">
        <f t="shared" si="0"/>
        <v>114399.24</v>
      </c>
      <c r="K12" s="3">
        <f t="shared" si="0"/>
        <v>97100.800000000003</v>
      </c>
      <c r="L12" s="3">
        <f t="shared" si="0"/>
        <v>73618.01999999999</v>
      </c>
      <c r="M12" s="3">
        <f t="shared" si="0"/>
        <v>48130.78</v>
      </c>
      <c r="N12" s="3">
        <f t="shared" si="0"/>
        <v>12515.599999999999</v>
      </c>
      <c r="O12" s="3">
        <f t="shared" si="0"/>
        <v>1009.08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2:26" x14ac:dyDescent="0.2">
      <c r="B13">
        <v>1</v>
      </c>
    </row>
    <row r="14" spans="2:26" x14ac:dyDescent="0.2">
      <c r="B14">
        <v>1</v>
      </c>
      <c r="C14">
        <v>1</v>
      </c>
      <c r="D14">
        <v>1</v>
      </c>
      <c r="E14" t="s">
        <v>63</v>
      </c>
      <c r="F14" s="3">
        <v>0.06</v>
      </c>
      <c r="G14" s="3">
        <v>0.06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2:26" x14ac:dyDescent="0.2">
      <c r="B15">
        <v>1</v>
      </c>
      <c r="C15">
        <v>1.2</v>
      </c>
      <c r="D15">
        <v>1.2</v>
      </c>
      <c r="E15" t="s">
        <v>64</v>
      </c>
      <c r="F15" s="3">
        <v>572.41</v>
      </c>
      <c r="G15" s="3">
        <v>614.78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2:26" x14ac:dyDescent="0.2">
      <c r="B16">
        <v>1</v>
      </c>
      <c r="C16">
        <v>2</v>
      </c>
      <c r="D16">
        <v>1</v>
      </c>
      <c r="E16" t="s">
        <v>65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x14ac:dyDescent="0.2">
      <c r="B17">
        <v>1</v>
      </c>
      <c r="C17">
        <v>4</v>
      </c>
      <c r="D17">
        <v>1</v>
      </c>
      <c r="E17" t="s">
        <v>66</v>
      </c>
      <c r="F17" s="3">
        <v>1.01</v>
      </c>
      <c r="G17" s="3">
        <v>1.01</v>
      </c>
      <c r="H17" s="3">
        <v>1.01</v>
      </c>
      <c r="I17" s="3">
        <v>1.01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x14ac:dyDescent="0.2">
      <c r="B18">
        <v>1</v>
      </c>
      <c r="C18">
        <v>6</v>
      </c>
      <c r="D18">
        <v>3</v>
      </c>
      <c r="E18" t="s">
        <v>67</v>
      </c>
      <c r="F18" s="3">
        <v>869.57</v>
      </c>
      <c r="G18" s="3">
        <v>869.57</v>
      </c>
      <c r="H18" s="3">
        <v>869.57</v>
      </c>
      <c r="I18" s="3">
        <v>869.57</v>
      </c>
      <c r="J18" s="3">
        <v>869.57</v>
      </c>
      <c r="K18" s="3">
        <v>869.57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x14ac:dyDescent="0.2">
      <c r="B19">
        <v>1</v>
      </c>
      <c r="C19">
        <v>11</v>
      </c>
      <c r="D19">
        <v>1</v>
      </c>
      <c r="E19" t="s">
        <v>68</v>
      </c>
      <c r="F19" s="3">
        <v>132.62</v>
      </c>
      <c r="G19" s="3">
        <v>132.62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x14ac:dyDescent="0.2">
      <c r="B20">
        <v>1</v>
      </c>
      <c r="C20">
        <v>12</v>
      </c>
      <c r="D20">
        <v>1</v>
      </c>
      <c r="E20" t="s">
        <v>69</v>
      </c>
      <c r="F20" s="3">
        <v>689.17</v>
      </c>
      <c r="G20" s="3">
        <v>689.17</v>
      </c>
      <c r="H20" s="3">
        <v>689.17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x14ac:dyDescent="0.2">
      <c r="B21">
        <v>1</v>
      </c>
      <c r="C21">
        <v>13</v>
      </c>
      <c r="D21">
        <v>1</v>
      </c>
      <c r="E21" t="s">
        <v>70</v>
      </c>
      <c r="F21" s="3">
        <v>879</v>
      </c>
      <c r="G21" s="3">
        <v>879</v>
      </c>
      <c r="H21" s="3">
        <v>879</v>
      </c>
      <c r="I21" s="3">
        <v>879</v>
      </c>
      <c r="J21" s="3">
        <v>879</v>
      </c>
      <c r="K21" s="3">
        <v>879</v>
      </c>
      <c r="L21" s="3">
        <v>879</v>
      </c>
      <c r="M21" s="3">
        <v>879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x14ac:dyDescent="0.2">
      <c r="B22">
        <v>1</v>
      </c>
      <c r="C22">
        <v>14</v>
      </c>
      <c r="D22">
        <v>1</v>
      </c>
      <c r="E22" t="s">
        <v>71</v>
      </c>
      <c r="F22" s="3">
        <v>997.07</v>
      </c>
      <c r="G22" s="3">
        <v>997.07</v>
      </c>
      <c r="H22" s="3">
        <v>997.07</v>
      </c>
      <c r="I22" s="3">
        <v>997.07</v>
      </c>
      <c r="J22" s="3">
        <v>584.54999999999995</v>
      </c>
      <c r="K22" s="3">
        <v>584.54999999999995</v>
      </c>
      <c r="L22" s="3">
        <v>584.54999999999995</v>
      </c>
      <c r="M22" s="3">
        <v>584.54999999999995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x14ac:dyDescent="0.2">
      <c r="B23">
        <v>1</v>
      </c>
      <c r="C23">
        <v>15</v>
      </c>
      <c r="D23">
        <v>1</v>
      </c>
      <c r="E23" t="s">
        <v>72</v>
      </c>
      <c r="F23" s="3">
        <v>405.22</v>
      </c>
      <c r="G23" s="3">
        <v>21.47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x14ac:dyDescent="0.2">
      <c r="B24">
        <v>1</v>
      </c>
      <c r="C24">
        <v>16</v>
      </c>
      <c r="D24">
        <v>1</v>
      </c>
      <c r="E24" t="s">
        <v>73</v>
      </c>
      <c r="F24" s="3">
        <v>855.25</v>
      </c>
      <c r="G24" s="3">
        <v>855.25</v>
      </c>
      <c r="H24" s="3">
        <v>524.58000000000004</v>
      </c>
      <c r="I24" s="3">
        <v>524.58000000000004</v>
      </c>
      <c r="J24" s="3">
        <v>524.58000000000004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x14ac:dyDescent="0.2">
      <c r="B25">
        <v>1</v>
      </c>
      <c r="C25">
        <v>22</v>
      </c>
      <c r="D25">
        <v>1</v>
      </c>
      <c r="E25" t="s">
        <v>74</v>
      </c>
      <c r="F25" s="3">
        <v>319.04000000000002</v>
      </c>
      <c r="G25" s="3">
        <v>319.04000000000002</v>
      </c>
      <c r="H25" s="3">
        <v>319.04000000000002</v>
      </c>
      <c r="I25" s="3">
        <v>319.04000000000002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2:26" x14ac:dyDescent="0.2">
      <c r="B26">
        <v>1</v>
      </c>
      <c r="C26">
        <v>23</v>
      </c>
      <c r="D26">
        <v>1</v>
      </c>
      <c r="E26" t="s">
        <v>75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2:26" x14ac:dyDescent="0.2">
      <c r="B27">
        <v>1</v>
      </c>
      <c r="C27">
        <v>25</v>
      </c>
      <c r="D27">
        <v>1</v>
      </c>
      <c r="E27" t="s">
        <v>76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x14ac:dyDescent="0.2">
      <c r="B28">
        <v>1</v>
      </c>
      <c r="C28">
        <v>31</v>
      </c>
      <c r="D28">
        <v>1</v>
      </c>
      <c r="E28" t="s">
        <v>77</v>
      </c>
      <c r="F28" s="3">
        <v>501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x14ac:dyDescent="0.2">
      <c r="B29">
        <v>1</v>
      </c>
      <c r="C29">
        <v>32</v>
      </c>
      <c r="D29">
        <v>1</v>
      </c>
      <c r="E29" t="s">
        <v>78</v>
      </c>
      <c r="F29" s="3">
        <v>1</v>
      </c>
      <c r="G29" s="3">
        <v>1</v>
      </c>
      <c r="H29" s="3">
        <v>1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x14ac:dyDescent="0.2">
      <c r="B30">
        <v>1</v>
      </c>
      <c r="C30">
        <v>36</v>
      </c>
      <c r="D30">
        <v>1</v>
      </c>
      <c r="E30" t="s">
        <v>79</v>
      </c>
      <c r="F30" s="3">
        <v>50</v>
      </c>
      <c r="G30" s="3">
        <v>50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2:26" x14ac:dyDescent="0.2">
      <c r="B31">
        <v>1</v>
      </c>
      <c r="C31">
        <v>38</v>
      </c>
      <c r="D31">
        <v>1</v>
      </c>
      <c r="E31" t="s">
        <v>80</v>
      </c>
      <c r="F31" s="3">
        <v>1293</v>
      </c>
      <c r="G31" s="3">
        <v>1293</v>
      </c>
      <c r="H31" s="3">
        <v>1293</v>
      </c>
      <c r="I31" s="3">
        <v>1293</v>
      </c>
      <c r="J31" s="3">
        <v>447.1</v>
      </c>
      <c r="K31" s="3">
        <v>447.1</v>
      </c>
      <c r="L31" s="3">
        <v>447.1</v>
      </c>
      <c r="M31" s="3">
        <v>447.1</v>
      </c>
      <c r="N31" s="3">
        <v>0</v>
      </c>
      <c r="O31" s="3">
        <v>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x14ac:dyDescent="0.2">
      <c r="B32">
        <v>1</v>
      </c>
      <c r="C32">
        <v>47</v>
      </c>
      <c r="D32">
        <v>1</v>
      </c>
      <c r="E32" t="s">
        <v>81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2:26" x14ac:dyDescent="0.2">
      <c r="B33">
        <v>1</v>
      </c>
      <c r="C33">
        <v>51</v>
      </c>
      <c r="D33">
        <v>1</v>
      </c>
      <c r="E33" t="s">
        <v>82</v>
      </c>
      <c r="F33" s="3">
        <v>235</v>
      </c>
      <c r="G33" s="3">
        <v>235</v>
      </c>
      <c r="H33" s="3">
        <v>235</v>
      </c>
      <c r="I33" s="3">
        <v>235</v>
      </c>
      <c r="J33" s="3">
        <v>235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2:26" x14ac:dyDescent="0.2">
      <c r="B34">
        <v>1</v>
      </c>
      <c r="C34">
        <v>62</v>
      </c>
      <c r="D34">
        <v>1</v>
      </c>
      <c r="E34" t="s">
        <v>83</v>
      </c>
      <c r="F34" s="3">
        <v>900</v>
      </c>
      <c r="G34" s="3">
        <v>900</v>
      </c>
      <c r="H34" s="3">
        <v>900</v>
      </c>
      <c r="I34" s="3">
        <v>900</v>
      </c>
      <c r="J34" s="3">
        <v>900</v>
      </c>
      <c r="K34" s="3">
        <v>900</v>
      </c>
      <c r="L34" s="3">
        <v>900</v>
      </c>
      <c r="M34" s="3">
        <v>900</v>
      </c>
      <c r="N34" s="3">
        <v>900</v>
      </c>
      <c r="O34" s="3">
        <v>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2:26" x14ac:dyDescent="0.2">
      <c r="B35">
        <v>1</v>
      </c>
      <c r="C35">
        <v>75</v>
      </c>
      <c r="D35">
        <v>1</v>
      </c>
      <c r="E35" t="s">
        <v>84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2:26" x14ac:dyDescent="0.2">
      <c r="B36">
        <v>1</v>
      </c>
      <c r="C36">
        <v>77</v>
      </c>
      <c r="D36">
        <v>1</v>
      </c>
      <c r="E36" t="s">
        <v>85</v>
      </c>
      <c r="F36" s="3">
        <v>444.67</v>
      </c>
      <c r="G36" s="3">
        <v>444.67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2:26" x14ac:dyDescent="0.2">
      <c r="B37">
        <v>1</v>
      </c>
      <c r="C37">
        <v>81</v>
      </c>
      <c r="D37">
        <v>1</v>
      </c>
      <c r="E37" t="s">
        <v>86</v>
      </c>
      <c r="F37" s="3">
        <v>1104.18</v>
      </c>
      <c r="G37" s="3">
        <v>1104.18</v>
      </c>
      <c r="H37" s="3">
        <v>1104.18</v>
      </c>
      <c r="I37" s="3">
        <v>500</v>
      </c>
      <c r="J37" s="3">
        <v>500</v>
      </c>
      <c r="K37" s="3">
        <v>500</v>
      </c>
      <c r="L37" s="3">
        <v>500</v>
      </c>
      <c r="M37" s="3">
        <v>500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2:26" x14ac:dyDescent="0.2">
      <c r="B38">
        <v>1</v>
      </c>
      <c r="C38">
        <v>84</v>
      </c>
      <c r="D38">
        <v>1</v>
      </c>
      <c r="E38" t="s">
        <v>87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2:26" x14ac:dyDescent="0.2">
      <c r="B39">
        <v>1</v>
      </c>
      <c r="C39">
        <v>85</v>
      </c>
      <c r="D39">
        <v>1</v>
      </c>
      <c r="E39" t="s">
        <v>88</v>
      </c>
      <c r="F39" s="3">
        <v>600</v>
      </c>
      <c r="G39" s="3">
        <v>600</v>
      </c>
      <c r="H39" s="3">
        <v>600</v>
      </c>
      <c r="I39" s="3">
        <v>600</v>
      </c>
      <c r="J39" s="3">
        <v>600</v>
      </c>
      <c r="K39" s="3">
        <v>600</v>
      </c>
      <c r="L39" s="3">
        <v>0</v>
      </c>
      <c r="M39" s="3">
        <v>0</v>
      </c>
      <c r="N39" s="3">
        <v>0</v>
      </c>
      <c r="O39" s="3">
        <v>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B40">
        <v>1</v>
      </c>
      <c r="C40">
        <v>88</v>
      </c>
      <c r="D40">
        <v>1</v>
      </c>
      <c r="E40" t="s">
        <v>89</v>
      </c>
      <c r="F40" s="3">
        <v>453.83</v>
      </c>
      <c r="G40" s="3">
        <v>453.83</v>
      </c>
      <c r="H40" s="3">
        <v>453.83</v>
      </c>
      <c r="I40" s="3">
        <v>453.83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B41">
        <v>1</v>
      </c>
      <c r="C41">
        <v>91</v>
      </c>
      <c r="D41">
        <v>1</v>
      </c>
      <c r="E41" t="s">
        <v>90</v>
      </c>
      <c r="F41" s="3">
        <v>200.19</v>
      </c>
      <c r="G41" s="3">
        <v>200.19</v>
      </c>
      <c r="H41" s="3">
        <v>200.19</v>
      </c>
      <c r="I41" s="3">
        <v>200.19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2:26" x14ac:dyDescent="0.2">
      <c r="B42">
        <v>1</v>
      </c>
      <c r="C42">
        <v>93</v>
      </c>
      <c r="D42">
        <v>1</v>
      </c>
      <c r="E42" t="s">
        <v>91</v>
      </c>
      <c r="F42" s="3">
        <v>500</v>
      </c>
      <c r="G42" s="3">
        <v>500</v>
      </c>
      <c r="H42" s="3">
        <v>500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2:26" x14ac:dyDescent="0.2">
      <c r="B43">
        <v>1</v>
      </c>
      <c r="C43">
        <v>94</v>
      </c>
      <c r="D43">
        <v>1</v>
      </c>
      <c r="E43" t="s">
        <v>92</v>
      </c>
      <c r="F43" s="3">
        <v>97.61</v>
      </c>
      <c r="G43" s="3">
        <v>97.61</v>
      </c>
      <c r="H43" s="3">
        <v>97.61</v>
      </c>
      <c r="I43" s="3">
        <v>97.61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2:26" x14ac:dyDescent="0.2">
      <c r="B44">
        <v>1</v>
      </c>
      <c r="C44">
        <v>95</v>
      </c>
      <c r="D44">
        <v>1</v>
      </c>
      <c r="E44" t="s">
        <v>93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2:26" x14ac:dyDescent="0.2">
      <c r="B45">
        <v>1</v>
      </c>
      <c r="C45">
        <v>97</v>
      </c>
      <c r="D45">
        <v>1</v>
      </c>
      <c r="E45" t="s">
        <v>94</v>
      </c>
      <c r="F45" s="3">
        <v>250.21</v>
      </c>
      <c r="G45" s="3">
        <v>250.21</v>
      </c>
      <c r="H45" s="3">
        <v>250.21</v>
      </c>
      <c r="I45" s="3">
        <v>250.21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2:26" x14ac:dyDescent="0.2">
      <c r="B46">
        <v>1</v>
      </c>
      <c r="C46">
        <v>99</v>
      </c>
      <c r="D46">
        <v>1</v>
      </c>
      <c r="E46" t="s">
        <v>95</v>
      </c>
      <c r="F46" s="3">
        <v>1</v>
      </c>
      <c r="G46" s="3">
        <v>1</v>
      </c>
      <c r="H46" s="3">
        <v>1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2:26" x14ac:dyDescent="0.2">
      <c r="B47">
        <v>1</v>
      </c>
      <c r="C47">
        <v>100</v>
      </c>
      <c r="D47">
        <v>1</v>
      </c>
      <c r="E47" t="s">
        <v>96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2:26" x14ac:dyDescent="0.2">
      <c r="B48">
        <v>1</v>
      </c>
      <c r="C48">
        <v>108</v>
      </c>
      <c r="D48">
        <v>1</v>
      </c>
      <c r="E48" t="s">
        <v>97</v>
      </c>
      <c r="F48" s="3">
        <v>500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2:26" x14ac:dyDescent="0.2">
      <c r="B49">
        <v>1</v>
      </c>
      <c r="C49">
        <v>110</v>
      </c>
      <c r="D49">
        <v>1</v>
      </c>
      <c r="E49" t="s">
        <v>98</v>
      </c>
      <c r="F49" s="3">
        <v>440.25</v>
      </c>
      <c r="G49" s="3">
        <v>390</v>
      </c>
      <c r="H49" s="3">
        <v>390</v>
      </c>
      <c r="I49" s="3">
        <v>390</v>
      </c>
      <c r="J49" s="3">
        <v>390</v>
      </c>
      <c r="K49" s="3">
        <v>390</v>
      </c>
      <c r="L49" s="3">
        <v>390</v>
      </c>
      <c r="M49" s="3">
        <v>0</v>
      </c>
      <c r="N49" s="3">
        <v>0</v>
      </c>
      <c r="O49" s="3">
        <v>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2:26" x14ac:dyDescent="0.2">
      <c r="B50">
        <v>1</v>
      </c>
      <c r="C50">
        <v>111</v>
      </c>
      <c r="D50">
        <v>1</v>
      </c>
      <c r="E50" t="s">
        <v>99</v>
      </c>
      <c r="F50" s="3">
        <v>242.19</v>
      </c>
      <c r="G50" s="3">
        <v>242.19</v>
      </c>
      <c r="H50" s="3">
        <v>242.19</v>
      </c>
      <c r="I50" s="3">
        <v>242.19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2:26" x14ac:dyDescent="0.2">
      <c r="B51">
        <v>1</v>
      </c>
      <c r="C51">
        <v>112</v>
      </c>
      <c r="D51">
        <v>1</v>
      </c>
      <c r="E51" t="s">
        <v>100</v>
      </c>
      <c r="F51" s="3">
        <v>1053.24</v>
      </c>
      <c r="G51" s="3">
        <v>1053.24</v>
      </c>
      <c r="H51" s="3">
        <v>1053.24</v>
      </c>
      <c r="I51" s="3">
        <v>1053.24</v>
      </c>
      <c r="J51" s="3">
        <v>1053.24</v>
      </c>
      <c r="K51" s="3">
        <v>1053.24</v>
      </c>
      <c r="L51" s="3">
        <v>285</v>
      </c>
      <c r="M51" s="3">
        <v>285</v>
      </c>
      <c r="N51" s="3">
        <v>285</v>
      </c>
      <c r="O51" s="3">
        <v>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2:26" x14ac:dyDescent="0.2">
      <c r="B52">
        <v>1</v>
      </c>
      <c r="C52">
        <v>113</v>
      </c>
      <c r="D52">
        <v>1</v>
      </c>
      <c r="E52" t="s">
        <v>101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2:26" x14ac:dyDescent="0.2">
      <c r="B53">
        <v>1</v>
      </c>
      <c r="C53">
        <v>115</v>
      </c>
      <c r="D53">
        <v>1</v>
      </c>
      <c r="E53" t="s">
        <v>102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2:26" x14ac:dyDescent="0.2">
      <c r="B54">
        <v>1</v>
      </c>
      <c r="C54">
        <v>116</v>
      </c>
      <c r="D54">
        <v>1</v>
      </c>
      <c r="E54" t="s">
        <v>103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2:26" x14ac:dyDescent="0.2">
      <c r="B55">
        <v>1</v>
      </c>
      <c r="C55">
        <v>118</v>
      </c>
      <c r="D55">
        <v>1</v>
      </c>
      <c r="E55" t="s">
        <v>104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2:26" x14ac:dyDescent="0.2">
      <c r="B56">
        <v>1</v>
      </c>
      <c r="C56">
        <v>129</v>
      </c>
      <c r="D56">
        <v>1</v>
      </c>
      <c r="E56" t="s">
        <v>105</v>
      </c>
      <c r="F56" s="3">
        <v>506.55</v>
      </c>
      <c r="G56" s="3">
        <v>506.55</v>
      </c>
      <c r="H56" s="3">
        <v>505.35</v>
      </c>
      <c r="I56" s="3">
        <v>505.35</v>
      </c>
      <c r="J56" s="3">
        <v>505.35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2:26" x14ac:dyDescent="0.2">
      <c r="B57">
        <v>1</v>
      </c>
      <c r="C57">
        <v>138</v>
      </c>
      <c r="D57">
        <v>1</v>
      </c>
      <c r="E57" t="s">
        <v>106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2:26" x14ac:dyDescent="0.2">
      <c r="B58">
        <v>1</v>
      </c>
      <c r="C58">
        <v>139</v>
      </c>
      <c r="D58">
        <v>1</v>
      </c>
      <c r="E58" t="s">
        <v>107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2:26" x14ac:dyDescent="0.2">
      <c r="B59">
        <v>1</v>
      </c>
      <c r="C59">
        <v>146</v>
      </c>
      <c r="D59">
        <v>1</v>
      </c>
      <c r="E59" t="s">
        <v>108</v>
      </c>
      <c r="F59" s="3">
        <v>950</v>
      </c>
      <c r="G59" s="3">
        <v>950</v>
      </c>
      <c r="H59" s="3">
        <v>950</v>
      </c>
      <c r="I59" s="3">
        <v>950</v>
      </c>
      <c r="J59" s="3">
        <v>950</v>
      </c>
      <c r="K59" s="3">
        <v>950</v>
      </c>
      <c r="L59" s="3">
        <v>950</v>
      </c>
      <c r="M59" s="3">
        <v>950</v>
      </c>
      <c r="N59" s="3">
        <v>0</v>
      </c>
      <c r="O59" s="3">
        <v>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2:26" x14ac:dyDescent="0.2">
      <c r="B60">
        <v>1</v>
      </c>
      <c r="C60">
        <v>150</v>
      </c>
      <c r="D60">
        <v>1</v>
      </c>
      <c r="E60" t="s">
        <v>109</v>
      </c>
      <c r="F60" s="3">
        <v>500</v>
      </c>
      <c r="G60" s="3">
        <v>500</v>
      </c>
      <c r="H60" s="3">
        <v>500</v>
      </c>
      <c r="I60" s="3">
        <v>500</v>
      </c>
      <c r="J60" s="3">
        <v>500</v>
      </c>
      <c r="K60" s="3">
        <v>500</v>
      </c>
      <c r="L60" s="3">
        <v>500</v>
      </c>
      <c r="M60" s="3">
        <v>0</v>
      </c>
      <c r="N60" s="3">
        <v>0</v>
      </c>
      <c r="O60" s="3">
        <v>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2:26" x14ac:dyDescent="0.2">
      <c r="B61">
        <v>1</v>
      </c>
      <c r="C61">
        <v>152</v>
      </c>
      <c r="D61">
        <v>1</v>
      </c>
      <c r="E61" t="s">
        <v>110</v>
      </c>
      <c r="F61" s="3">
        <v>39.799999999999997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2:26" x14ac:dyDescent="0.2">
      <c r="B62">
        <v>1</v>
      </c>
      <c r="C62">
        <v>162</v>
      </c>
      <c r="D62">
        <v>1</v>
      </c>
      <c r="E62" t="s">
        <v>111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2:26" x14ac:dyDescent="0.2">
      <c r="B63">
        <v>1</v>
      </c>
      <c r="C63">
        <v>166</v>
      </c>
      <c r="D63">
        <v>1</v>
      </c>
      <c r="E63" t="s">
        <v>112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2:26" x14ac:dyDescent="0.2">
      <c r="B64">
        <v>1</v>
      </c>
      <c r="C64">
        <v>173</v>
      </c>
      <c r="D64">
        <v>1</v>
      </c>
      <c r="E64" t="s">
        <v>113</v>
      </c>
      <c r="F64" s="3">
        <v>611.63</v>
      </c>
      <c r="G64" s="3">
        <v>611.63</v>
      </c>
      <c r="H64" s="3">
        <v>611.63</v>
      </c>
      <c r="I64" s="3">
        <v>611.63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2:26" x14ac:dyDescent="0.2">
      <c r="B65">
        <v>1</v>
      </c>
      <c r="C65">
        <v>177</v>
      </c>
      <c r="D65">
        <v>1</v>
      </c>
      <c r="E65" t="s">
        <v>114</v>
      </c>
      <c r="F65" s="3">
        <v>416.87</v>
      </c>
      <c r="G65" s="3">
        <v>416.87</v>
      </c>
      <c r="H65" s="3">
        <v>416.87</v>
      </c>
      <c r="I65" s="3">
        <v>416.87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2:26" x14ac:dyDescent="0.2">
      <c r="B66">
        <v>1</v>
      </c>
      <c r="C66">
        <v>181</v>
      </c>
      <c r="D66">
        <v>1</v>
      </c>
      <c r="E66" t="s">
        <v>115</v>
      </c>
      <c r="F66" s="3">
        <v>199.24</v>
      </c>
      <c r="G66" s="3">
        <v>199.24</v>
      </c>
      <c r="H66" s="3">
        <v>199.24</v>
      </c>
      <c r="I66" s="3">
        <v>199.24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2:26" x14ac:dyDescent="0.2">
      <c r="B67">
        <v>1</v>
      </c>
      <c r="C67">
        <v>182</v>
      </c>
      <c r="D67">
        <v>1</v>
      </c>
      <c r="E67" t="s">
        <v>116</v>
      </c>
      <c r="F67" s="3">
        <v>405</v>
      </c>
      <c r="G67" s="3">
        <v>405</v>
      </c>
      <c r="H67" s="3">
        <v>405</v>
      </c>
      <c r="I67" s="3">
        <v>405</v>
      </c>
      <c r="J67" s="3">
        <v>404</v>
      </c>
      <c r="K67" s="3">
        <v>404</v>
      </c>
      <c r="L67" s="3">
        <v>0</v>
      </c>
      <c r="M67" s="3">
        <v>0</v>
      </c>
      <c r="N67" s="3">
        <v>0</v>
      </c>
      <c r="O67" s="3">
        <v>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B68">
        <v>1</v>
      </c>
      <c r="C68">
        <v>186</v>
      </c>
      <c r="D68">
        <v>1</v>
      </c>
      <c r="E68" t="s">
        <v>117</v>
      </c>
      <c r="F68" s="3">
        <v>1.01</v>
      </c>
      <c r="G68" s="3">
        <v>1.01</v>
      </c>
      <c r="H68" s="3">
        <v>1.01</v>
      </c>
      <c r="I68" s="3">
        <v>1.01</v>
      </c>
      <c r="J68" s="3">
        <v>1.01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2:26" x14ac:dyDescent="0.2">
      <c r="B69">
        <v>1</v>
      </c>
      <c r="C69">
        <v>191</v>
      </c>
      <c r="D69">
        <v>1</v>
      </c>
      <c r="E69" t="s">
        <v>118</v>
      </c>
      <c r="F69" s="3">
        <v>845.68</v>
      </c>
      <c r="G69" s="3">
        <v>845.68</v>
      </c>
      <c r="H69" s="3">
        <v>845.68</v>
      </c>
      <c r="I69" s="3">
        <v>845.68</v>
      </c>
      <c r="J69" s="3">
        <v>845.68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2:26" x14ac:dyDescent="0.2">
      <c r="B70">
        <v>1</v>
      </c>
      <c r="C70">
        <v>192</v>
      </c>
      <c r="D70">
        <v>1</v>
      </c>
      <c r="E70" t="s">
        <v>119</v>
      </c>
      <c r="F70" s="3">
        <v>179.99</v>
      </c>
      <c r="G70" s="3">
        <v>150.43</v>
      </c>
      <c r="H70" s="3">
        <v>150.43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2:26" x14ac:dyDescent="0.2">
      <c r="B71">
        <v>1</v>
      </c>
      <c r="C71">
        <v>194</v>
      </c>
      <c r="D71">
        <v>1</v>
      </c>
      <c r="E71" t="s">
        <v>120</v>
      </c>
      <c r="F71" s="3">
        <v>250</v>
      </c>
      <c r="G71" s="3">
        <v>250</v>
      </c>
      <c r="H71" s="3">
        <v>250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2:26" x14ac:dyDescent="0.2">
      <c r="B72">
        <v>1</v>
      </c>
      <c r="C72">
        <v>195</v>
      </c>
      <c r="D72">
        <v>1</v>
      </c>
      <c r="E72" t="s">
        <v>121</v>
      </c>
      <c r="F72" s="3">
        <v>580.44000000000005</v>
      </c>
      <c r="G72" s="3">
        <v>580.44000000000005</v>
      </c>
      <c r="H72" s="3">
        <v>580.44000000000005</v>
      </c>
      <c r="I72" s="3">
        <v>580.44000000000005</v>
      </c>
      <c r="J72" s="3">
        <v>580.44000000000005</v>
      </c>
      <c r="K72" s="3">
        <v>580.44000000000005</v>
      </c>
      <c r="L72" s="3">
        <v>580.44000000000005</v>
      </c>
      <c r="M72" s="3">
        <v>580.44000000000005</v>
      </c>
      <c r="N72" s="3">
        <v>0</v>
      </c>
      <c r="O72" s="3">
        <v>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2:26" x14ac:dyDescent="0.2">
      <c r="B73">
        <v>1</v>
      </c>
      <c r="C73">
        <v>196</v>
      </c>
      <c r="D73">
        <v>1</v>
      </c>
      <c r="E73" t="s">
        <v>122</v>
      </c>
      <c r="F73" s="3">
        <v>1042.3900000000001</v>
      </c>
      <c r="G73" s="3">
        <v>1042.3900000000001</v>
      </c>
      <c r="H73" s="3">
        <v>1042.3900000000001</v>
      </c>
      <c r="I73" s="3">
        <v>1042.3900000000001</v>
      </c>
      <c r="J73" s="3">
        <v>1042.3900000000001</v>
      </c>
      <c r="K73" s="3">
        <v>1042.3900000000001</v>
      </c>
      <c r="L73" s="3">
        <v>1042.3900000000001</v>
      </c>
      <c r="M73" s="3">
        <v>1042.3900000000001</v>
      </c>
      <c r="N73" s="3">
        <v>506.57</v>
      </c>
      <c r="O73" s="3">
        <v>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2:26" x14ac:dyDescent="0.2">
      <c r="B74">
        <v>1</v>
      </c>
      <c r="C74">
        <v>197</v>
      </c>
      <c r="D74">
        <v>1</v>
      </c>
      <c r="E74" t="s">
        <v>123</v>
      </c>
      <c r="F74" s="3">
        <v>362.63</v>
      </c>
      <c r="G74" s="3">
        <v>362.63</v>
      </c>
      <c r="H74" s="3">
        <v>362.63</v>
      </c>
      <c r="I74" s="3">
        <v>362.63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2:26" x14ac:dyDescent="0.2">
      <c r="B75">
        <v>1</v>
      </c>
      <c r="C75">
        <v>199</v>
      </c>
      <c r="D75">
        <v>1</v>
      </c>
      <c r="E75" t="s">
        <v>124</v>
      </c>
      <c r="F75" s="3">
        <v>844.08</v>
      </c>
      <c r="G75" s="3">
        <v>480.19</v>
      </c>
      <c r="H75" s="3">
        <v>480.19</v>
      </c>
      <c r="I75" s="3">
        <v>480.19</v>
      </c>
      <c r="J75" s="3">
        <v>480.19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x14ac:dyDescent="0.2">
      <c r="B76">
        <v>1</v>
      </c>
      <c r="C76">
        <v>200</v>
      </c>
      <c r="D76">
        <v>1</v>
      </c>
      <c r="E76" t="s">
        <v>125</v>
      </c>
      <c r="F76" s="3">
        <v>1262</v>
      </c>
      <c r="G76" s="3">
        <v>1300</v>
      </c>
      <c r="H76" s="3">
        <v>1339</v>
      </c>
      <c r="I76" s="3">
        <v>1380</v>
      </c>
      <c r="J76" s="3">
        <v>731</v>
      </c>
      <c r="K76" s="3">
        <v>774</v>
      </c>
      <c r="L76" s="3">
        <v>0</v>
      </c>
      <c r="M76" s="3">
        <v>0</v>
      </c>
      <c r="N76" s="3">
        <v>0</v>
      </c>
      <c r="O76" s="3">
        <v>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x14ac:dyDescent="0.2">
      <c r="B77">
        <v>1</v>
      </c>
      <c r="C77">
        <v>203</v>
      </c>
      <c r="D77">
        <v>1</v>
      </c>
      <c r="E77" t="s">
        <v>126</v>
      </c>
      <c r="F77" s="3">
        <v>400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2:26" x14ac:dyDescent="0.2">
      <c r="B78">
        <v>1</v>
      </c>
      <c r="C78">
        <v>204</v>
      </c>
      <c r="D78">
        <v>1</v>
      </c>
      <c r="E78" t="s">
        <v>127</v>
      </c>
      <c r="F78" s="3">
        <v>350</v>
      </c>
      <c r="G78" s="3">
        <v>350</v>
      </c>
      <c r="H78" s="3">
        <v>350</v>
      </c>
      <c r="I78" s="3">
        <v>350</v>
      </c>
      <c r="J78" s="3">
        <v>350</v>
      </c>
      <c r="K78" s="3">
        <v>350</v>
      </c>
      <c r="L78" s="3">
        <v>350</v>
      </c>
      <c r="M78" s="3">
        <v>350</v>
      </c>
      <c r="N78" s="3">
        <v>0</v>
      </c>
      <c r="O78" s="3">
        <v>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2:26" x14ac:dyDescent="0.2">
      <c r="B79">
        <v>1</v>
      </c>
      <c r="C79">
        <v>206</v>
      </c>
      <c r="D79">
        <v>1</v>
      </c>
      <c r="E79" t="s">
        <v>128</v>
      </c>
      <c r="F79" s="3">
        <v>393.47</v>
      </c>
      <c r="G79" s="3">
        <v>393.47</v>
      </c>
      <c r="H79" s="3">
        <v>390</v>
      </c>
      <c r="I79" s="3">
        <v>390</v>
      </c>
      <c r="J79" s="3">
        <v>390</v>
      </c>
      <c r="K79" s="3">
        <v>390</v>
      </c>
      <c r="L79" s="3">
        <v>390</v>
      </c>
      <c r="M79" s="3">
        <v>0</v>
      </c>
      <c r="N79" s="3">
        <v>0</v>
      </c>
      <c r="O79" s="3">
        <v>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2:26" x14ac:dyDescent="0.2">
      <c r="B80">
        <v>1</v>
      </c>
      <c r="C80">
        <v>207</v>
      </c>
      <c r="D80">
        <v>1</v>
      </c>
      <c r="E80" t="s">
        <v>129</v>
      </c>
      <c r="F80" s="3">
        <v>501</v>
      </c>
      <c r="G80" s="3">
        <v>501</v>
      </c>
      <c r="H80" s="3">
        <v>1</v>
      </c>
      <c r="I80" s="3">
        <v>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2:26" x14ac:dyDescent="0.2">
      <c r="B81">
        <v>1</v>
      </c>
      <c r="C81">
        <v>208</v>
      </c>
      <c r="D81">
        <v>1</v>
      </c>
      <c r="E81" t="s">
        <v>130</v>
      </c>
      <c r="F81" s="3">
        <v>1373.71</v>
      </c>
      <c r="G81" s="3">
        <v>1373.71</v>
      </c>
      <c r="H81" s="3">
        <v>1373.71</v>
      </c>
      <c r="I81" s="3">
        <v>1373.71</v>
      </c>
      <c r="J81" s="3">
        <v>1373.71</v>
      </c>
      <c r="K81" s="3">
        <v>1373.71</v>
      </c>
      <c r="L81" s="3">
        <v>1373.71</v>
      </c>
      <c r="M81" s="3">
        <v>1373.71</v>
      </c>
      <c r="N81" s="3">
        <v>0</v>
      </c>
      <c r="O81" s="3">
        <v>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2:26" x14ac:dyDescent="0.2">
      <c r="B82">
        <v>1</v>
      </c>
      <c r="C82">
        <v>213</v>
      </c>
      <c r="D82">
        <v>1</v>
      </c>
      <c r="E82" t="s">
        <v>131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2:26" x14ac:dyDescent="0.2">
      <c r="B83">
        <v>1</v>
      </c>
      <c r="C83">
        <v>227</v>
      </c>
      <c r="D83">
        <v>1</v>
      </c>
      <c r="E83" t="s">
        <v>132</v>
      </c>
      <c r="F83" s="3">
        <v>350.77</v>
      </c>
      <c r="G83" s="3">
        <v>350.77</v>
      </c>
      <c r="H83" s="3">
        <v>350.77</v>
      </c>
      <c r="I83" s="3">
        <v>350.77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2:26" x14ac:dyDescent="0.2">
      <c r="B84">
        <v>1</v>
      </c>
      <c r="C84">
        <v>229</v>
      </c>
      <c r="D84">
        <v>1</v>
      </c>
      <c r="E84" t="s">
        <v>133</v>
      </c>
      <c r="F84" s="3">
        <v>315.38</v>
      </c>
      <c r="G84" s="3">
        <v>315.38</v>
      </c>
      <c r="H84" s="3">
        <v>315.38</v>
      </c>
      <c r="I84" s="3">
        <v>315.38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2:26" x14ac:dyDescent="0.2">
      <c r="B85">
        <v>1</v>
      </c>
      <c r="C85">
        <v>238</v>
      </c>
      <c r="D85">
        <v>1</v>
      </c>
      <c r="E85" t="s">
        <v>134</v>
      </c>
      <c r="F85" s="3">
        <v>1207.96</v>
      </c>
      <c r="G85" s="3">
        <v>1207.96</v>
      </c>
      <c r="H85" s="3">
        <v>1207.96</v>
      </c>
      <c r="I85" s="3">
        <v>1207.96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2:26" x14ac:dyDescent="0.2">
      <c r="B86">
        <v>1</v>
      </c>
      <c r="C86">
        <v>239</v>
      </c>
      <c r="D86">
        <v>1</v>
      </c>
      <c r="E86" t="s">
        <v>135</v>
      </c>
      <c r="F86" s="3">
        <v>840.19</v>
      </c>
      <c r="G86" s="3">
        <v>840.19</v>
      </c>
      <c r="H86" s="3">
        <v>840.19</v>
      </c>
      <c r="I86" s="3">
        <v>840.19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2:26" x14ac:dyDescent="0.2">
      <c r="B87">
        <v>1</v>
      </c>
      <c r="C87">
        <v>241</v>
      </c>
      <c r="D87">
        <v>1</v>
      </c>
      <c r="E87" t="s">
        <v>136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2:26" x14ac:dyDescent="0.2">
      <c r="B88">
        <v>1</v>
      </c>
      <c r="C88">
        <v>242</v>
      </c>
      <c r="D88">
        <v>1</v>
      </c>
      <c r="E88" t="s">
        <v>137</v>
      </c>
      <c r="F88" s="3">
        <v>478</v>
      </c>
      <c r="G88" s="3">
        <v>478</v>
      </c>
      <c r="H88" s="3">
        <v>478</v>
      </c>
      <c r="I88" s="3">
        <v>478</v>
      </c>
      <c r="J88" s="3">
        <v>478</v>
      </c>
      <c r="K88" s="3">
        <v>478</v>
      </c>
      <c r="L88" s="3">
        <v>478</v>
      </c>
      <c r="M88" s="3">
        <v>0</v>
      </c>
      <c r="N88" s="3">
        <v>0</v>
      </c>
      <c r="O88" s="3">
        <v>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2:26" x14ac:dyDescent="0.2">
      <c r="B89">
        <v>1</v>
      </c>
      <c r="C89">
        <v>252</v>
      </c>
      <c r="D89">
        <v>1</v>
      </c>
      <c r="E89" t="s">
        <v>138</v>
      </c>
      <c r="F89" s="3">
        <v>2.0499999999999998</v>
      </c>
      <c r="G89" s="3">
        <v>2.0499999999999998</v>
      </c>
      <c r="H89" s="3">
        <v>2.0499999999999998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2:26" x14ac:dyDescent="0.2">
      <c r="B90">
        <v>1</v>
      </c>
      <c r="C90">
        <v>253</v>
      </c>
      <c r="D90">
        <v>1</v>
      </c>
      <c r="E90" t="s">
        <v>139</v>
      </c>
      <c r="F90" s="3">
        <v>126.12</v>
      </c>
      <c r="G90" s="3">
        <v>126.12</v>
      </c>
      <c r="H90" s="3">
        <v>126.12</v>
      </c>
      <c r="I90" s="3">
        <v>126.12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2:26" x14ac:dyDescent="0.2">
      <c r="B91">
        <v>1</v>
      </c>
      <c r="C91">
        <v>255</v>
      </c>
      <c r="D91">
        <v>1</v>
      </c>
      <c r="E91" t="s">
        <v>140</v>
      </c>
      <c r="F91" s="3">
        <v>500</v>
      </c>
      <c r="G91" s="3">
        <v>500</v>
      </c>
      <c r="H91" s="3">
        <v>500</v>
      </c>
      <c r="I91" s="3">
        <v>500</v>
      </c>
      <c r="J91" s="3">
        <v>500</v>
      </c>
      <c r="K91" s="3">
        <v>500</v>
      </c>
      <c r="L91" s="3">
        <v>0</v>
      </c>
      <c r="M91" s="3">
        <v>0</v>
      </c>
      <c r="N91" s="3">
        <v>0</v>
      </c>
      <c r="O91" s="3">
        <v>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2:26" x14ac:dyDescent="0.2">
      <c r="B92">
        <v>1</v>
      </c>
      <c r="C92">
        <v>256</v>
      </c>
      <c r="D92">
        <v>1</v>
      </c>
      <c r="E92" t="s">
        <v>141</v>
      </c>
      <c r="F92" s="3">
        <v>600.54999999999995</v>
      </c>
      <c r="G92" s="3">
        <v>80.55</v>
      </c>
      <c r="H92" s="3">
        <v>80.55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2:26" x14ac:dyDescent="0.2">
      <c r="B93">
        <v>1</v>
      </c>
      <c r="C93">
        <v>261</v>
      </c>
      <c r="D93">
        <v>1</v>
      </c>
      <c r="E93" t="s">
        <v>142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2:26" x14ac:dyDescent="0.2">
      <c r="B94">
        <v>1</v>
      </c>
      <c r="C94">
        <v>264</v>
      </c>
      <c r="D94">
        <v>1</v>
      </c>
      <c r="E94" t="s">
        <v>143</v>
      </c>
      <c r="F94" s="3">
        <v>1327.24</v>
      </c>
      <c r="G94" s="3">
        <v>1327.24</v>
      </c>
      <c r="H94" s="3">
        <v>400</v>
      </c>
      <c r="I94" s="3">
        <v>400</v>
      </c>
      <c r="J94" s="3">
        <v>400</v>
      </c>
      <c r="K94" s="3">
        <v>400</v>
      </c>
      <c r="L94" s="3">
        <v>400</v>
      </c>
      <c r="M94" s="3">
        <v>0</v>
      </c>
      <c r="N94" s="3">
        <v>0</v>
      </c>
      <c r="O94" s="3">
        <v>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2:26" x14ac:dyDescent="0.2">
      <c r="B95">
        <v>1</v>
      </c>
      <c r="C95">
        <v>270</v>
      </c>
      <c r="D95">
        <v>1</v>
      </c>
      <c r="E95" t="s">
        <v>144</v>
      </c>
      <c r="F95" s="3">
        <v>1590.31</v>
      </c>
      <c r="G95" s="3">
        <v>1630.07</v>
      </c>
      <c r="H95" s="3">
        <v>1670.82</v>
      </c>
      <c r="I95" s="3">
        <v>1712.59</v>
      </c>
      <c r="J95" s="3">
        <v>1755.4</v>
      </c>
      <c r="K95" s="3">
        <v>1799.29</v>
      </c>
      <c r="L95" s="3">
        <v>1812.17</v>
      </c>
      <c r="M95" s="3">
        <v>1821.54</v>
      </c>
      <c r="N95" s="3">
        <v>0</v>
      </c>
      <c r="O95" s="3">
        <v>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2:26" x14ac:dyDescent="0.2">
      <c r="B96">
        <v>1</v>
      </c>
      <c r="C96">
        <v>271</v>
      </c>
      <c r="D96">
        <v>1</v>
      </c>
      <c r="E96" t="s">
        <v>145</v>
      </c>
      <c r="F96" s="3">
        <v>991.4</v>
      </c>
      <c r="G96" s="3">
        <v>991.4</v>
      </c>
      <c r="H96" s="3">
        <v>991.4</v>
      </c>
      <c r="I96" s="3">
        <v>395.6</v>
      </c>
      <c r="J96" s="3">
        <v>395.6</v>
      </c>
      <c r="K96" s="3">
        <v>395.6</v>
      </c>
      <c r="L96" s="3">
        <v>0</v>
      </c>
      <c r="M96" s="3">
        <v>0</v>
      </c>
      <c r="N96" s="3">
        <v>0</v>
      </c>
      <c r="O96" s="3">
        <v>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2:26" x14ac:dyDescent="0.2">
      <c r="B97">
        <v>1</v>
      </c>
      <c r="C97">
        <v>272</v>
      </c>
      <c r="D97">
        <v>1</v>
      </c>
      <c r="E97" t="s">
        <v>146</v>
      </c>
      <c r="F97" s="3">
        <v>1200</v>
      </c>
      <c r="G97" s="3">
        <v>1200</v>
      </c>
      <c r="H97" s="3">
        <v>1200</v>
      </c>
      <c r="I97" s="3">
        <v>1200</v>
      </c>
      <c r="J97" s="3">
        <v>1200</v>
      </c>
      <c r="K97" s="3">
        <v>1200</v>
      </c>
      <c r="L97" s="3">
        <v>1200</v>
      </c>
      <c r="M97" s="3">
        <v>0</v>
      </c>
      <c r="N97" s="3">
        <v>0</v>
      </c>
      <c r="O97" s="3">
        <v>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2:26" x14ac:dyDescent="0.2">
      <c r="B98">
        <v>1</v>
      </c>
      <c r="C98">
        <v>273</v>
      </c>
      <c r="D98">
        <v>1</v>
      </c>
      <c r="E98" t="s">
        <v>147</v>
      </c>
      <c r="F98" s="3">
        <v>400.15</v>
      </c>
      <c r="G98" s="3">
        <v>400.15</v>
      </c>
      <c r="H98" s="3">
        <v>400.15</v>
      </c>
      <c r="I98" s="3">
        <v>400.15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2:26" x14ac:dyDescent="0.2">
      <c r="B99">
        <v>1</v>
      </c>
      <c r="C99">
        <v>276</v>
      </c>
      <c r="D99">
        <v>1</v>
      </c>
      <c r="E99" t="s">
        <v>148</v>
      </c>
      <c r="F99" s="3">
        <v>1378.46</v>
      </c>
      <c r="G99" s="3">
        <v>1378.46</v>
      </c>
      <c r="H99" s="3">
        <v>1378.46</v>
      </c>
      <c r="I99" s="3">
        <v>1378.46</v>
      </c>
      <c r="J99" s="3">
        <v>1378.46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2:26" x14ac:dyDescent="0.2">
      <c r="B100">
        <v>1</v>
      </c>
      <c r="C100">
        <v>277</v>
      </c>
      <c r="D100">
        <v>1</v>
      </c>
      <c r="E100" t="s">
        <v>149</v>
      </c>
      <c r="F100" s="3">
        <v>1136.43</v>
      </c>
      <c r="G100" s="3">
        <v>1136.43</v>
      </c>
      <c r="H100" s="3">
        <v>1136.43</v>
      </c>
      <c r="I100" s="3">
        <v>1136.43</v>
      </c>
      <c r="J100" s="3">
        <v>1136.43</v>
      </c>
      <c r="K100" s="3">
        <v>562.97</v>
      </c>
      <c r="L100" s="3">
        <v>562.97</v>
      </c>
      <c r="M100" s="3">
        <v>562.97</v>
      </c>
      <c r="N100" s="3">
        <v>0</v>
      </c>
      <c r="O100" s="3">
        <v>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2:26" x14ac:dyDescent="0.2">
      <c r="B101">
        <v>1</v>
      </c>
      <c r="C101">
        <v>278</v>
      </c>
      <c r="D101">
        <v>1</v>
      </c>
      <c r="E101" t="s">
        <v>150</v>
      </c>
      <c r="F101" s="3">
        <v>1750</v>
      </c>
      <c r="G101" s="3">
        <v>1750</v>
      </c>
      <c r="H101" s="3">
        <v>1750</v>
      </c>
      <c r="I101" s="3">
        <v>1750</v>
      </c>
      <c r="J101" s="3">
        <v>1750</v>
      </c>
      <c r="K101" s="3">
        <v>1750</v>
      </c>
      <c r="L101" s="3">
        <v>1750</v>
      </c>
      <c r="M101" s="3">
        <v>550</v>
      </c>
      <c r="N101" s="3">
        <v>550</v>
      </c>
      <c r="O101" s="3">
        <v>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2:26" x14ac:dyDescent="0.2">
      <c r="B102">
        <v>1</v>
      </c>
      <c r="C102">
        <v>279</v>
      </c>
      <c r="D102">
        <v>1</v>
      </c>
      <c r="E102" t="s">
        <v>151</v>
      </c>
      <c r="F102" s="3">
        <v>563.26</v>
      </c>
      <c r="G102" s="3">
        <v>563.26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2:26" x14ac:dyDescent="0.2">
      <c r="B103">
        <v>1</v>
      </c>
      <c r="C103">
        <v>280</v>
      </c>
      <c r="D103">
        <v>1</v>
      </c>
      <c r="E103" t="s">
        <v>152</v>
      </c>
      <c r="F103" s="3">
        <v>1099.78</v>
      </c>
      <c r="G103" s="3">
        <v>1099.78</v>
      </c>
      <c r="H103" s="3">
        <v>1099.78</v>
      </c>
      <c r="I103" s="3">
        <v>1099.78</v>
      </c>
      <c r="J103" s="3">
        <v>1099.78</v>
      </c>
      <c r="K103" s="3">
        <v>798.38</v>
      </c>
      <c r="L103" s="3">
        <v>798.38</v>
      </c>
      <c r="M103" s="3">
        <v>798.38</v>
      </c>
      <c r="N103" s="3">
        <v>0</v>
      </c>
      <c r="O103" s="3">
        <v>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2:26" x14ac:dyDescent="0.2">
      <c r="B104">
        <v>1</v>
      </c>
      <c r="C104">
        <v>281</v>
      </c>
      <c r="D104">
        <v>1</v>
      </c>
      <c r="E104" t="s">
        <v>153</v>
      </c>
      <c r="F104" s="3">
        <v>848.25</v>
      </c>
      <c r="G104" s="3">
        <v>848.25</v>
      </c>
      <c r="H104" s="3">
        <v>848.25</v>
      </c>
      <c r="I104" s="3">
        <v>848.25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2:26" x14ac:dyDescent="0.2">
      <c r="B105">
        <v>1</v>
      </c>
      <c r="C105">
        <v>282</v>
      </c>
      <c r="D105">
        <v>1</v>
      </c>
      <c r="E105" t="s">
        <v>154</v>
      </c>
      <c r="F105" s="3">
        <v>1985</v>
      </c>
      <c r="G105" s="3">
        <v>1985</v>
      </c>
      <c r="H105" s="3">
        <v>1985</v>
      </c>
      <c r="I105" s="3">
        <v>1985</v>
      </c>
      <c r="J105" s="3">
        <v>1985</v>
      </c>
      <c r="K105" s="3">
        <v>1985</v>
      </c>
      <c r="L105" s="3">
        <v>1985</v>
      </c>
      <c r="M105" s="3">
        <v>1985</v>
      </c>
      <c r="N105" s="3">
        <v>0</v>
      </c>
      <c r="O105" s="3">
        <v>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2:26" x14ac:dyDescent="0.2">
      <c r="B106">
        <v>1</v>
      </c>
      <c r="C106">
        <v>283</v>
      </c>
      <c r="D106">
        <v>1</v>
      </c>
      <c r="E106" t="s">
        <v>155</v>
      </c>
      <c r="F106" s="3">
        <v>1560.55</v>
      </c>
      <c r="G106" s="3">
        <v>1560.55</v>
      </c>
      <c r="H106" s="3">
        <v>1560.55</v>
      </c>
      <c r="I106" s="3">
        <v>1560.55</v>
      </c>
      <c r="J106" s="3">
        <v>1560.55</v>
      </c>
      <c r="K106" s="3">
        <v>1560.55</v>
      </c>
      <c r="L106" s="3">
        <v>1560.55</v>
      </c>
      <c r="M106" s="3">
        <v>0</v>
      </c>
      <c r="N106" s="3">
        <v>0</v>
      </c>
      <c r="O106" s="3">
        <v>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2:26" x14ac:dyDescent="0.2">
      <c r="B107">
        <v>1</v>
      </c>
      <c r="C107">
        <v>284</v>
      </c>
      <c r="D107">
        <v>1</v>
      </c>
      <c r="E107" t="s">
        <v>156</v>
      </c>
      <c r="F107" s="3">
        <v>1609.28</v>
      </c>
      <c r="G107" s="3">
        <v>1609.28</v>
      </c>
      <c r="H107" s="3">
        <v>1609.28</v>
      </c>
      <c r="I107" s="3">
        <v>1609.28</v>
      </c>
      <c r="J107" s="3">
        <v>769.03</v>
      </c>
      <c r="K107" s="3">
        <v>769.03</v>
      </c>
      <c r="L107" s="3">
        <v>629</v>
      </c>
      <c r="M107" s="3">
        <v>629</v>
      </c>
      <c r="N107" s="3">
        <v>0</v>
      </c>
      <c r="O107" s="3">
        <v>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2:26" x14ac:dyDescent="0.2">
      <c r="B108">
        <v>1</v>
      </c>
      <c r="C108">
        <v>286</v>
      </c>
      <c r="D108">
        <v>1</v>
      </c>
      <c r="E108" t="s">
        <v>157</v>
      </c>
      <c r="F108" s="3">
        <v>337.14</v>
      </c>
      <c r="G108" s="3">
        <v>337.14</v>
      </c>
      <c r="H108" s="3">
        <v>337.14</v>
      </c>
      <c r="I108" s="3">
        <v>337.14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2:26" x14ac:dyDescent="0.2">
      <c r="B109">
        <v>1</v>
      </c>
      <c r="C109">
        <v>294</v>
      </c>
      <c r="D109">
        <v>1</v>
      </c>
      <c r="E109" t="s">
        <v>158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2:26" x14ac:dyDescent="0.2">
      <c r="B110">
        <v>1</v>
      </c>
      <c r="C110">
        <v>297</v>
      </c>
      <c r="D110">
        <v>1</v>
      </c>
      <c r="E110" t="s">
        <v>159</v>
      </c>
      <c r="F110" s="3">
        <v>1388</v>
      </c>
      <c r="G110" s="3">
        <v>1388</v>
      </c>
      <c r="H110" s="3">
        <v>1388</v>
      </c>
      <c r="I110" s="3">
        <v>1388</v>
      </c>
      <c r="J110" s="3">
        <v>1388</v>
      </c>
      <c r="K110" s="3">
        <v>1388</v>
      </c>
      <c r="L110" s="3">
        <v>1388</v>
      </c>
      <c r="M110" s="3">
        <v>1388</v>
      </c>
      <c r="N110" s="3">
        <v>0</v>
      </c>
      <c r="O110" s="3">
        <v>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2:26" x14ac:dyDescent="0.2">
      <c r="B111">
        <v>1</v>
      </c>
      <c r="C111">
        <v>299</v>
      </c>
      <c r="D111">
        <v>1</v>
      </c>
      <c r="E111" t="s">
        <v>160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2:26" x14ac:dyDescent="0.2">
      <c r="B112">
        <v>1</v>
      </c>
      <c r="C112">
        <v>300</v>
      </c>
      <c r="D112">
        <v>1</v>
      </c>
      <c r="E112" t="s">
        <v>161</v>
      </c>
      <c r="F112" s="3">
        <v>576.01</v>
      </c>
      <c r="G112" s="3">
        <v>576.01</v>
      </c>
      <c r="H112" s="3">
        <v>576.01</v>
      </c>
      <c r="I112" s="3">
        <v>576.01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2:26" x14ac:dyDescent="0.2">
      <c r="B113">
        <v>1</v>
      </c>
      <c r="C113">
        <v>306</v>
      </c>
      <c r="D113">
        <v>1</v>
      </c>
      <c r="E113" t="s">
        <v>162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2:26" x14ac:dyDescent="0.2">
      <c r="B114">
        <v>1</v>
      </c>
      <c r="C114">
        <v>308</v>
      </c>
      <c r="D114">
        <v>1</v>
      </c>
      <c r="E114" t="s">
        <v>163</v>
      </c>
      <c r="F114" s="3">
        <v>126.47</v>
      </c>
      <c r="G114" s="3">
        <v>126.47</v>
      </c>
      <c r="H114" s="3">
        <v>126.47</v>
      </c>
      <c r="I114" s="3">
        <v>126.47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2:26" x14ac:dyDescent="0.2">
      <c r="B115">
        <v>1</v>
      </c>
      <c r="C115">
        <v>309</v>
      </c>
      <c r="D115">
        <v>1</v>
      </c>
      <c r="E115" t="s">
        <v>164</v>
      </c>
      <c r="F115" s="3">
        <v>600</v>
      </c>
      <c r="G115" s="3">
        <v>600</v>
      </c>
      <c r="H115" s="3">
        <v>600</v>
      </c>
      <c r="I115" s="3">
        <v>600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2:26" x14ac:dyDescent="0.2">
      <c r="B116">
        <v>1</v>
      </c>
      <c r="C116">
        <v>314</v>
      </c>
      <c r="D116">
        <v>1</v>
      </c>
      <c r="E116" t="s">
        <v>165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2:26" x14ac:dyDescent="0.2">
      <c r="B117">
        <v>1</v>
      </c>
      <c r="C117">
        <v>316</v>
      </c>
      <c r="D117">
        <v>1</v>
      </c>
      <c r="E117" t="s">
        <v>166</v>
      </c>
      <c r="F117" s="3">
        <v>891.03</v>
      </c>
      <c r="G117" s="3">
        <v>736.05</v>
      </c>
      <c r="H117" s="3">
        <v>428.97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2:26" x14ac:dyDescent="0.2">
      <c r="B118">
        <v>1</v>
      </c>
      <c r="C118">
        <v>317</v>
      </c>
      <c r="D118">
        <v>1</v>
      </c>
      <c r="E118" t="s">
        <v>167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2:26" x14ac:dyDescent="0.2">
      <c r="B119">
        <v>1</v>
      </c>
      <c r="C119">
        <v>318</v>
      </c>
      <c r="D119">
        <v>1</v>
      </c>
      <c r="E119" t="s">
        <v>168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2:26" x14ac:dyDescent="0.2">
      <c r="B120">
        <v>1</v>
      </c>
      <c r="C120">
        <v>319</v>
      </c>
      <c r="D120">
        <v>1</v>
      </c>
      <c r="E120" t="s">
        <v>169</v>
      </c>
      <c r="F120" s="3">
        <v>117.08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2:26" x14ac:dyDescent="0.2">
      <c r="B121">
        <v>1</v>
      </c>
      <c r="C121">
        <v>323</v>
      </c>
      <c r="D121">
        <v>2</v>
      </c>
      <c r="E121" t="s">
        <v>170</v>
      </c>
      <c r="F121" s="3">
        <v>1400</v>
      </c>
      <c r="G121" s="3">
        <v>1400</v>
      </c>
      <c r="H121" s="3">
        <v>1400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2:26" x14ac:dyDescent="0.2">
      <c r="B122">
        <v>1</v>
      </c>
      <c r="C122">
        <v>330</v>
      </c>
      <c r="D122">
        <v>1</v>
      </c>
      <c r="E122" t="s">
        <v>171</v>
      </c>
      <c r="F122" s="3">
        <v>1087.23</v>
      </c>
      <c r="G122" s="3">
        <v>1087.23</v>
      </c>
      <c r="H122" s="3">
        <v>1087.23</v>
      </c>
      <c r="I122" s="3">
        <v>1087.23</v>
      </c>
      <c r="J122" s="3">
        <v>500</v>
      </c>
      <c r="K122" s="3">
        <v>500</v>
      </c>
      <c r="L122" s="3">
        <v>0</v>
      </c>
      <c r="M122" s="3">
        <v>0</v>
      </c>
      <c r="N122" s="3">
        <v>0</v>
      </c>
      <c r="O122" s="3">
        <v>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2:26" x14ac:dyDescent="0.2">
      <c r="B123">
        <v>1</v>
      </c>
      <c r="C123">
        <v>332</v>
      </c>
      <c r="D123">
        <v>1</v>
      </c>
      <c r="E123" t="s">
        <v>172</v>
      </c>
      <c r="F123" s="3">
        <v>126.21</v>
      </c>
      <c r="G123" s="3">
        <v>126.21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2:26" x14ac:dyDescent="0.2">
      <c r="B124">
        <v>1</v>
      </c>
      <c r="C124">
        <v>333</v>
      </c>
      <c r="D124">
        <v>1</v>
      </c>
      <c r="E124" t="s">
        <v>173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2:26" x14ac:dyDescent="0.2">
      <c r="B125">
        <v>1</v>
      </c>
      <c r="C125">
        <v>345</v>
      </c>
      <c r="D125">
        <v>1</v>
      </c>
      <c r="E125" t="s">
        <v>174</v>
      </c>
      <c r="F125" s="3">
        <v>397.87</v>
      </c>
      <c r="G125" s="3">
        <v>397.87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2:26" x14ac:dyDescent="0.2">
      <c r="B126">
        <v>1</v>
      </c>
      <c r="C126">
        <v>347</v>
      </c>
      <c r="D126">
        <v>1</v>
      </c>
      <c r="E126" t="s">
        <v>175</v>
      </c>
      <c r="F126" s="3">
        <v>498.49</v>
      </c>
      <c r="G126" s="3">
        <v>498.49</v>
      </c>
      <c r="H126" s="3">
        <v>498.49</v>
      </c>
      <c r="I126" s="3">
        <v>498.49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2:26" x14ac:dyDescent="0.2">
      <c r="B127">
        <v>1</v>
      </c>
      <c r="C127">
        <v>356</v>
      </c>
      <c r="D127">
        <v>1</v>
      </c>
      <c r="E127" t="s">
        <v>176</v>
      </c>
      <c r="F127" s="3">
        <v>1686.59</v>
      </c>
      <c r="G127" s="3">
        <v>1686.59</v>
      </c>
      <c r="H127" s="3">
        <v>1686.59</v>
      </c>
      <c r="I127" s="3">
        <v>1686.59</v>
      </c>
      <c r="J127" s="3">
        <v>1686.59</v>
      </c>
      <c r="K127" s="3">
        <v>1009.08</v>
      </c>
      <c r="L127" s="3">
        <v>1009.08</v>
      </c>
      <c r="M127" s="3">
        <v>1009.08</v>
      </c>
      <c r="N127" s="3">
        <v>1009.08</v>
      </c>
      <c r="O127" s="3">
        <v>1009.08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2:26" x14ac:dyDescent="0.2">
      <c r="B128">
        <v>1</v>
      </c>
      <c r="C128">
        <v>361</v>
      </c>
      <c r="D128">
        <v>1</v>
      </c>
      <c r="E128" t="s">
        <v>177</v>
      </c>
      <c r="F128" s="3">
        <v>567.49</v>
      </c>
      <c r="G128" s="3">
        <v>567.49</v>
      </c>
      <c r="H128" s="3">
        <v>567.49</v>
      </c>
      <c r="I128" s="3">
        <v>567.49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2:26" x14ac:dyDescent="0.2">
      <c r="B129">
        <v>1</v>
      </c>
      <c r="C129">
        <v>362</v>
      </c>
      <c r="D129">
        <v>1</v>
      </c>
      <c r="E129" t="s">
        <v>178</v>
      </c>
      <c r="F129" s="3">
        <v>1</v>
      </c>
      <c r="G129" s="3">
        <v>1</v>
      </c>
      <c r="H129" s="3">
        <v>1</v>
      </c>
      <c r="I129" s="3">
        <v>1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2:26" x14ac:dyDescent="0.2">
      <c r="B130">
        <v>1</v>
      </c>
      <c r="C130">
        <v>363</v>
      </c>
      <c r="D130">
        <v>1</v>
      </c>
      <c r="E130" t="s">
        <v>179</v>
      </c>
      <c r="F130" s="3">
        <v>1.01</v>
      </c>
      <c r="G130" s="3">
        <v>1.01</v>
      </c>
      <c r="H130" s="3">
        <v>1.01</v>
      </c>
      <c r="I130" s="3">
        <v>1.01</v>
      </c>
      <c r="J130" s="3">
        <v>1.01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2:26" x14ac:dyDescent="0.2">
      <c r="B131">
        <v>1</v>
      </c>
      <c r="C131">
        <v>371</v>
      </c>
      <c r="D131">
        <v>1</v>
      </c>
      <c r="E131" t="s">
        <v>180</v>
      </c>
      <c r="F131" s="3">
        <v>1536.57</v>
      </c>
      <c r="G131" s="3">
        <v>1536.57</v>
      </c>
      <c r="H131" s="3">
        <v>1536.57</v>
      </c>
      <c r="I131" s="3">
        <v>1536.57</v>
      </c>
      <c r="J131" s="3">
        <v>1536.57</v>
      </c>
      <c r="K131" s="3">
        <v>1536.57</v>
      </c>
      <c r="L131" s="3">
        <v>0</v>
      </c>
      <c r="M131" s="3">
        <v>0</v>
      </c>
      <c r="N131" s="3">
        <v>0</v>
      </c>
      <c r="O131" s="3">
        <v>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2:26" x14ac:dyDescent="0.2">
      <c r="B132">
        <v>1</v>
      </c>
      <c r="C132">
        <v>378</v>
      </c>
      <c r="D132">
        <v>1</v>
      </c>
      <c r="E132" t="s">
        <v>181</v>
      </c>
      <c r="F132" s="3">
        <v>756.55</v>
      </c>
      <c r="G132" s="3">
        <v>756.55</v>
      </c>
      <c r="H132" s="3">
        <v>756.55</v>
      </c>
      <c r="I132" s="3">
        <v>756.55</v>
      </c>
      <c r="J132" s="3">
        <v>302.32</v>
      </c>
      <c r="K132" s="3">
        <v>302.32</v>
      </c>
      <c r="L132" s="3">
        <v>302.32</v>
      </c>
      <c r="M132" s="3">
        <v>0</v>
      </c>
      <c r="N132" s="3">
        <v>0</v>
      </c>
      <c r="O132" s="3">
        <v>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2:26" x14ac:dyDescent="0.2">
      <c r="B133">
        <v>1</v>
      </c>
      <c r="C133">
        <v>381</v>
      </c>
      <c r="D133">
        <v>1</v>
      </c>
      <c r="E133" t="s">
        <v>182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2:26" x14ac:dyDescent="0.2">
      <c r="B134">
        <v>1</v>
      </c>
      <c r="C134">
        <v>390</v>
      </c>
      <c r="D134">
        <v>1</v>
      </c>
      <c r="E134" t="s">
        <v>183</v>
      </c>
      <c r="F134" s="3">
        <v>126.3</v>
      </c>
      <c r="G134" s="3">
        <v>126.3</v>
      </c>
      <c r="H134" s="3">
        <v>126.3</v>
      </c>
      <c r="I134" s="3">
        <v>126.3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2:26" x14ac:dyDescent="0.2">
      <c r="B135">
        <v>1</v>
      </c>
      <c r="C135">
        <v>391</v>
      </c>
      <c r="D135">
        <v>1</v>
      </c>
      <c r="E135" t="s">
        <v>184</v>
      </c>
      <c r="F135" s="3">
        <v>701.81</v>
      </c>
      <c r="G135" s="3">
        <v>701.81</v>
      </c>
      <c r="H135" s="3">
        <v>701.81</v>
      </c>
      <c r="I135" s="3">
        <v>701.81</v>
      </c>
      <c r="J135" s="3">
        <v>350</v>
      </c>
      <c r="K135" s="3">
        <v>350</v>
      </c>
      <c r="L135" s="3">
        <v>350</v>
      </c>
      <c r="M135" s="3">
        <v>350</v>
      </c>
      <c r="N135" s="3">
        <v>0</v>
      </c>
      <c r="O135" s="3">
        <v>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2:26" x14ac:dyDescent="0.2">
      <c r="B136">
        <v>1</v>
      </c>
      <c r="C136">
        <v>392</v>
      </c>
      <c r="D136">
        <v>1</v>
      </c>
      <c r="E136" t="s">
        <v>185</v>
      </c>
      <c r="F136" s="3">
        <v>601.03</v>
      </c>
      <c r="G136" s="3">
        <v>601.03</v>
      </c>
      <c r="H136" s="3">
        <v>601.03</v>
      </c>
      <c r="I136" s="3">
        <v>601.03</v>
      </c>
      <c r="J136" s="3">
        <v>350</v>
      </c>
      <c r="K136" s="3">
        <v>350</v>
      </c>
      <c r="L136" s="3">
        <v>350</v>
      </c>
      <c r="M136" s="3">
        <v>350</v>
      </c>
      <c r="N136" s="3">
        <v>0</v>
      </c>
      <c r="O136" s="3">
        <v>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2:26" x14ac:dyDescent="0.2">
      <c r="B137">
        <v>1</v>
      </c>
      <c r="C137">
        <v>394</v>
      </c>
      <c r="D137">
        <v>1</v>
      </c>
      <c r="E137" t="s">
        <v>186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2:26" x14ac:dyDescent="0.2">
      <c r="B138">
        <v>1</v>
      </c>
      <c r="C138">
        <v>402</v>
      </c>
      <c r="D138">
        <v>1</v>
      </c>
      <c r="E138" t="s">
        <v>187</v>
      </c>
      <c r="F138" s="3">
        <v>800.06</v>
      </c>
      <c r="G138" s="3">
        <v>800.06</v>
      </c>
      <c r="H138" s="3">
        <v>800.06</v>
      </c>
      <c r="I138" s="3">
        <v>800.06</v>
      </c>
      <c r="J138" s="3">
        <v>400</v>
      </c>
      <c r="K138" s="3">
        <v>400</v>
      </c>
      <c r="L138" s="3">
        <v>400</v>
      </c>
      <c r="M138" s="3">
        <v>0</v>
      </c>
      <c r="N138" s="3">
        <v>0</v>
      </c>
      <c r="O138" s="3">
        <v>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2:26" x14ac:dyDescent="0.2">
      <c r="B139">
        <v>1</v>
      </c>
      <c r="C139">
        <v>403</v>
      </c>
      <c r="D139">
        <v>1</v>
      </c>
      <c r="E139" t="s">
        <v>188</v>
      </c>
      <c r="F139" s="3">
        <v>1200</v>
      </c>
      <c r="G139" s="3">
        <v>1200</v>
      </c>
      <c r="H139" s="3">
        <v>1200</v>
      </c>
      <c r="I139" s="3">
        <v>1200</v>
      </c>
      <c r="J139" s="3">
        <v>1200</v>
      </c>
      <c r="K139" s="3">
        <v>1200</v>
      </c>
      <c r="L139" s="3">
        <v>1200</v>
      </c>
      <c r="M139" s="3">
        <v>1200</v>
      </c>
      <c r="N139" s="3">
        <v>1200</v>
      </c>
      <c r="O139" s="3">
        <v>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2:26" x14ac:dyDescent="0.2">
      <c r="B140">
        <v>1</v>
      </c>
      <c r="C140">
        <v>404</v>
      </c>
      <c r="D140">
        <v>1</v>
      </c>
      <c r="E140" t="s">
        <v>189</v>
      </c>
      <c r="F140" s="3">
        <v>1443.72</v>
      </c>
      <c r="G140" s="3">
        <v>1443.72</v>
      </c>
      <c r="H140" s="3">
        <v>1443.72</v>
      </c>
      <c r="I140" s="3">
        <v>1443.72</v>
      </c>
      <c r="J140" s="3">
        <v>1443.72</v>
      </c>
      <c r="K140" s="3">
        <v>1443.72</v>
      </c>
      <c r="L140" s="3">
        <v>1443.72</v>
      </c>
      <c r="M140" s="3">
        <v>1443.72</v>
      </c>
      <c r="N140" s="3">
        <v>1443.72</v>
      </c>
      <c r="O140" s="3">
        <v>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2:26" x14ac:dyDescent="0.2">
      <c r="B141">
        <v>1</v>
      </c>
      <c r="C141">
        <v>411</v>
      </c>
      <c r="D141">
        <v>1</v>
      </c>
      <c r="E141" t="s">
        <v>191</v>
      </c>
      <c r="F141" s="3">
        <v>552.03</v>
      </c>
      <c r="G141" s="3">
        <v>325.77999999999997</v>
      </c>
      <c r="H141" s="3">
        <v>325.77999999999997</v>
      </c>
      <c r="I141" s="3">
        <v>325.77999999999997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2:26" x14ac:dyDescent="0.2">
      <c r="B142">
        <v>1</v>
      </c>
      <c r="C142">
        <v>413</v>
      </c>
      <c r="D142">
        <v>1</v>
      </c>
      <c r="E142" t="s">
        <v>192</v>
      </c>
      <c r="F142" s="3">
        <v>200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2:26" x14ac:dyDescent="0.2">
      <c r="B143">
        <v>1</v>
      </c>
      <c r="C143">
        <v>414</v>
      </c>
      <c r="D143">
        <v>1</v>
      </c>
      <c r="E143" t="s">
        <v>193</v>
      </c>
      <c r="F143" s="3">
        <v>126.3</v>
      </c>
      <c r="G143" s="3">
        <v>126.3</v>
      </c>
      <c r="H143" s="3">
        <v>126.3</v>
      </c>
      <c r="I143" s="3">
        <v>126.3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2:26" x14ac:dyDescent="0.2">
      <c r="B144">
        <v>1</v>
      </c>
      <c r="C144">
        <v>415</v>
      </c>
      <c r="D144">
        <v>1</v>
      </c>
      <c r="E144" t="s">
        <v>194</v>
      </c>
      <c r="F144" s="3">
        <v>1615</v>
      </c>
      <c r="G144" s="3">
        <v>1000</v>
      </c>
      <c r="H144" s="3">
        <v>1000</v>
      </c>
      <c r="I144" s="3">
        <v>1000</v>
      </c>
      <c r="J144" s="3">
        <v>1000</v>
      </c>
      <c r="K144" s="3">
        <v>1000</v>
      </c>
      <c r="L144" s="3">
        <v>1000</v>
      </c>
      <c r="M144" s="3">
        <v>1000</v>
      </c>
      <c r="N144" s="3">
        <v>0</v>
      </c>
      <c r="O144" s="3">
        <v>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2:26" x14ac:dyDescent="0.2">
      <c r="B145">
        <v>1</v>
      </c>
      <c r="C145">
        <v>417</v>
      </c>
      <c r="D145">
        <v>1</v>
      </c>
      <c r="E145" t="s">
        <v>195</v>
      </c>
      <c r="F145" s="3">
        <v>425</v>
      </c>
      <c r="G145" s="3">
        <v>425</v>
      </c>
      <c r="H145" s="3">
        <v>425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2:26" x14ac:dyDescent="0.2">
      <c r="B146">
        <v>1</v>
      </c>
      <c r="C146">
        <v>423</v>
      </c>
      <c r="D146">
        <v>1</v>
      </c>
      <c r="E146" t="s">
        <v>197</v>
      </c>
      <c r="F146" s="3">
        <v>807.19</v>
      </c>
      <c r="G146" s="3">
        <v>807.19</v>
      </c>
      <c r="H146" s="3">
        <v>807.19</v>
      </c>
      <c r="I146" s="3">
        <v>807.19</v>
      </c>
      <c r="J146" s="3">
        <v>680</v>
      </c>
      <c r="K146" s="3">
        <v>680</v>
      </c>
      <c r="L146" s="3">
        <v>0</v>
      </c>
      <c r="M146" s="3">
        <v>0</v>
      </c>
      <c r="N146" s="3">
        <v>0</v>
      </c>
      <c r="O146" s="3">
        <v>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2:26" x14ac:dyDescent="0.2">
      <c r="B147">
        <v>1</v>
      </c>
      <c r="C147">
        <v>424</v>
      </c>
      <c r="D147">
        <v>1</v>
      </c>
      <c r="E147" t="s">
        <v>198</v>
      </c>
      <c r="F147" s="3">
        <v>1021.88</v>
      </c>
      <c r="G147" s="3">
        <v>1021.88</v>
      </c>
      <c r="H147" s="3">
        <v>1021</v>
      </c>
      <c r="I147" s="3">
        <v>1021</v>
      </c>
      <c r="J147" s="3">
        <v>1021</v>
      </c>
      <c r="K147" s="3">
        <v>1021</v>
      </c>
      <c r="L147" s="3">
        <v>521</v>
      </c>
      <c r="M147" s="3">
        <v>521</v>
      </c>
      <c r="N147" s="3">
        <v>521</v>
      </c>
      <c r="O147" s="3">
        <v>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2:26" x14ac:dyDescent="0.2">
      <c r="B148">
        <v>1</v>
      </c>
      <c r="C148">
        <v>432</v>
      </c>
      <c r="D148">
        <v>1</v>
      </c>
      <c r="E148" t="s">
        <v>199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2:26" x14ac:dyDescent="0.2">
      <c r="B149">
        <v>1</v>
      </c>
      <c r="C149">
        <v>435</v>
      </c>
      <c r="D149">
        <v>1</v>
      </c>
      <c r="E149" t="s">
        <v>200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2:26" x14ac:dyDescent="0.2">
      <c r="B150">
        <v>1</v>
      </c>
      <c r="C150">
        <v>441</v>
      </c>
      <c r="D150">
        <v>1</v>
      </c>
      <c r="E150" t="s">
        <v>201</v>
      </c>
      <c r="F150" s="3">
        <v>800.44</v>
      </c>
      <c r="G150" s="3">
        <v>800.44</v>
      </c>
      <c r="H150" s="3">
        <v>800.44</v>
      </c>
      <c r="I150" s="3">
        <v>800.44</v>
      </c>
      <c r="J150" s="3">
        <v>600</v>
      </c>
      <c r="K150" s="3">
        <v>600</v>
      </c>
      <c r="L150" s="3">
        <v>600</v>
      </c>
      <c r="M150" s="3">
        <v>0</v>
      </c>
      <c r="N150" s="3">
        <v>0</v>
      </c>
      <c r="O150" s="3">
        <v>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2:26" x14ac:dyDescent="0.2">
      <c r="B151">
        <v>1</v>
      </c>
      <c r="C151">
        <v>447</v>
      </c>
      <c r="D151">
        <v>1</v>
      </c>
      <c r="E151" t="s">
        <v>202</v>
      </c>
      <c r="F151" s="3">
        <v>126.14</v>
      </c>
      <c r="G151" s="3">
        <v>126.14</v>
      </c>
      <c r="H151" s="3">
        <v>126.14</v>
      </c>
      <c r="I151" s="3">
        <v>126.14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2:26" x14ac:dyDescent="0.2">
      <c r="B152">
        <v>1</v>
      </c>
      <c r="C152">
        <v>458</v>
      </c>
      <c r="D152">
        <v>1</v>
      </c>
      <c r="E152" t="s">
        <v>203</v>
      </c>
      <c r="F152" s="3">
        <v>773.86</v>
      </c>
      <c r="G152" s="3">
        <v>773.86</v>
      </c>
      <c r="H152" s="3">
        <v>773.86</v>
      </c>
      <c r="I152" s="3">
        <v>256.81</v>
      </c>
      <c r="J152" s="3">
        <v>256.81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2:26" x14ac:dyDescent="0.2">
      <c r="B153">
        <v>1</v>
      </c>
      <c r="C153">
        <v>463</v>
      </c>
      <c r="D153">
        <v>1</v>
      </c>
      <c r="E153" t="s">
        <v>204</v>
      </c>
      <c r="F153" s="3">
        <v>450</v>
      </c>
      <c r="G153" s="3">
        <v>450</v>
      </c>
      <c r="H153" s="3">
        <v>450</v>
      </c>
      <c r="I153" s="3">
        <v>450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2:26" x14ac:dyDescent="0.2">
      <c r="B154">
        <v>1</v>
      </c>
      <c r="C154">
        <v>465</v>
      </c>
      <c r="D154">
        <v>1</v>
      </c>
      <c r="E154" t="s">
        <v>205</v>
      </c>
      <c r="F154" s="3">
        <v>301.51</v>
      </c>
      <c r="G154" s="3">
        <v>301.51</v>
      </c>
      <c r="H154" s="3">
        <v>301.51</v>
      </c>
      <c r="I154" s="3">
        <v>301.51</v>
      </c>
      <c r="J154" s="3">
        <v>301.51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2:26" x14ac:dyDescent="0.2">
      <c r="B155">
        <v>1</v>
      </c>
      <c r="C155">
        <v>466</v>
      </c>
      <c r="D155">
        <v>1</v>
      </c>
      <c r="E155" t="s">
        <v>206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2:26" x14ac:dyDescent="0.2">
      <c r="B156">
        <v>1</v>
      </c>
      <c r="C156">
        <v>473</v>
      </c>
      <c r="D156">
        <v>1</v>
      </c>
      <c r="E156" t="s">
        <v>207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2:26" x14ac:dyDescent="0.2">
      <c r="B157">
        <v>1</v>
      </c>
      <c r="C157">
        <v>477</v>
      </c>
      <c r="D157">
        <v>1</v>
      </c>
      <c r="E157" t="s">
        <v>208</v>
      </c>
      <c r="F157" s="3">
        <v>325</v>
      </c>
      <c r="G157" s="3">
        <v>325</v>
      </c>
      <c r="H157" s="3">
        <v>325</v>
      </c>
      <c r="I157" s="3">
        <v>325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2:26" x14ac:dyDescent="0.2">
      <c r="B158">
        <v>1</v>
      </c>
      <c r="C158">
        <v>480</v>
      </c>
      <c r="D158">
        <v>1</v>
      </c>
      <c r="E158" t="s">
        <v>209</v>
      </c>
      <c r="F158" s="3">
        <v>1.01</v>
      </c>
      <c r="G158" s="3">
        <v>1.01</v>
      </c>
      <c r="H158" s="3">
        <v>1.01</v>
      </c>
      <c r="I158" s="3">
        <v>1.01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2:26" x14ac:dyDescent="0.2">
      <c r="B159">
        <v>1</v>
      </c>
      <c r="C159">
        <v>482</v>
      </c>
      <c r="D159">
        <v>1</v>
      </c>
      <c r="E159" t="s">
        <v>210</v>
      </c>
      <c r="F159" s="3">
        <v>855.79</v>
      </c>
      <c r="G159" s="3">
        <v>855.79</v>
      </c>
      <c r="H159" s="3">
        <v>855.79</v>
      </c>
      <c r="I159" s="3">
        <v>855.79</v>
      </c>
      <c r="J159" s="3">
        <v>855.79</v>
      </c>
      <c r="K159" s="3">
        <v>855.79</v>
      </c>
      <c r="L159" s="3">
        <v>855.79</v>
      </c>
      <c r="M159" s="3">
        <v>0</v>
      </c>
      <c r="N159" s="3">
        <v>0</v>
      </c>
      <c r="O159" s="3">
        <v>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2:26" x14ac:dyDescent="0.2">
      <c r="B160">
        <v>1</v>
      </c>
      <c r="C160">
        <v>484</v>
      </c>
      <c r="D160">
        <v>1</v>
      </c>
      <c r="E160" t="s">
        <v>211</v>
      </c>
      <c r="F160" s="3">
        <v>500.87</v>
      </c>
      <c r="G160" s="3">
        <v>500.87</v>
      </c>
      <c r="H160" s="3">
        <v>500.87</v>
      </c>
      <c r="I160" s="3">
        <v>500.87</v>
      </c>
      <c r="J160" s="3">
        <v>500.87</v>
      </c>
      <c r="K160" s="3">
        <v>300</v>
      </c>
      <c r="L160" s="3">
        <v>300</v>
      </c>
      <c r="M160" s="3">
        <v>0</v>
      </c>
      <c r="N160" s="3">
        <v>0</v>
      </c>
      <c r="O160" s="3">
        <v>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2:26" x14ac:dyDescent="0.2">
      <c r="B161">
        <v>1</v>
      </c>
      <c r="C161">
        <v>485</v>
      </c>
      <c r="D161">
        <v>1</v>
      </c>
      <c r="E161" t="s">
        <v>212</v>
      </c>
      <c r="F161" s="3">
        <v>1.04</v>
      </c>
      <c r="G161" s="3">
        <v>1.04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2:26" x14ac:dyDescent="0.2">
      <c r="B162">
        <v>1</v>
      </c>
      <c r="C162">
        <v>486</v>
      </c>
      <c r="D162">
        <v>1</v>
      </c>
      <c r="E162" t="s">
        <v>213</v>
      </c>
      <c r="F162" s="3">
        <v>804.82</v>
      </c>
      <c r="G162" s="3">
        <v>804.82</v>
      </c>
      <c r="H162" s="3">
        <v>804.82</v>
      </c>
      <c r="I162" s="3">
        <v>804.82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2:26" x14ac:dyDescent="0.2">
      <c r="B163">
        <v>1</v>
      </c>
      <c r="C163">
        <v>487</v>
      </c>
      <c r="D163">
        <v>1</v>
      </c>
      <c r="E163" t="s">
        <v>214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2:26" x14ac:dyDescent="0.2">
      <c r="B164">
        <v>1</v>
      </c>
      <c r="C164">
        <v>492</v>
      </c>
      <c r="D164">
        <v>1</v>
      </c>
      <c r="E164" t="s">
        <v>215</v>
      </c>
      <c r="F164" s="3">
        <v>719.53</v>
      </c>
      <c r="G164" s="3">
        <v>719.53</v>
      </c>
      <c r="H164" s="3">
        <v>719.53</v>
      </c>
      <c r="I164" s="3">
        <v>666.18</v>
      </c>
      <c r="J164" s="3">
        <v>415</v>
      </c>
      <c r="K164" s="3">
        <v>415</v>
      </c>
      <c r="L164" s="3">
        <v>0</v>
      </c>
      <c r="M164" s="3">
        <v>0</v>
      </c>
      <c r="N164" s="3">
        <v>0</v>
      </c>
      <c r="O164" s="3">
        <v>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2:26" x14ac:dyDescent="0.2">
      <c r="B165">
        <v>1</v>
      </c>
      <c r="C165">
        <v>495</v>
      </c>
      <c r="D165">
        <v>1</v>
      </c>
      <c r="E165" t="s">
        <v>216</v>
      </c>
      <c r="F165" s="3">
        <v>853.01</v>
      </c>
      <c r="G165" s="3">
        <v>853.01</v>
      </c>
      <c r="H165" s="3">
        <v>853.01</v>
      </c>
      <c r="I165" s="3">
        <v>400</v>
      </c>
      <c r="J165" s="3">
        <v>400</v>
      </c>
      <c r="K165" s="3">
        <v>400</v>
      </c>
      <c r="L165" s="3">
        <v>0</v>
      </c>
      <c r="M165" s="3">
        <v>0</v>
      </c>
      <c r="N165" s="3">
        <v>0</v>
      </c>
      <c r="O165" s="3">
        <v>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2:26" x14ac:dyDescent="0.2">
      <c r="B166">
        <v>1</v>
      </c>
      <c r="C166">
        <v>497</v>
      </c>
      <c r="D166">
        <v>1</v>
      </c>
      <c r="E166" t="s">
        <v>217</v>
      </c>
      <c r="F166" s="3">
        <v>840.01</v>
      </c>
      <c r="G166" s="3">
        <v>840.01</v>
      </c>
      <c r="H166" s="3">
        <v>840.01</v>
      </c>
      <c r="I166" s="3">
        <v>840.01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2:26" x14ac:dyDescent="0.2">
      <c r="B167">
        <v>1</v>
      </c>
      <c r="C167">
        <v>499</v>
      </c>
      <c r="D167">
        <v>1</v>
      </c>
      <c r="E167" t="s">
        <v>218</v>
      </c>
      <c r="F167" s="3">
        <v>700.48</v>
      </c>
      <c r="G167" s="3">
        <v>700.48</v>
      </c>
      <c r="H167" s="3">
        <v>700.48</v>
      </c>
      <c r="I167" s="3">
        <v>300.20999999999998</v>
      </c>
      <c r="J167" s="3">
        <v>300.20999999999998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2:26" x14ac:dyDescent="0.2">
      <c r="B168">
        <v>1</v>
      </c>
      <c r="C168">
        <v>500</v>
      </c>
      <c r="D168">
        <v>1</v>
      </c>
      <c r="E168" t="s">
        <v>219</v>
      </c>
      <c r="F168" s="3">
        <v>847</v>
      </c>
      <c r="G168" s="3">
        <v>847</v>
      </c>
      <c r="H168" s="3">
        <v>847</v>
      </c>
      <c r="I168" s="3">
        <v>847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2:26" x14ac:dyDescent="0.2">
      <c r="B169">
        <v>1</v>
      </c>
      <c r="C169">
        <v>505</v>
      </c>
      <c r="D169">
        <v>1</v>
      </c>
      <c r="E169" t="s">
        <v>220</v>
      </c>
      <c r="F169" s="3">
        <v>1901.98</v>
      </c>
      <c r="G169" s="3">
        <v>1901.98</v>
      </c>
      <c r="H169" s="3">
        <v>1901.98</v>
      </c>
      <c r="I169" s="3">
        <v>1901.98</v>
      </c>
      <c r="J169" s="3">
        <v>1000</v>
      </c>
      <c r="K169" s="3">
        <v>1000</v>
      </c>
      <c r="L169" s="3">
        <v>1000</v>
      </c>
      <c r="M169" s="3">
        <v>0</v>
      </c>
      <c r="N169" s="3">
        <v>0</v>
      </c>
      <c r="O169" s="3">
        <v>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2:26" x14ac:dyDescent="0.2">
      <c r="B170">
        <v>1</v>
      </c>
      <c r="C170">
        <v>507</v>
      </c>
      <c r="D170">
        <v>1</v>
      </c>
      <c r="E170" t="s">
        <v>221</v>
      </c>
      <c r="F170" s="3">
        <v>800</v>
      </c>
      <c r="G170" s="3">
        <v>800</v>
      </c>
      <c r="H170" s="3">
        <v>800</v>
      </c>
      <c r="I170" s="3">
        <v>800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2:26" x14ac:dyDescent="0.2">
      <c r="B171">
        <v>1</v>
      </c>
      <c r="C171">
        <v>508</v>
      </c>
      <c r="D171">
        <v>1</v>
      </c>
      <c r="E171" t="s">
        <v>222</v>
      </c>
      <c r="F171" s="3">
        <v>616.45000000000005</v>
      </c>
      <c r="G171" s="3">
        <v>616.45000000000005</v>
      </c>
      <c r="H171" s="3">
        <v>616.45000000000005</v>
      </c>
      <c r="I171" s="3">
        <v>616.45000000000005</v>
      </c>
      <c r="J171" s="3">
        <v>616.45000000000005</v>
      </c>
      <c r="K171" s="3">
        <v>315</v>
      </c>
      <c r="L171" s="3">
        <v>315</v>
      </c>
      <c r="M171" s="3">
        <v>315</v>
      </c>
      <c r="N171" s="3">
        <v>0</v>
      </c>
      <c r="O171" s="3">
        <v>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2:26" x14ac:dyDescent="0.2">
      <c r="B172">
        <v>1</v>
      </c>
      <c r="C172">
        <v>511</v>
      </c>
      <c r="D172">
        <v>1</v>
      </c>
      <c r="E172" t="s">
        <v>223</v>
      </c>
      <c r="F172" s="3">
        <v>450.92</v>
      </c>
      <c r="G172" s="3">
        <v>450.92</v>
      </c>
      <c r="H172" s="3">
        <v>450.92</v>
      </c>
      <c r="I172" s="3">
        <v>450.92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2:26" x14ac:dyDescent="0.2">
      <c r="B173">
        <v>1</v>
      </c>
      <c r="C173">
        <v>513</v>
      </c>
      <c r="D173">
        <v>1</v>
      </c>
      <c r="E173" t="s">
        <v>224</v>
      </c>
      <c r="F173" s="3">
        <v>1500</v>
      </c>
      <c r="G173" s="3">
        <v>1500</v>
      </c>
      <c r="H173" s="3">
        <v>1500</v>
      </c>
      <c r="I173" s="3">
        <v>1500</v>
      </c>
      <c r="J173" s="3">
        <v>1500</v>
      </c>
      <c r="K173" s="3">
        <v>1500</v>
      </c>
      <c r="L173" s="3">
        <v>1500</v>
      </c>
      <c r="M173" s="3">
        <v>1500</v>
      </c>
      <c r="N173" s="3">
        <v>0</v>
      </c>
      <c r="O173" s="3">
        <v>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2:26" x14ac:dyDescent="0.2">
      <c r="B174">
        <v>1</v>
      </c>
      <c r="C174">
        <v>514</v>
      </c>
      <c r="D174">
        <v>1</v>
      </c>
      <c r="E174" t="s">
        <v>225</v>
      </c>
      <c r="F174" s="3">
        <v>573.12</v>
      </c>
      <c r="G174" s="3">
        <v>573.12</v>
      </c>
      <c r="H174" s="3">
        <v>573.12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2:26" x14ac:dyDescent="0.2">
      <c r="B175">
        <v>1</v>
      </c>
      <c r="C175">
        <v>516</v>
      </c>
      <c r="D175">
        <v>1</v>
      </c>
      <c r="E175" t="s">
        <v>226</v>
      </c>
      <c r="F175" s="3">
        <v>1500</v>
      </c>
      <c r="G175" s="3">
        <v>1500</v>
      </c>
      <c r="H175" s="3">
        <v>1500</v>
      </c>
      <c r="I175" s="3">
        <v>1500</v>
      </c>
      <c r="J175" s="3">
        <v>1500</v>
      </c>
      <c r="K175" s="3">
        <v>1500</v>
      </c>
      <c r="L175" s="3">
        <v>1500</v>
      </c>
      <c r="M175" s="3">
        <v>1500</v>
      </c>
      <c r="N175" s="3">
        <v>0</v>
      </c>
      <c r="O175" s="3">
        <v>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2:26" x14ac:dyDescent="0.2">
      <c r="B176">
        <v>1</v>
      </c>
      <c r="C176">
        <v>518</v>
      </c>
      <c r="D176">
        <v>1</v>
      </c>
      <c r="E176" t="s">
        <v>227</v>
      </c>
      <c r="F176" s="3">
        <v>1000</v>
      </c>
      <c r="G176" s="3">
        <v>1000</v>
      </c>
      <c r="H176" s="3">
        <v>1000</v>
      </c>
      <c r="I176" s="3">
        <v>1000</v>
      </c>
      <c r="J176" s="3">
        <v>1000</v>
      </c>
      <c r="K176" s="3">
        <v>1000</v>
      </c>
      <c r="L176" s="3">
        <v>1000</v>
      </c>
      <c r="M176" s="3">
        <v>0</v>
      </c>
      <c r="N176" s="3">
        <v>0</v>
      </c>
      <c r="O176" s="3">
        <v>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2:26" x14ac:dyDescent="0.2">
      <c r="B177">
        <v>1</v>
      </c>
      <c r="C177">
        <v>531</v>
      </c>
      <c r="D177">
        <v>1</v>
      </c>
      <c r="E177" t="s">
        <v>228</v>
      </c>
      <c r="F177" s="3">
        <v>126.1</v>
      </c>
      <c r="G177" s="3">
        <v>126.1</v>
      </c>
      <c r="H177" s="3">
        <v>126.1</v>
      </c>
      <c r="I177" s="3">
        <v>126.1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2:26" x14ac:dyDescent="0.2">
      <c r="B178">
        <v>1</v>
      </c>
      <c r="C178">
        <v>533</v>
      </c>
      <c r="D178">
        <v>1</v>
      </c>
      <c r="E178" t="s">
        <v>229</v>
      </c>
      <c r="F178" s="3">
        <v>126.79</v>
      </c>
      <c r="G178" s="3">
        <v>126.79</v>
      </c>
      <c r="H178" s="3">
        <v>126.79</v>
      </c>
      <c r="I178" s="3">
        <v>126.79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2:26" x14ac:dyDescent="0.2">
      <c r="B179">
        <v>1</v>
      </c>
      <c r="C179">
        <v>534</v>
      </c>
      <c r="D179">
        <v>1</v>
      </c>
      <c r="E179" t="s">
        <v>230</v>
      </c>
      <c r="F179" s="3">
        <v>820.35</v>
      </c>
      <c r="G179" s="3">
        <v>820.35</v>
      </c>
      <c r="H179" s="3">
        <v>820.35</v>
      </c>
      <c r="I179" s="3">
        <v>820.35</v>
      </c>
      <c r="J179" s="3">
        <v>620</v>
      </c>
      <c r="K179" s="3">
        <v>620</v>
      </c>
      <c r="L179" s="3">
        <v>620</v>
      </c>
      <c r="M179" s="3">
        <v>0</v>
      </c>
      <c r="N179" s="3">
        <v>0</v>
      </c>
      <c r="O179" s="3">
        <v>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2:26" x14ac:dyDescent="0.2">
      <c r="B180">
        <v>1</v>
      </c>
      <c r="C180">
        <v>535</v>
      </c>
      <c r="D180">
        <v>1</v>
      </c>
      <c r="E180" t="s">
        <v>231</v>
      </c>
      <c r="F180" s="3">
        <v>440.84</v>
      </c>
      <c r="G180" s="3">
        <v>440.84</v>
      </c>
      <c r="H180" s="3">
        <v>440.84</v>
      </c>
      <c r="I180" s="3">
        <v>440.84</v>
      </c>
      <c r="J180" s="3">
        <v>440.84</v>
      </c>
      <c r="K180" s="3">
        <v>440.84</v>
      </c>
      <c r="L180" s="3">
        <v>440.84</v>
      </c>
      <c r="M180" s="3">
        <v>440.84</v>
      </c>
      <c r="N180" s="3">
        <v>440.84</v>
      </c>
      <c r="O180" s="3">
        <v>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2:26" x14ac:dyDescent="0.2">
      <c r="B181">
        <v>1</v>
      </c>
      <c r="C181">
        <v>542</v>
      </c>
      <c r="D181">
        <v>1</v>
      </c>
      <c r="E181" t="s">
        <v>232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2:26" x14ac:dyDescent="0.2">
      <c r="B182">
        <v>1</v>
      </c>
      <c r="C182">
        <v>544</v>
      </c>
      <c r="D182">
        <v>1</v>
      </c>
      <c r="E182" t="s">
        <v>233</v>
      </c>
      <c r="F182" s="3">
        <v>417.78</v>
      </c>
      <c r="G182" s="3">
        <v>417.78</v>
      </c>
      <c r="H182" s="3">
        <v>416.05</v>
      </c>
      <c r="I182" s="3">
        <v>416.05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2:26" x14ac:dyDescent="0.2">
      <c r="B183">
        <v>1</v>
      </c>
      <c r="C183">
        <v>545</v>
      </c>
      <c r="D183">
        <v>1</v>
      </c>
      <c r="E183" t="s">
        <v>234</v>
      </c>
      <c r="F183" s="3">
        <v>1023.02</v>
      </c>
      <c r="G183" s="3">
        <v>1023.02</v>
      </c>
      <c r="H183" s="3">
        <v>1020.54</v>
      </c>
      <c r="I183" s="3">
        <v>1020.54</v>
      </c>
      <c r="J183" s="3">
        <v>612.32000000000005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2:26" x14ac:dyDescent="0.2">
      <c r="B184">
        <v>1</v>
      </c>
      <c r="C184">
        <v>547</v>
      </c>
      <c r="D184">
        <v>1</v>
      </c>
      <c r="E184" t="s">
        <v>235</v>
      </c>
      <c r="F184" s="3">
        <v>402.15</v>
      </c>
      <c r="G184" s="3">
        <v>402.15</v>
      </c>
      <c r="H184" s="3">
        <v>402.15</v>
      </c>
      <c r="I184" s="3">
        <v>402.15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2:26" x14ac:dyDescent="0.2">
      <c r="B185">
        <v>1</v>
      </c>
      <c r="C185">
        <v>548</v>
      </c>
      <c r="D185">
        <v>1</v>
      </c>
      <c r="E185" t="s">
        <v>236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2:26" x14ac:dyDescent="0.2">
      <c r="B186">
        <v>1</v>
      </c>
      <c r="C186">
        <v>549</v>
      </c>
      <c r="D186">
        <v>1</v>
      </c>
      <c r="E186" t="s">
        <v>237</v>
      </c>
      <c r="F186" s="3">
        <v>26.3</v>
      </c>
      <c r="G186" s="3">
        <v>26.3</v>
      </c>
      <c r="H186" s="3">
        <v>26.3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2:26" x14ac:dyDescent="0.2">
      <c r="B187">
        <v>1</v>
      </c>
      <c r="C187">
        <v>550</v>
      </c>
      <c r="D187">
        <v>1</v>
      </c>
      <c r="E187" t="s">
        <v>238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2:26" x14ac:dyDescent="0.2">
      <c r="B188">
        <v>1</v>
      </c>
      <c r="C188">
        <v>553</v>
      </c>
      <c r="D188">
        <v>1</v>
      </c>
      <c r="E188" t="s">
        <v>239</v>
      </c>
      <c r="F188" s="3">
        <v>200.29</v>
      </c>
      <c r="G188" s="3">
        <v>200.29</v>
      </c>
      <c r="H188" s="3">
        <v>200.29</v>
      </c>
      <c r="I188" s="3">
        <v>200.29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2:26" x14ac:dyDescent="0.2">
      <c r="B189">
        <v>1</v>
      </c>
      <c r="C189">
        <v>561</v>
      </c>
      <c r="D189">
        <v>1</v>
      </c>
      <c r="E189" t="s">
        <v>240</v>
      </c>
      <c r="F189" s="3">
        <v>1750</v>
      </c>
      <c r="G189" s="3">
        <v>1750</v>
      </c>
      <c r="H189" s="3">
        <v>1750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2:26" x14ac:dyDescent="0.2">
      <c r="B190">
        <v>1</v>
      </c>
      <c r="C190">
        <v>564</v>
      </c>
      <c r="D190">
        <v>1</v>
      </c>
      <c r="E190" t="s">
        <v>241</v>
      </c>
      <c r="F190" s="3">
        <v>749.2</v>
      </c>
      <c r="G190" s="3">
        <v>749.2</v>
      </c>
      <c r="H190" s="3">
        <v>749.2</v>
      </c>
      <c r="I190" s="3">
        <v>749.2</v>
      </c>
      <c r="J190" s="3">
        <v>621.96</v>
      </c>
      <c r="K190" s="3">
        <v>621.96</v>
      </c>
      <c r="L190" s="3">
        <v>621.96</v>
      </c>
      <c r="M190" s="3">
        <v>0</v>
      </c>
      <c r="N190" s="3">
        <v>0</v>
      </c>
      <c r="O190" s="3">
        <v>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2:26" x14ac:dyDescent="0.2">
      <c r="B191">
        <v>1</v>
      </c>
      <c r="C191">
        <v>577</v>
      </c>
      <c r="D191">
        <v>1</v>
      </c>
      <c r="E191" t="s">
        <v>242</v>
      </c>
      <c r="F191" s="3">
        <v>126.32</v>
      </c>
      <c r="G191" s="3">
        <v>126.32</v>
      </c>
      <c r="H191" s="3">
        <v>126.32</v>
      </c>
      <c r="I191" s="3">
        <v>126.32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2:26" x14ac:dyDescent="0.2">
      <c r="B192">
        <v>1</v>
      </c>
      <c r="C192">
        <v>578</v>
      </c>
      <c r="D192">
        <v>1</v>
      </c>
      <c r="E192" t="s">
        <v>243</v>
      </c>
      <c r="F192" s="3">
        <v>838.64</v>
      </c>
      <c r="G192" s="3">
        <v>838.64</v>
      </c>
      <c r="H192" s="3">
        <v>838.64</v>
      </c>
      <c r="I192" s="3">
        <v>826.56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2:26" x14ac:dyDescent="0.2">
      <c r="B193">
        <v>1</v>
      </c>
      <c r="C193">
        <v>581</v>
      </c>
      <c r="D193">
        <v>1</v>
      </c>
      <c r="E193" t="s">
        <v>244</v>
      </c>
      <c r="F193" s="3">
        <v>613.54</v>
      </c>
      <c r="G193" s="3">
        <v>613.54</v>
      </c>
      <c r="H193" s="3">
        <v>613.54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2:26" x14ac:dyDescent="0.2">
      <c r="B194">
        <v>1</v>
      </c>
      <c r="C194">
        <v>592</v>
      </c>
      <c r="D194">
        <v>1</v>
      </c>
      <c r="E194" t="s">
        <v>246</v>
      </c>
      <c r="F194" s="3">
        <v>1931.73</v>
      </c>
      <c r="G194" s="3">
        <v>1931.73</v>
      </c>
      <c r="H194" s="3">
        <v>1931.73</v>
      </c>
      <c r="I194" s="3">
        <v>1931.73</v>
      </c>
      <c r="J194" s="3">
        <v>1931.73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2:26" x14ac:dyDescent="0.2">
      <c r="B195">
        <v>1</v>
      </c>
      <c r="C195">
        <v>593</v>
      </c>
      <c r="D195">
        <v>1</v>
      </c>
      <c r="E195" t="s">
        <v>247</v>
      </c>
      <c r="F195" s="3">
        <v>601.44000000000005</v>
      </c>
      <c r="G195" s="3">
        <v>601.44000000000005</v>
      </c>
      <c r="H195" s="3">
        <v>601.44000000000005</v>
      </c>
      <c r="I195" s="3">
        <v>601.44000000000005</v>
      </c>
      <c r="J195" s="3">
        <v>250</v>
      </c>
      <c r="K195" s="3">
        <v>250</v>
      </c>
      <c r="L195" s="3">
        <v>250</v>
      </c>
      <c r="M195" s="3">
        <v>0</v>
      </c>
      <c r="N195" s="3">
        <v>0</v>
      </c>
      <c r="O195" s="3">
        <v>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2:26" x14ac:dyDescent="0.2">
      <c r="B196">
        <v>1</v>
      </c>
      <c r="C196">
        <v>595</v>
      </c>
      <c r="D196">
        <v>1</v>
      </c>
      <c r="E196" t="s">
        <v>248</v>
      </c>
      <c r="F196" s="3">
        <v>126.17</v>
      </c>
      <c r="G196" s="3">
        <v>126.17</v>
      </c>
      <c r="H196" s="3">
        <v>126.17</v>
      </c>
      <c r="I196" s="3">
        <v>126.17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2:26" x14ac:dyDescent="0.2">
      <c r="B197">
        <v>1</v>
      </c>
      <c r="C197">
        <v>599</v>
      </c>
      <c r="D197">
        <v>1</v>
      </c>
      <c r="E197" t="s">
        <v>249</v>
      </c>
      <c r="F197" s="3">
        <v>1201.24</v>
      </c>
      <c r="G197" s="3">
        <v>1201.24</v>
      </c>
      <c r="H197" s="3">
        <v>1201.24</v>
      </c>
      <c r="I197" s="3">
        <v>1200</v>
      </c>
      <c r="J197" s="3">
        <v>1200</v>
      </c>
      <c r="K197" s="3">
        <v>1200</v>
      </c>
      <c r="L197" s="3">
        <v>0</v>
      </c>
      <c r="M197" s="3">
        <v>0</v>
      </c>
      <c r="N197" s="3">
        <v>0</v>
      </c>
      <c r="O197" s="3">
        <v>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2:26" x14ac:dyDescent="0.2">
      <c r="B198">
        <v>1</v>
      </c>
      <c r="C198">
        <v>600</v>
      </c>
      <c r="D198">
        <v>1</v>
      </c>
      <c r="E198" t="s">
        <v>250</v>
      </c>
      <c r="F198" s="3">
        <v>900</v>
      </c>
      <c r="G198" s="3">
        <v>900</v>
      </c>
      <c r="H198" s="3">
        <v>900</v>
      </c>
      <c r="I198" s="3">
        <v>900</v>
      </c>
      <c r="J198" s="3">
        <v>900</v>
      </c>
      <c r="K198" s="3">
        <v>900</v>
      </c>
      <c r="L198" s="3">
        <v>900</v>
      </c>
      <c r="M198" s="3">
        <v>900</v>
      </c>
      <c r="N198" s="3">
        <v>0</v>
      </c>
      <c r="O198" s="3">
        <v>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2:26" x14ac:dyDescent="0.2">
      <c r="B199">
        <v>1</v>
      </c>
      <c r="C199">
        <v>601</v>
      </c>
      <c r="D199">
        <v>1</v>
      </c>
      <c r="E199" t="s">
        <v>251</v>
      </c>
      <c r="F199" s="3">
        <v>826.06</v>
      </c>
      <c r="G199" s="3">
        <v>826.06</v>
      </c>
      <c r="H199" s="3">
        <v>826.06</v>
      </c>
      <c r="I199" s="3">
        <v>826.06</v>
      </c>
      <c r="J199" s="3">
        <v>700</v>
      </c>
      <c r="K199" s="3">
        <v>700</v>
      </c>
      <c r="L199" s="3">
        <v>700</v>
      </c>
      <c r="M199" s="3">
        <v>700</v>
      </c>
      <c r="N199" s="3">
        <v>0</v>
      </c>
      <c r="O199" s="3">
        <v>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2:26" x14ac:dyDescent="0.2">
      <c r="B200">
        <v>1</v>
      </c>
      <c r="C200">
        <v>611</v>
      </c>
      <c r="D200">
        <v>1</v>
      </c>
      <c r="E200" t="s">
        <v>252</v>
      </c>
      <c r="F200" s="3">
        <v>1112.08</v>
      </c>
      <c r="G200" s="3">
        <v>1112.08</v>
      </c>
      <c r="H200" s="3">
        <v>696.62</v>
      </c>
      <c r="I200" s="3">
        <v>446.62</v>
      </c>
      <c r="J200" s="3">
        <v>446.62</v>
      </c>
      <c r="K200" s="3">
        <v>446.62</v>
      </c>
      <c r="L200" s="3">
        <v>446.62</v>
      </c>
      <c r="M200" s="3">
        <v>446.62</v>
      </c>
      <c r="N200" s="3">
        <v>0</v>
      </c>
      <c r="O200" s="3">
        <v>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2:26" x14ac:dyDescent="0.2">
      <c r="B201">
        <v>1</v>
      </c>
      <c r="C201">
        <v>621</v>
      </c>
      <c r="D201">
        <v>1</v>
      </c>
      <c r="E201" t="s">
        <v>253</v>
      </c>
      <c r="F201" s="3">
        <v>1522.54</v>
      </c>
      <c r="G201" s="3">
        <v>1522.54</v>
      </c>
      <c r="H201" s="3">
        <v>1522.54</v>
      </c>
      <c r="I201" s="3">
        <v>1522.54</v>
      </c>
      <c r="J201" s="3">
        <v>990</v>
      </c>
      <c r="K201" s="3">
        <v>990</v>
      </c>
      <c r="L201" s="3">
        <v>990</v>
      </c>
      <c r="M201" s="3">
        <v>0</v>
      </c>
      <c r="N201" s="3">
        <v>0</v>
      </c>
      <c r="O201" s="3">
        <v>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2:26" x14ac:dyDescent="0.2">
      <c r="B202">
        <v>1</v>
      </c>
      <c r="C202">
        <v>622</v>
      </c>
      <c r="D202">
        <v>1</v>
      </c>
      <c r="E202" t="s">
        <v>254</v>
      </c>
      <c r="F202" s="3">
        <v>833.02</v>
      </c>
      <c r="G202" s="3">
        <v>833.02</v>
      </c>
      <c r="H202" s="3">
        <v>833.02</v>
      </c>
      <c r="I202" s="3">
        <v>833.02</v>
      </c>
      <c r="J202" s="3">
        <v>833.02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2:26" x14ac:dyDescent="0.2">
      <c r="B203">
        <v>1</v>
      </c>
      <c r="C203">
        <v>623</v>
      </c>
      <c r="D203">
        <v>1</v>
      </c>
      <c r="E203" t="s">
        <v>255</v>
      </c>
      <c r="F203" s="3">
        <v>1575</v>
      </c>
      <c r="G203" s="3">
        <v>1575</v>
      </c>
      <c r="H203" s="3">
        <v>1575</v>
      </c>
      <c r="I203" s="3">
        <v>1575</v>
      </c>
      <c r="J203" s="3">
        <v>1575</v>
      </c>
      <c r="K203" s="3">
        <v>1575</v>
      </c>
      <c r="L203" s="3">
        <v>0</v>
      </c>
      <c r="M203" s="3">
        <v>0</v>
      </c>
      <c r="N203" s="3">
        <v>0</v>
      </c>
      <c r="O203" s="3">
        <v>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2:26" x14ac:dyDescent="0.2">
      <c r="B204">
        <v>1</v>
      </c>
      <c r="C204">
        <v>624</v>
      </c>
      <c r="D204">
        <v>1</v>
      </c>
      <c r="E204" t="s">
        <v>256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2:26" x14ac:dyDescent="0.2">
      <c r="B205">
        <v>1</v>
      </c>
      <c r="C205">
        <v>625</v>
      </c>
      <c r="D205">
        <v>1</v>
      </c>
      <c r="E205" t="s">
        <v>257</v>
      </c>
      <c r="F205" s="3">
        <v>593</v>
      </c>
      <c r="G205" s="3">
        <v>593</v>
      </c>
      <c r="H205" s="3">
        <v>593</v>
      </c>
      <c r="I205" s="3">
        <v>593</v>
      </c>
      <c r="J205" s="3">
        <v>593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2:26" x14ac:dyDescent="0.2">
      <c r="B206">
        <v>1</v>
      </c>
      <c r="C206">
        <v>627</v>
      </c>
      <c r="D206">
        <v>1</v>
      </c>
      <c r="E206" t="s">
        <v>258</v>
      </c>
      <c r="F206" s="3">
        <v>1000</v>
      </c>
      <c r="G206" s="3">
        <v>1000</v>
      </c>
      <c r="H206" s="3">
        <v>1000</v>
      </c>
      <c r="I206" s="3">
        <v>1000</v>
      </c>
      <c r="J206" s="3">
        <v>1000</v>
      </c>
      <c r="K206" s="3">
        <v>1000</v>
      </c>
      <c r="L206" s="3">
        <v>1000</v>
      </c>
      <c r="M206" s="3">
        <v>1000</v>
      </c>
      <c r="N206" s="3">
        <v>0</v>
      </c>
      <c r="O206" s="3">
        <v>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2:26" x14ac:dyDescent="0.2">
      <c r="B207">
        <v>1</v>
      </c>
      <c r="C207">
        <v>628</v>
      </c>
      <c r="D207">
        <v>1</v>
      </c>
      <c r="E207" t="s">
        <v>259</v>
      </c>
      <c r="F207" s="3">
        <v>1293.24</v>
      </c>
      <c r="G207" s="3">
        <v>1293.24</v>
      </c>
      <c r="H207" s="3">
        <v>1293.24</v>
      </c>
      <c r="I207" s="3">
        <v>1293.24</v>
      </c>
      <c r="J207" s="3">
        <v>1293.24</v>
      </c>
      <c r="K207" s="3">
        <v>1293.24</v>
      </c>
      <c r="L207" s="3">
        <v>1293.24</v>
      </c>
      <c r="M207" s="3">
        <v>1293.24</v>
      </c>
      <c r="N207" s="3">
        <v>0</v>
      </c>
      <c r="O207" s="3">
        <v>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2:26" x14ac:dyDescent="0.2">
      <c r="B208">
        <v>1</v>
      </c>
      <c r="C208">
        <v>630</v>
      </c>
      <c r="D208">
        <v>1</v>
      </c>
      <c r="E208" t="s">
        <v>260</v>
      </c>
      <c r="F208" s="3">
        <v>1000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2:26" x14ac:dyDescent="0.2">
      <c r="B209">
        <v>1</v>
      </c>
      <c r="C209">
        <v>635</v>
      </c>
      <c r="D209">
        <v>1</v>
      </c>
      <c r="E209" t="s">
        <v>261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2:26" x14ac:dyDescent="0.2">
      <c r="B210">
        <v>1</v>
      </c>
      <c r="C210">
        <v>640</v>
      </c>
      <c r="D210">
        <v>1</v>
      </c>
      <c r="E210" t="s">
        <v>262</v>
      </c>
      <c r="F210" s="3">
        <v>500</v>
      </c>
      <c r="G210" s="3">
        <v>500</v>
      </c>
      <c r="H210" s="3">
        <v>500</v>
      </c>
      <c r="I210" s="3">
        <v>500</v>
      </c>
      <c r="J210" s="3">
        <v>500</v>
      </c>
      <c r="K210" s="3">
        <v>500</v>
      </c>
      <c r="L210" s="3">
        <v>0</v>
      </c>
      <c r="M210" s="3">
        <v>0</v>
      </c>
      <c r="N210" s="3">
        <v>0</v>
      </c>
      <c r="O210" s="3">
        <v>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2:26" x14ac:dyDescent="0.2">
      <c r="B211">
        <v>1</v>
      </c>
      <c r="C211">
        <v>656</v>
      </c>
      <c r="D211">
        <v>1</v>
      </c>
      <c r="E211" t="s">
        <v>263</v>
      </c>
      <c r="F211" s="3">
        <v>385</v>
      </c>
      <c r="G211" s="3">
        <v>385</v>
      </c>
      <c r="H211" s="3">
        <v>385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2:26" x14ac:dyDescent="0.2">
      <c r="B212">
        <v>1</v>
      </c>
      <c r="C212">
        <v>659</v>
      </c>
      <c r="D212">
        <v>1</v>
      </c>
      <c r="E212" t="s">
        <v>264</v>
      </c>
      <c r="F212" s="3">
        <v>1180</v>
      </c>
      <c r="G212" s="3">
        <v>1180</v>
      </c>
      <c r="H212" s="3">
        <v>1180</v>
      </c>
      <c r="I212" s="3">
        <v>1180</v>
      </c>
      <c r="J212" s="3">
        <v>1180</v>
      </c>
      <c r="K212" s="3">
        <v>1180</v>
      </c>
      <c r="L212" s="3">
        <v>0</v>
      </c>
      <c r="M212" s="3">
        <v>0</v>
      </c>
      <c r="N212" s="3">
        <v>0</v>
      </c>
      <c r="O212" s="3">
        <v>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2:26" x14ac:dyDescent="0.2">
      <c r="B213">
        <v>1</v>
      </c>
      <c r="C213">
        <v>671</v>
      </c>
      <c r="D213">
        <v>1</v>
      </c>
      <c r="E213" t="s">
        <v>265</v>
      </c>
      <c r="F213" s="3">
        <v>855.79</v>
      </c>
      <c r="G213" s="3">
        <v>855.79</v>
      </c>
      <c r="H213" s="3">
        <v>855.79</v>
      </c>
      <c r="I213" s="3">
        <v>855.79</v>
      </c>
      <c r="J213" s="3">
        <v>855.79</v>
      </c>
      <c r="K213" s="3">
        <v>855.79</v>
      </c>
      <c r="L213" s="3">
        <v>855.79</v>
      </c>
      <c r="M213" s="3">
        <v>0</v>
      </c>
      <c r="N213" s="3">
        <v>0</v>
      </c>
      <c r="O213" s="3">
        <v>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2:26" x14ac:dyDescent="0.2">
      <c r="B214">
        <v>1</v>
      </c>
      <c r="C214">
        <v>676</v>
      </c>
      <c r="D214">
        <v>1</v>
      </c>
      <c r="E214" t="s">
        <v>266</v>
      </c>
      <c r="F214" s="3">
        <v>1500</v>
      </c>
      <c r="G214" s="3">
        <v>1500</v>
      </c>
      <c r="H214" s="3">
        <v>1500</v>
      </c>
      <c r="I214" s="3">
        <v>1500</v>
      </c>
      <c r="J214" s="3">
        <v>1500</v>
      </c>
      <c r="K214" s="3">
        <v>1500</v>
      </c>
      <c r="L214" s="3">
        <v>0</v>
      </c>
      <c r="M214" s="3">
        <v>0</v>
      </c>
      <c r="N214" s="3">
        <v>0</v>
      </c>
      <c r="O214" s="3">
        <v>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2:26" x14ac:dyDescent="0.2">
      <c r="B215">
        <v>1</v>
      </c>
      <c r="C215">
        <v>682</v>
      </c>
      <c r="D215">
        <v>1</v>
      </c>
      <c r="E215" t="s">
        <v>267</v>
      </c>
      <c r="F215" s="3">
        <v>500</v>
      </c>
      <c r="G215" s="3">
        <v>500</v>
      </c>
      <c r="H215" s="3">
        <v>500</v>
      </c>
      <c r="I215" s="3">
        <v>500</v>
      </c>
      <c r="J215" s="3">
        <v>373.96</v>
      </c>
      <c r="K215" s="3">
        <v>373.96</v>
      </c>
      <c r="L215" s="3">
        <v>373.96</v>
      </c>
      <c r="M215" s="3">
        <v>373.96</v>
      </c>
      <c r="N215" s="3">
        <v>0</v>
      </c>
      <c r="O215" s="3">
        <v>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2:26" x14ac:dyDescent="0.2">
      <c r="B216">
        <v>1</v>
      </c>
      <c r="C216">
        <v>690</v>
      </c>
      <c r="D216">
        <v>1</v>
      </c>
      <c r="E216" t="s">
        <v>268</v>
      </c>
      <c r="F216" s="3">
        <v>600.01</v>
      </c>
      <c r="G216" s="3">
        <v>600.01</v>
      </c>
      <c r="H216" s="3">
        <v>600.01</v>
      </c>
      <c r="I216" s="3">
        <v>600.01</v>
      </c>
      <c r="J216" s="3">
        <v>473.26</v>
      </c>
      <c r="K216" s="3">
        <v>473.26</v>
      </c>
      <c r="L216" s="3">
        <v>473.26</v>
      </c>
      <c r="M216" s="3">
        <v>473.26</v>
      </c>
      <c r="N216" s="3">
        <v>0</v>
      </c>
      <c r="O216" s="3">
        <v>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2:26" x14ac:dyDescent="0.2">
      <c r="B217">
        <v>1</v>
      </c>
      <c r="C217">
        <v>695</v>
      </c>
      <c r="D217">
        <v>1</v>
      </c>
      <c r="E217" t="s">
        <v>269</v>
      </c>
      <c r="F217" s="3">
        <v>873.36</v>
      </c>
      <c r="G217" s="3">
        <v>873.36</v>
      </c>
      <c r="H217" s="3">
        <v>873.36</v>
      </c>
      <c r="I217" s="3">
        <v>873.36</v>
      </c>
      <c r="J217" s="3">
        <v>873.36</v>
      </c>
      <c r="K217" s="3">
        <v>873.36</v>
      </c>
      <c r="L217" s="3">
        <v>0</v>
      </c>
      <c r="M217" s="3">
        <v>0</v>
      </c>
      <c r="N217" s="3">
        <v>0</v>
      </c>
      <c r="O217" s="3">
        <v>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2:26" x14ac:dyDescent="0.2">
      <c r="B218">
        <v>1</v>
      </c>
      <c r="C218">
        <v>696</v>
      </c>
      <c r="D218">
        <v>1</v>
      </c>
      <c r="E218" t="s">
        <v>270</v>
      </c>
      <c r="F218" s="3">
        <v>1102.27</v>
      </c>
      <c r="G218" s="3">
        <v>1102.27</v>
      </c>
      <c r="H218" s="3">
        <v>1102.27</v>
      </c>
      <c r="I218" s="3">
        <v>900</v>
      </c>
      <c r="J218" s="3">
        <v>900</v>
      </c>
      <c r="K218" s="3">
        <v>900</v>
      </c>
      <c r="L218" s="3">
        <v>900</v>
      </c>
      <c r="M218" s="3">
        <v>900</v>
      </c>
      <c r="N218" s="3">
        <v>900</v>
      </c>
      <c r="O218" s="3">
        <v>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2:26" x14ac:dyDescent="0.2">
      <c r="B219">
        <v>1</v>
      </c>
      <c r="C219">
        <v>698</v>
      </c>
      <c r="D219">
        <v>1</v>
      </c>
      <c r="E219" t="s">
        <v>271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2:26" x14ac:dyDescent="0.2">
      <c r="B220">
        <v>1</v>
      </c>
      <c r="C220">
        <v>700</v>
      </c>
      <c r="D220">
        <v>1</v>
      </c>
      <c r="E220" t="s">
        <v>272</v>
      </c>
      <c r="F220" s="3">
        <v>1</v>
      </c>
      <c r="G220" s="3">
        <v>1</v>
      </c>
      <c r="H220" s="3">
        <v>1</v>
      </c>
      <c r="I220" s="3">
        <v>1</v>
      </c>
      <c r="J220" s="3">
        <v>1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2:26" x14ac:dyDescent="0.2">
      <c r="B221">
        <v>1</v>
      </c>
      <c r="C221">
        <v>701</v>
      </c>
      <c r="D221">
        <v>1</v>
      </c>
      <c r="E221" t="s">
        <v>273</v>
      </c>
      <c r="F221" s="3">
        <v>593.87</v>
      </c>
      <c r="G221" s="3">
        <v>550</v>
      </c>
      <c r="H221" s="3">
        <v>550</v>
      </c>
      <c r="I221" s="3">
        <v>550</v>
      </c>
      <c r="J221" s="3">
        <v>550</v>
      </c>
      <c r="K221" s="3">
        <v>550</v>
      </c>
      <c r="L221" s="3">
        <v>0</v>
      </c>
      <c r="M221" s="3">
        <v>0</v>
      </c>
      <c r="N221" s="3">
        <v>0</v>
      </c>
      <c r="O221" s="3">
        <v>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2:26" x14ac:dyDescent="0.2">
      <c r="B222">
        <v>1</v>
      </c>
      <c r="C222">
        <v>704</v>
      </c>
      <c r="D222">
        <v>1</v>
      </c>
      <c r="E222" t="s">
        <v>274</v>
      </c>
      <c r="F222" s="3">
        <v>1</v>
      </c>
      <c r="G222" s="3">
        <v>1</v>
      </c>
      <c r="H222" s="3">
        <v>1</v>
      </c>
      <c r="I222" s="3">
        <v>1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2:26" x14ac:dyDescent="0.2">
      <c r="B223">
        <v>1</v>
      </c>
      <c r="C223">
        <v>706</v>
      </c>
      <c r="D223">
        <v>1</v>
      </c>
      <c r="E223" t="s">
        <v>275</v>
      </c>
      <c r="F223" s="3">
        <v>859.92</v>
      </c>
      <c r="G223" s="3">
        <v>800</v>
      </c>
      <c r="H223" s="3">
        <v>800</v>
      </c>
      <c r="I223" s="3">
        <v>800</v>
      </c>
      <c r="J223" s="3">
        <v>800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2:26" x14ac:dyDescent="0.2">
      <c r="B224">
        <v>1</v>
      </c>
      <c r="C224">
        <v>707</v>
      </c>
      <c r="D224">
        <v>1</v>
      </c>
      <c r="E224" t="s">
        <v>276</v>
      </c>
      <c r="F224" s="3">
        <v>848.81</v>
      </c>
      <c r="G224" s="3">
        <v>636.92999999999995</v>
      </c>
      <c r="H224" s="3">
        <v>571.92999999999995</v>
      </c>
      <c r="I224" s="3">
        <v>571.92999999999995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2:26" x14ac:dyDescent="0.2">
      <c r="B225">
        <v>1</v>
      </c>
      <c r="C225">
        <v>709</v>
      </c>
      <c r="D225">
        <v>1</v>
      </c>
      <c r="E225" t="s">
        <v>277</v>
      </c>
      <c r="F225" s="3">
        <v>404.92</v>
      </c>
      <c r="G225" s="3">
        <v>39.32</v>
      </c>
      <c r="H225" s="3">
        <v>39.32</v>
      </c>
      <c r="I225" s="3">
        <v>39.32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2:26" x14ac:dyDescent="0.2">
      <c r="B226">
        <v>1</v>
      </c>
      <c r="C226">
        <v>712</v>
      </c>
      <c r="D226">
        <v>1</v>
      </c>
      <c r="E226" t="s">
        <v>278</v>
      </c>
      <c r="F226" s="3">
        <v>562.95000000000005</v>
      </c>
      <c r="G226" s="3">
        <v>562.95000000000005</v>
      </c>
      <c r="H226" s="3">
        <v>562.95000000000005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2:26" x14ac:dyDescent="0.2">
      <c r="B227">
        <v>1</v>
      </c>
      <c r="C227">
        <v>716</v>
      </c>
      <c r="D227">
        <v>1</v>
      </c>
      <c r="E227" t="s">
        <v>279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2:26" x14ac:dyDescent="0.2">
      <c r="B228">
        <v>1</v>
      </c>
      <c r="C228">
        <v>717</v>
      </c>
      <c r="D228">
        <v>1</v>
      </c>
      <c r="E228" t="s">
        <v>280</v>
      </c>
      <c r="F228" s="3">
        <v>1.01</v>
      </c>
      <c r="G228" s="3">
        <v>1.01</v>
      </c>
      <c r="H228" s="3">
        <v>1.01</v>
      </c>
      <c r="I228" s="3">
        <v>1.01</v>
      </c>
      <c r="J228" s="3">
        <v>1.01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2:26" x14ac:dyDescent="0.2">
      <c r="B229">
        <v>1</v>
      </c>
      <c r="C229">
        <v>719</v>
      </c>
      <c r="D229">
        <v>1</v>
      </c>
      <c r="E229" t="s">
        <v>281</v>
      </c>
      <c r="F229" s="3">
        <v>841.22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2:26" x14ac:dyDescent="0.2">
      <c r="B230">
        <v>1</v>
      </c>
      <c r="C230">
        <v>720</v>
      </c>
      <c r="D230">
        <v>1</v>
      </c>
      <c r="E230" t="s">
        <v>282</v>
      </c>
      <c r="F230" s="3">
        <v>545.33000000000004</v>
      </c>
      <c r="G230" s="3">
        <v>545.33000000000004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2:26" x14ac:dyDescent="0.2">
      <c r="B231">
        <v>1</v>
      </c>
      <c r="C231">
        <v>721</v>
      </c>
      <c r="D231">
        <v>1</v>
      </c>
      <c r="E231" t="s">
        <v>283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2:26" x14ac:dyDescent="0.2">
      <c r="B232">
        <v>1</v>
      </c>
      <c r="C232">
        <v>726</v>
      </c>
      <c r="D232">
        <v>1</v>
      </c>
      <c r="E232" t="s">
        <v>284</v>
      </c>
      <c r="F232" s="3">
        <v>731.28</v>
      </c>
      <c r="G232" s="3">
        <v>731.28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2:26" x14ac:dyDescent="0.2">
      <c r="B233">
        <v>1</v>
      </c>
      <c r="C233">
        <v>727</v>
      </c>
      <c r="D233">
        <v>1</v>
      </c>
      <c r="E233" t="s">
        <v>285</v>
      </c>
      <c r="F233" s="3">
        <v>7.21</v>
      </c>
      <c r="G233" s="3">
        <v>7.21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2:26" x14ac:dyDescent="0.2">
      <c r="B234">
        <v>1</v>
      </c>
      <c r="C234">
        <v>728</v>
      </c>
      <c r="D234">
        <v>1</v>
      </c>
      <c r="E234" t="s">
        <v>286</v>
      </c>
      <c r="F234" s="3">
        <v>697.81</v>
      </c>
      <c r="G234" s="3">
        <v>581.91</v>
      </c>
      <c r="H234" s="3">
        <v>581.91</v>
      </c>
      <c r="I234" s="3">
        <v>386</v>
      </c>
      <c r="J234" s="3">
        <v>386</v>
      </c>
      <c r="K234" s="3">
        <v>386</v>
      </c>
      <c r="L234" s="3">
        <v>0</v>
      </c>
      <c r="M234" s="3">
        <v>0</v>
      </c>
      <c r="N234" s="3">
        <v>0</v>
      </c>
      <c r="O234" s="3">
        <v>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2:26" x14ac:dyDescent="0.2">
      <c r="B235">
        <v>1</v>
      </c>
      <c r="C235">
        <v>738</v>
      </c>
      <c r="D235">
        <v>1</v>
      </c>
      <c r="E235" t="s">
        <v>287</v>
      </c>
      <c r="F235" s="3">
        <v>500</v>
      </c>
      <c r="G235" s="3">
        <v>500</v>
      </c>
      <c r="H235" s="3">
        <v>500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2:26" x14ac:dyDescent="0.2">
      <c r="B236">
        <v>1</v>
      </c>
      <c r="C236">
        <v>739</v>
      </c>
      <c r="D236">
        <v>1</v>
      </c>
      <c r="E236" t="s">
        <v>288</v>
      </c>
      <c r="F236" s="3">
        <v>275</v>
      </c>
      <c r="G236" s="3">
        <v>275</v>
      </c>
      <c r="H236" s="3">
        <v>275</v>
      </c>
      <c r="I236" s="3">
        <v>275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2:26" x14ac:dyDescent="0.2">
      <c r="B237">
        <v>1</v>
      </c>
      <c r="C237">
        <v>740</v>
      </c>
      <c r="D237">
        <v>1</v>
      </c>
      <c r="E237" t="s">
        <v>289</v>
      </c>
      <c r="F237" s="3">
        <v>700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2:26" x14ac:dyDescent="0.2">
      <c r="B238">
        <v>1</v>
      </c>
      <c r="C238">
        <v>741</v>
      </c>
      <c r="D238">
        <v>1</v>
      </c>
      <c r="E238" t="s">
        <v>290</v>
      </c>
      <c r="F238" s="3">
        <v>415.6</v>
      </c>
      <c r="G238" s="3">
        <v>415.6</v>
      </c>
      <c r="H238" s="3">
        <v>415.6</v>
      </c>
      <c r="I238" s="3">
        <v>415.6</v>
      </c>
      <c r="J238" s="3">
        <v>415.6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2:26" x14ac:dyDescent="0.2">
      <c r="B239">
        <v>1</v>
      </c>
      <c r="C239">
        <v>742</v>
      </c>
      <c r="D239">
        <v>1</v>
      </c>
      <c r="E239" t="s">
        <v>291</v>
      </c>
      <c r="F239" s="3">
        <v>97.23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2:26" x14ac:dyDescent="0.2">
      <c r="B240">
        <v>1</v>
      </c>
      <c r="C240">
        <v>743</v>
      </c>
      <c r="D240">
        <v>1</v>
      </c>
      <c r="E240" t="s">
        <v>292</v>
      </c>
      <c r="F240" s="3">
        <v>650</v>
      </c>
      <c r="G240" s="3">
        <v>650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2:26" x14ac:dyDescent="0.2">
      <c r="B241">
        <v>1</v>
      </c>
      <c r="C241">
        <v>745</v>
      </c>
      <c r="D241">
        <v>1</v>
      </c>
      <c r="E241" t="s">
        <v>293</v>
      </c>
      <c r="F241" s="3">
        <v>405</v>
      </c>
      <c r="G241" s="3">
        <v>405</v>
      </c>
      <c r="H241" s="3">
        <v>405</v>
      </c>
      <c r="I241" s="3">
        <v>405</v>
      </c>
      <c r="J241" s="3">
        <v>405</v>
      </c>
      <c r="K241" s="3">
        <v>405</v>
      </c>
      <c r="L241" s="3">
        <v>0</v>
      </c>
      <c r="M241" s="3">
        <v>0</v>
      </c>
      <c r="N241" s="3">
        <v>0</v>
      </c>
      <c r="O241" s="3">
        <v>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2:26" x14ac:dyDescent="0.2">
      <c r="B242">
        <v>1</v>
      </c>
      <c r="C242">
        <v>748</v>
      </c>
      <c r="D242">
        <v>1</v>
      </c>
      <c r="E242" t="s">
        <v>294</v>
      </c>
      <c r="F242" s="3">
        <v>301.63</v>
      </c>
      <c r="G242" s="3">
        <v>301.63</v>
      </c>
      <c r="H242" s="3">
        <v>301.63</v>
      </c>
      <c r="I242" s="3">
        <v>301.63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2:26" x14ac:dyDescent="0.2">
      <c r="B243">
        <v>1</v>
      </c>
      <c r="C243">
        <v>750</v>
      </c>
      <c r="D243">
        <v>1</v>
      </c>
      <c r="E243" t="s">
        <v>295</v>
      </c>
      <c r="F243" s="3">
        <v>128.63</v>
      </c>
      <c r="G243" s="3">
        <v>128.63</v>
      </c>
      <c r="H243" s="3">
        <v>128.63</v>
      </c>
      <c r="I243" s="3">
        <v>128.63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2:26" x14ac:dyDescent="0.2">
      <c r="B244">
        <v>1</v>
      </c>
      <c r="C244">
        <v>756</v>
      </c>
      <c r="D244">
        <v>1</v>
      </c>
      <c r="E244" t="s">
        <v>296</v>
      </c>
      <c r="F244" s="3">
        <v>350.45</v>
      </c>
      <c r="G244" s="3">
        <v>350.45</v>
      </c>
      <c r="H244" s="3">
        <v>350.45</v>
      </c>
      <c r="I244" s="3">
        <v>350.45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2:26" x14ac:dyDescent="0.2">
      <c r="B245">
        <v>1</v>
      </c>
      <c r="C245">
        <v>761</v>
      </c>
      <c r="D245">
        <v>1</v>
      </c>
      <c r="E245" t="s">
        <v>297</v>
      </c>
      <c r="F245" s="3">
        <v>691.04</v>
      </c>
      <c r="G245" s="3">
        <v>691.04</v>
      </c>
      <c r="H245" s="3">
        <v>691.04</v>
      </c>
      <c r="I245" s="3">
        <v>691.04</v>
      </c>
      <c r="J245" s="3">
        <v>691.04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2:26" x14ac:dyDescent="0.2">
      <c r="B246">
        <v>1</v>
      </c>
      <c r="C246">
        <v>763</v>
      </c>
      <c r="D246">
        <v>1</v>
      </c>
      <c r="E246" t="s">
        <v>298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2:26" x14ac:dyDescent="0.2">
      <c r="B247">
        <v>1</v>
      </c>
      <c r="C247">
        <v>768</v>
      </c>
      <c r="D247">
        <v>1</v>
      </c>
      <c r="E247" t="s">
        <v>299</v>
      </c>
      <c r="F247" s="3">
        <v>800.35</v>
      </c>
      <c r="G247" s="3">
        <v>800.35</v>
      </c>
      <c r="H247" s="3">
        <v>800.35</v>
      </c>
      <c r="I247" s="3">
        <v>800.35</v>
      </c>
      <c r="J247" s="3">
        <v>800.35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2:26" x14ac:dyDescent="0.2">
      <c r="B248">
        <v>1</v>
      </c>
      <c r="C248">
        <v>769</v>
      </c>
      <c r="D248">
        <v>1</v>
      </c>
      <c r="E248" t="s">
        <v>300</v>
      </c>
      <c r="F248" s="3">
        <v>686.82</v>
      </c>
      <c r="G248" s="3">
        <v>686.82</v>
      </c>
      <c r="H248" s="3">
        <v>686.82</v>
      </c>
      <c r="I248" s="3">
        <v>385</v>
      </c>
      <c r="J248" s="3">
        <v>385</v>
      </c>
      <c r="K248" s="3">
        <v>385</v>
      </c>
      <c r="L248" s="3">
        <v>385</v>
      </c>
      <c r="M248" s="3">
        <v>385</v>
      </c>
      <c r="N248" s="3">
        <v>0</v>
      </c>
      <c r="O248" s="3">
        <v>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2:26" x14ac:dyDescent="0.2">
      <c r="B249">
        <v>1</v>
      </c>
      <c r="C249">
        <v>771</v>
      </c>
      <c r="D249">
        <v>1</v>
      </c>
      <c r="E249" t="s">
        <v>301</v>
      </c>
      <c r="F249" s="3">
        <v>1750</v>
      </c>
      <c r="G249" s="3">
        <v>1750</v>
      </c>
      <c r="H249" s="3">
        <v>1750</v>
      </c>
      <c r="I249" s="3">
        <v>1750</v>
      </c>
      <c r="J249" s="3">
        <v>1750</v>
      </c>
      <c r="K249" s="3">
        <v>1750</v>
      </c>
      <c r="L249" s="3">
        <v>1750</v>
      </c>
      <c r="M249" s="3">
        <v>0</v>
      </c>
      <c r="N249" s="3">
        <v>0</v>
      </c>
      <c r="O249" s="3">
        <v>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2:26" x14ac:dyDescent="0.2">
      <c r="B250">
        <v>1</v>
      </c>
      <c r="C250">
        <v>775</v>
      </c>
      <c r="D250">
        <v>1</v>
      </c>
      <c r="E250" t="s">
        <v>302</v>
      </c>
      <c r="F250" s="3">
        <v>600</v>
      </c>
      <c r="G250" s="3">
        <v>600</v>
      </c>
      <c r="H250" s="3">
        <v>600</v>
      </c>
      <c r="I250" s="3">
        <v>600</v>
      </c>
      <c r="J250" s="3">
        <v>600</v>
      </c>
      <c r="K250" s="3">
        <v>600</v>
      </c>
      <c r="L250" s="3">
        <v>200</v>
      </c>
      <c r="M250" s="3">
        <v>200</v>
      </c>
      <c r="N250" s="3">
        <v>200</v>
      </c>
      <c r="O250" s="3">
        <v>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2:26" x14ac:dyDescent="0.2">
      <c r="B251">
        <v>1</v>
      </c>
      <c r="C251">
        <v>777</v>
      </c>
      <c r="D251">
        <v>1</v>
      </c>
      <c r="E251" t="s">
        <v>303</v>
      </c>
      <c r="F251" s="3">
        <v>515</v>
      </c>
      <c r="G251" s="3">
        <v>515</v>
      </c>
      <c r="H251" s="3">
        <v>515</v>
      </c>
      <c r="I251" s="3">
        <v>515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2:26" x14ac:dyDescent="0.2">
      <c r="B252">
        <v>1</v>
      </c>
      <c r="C252">
        <v>786</v>
      </c>
      <c r="D252">
        <v>1</v>
      </c>
      <c r="E252" t="s">
        <v>304</v>
      </c>
      <c r="F252" s="3">
        <v>700</v>
      </c>
      <c r="G252" s="3">
        <v>700</v>
      </c>
      <c r="H252" s="3">
        <v>700</v>
      </c>
      <c r="I252" s="3">
        <v>700</v>
      </c>
      <c r="J252" s="3">
        <v>700</v>
      </c>
      <c r="K252" s="3">
        <v>700</v>
      </c>
      <c r="L252" s="3">
        <v>700</v>
      </c>
      <c r="M252" s="3">
        <v>700</v>
      </c>
      <c r="N252" s="3">
        <v>700</v>
      </c>
      <c r="O252" s="3">
        <v>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2:26" x14ac:dyDescent="0.2">
      <c r="B253">
        <v>1</v>
      </c>
      <c r="C253">
        <v>787</v>
      </c>
      <c r="D253">
        <v>1</v>
      </c>
      <c r="E253" t="s">
        <v>305</v>
      </c>
      <c r="F253" s="3">
        <v>126.18</v>
      </c>
      <c r="G253" s="3">
        <v>126.18</v>
      </c>
      <c r="H253" s="3">
        <v>126.18</v>
      </c>
      <c r="I253" s="3">
        <v>126.18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2:26" x14ac:dyDescent="0.2">
      <c r="B254">
        <v>1</v>
      </c>
      <c r="C254">
        <v>801</v>
      </c>
      <c r="D254">
        <v>1</v>
      </c>
      <c r="E254" t="s">
        <v>306</v>
      </c>
      <c r="F254" s="3">
        <v>1318.53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2:26" x14ac:dyDescent="0.2">
      <c r="B255">
        <v>1</v>
      </c>
      <c r="C255">
        <v>803</v>
      </c>
      <c r="D255">
        <v>1</v>
      </c>
      <c r="E255" t="s">
        <v>307</v>
      </c>
      <c r="F255" s="3">
        <v>844.34</v>
      </c>
      <c r="G255" s="3">
        <v>844.34</v>
      </c>
      <c r="H255" s="3">
        <v>844.34</v>
      </c>
      <c r="I255" s="3">
        <v>844.34</v>
      </c>
      <c r="J255" s="3">
        <v>844.34</v>
      </c>
      <c r="K255" s="3">
        <v>844.34</v>
      </c>
      <c r="L255" s="3">
        <v>0</v>
      </c>
      <c r="M255" s="3">
        <v>0</v>
      </c>
      <c r="N255" s="3">
        <v>0</v>
      </c>
      <c r="O255" s="3">
        <v>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2:26" x14ac:dyDescent="0.2">
      <c r="B256">
        <v>1</v>
      </c>
      <c r="C256">
        <v>811</v>
      </c>
      <c r="D256">
        <v>1</v>
      </c>
      <c r="E256" t="s">
        <v>310</v>
      </c>
      <c r="F256" s="3">
        <v>1115.8</v>
      </c>
      <c r="G256" s="3">
        <v>1115.8</v>
      </c>
      <c r="H256" s="3">
        <v>1115.8</v>
      </c>
      <c r="I256" s="3">
        <v>1115.8</v>
      </c>
      <c r="J256" s="3">
        <v>989</v>
      </c>
      <c r="K256" s="3">
        <v>989</v>
      </c>
      <c r="L256" s="3">
        <v>989</v>
      </c>
      <c r="M256" s="3">
        <v>989</v>
      </c>
      <c r="N256" s="3">
        <v>0</v>
      </c>
      <c r="O256" s="3">
        <v>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2:26" x14ac:dyDescent="0.2">
      <c r="B257">
        <v>1</v>
      </c>
      <c r="C257">
        <v>813</v>
      </c>
      <c r="D257">
        <v>1</v>
      </c>
      <c r="E257" t="s">
        <v>311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2:26" x14ac:dyDescent="0.2">
      <c r="B258">
        <v>1</v>
      </c>
      <c r="C258">
        <v>815</v>
      </c>
      <c r="D258">
        <v>2</v>
      </c>
      <c r="E258" t="s">
        <v>312</v>
      </c>
      <c r="F258" s="3">
        <v>923.84</v>
      </c>
      <c r="G258" s="3">
        <v>923.84</v>
      </c>
      <c r="H258" s="3">
        <v>923.84</v>
      </c>
      <c r="I258" s="3">
        <v>923.84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2:26" x14ac:dyDescent="0.2">
      <c r="B259">
        <v>1</v>
      </c>
      <c r="C259">
        <v>818</v>
      </c>
      <c r="D259">
        <v>1</v>
      </c>
      <c r="E259" t="s">
        <v>313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2:26" x14ac:dyDescent="0.2">
      <c r="B260">
        <v>1</v>
      </c>
      <c r="C260">
        <v>820</v>
      </c>
      <c r="D260">
        <v>1</v>
      </c>
      <c r="E260" t="s">
        <v>314</v>
      </c>
      <c r="F260" s="3">
        <v>800</v>
      </c>
      <c r="G260" s="3">
        <v>800</v>
      </c>
      <c r="H260" s="3">
        <v>800</v>
      </c>
      <c r="I260" s="3">
        <v>800</v>
      </c>
      <c r="J260" s="3">
        <v>800</v>
      </c>
      <c r="K260" s="3">
        <v>800</v>
      </c>
      <c r="L260" s="3">
        <v>800</v>
      </c>
      <c r="M260" s="3">
        <v>0</v>
      </c>
      <c r="N260" s="3">
        <v>0</v>
      </c>
      <c r="O260" s="3">
        <v>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2:26" x14ac:dyDescent="0.2">
      <c r="B261">
        <v>1</v>
      </c>
      <c r="C261">
        <v>821</v>
      </c>
      <c r="D261">
        <v>1</v>
      </c>
      <c r="E261" t="s">
        <v>315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2:26" x14ac:dyDescent="0.2">
      <c r="B262">
        <v>1</v>
      </c>
      <c r="C262">
        <v>829</v>
      </c>
      <c r="D262">
        <v>1</v>
      </c>
      <c r="E262" t="s">
        <v>316</v>
      </c>
      <c r="F262" s="3">
        <v>610</v>
      </c>
      <c r="G262" s="3">
        <v>610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2:26" x14ac:dyDescent="0.2">
      <c r="B263">
        <v>1</v>
      </c>
      <c r="C263">
        <v>831</v>
      </c>
      <c r="D263">
        <v>1</v>
      </c>
      <c r="E263" t="s">
        <v>317</v>
      </c>
      <c r="F263" s="3">
        <v>725</v>
      </c>
      <c r="G263" s="3">
        <v>725</v>
      </c>
      <c r="H263" s="3">
        <v>725</v>
      </c>
      <c r="I263" s="3">
        <v>725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2:26" x14ac:dyDescent="0.2">
      <c r="B264">
        <v>1</v>
      </c>
      <c r="C264">
        <v>832</v>
      </c>
      <c r="D264">
        <v>1</v>
      </c>
      <c r="E264" t="s">
        <v>318</v>
      </c>
      <c r="F264" s="3">
        <v>1100.2</v>
      </c>
      <c r="G264" s="3">
        <v>1100.2</v>
      </c>
      <c r="H264" s="3">
        <v>1100.2</v>
      </c>
      <c r="I264" s="3">
        <v>1100.2</v>
      </c>
      <c r="J264" s="3">
        <v>1100.2</v>
      </c>
      <c r="K264" s="3">
        <v>1100.2</v>
      </c>
      <c r="L264" s="3">
        <v>1100.2</v>
      </c>
      <c r="M264" s="3">
        <v>0</v>
      </c>
      <c r="N264" s="3">
        <v>0</v>
      </c>
      <c r="O264" s="3">
        <v>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2:26" x14ac:dyDescent="0.2">
      <c r="B265">
        <v>1</v>
      </c>
      <c r="C265">
        <v>833</v>
      </c>
      <c r="D265">
        <v>1</v>
      </c>
      <c r="E265" t="s">
        <v>319</v>
      </c>
      <c r="F265" s="3">
        <v>601.57000000000005</v>
      </c>
      <c r="G265" s="3">
        <v>601.57000000000005</v>
      </c>
      <c r="H265" s="3">
        <v>221.38</v>
      </c>
      <c r="I265" s="3">
        <v>221.38</v>
      </c>
      <c r="J265" s="3">
        <v>221.38</v>
      </c>
      <c r="K265" s="3">
        <v>221.38</v>
      </c>
      <c r="L265" s="3">
        <v>57</v>
      </c>
      <c r="M265" s="3">
        <v>0</v>
      </c>
      <c r="N265" s="3">
        <v>0</v>
      </c>
      <c r="O265" s="3">
        <v>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2:26" x14ac:dyDescent="0.2">
      <c r="B266">
        <v>1</v>
      </c>
      <c r="C266">
        <v>834</v>
      </c>
      <c r="D266">
        <v>1</v>
      </c>
      <c r="E266" t="s">
        <v>320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2:26" x14ac:dyDescent="0.2">
      <c r="B267">
        <v>1</v>
      </c>
      <c r="C267">
        <v>836</v>
      </c>
      <c r="D267">
        <v>1</v>
      </c>
      <c r="E267" t="s">
        <v>321</v>
      </c>
      <c r="F267" s="3">
        <v>1296.68</v>
      </c>
      <c r="G267" s="3">
        <v>1296.68</v>
      </c>
      <c r="H267" s="3">
        <v>1296.68</v>
      </c>
      <c r="I267" s="3">
        <v>1296.68</v>
      </c>
      <c r="J267" s="3">
        <v>1296.68</v>
      </c>
      <c r="K267" s="3">
        <v>1296.68</v>
      </c>
      <c r="L267" s="3">
        <v>1296.68</v>
      </c>
      <c r="M267" s="3">
        <v>1296.68</v>
      </c>
      <c r="N267" s="3">
        <v>0</v>
      </c>
      <c r="O267" s="3">
        <v>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2:26" x14ac:dyDescent="0.2">
      <c r="B268">
        <v>1</v>
      </c>
      <c r="C268">
        <v>837</v>
      </c>
      <c r="D268">
        <v>1</v>
      </c>
      <c r="E268" t="s">
        <v>322</v>
      </c>
      <c r="F268" s="3">
        <v>700</v>
      </c>
      <c r="G268" s="3">
        <v>700</v>
      </c>
      <c r="H268" s="3">
        <v>700</v>
      </c>
      <c r="I268" s="3">
        <v>700</v>
      </c>
      <c r="J268" s="3">
        <v>700</v>
      </c>
      <c r="K268" s="3">
        <v>700</v>
      </c>
      <c r="L268" s="3">
        <v>700</v>
      </c>
      <c r="M268" s="3">
        <v>700</v>
      </c>
      <c r="N268" s="3">
        <v>0</v>
      </c>
      <c r="O268" s="3">
        <v>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2:26" x14ac:dyDescent="0.2">
      <c r="B269">
        <v>1</v>
      </c>
      <c r="C269">
        <v>840</v>
      </c>
      <c r="D269">
        <v>1</v>
      </c>
      <c r="E269" t="s">
        <v>323</v>
      </c>
      <c r="F269" s="3">
        <v>569.20000000000005</v>
      </c>
      <c r="G269" s="3">
        <v>569.20000000000005</v>
      </c>
      <c r="H269" s="3">
        <v>569.20000000000005</v>
      </c>
      <c r="I269" s="3">
        <v>569.20000000000005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2:26" x14ac:dyDescent="0.2">
      <c r="B270">
        <v>1</v>
      </c>
      <c r="C270">
        <v>846</v>
      </c>
      <c r="D270">
        <v>1</v>
      </c>
      <c r="E270" t="s">
        <v>324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2:26" x14ac:dyDescent="0.2">
      <c r="B271">
        <v>1</v>
      </c>
      <c r="C271">
        <v>850</v>
      </c>
      <c r="D271">
        <v>1</v>
      </c>
      <c r="E271" t="s">
        <v>325</v>
      </c>
      <c r="F271" s="3">
        <v>2250</v>
      </c>
      <c r="G271" s="3">
        <v>2250</v>
      </c>
      <c r="H271" s="3">
        <v>2250</v>
      </c>
      <c r="I271" s="3">
        <v>2250</v>
      </c>
      <c r="J271" s="3">
        <v>2250</v>
      </c>
      <c r="K271" s="3">
        <v>2250</v>
      </c>
      <c r="L271" s="3">
        <v>2250</v>
      </c>
      <c r="M271" s="3">
        <v>750</v>
      </c>
      <c r="N271" s="3">
        <v>750</v>
      </c>
      <c r="O271" s="3">
        <v>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2:26" x14ac:dyDescent="0.2">
      <c r="B272">
        <v>1</v>
      </c>
      <c r="C272">
        <v>852</v>
      </c>
      <c r="D272">
        <v>1</v>
      </c>
      <c r="E272" t="s">
        <v>326</v>
      </c>
      <c r="F272" s="3">
        <v>2801.8</v>
      </c>
      <c r="G272" s="3">
        <v>2000</v>
      </c>
      <c r="H272" s="3">
        <v>2000</v>
      </c>
      <c r="I272" s="3">
        <v>2000</v>
      </c>
      <c r="J272" s="3">
        <v>2000</v>
      </c>
      <c r="K272" s="3">
        <v>2000</v>
      </c>
      <c r="L272" s="3">
        <v>2000</v>
      </c>
      <c r="M272" s="3">
        <v>0</v>
      </c>
      <c r="N272" s="3">
        <v>0</v>
      </c>
      <c r="O272" s="3">
        <v>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2:26" x14ac:dyDescent="0.2">
      <c r="B273">
        <v>1</v>
      </c>
      <c r="C273">
        <v>857</v>
      </c>
      <c r="D273">
        <v>1</v>
      </c>
      <c r="E273" t="s">
        <v>327</v>
      </c>
      <c r="F273" s="3">
        <v>816.65</v>
      </c>
      <c r="G273" s="3">
        <v>816.65</v>
      </c>
      <c r="H273" s="3">
        <v>816.65</v>
      </c>
      <c r="I273" s="3">
        <v>816.65</v>
      </c>
      <c r="J273" s="3">
        <v>315</v>
      </c>
      <c r="K273" s="3">
        <v>315</v>
      </c>
      <c r="L273" s="3">
        <v>315</v>
      </c>
      <c r="M273" s="3">
        <v>315</v>
      </c>
      <c r="N273" s="3">
        <v>0</v>
      </c>
      <c r="O273" s="3">
        <v>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2:26" x14ac:dyDescent="0.2">
      <c r="B274">
        <v>1</v>
      </c>
      <c r="C274">
        <v>858</v>
      </c>
      <c r="D274">
        <v>1</v>
      </c>
      <c r="E274" t="s">
        <v>328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2:26" x14ac:dyDescent="0.2">
      <c r="B275">
        <v>1</v>
      </c>
      <c r="C275">
        <v>861</v>
      </c>
      <c r="D275">
        <v>1</v>
      </c>
      <c r="E275" t="s">
        <v>329</v>
      </c>
      <c r="F275" s="3">
        <v>1550</v>
      </c>
      <c r="G275" s="3">
        <v>1550</v>
      </c>
      <c r="H275" s="3">
        <v>1550</v>
      </c>
      <c r="I275" s="3">
        <v>1550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2:26" x14ac:dyDescent="0.2">
      <c r="B276">
        <v>1</v>
      </c>
      <c r="C276">
        <v>876</v>
      </c>
      <c r="D276">
        <v>1</v>
      </c>
      <c r="E276" t="s">
        <v>330</v>
      </c>
      <c r="F276" s="3">
        <v>650</v>
      </c>
      <c r="G276" s="3">
        <v>650</v>
      </c>
      <c r="H276" s="3">
        <v>650</v>
      </c>
      <c r="I276" s="3">
        <v>650</v>
      </c>
      <c r="J276" s="3">
        <v>650</v>
      </c>
      <c r="K276" s="3">
        <v>650</v>
      </c>
      <c r="L276" s="3">
        <v>0</v>
      </c>
      <c r="M276" s="3">
        <v>0</v>
      </c>
      <c r="N276" s="3">
        <v>0</v>
      </c>
      <c r="O276" s="3">
        <v>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2:26" x14ac:dyDescent="0.2">
      <c r="B277">
        <v>1</v>
      </c>
      <c r="C277">
        <v>877</v>
      </c>
      <c r="D277">
        <v>1</v>
      </c>
      <c r="E277" t="s">
        <v>331</v>
      </c>
      <c r="F277" s="3">
        <v>489.99</v>
      </c>
      <c r="G277" s="3">
        <v>489.99</v>
      </c>
      <c r="H277" s="3">
        <v>489.99</v>
      </c>
      <c r="I277" s="3">
        <v>379.44</v>
      </c>
      <c r="J277" s="3">
        <v>379.44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2:26" x14ac:dyDescent="0.2">
      <c r="B278">
        <v>1</v>
      </c>
      <c r="C278">
        <v>879</v>
      </c>
      <c r="D278">
        <v>1</v>
      </c>
      <c r="E278" t="s">
        <v>332</v>
      </c>
      <c r="F278" s="3">
        <v>426.86</v>
      </c>
      <c r="G278" s="3">
        <v>426.86</v>
      </c>
      <c r="H278" s="3">
        <v>426.86</v>
      </c>
      <c r="I278" s="3">
        <v>426.86</v>
      </c>
      <c r="J278" s="3">
        <v>426.86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2:26" x14ac:dyDescent="0.2">
      <c r="B279">
        <v>1</v>
      </c>
      <c r="C279">
        <v>881</v>
      </c>
      <c r="D279">
        <v>1</v>
      </c>
      <c r="E279" t="s">
        <v>333</v>
      </c>
      <c r="F279" s="3">
        <v>699.39</v>
      </c>
      <c r="G279" s="3">
        <v>699.39</v>
      </c>
      <c r="H279" s="3">
        <v>699.39</v>
      </c>
      <c r="I279" s="3">
        <v>699.39</v>
      </c>
      <c r="J279" s="3">
        <v>699.39</v>
      </c>
      <c r="K279" s="3">
        <v>699.39</v>
      </c>
      <c r="L279" s="3">
        <v>699.39</v>
      </c>
      <c r="M279" s="3">
        <v>699.39</v>
      </c>
      <c r="N279" s="3">
        <v>699.39</v>
      </c>
      <c r="O279" s="3">
        <v>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2:26" x14ac:dyDescent="0.2">
      <c r="B280">
        <v>1</v>
      </c>
      <c r="C280">
        <v>882</v>
      </c>
      <c r="D280">
        <v>1</v>
      </c>
      <c r="E280" t="s">
        <v>334</v>
      </c>
      <c r="F280" s="3">
        <v>209.42</v>
      </c>
      <c r="G280" s="3">
        <v>209.42</v>
      </c>
      <c r="H280" s="3">
        <v>209.42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2:26" x14ac:dyDescent="0.2">
      <c r="B281">
        <v>1</v>
      </c>
      <c r="C281">
        <v>883</v>
      </c>
      <c r="D281">
        <v>1</v>
      </c>
      <c r="E281" t="s">
        <v>335</v>
      </c>
      <c r="F281" s="3">
        <v>12.79</v>
      </c>
      <c r="G281" s="3">
        <v>12.79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2:26" x14ac:dyDescent="0.2">
      <c r="B282">
        <v>1</v>
      </c>
      <c r="C282">
        <v>885</v>
      </c>
      <c r="D282">
        <v>1</v>
      </c>
      <c r="E282" t="s">
        <v>336</v>
      </c>
      <c r="F282" s="3">
        <v>514.99</v>
      </c>
      <c r="G282" s="3">
        <v>500</v>
      </c>
      <c r="H282" s="3">
        <v>500</v>
      </c>
      <c r="I282" s="3">
        <v>500</v>
      </c>
      <c r="J282" s="3">
        <v>500</v>
      </c>
      <c r="K282" s="3">
        <v>500</v>
      </c>
      <c r="L282" s="3">
        <v>500</v>
      </c>
      <c r="M282" s="3">
        <v>0</v>
      </c>
      <c r="N282" s="3">
        <v>0</v>
      </c>
      <c r="O282" s="3">
        <v>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2:26" x14ac:dyDescent="0.2">
      <c r="B283">
        <v>1</v>
      </c>
      <c r="C283">
        <v>891</v>
      </c>
      <c r="D283">
        <v>1</v>
      </c>
      <c r="E283" t="s">
        <v>337</v>
      </c>
      <c r="F283" s="3">
        <v>500.25</v>
      </c>
      <c r="G283" s="3">
        <v>500.25</v>
      </c>
      <c r="H283" s="3">
        <v>500.25</v>
      </c>
      <c r="I283" s="3">
        <v>500.25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2:26" x14ac:dyDescent="0.2">
      <c r="B284">
        <v>1</v>
      </c>
      <c r="C284">
        <v>911</v>
      </c>
      <c r="D284">
        <v>1</v>
      </c>
      <c r="E284" t="s">
        <v>338</v>
      </c>
      <c r="F284" s="3">
        <v>108.61</v>
      </c>
      <c r="G284" s="3">
        <v>108.61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2:26" x14ac:dyDescent="0.2">
      <c r="B285">
        <v>1</v>
      </c>
      <c r="C285">
        <v>912</v>
      </c>
      <c r="D285">
        <v>1</v>
      </c>
      <c r="E285" t="s">
        <v>339</v>
      </c>
      <c r="F285" s="3">
        <v>1.02</v>
      </c>
      <c r="G285" s="3">
        <v>1.02</v>
      </c>
      <c r="H285" s="3">
        <v>1.02</v>
      </c>
      <c r="I285" s="3">
        <v>1.02</v>
      </c>
      <c r="J285" s="3">
        <v>1.02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2:26" x14ac:dyDescent="0.2">
      <c r="B286">
        <v>1</v>
      </c>
      <c r="C286">
        <v>914</v>
      </c>
      <c r="D286">
        <v>1</v>
      </c>
      <c r="E286" t="s">
        <v>340</v>
      </c>
      <c r="F286" s="3">
        <v>1700</v>
      </c>
      <c r="G286" s="3">
        <v>1700</v>
      </c>
      <c r="H286" s="3">
        <v>1700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2:26" x14ac:dyDescent="0.2">
      <c r="B287">
        <v>1</v>
      </c>
      <c r="C287">
        <v>2071</v>
      </c>
      <c r="D287">
        <v>1</v>
      </c>
      <c r="E287" t="s">
        <v>341</v>
      </c>
      <c r="F287" s="3">
        <v>635.6</v>
      </c>
      <c r="G287" s="3">
        <v>635.6</v>
      </c>
      <c r="H287" s="3">
        <v>635.6</v>
      </c>
      <c r="I287" s="3">
        <v>635.6</v>
      </c>
      <c r="J287" s="3">
        <v>635.6</v>
      </c>
      <c r="K287" s="3">
        <v>319.49</v>
      </c>
      <c r="L287" s="3">
        <v>319.49</v>
      </c>
      <c r="M287" s="3">
        <v>319.49</v>
      </c>
      <c r="N287" s="3">
        <v>0</v>
      </c>
      <c r="O287" s="3">
        <v>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2:26" x14ac:dyDescent="0.2">
      <c r="B288">
        <v>1</v>
      </c>
      <c r="C288">
        <v>2125</v>
      </c>
      <c r="D288">
        <v>1</v>
      </c>
      <c r="E288" t="s">
        <v>342</v>
      </c>
      <c r="F288" s="3">
        <v>350</v>
      </c>
      <c r="G288" s="3">
        <v>350</v>
      </c>
      <c r="H288" s="3">
        <v>350</v>
      </c>
      <c r="I288" s="3">
        <v>350</v>
      </c>
      <c r="J288" s="3">
        <v>350</v>
      </c>
      <c r="K288" s="3">
        <v>350</v>
      </c>
      <c r="L288" s="3">
        <v>0</v>
      </c>
      <c r="M288" s="3">
        <v>0</v>
      </c>
      <c r="N288" s="3">
        <v>0</v>
      </c>
      <c r="O288" s="3">
        <v>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2:26" x14ac:dyDescent="0.2">
      <c r="B289">
        <v>1</v>
      </c>
      <c r="C289">
        <v>2134</v>
      </c>
      <c r="D289">
        <v>1</v>
      </c>
      <c r="E289" t="s">
        <v>343</v>
      </c>
      <c r="F289" s="3">
        <v>642.39</v>
      </c>
      <c r="G289" s="3">
        <v>642.39</v>
      </c>
      <c r="H289" s="3">
        <v>300</v>
      </c>
      <c r="I289" s="3">
        <v>300</v>
      </c>
      <c r="J289" s="3">
        <v>300</v>
      </c>
      <c r="K289" s="3">
        <v>300</v>
      </c>
      <c r="L289" s="3">
        <v>0</v>
      </c>
      <c r="M289" s="3">
        <v>0</v>
      </c>
      <c r="N289" s="3">
        <v>0</v>
      </c>
      <c r="O289" s="3">
        <v>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2:26" x14ac:dyDescent="0.2">
      <c r="B290">
        <v>1</v>
      </c>
      <c r="C290">
        <v>2135</v>
      </c>
      <c r="D290">
        <v>1</v>
      </c>
      <c r="E290" t="s">
        <v>344</v>
      </c>
      <c r="F290" s="3">
        <v>889.34</v>
      </c>
      <c r="G290" s="3">
        <v>889.34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2:26" x14ac:dyDescent="0.2">
      <c r="B291">
        <v>1</v>
      </c>
      <c r="C291">
        <v>2137</v>
      </c>
      <c r="D291">
        <v>1</v>
      </c>
      <c r="E291" t="s">
        <v>345</v>
      </c>
      <c r="F291" s="3">
        <v>300.83</v>
      </c>
      <c r="G291" s="3">
        <v>300.83</v>
      </c>
      <c r="H291" s="3">
        <v>300.83</v>
      </c>
      <c r="I291" s="3">
        <v>300.83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2:26" x14ac:dyDescent="0.2">
      <c r="B292">
        <v>1</v>
      </c>
      <c r="C292">
        <v>2142</v>
      </c>
      <c r="D292">
        <v>1</v>
      </c>
      <c r="E292" t="s">
        <v>346</v>
      </c>
      <c r="F292" s="3">
        <v>126.6</v>
      </c>
      <c r="G292" s="3">
        <v>126.6</v>
      </c>
      <c r="H292" s="3">
        <v>126.6</v>
      </c>
      <c r="I292" s="3">
        <v>126.6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2:26" x14ac:dyDescent="0.2">
      <c r="B293">
        <v>1</v>
      </c>
      <c r="C293">
        <v>2143</v>
      </c>
      <c r="D293">
        <v>1</v>
      </c>
      <c r="E293" t="s">
        <v>347</v>
      </c>
      <c r="F293" s="3">
        <v>457.1</v>
      </c>
      <c r="G293" s="3">
        <v>457.1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2:26" x14ac:dyDescent="0.2">
      <c r="B294">
        <v>1</v>
      </c>
      <c r="C294">
        <v>2144</v>
      </c>
      <c r="D294">
        <v>1</v>
      </c>
      <c r="E294" t="s">
        <v>348</v>
      </c>
      <c r="F294" s="3">
        <v>402.5</v>
      </c>
      <c r="G294" s="3">
        <v>402.5</v>
      </c>
      <c r="H294" s="3">
        <v>402.5</v>
      </c>
      <c r="I294" s="3">
        <v>400.96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2:26" x14ac:dyDescent="0.2">
      <c r="B295">
        <v>1</v>
      </c>
      <c r="C295">
        <v>2149</v>
      </c>
      <c r="D295">
        <v>1</v>
      </c>
      <c r="E295" t="s">
        <v>349</v>
      </c>
      <c r="F295" s="3">
        <v>629.4</v>
      </c>
      <c r="G295" s="3">
        <v>629.4</v>
      </c>
      <c r="H295" s="3">
        <v>629</v>
      </c>
      <c r="I295" s="3">
        <v>629</v>
      </c>
      <c r="J295" s="3">
        <v>629</v>
      </c>
      <c r="K295" s="3">
        <v>629</v>
      </c>
      <c r="L295" s="3">
        <v>629</v>
      </c>
      <c r="M295" s="3">
        <v>629</v>
      </c>
      <c r="N295" s="3">
        <v>629</v>
      </c>
      <c r="O295" s="3">
        <v>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2:26" x14ac:dyDescent="0.2">
      <c r="B296">
        <v>1</v>
      </c>
      <c r="C296">
        <v>2154</v>
      </c>
      <c r="D296">
        <v>1</v>
      </c>
      <c r="E296" t="s">
        <v>350</v>
      </c>
      <c r="F296" s="3">
        <v>367.93</v>
      </c>
      <c r="G296" s="3">
        <v>335.95</v>
      </c>
      <c r="H296" s="3">
        <v>335.95</v>
      </c>
      <c r="I296" s="3">
        <v>335.95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2:26" x14ac:dyDescent="0.2">
      <c r="B297">
        <v>1</v>
      </c>
      <c r="C297">
        <v>2155</v>
      </c>
      <c r="D297">
        <v>1</v>
      </c>
      <c r="E297" t="s">
        <v>351</v>
      </c>
      <c r="F297" s="3">
        <v>101.17</v>
      </c>
      <c r="G297" s="3">
        <v>101.17</v>
      </c>
      <c r="H297" s="3">
        <v>101.17</v>
      </c>
      <c r="I297" s="3">
        <v>101.17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2:26" x14ac:dyDescent="0.2">
      <c r="B298">
        <v>1</v>
      </c>
      <c r="C298">
        <v>2159</v>
      </c>
      <c r="D298">
        <v>1</v>
      </c>
      <c r="E298" t="s">
        <v>352</v>
      </c>
      <c r="F298" s="3">
        <v>800</v>
      </c>
      <c r="G298" s="3">
        <v>800</v>
      </c>
      <c r="H298" s="3">
        <v>800</v>
      </c>
      <c r="I298" s="3">
        <v>800</v>
      </c>
      <c r="J298" s="3">
        <v>800</v>
      </c>
      <c r="K298" s="3">
        <v>800</v>
      </c>
      <c r="L298" s="3">
        <v>0</v>
      </c>
      <c r="M298" s="3">
        <v>0</v>
      </c>
      <c r="N298" s="3">
        <v>0</v>
      </c>
      <c r="O298" s="3">
        <v>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2:26" x14ac:dyDescent="0.2">
      <c r="B299">
        <v>1</v>
      </c>
      <c r="C299">
        <v>2164</v>
      </c>
      <c r="D299">
        <v>1</v>
      </c>
      <c r="E299" t="s">
        <v>353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2:26" x14ac:dyDescent="0.2">
      <c r="B300">
        <v>1</v>
      </c>
      <c r="C300">
        <v>2165</v>
      </c>
      <c r="D300">
        <v>1</v>
      </c>
      <c r="E300" t="s">
        <v>354</v>
      </c>
      <c r="F300" s="3">
        <v>126.22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2:26" x14ac:dyDescent="0.2">
      <c r="B301">
        <v>1</v>
      </c>
      <c r="C301">
        <v>2167</v>
      </c>
      <c r="D301">
        <v>1</v>
      </c>
      <c r="E301" t="s">
        <v>355</v>
      </c>
      <c r="F301" s="3">
        <v>500.01</v>
      </c>
      <c r="G301" s="3">
        <v>500.01</v>
      </c>
      <c r="H301" s="3">
        <v>500.01</v>
      </c>
      <c r="I301" s="3">
        <v>500.01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2:26" x14ac:dyDescent="0.2">
      <c r="B302">
        <v>1</v>
      </c>
      <c r="C302">
        <v>2168</v>
      </c>
      <c r="D302">
        <v>1</v>
      </c>
      <c r="E302" t="s">
        <v>356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2:26" x14ac:dyDescent="0.2">
      <c r="B303">
        <v>1</v>
      </c>
      <c r="C303">
        <v>2169</v>
      </c>
      <c r="D303">
        <v>1</v>
      </c>
      <c r="E303" t="s">
        <v>357</v>
      </c>
      <c r="F303" s="3">
        <v>1281.76</v>
      </c>
      <c r="G303" s="3">
        <v>1281.76</v>
      </c>
      <c r="H303" s="3">
        <v>1281.76</v>
      </c>
      <c r="I303" s="3">
        <v>1281.76</v>
      </c>
      <c r="J303" s="3">
        <v>450</v>
      </c>
      <c r="K303" s="3">
        <v>450</v>
      </c>
      <c r="L303" s="3">
        <v>0</v>
      </c>
      <c r="M303" s="3">
        <v>0</v>
      </c>
      <c r="N303" s="3">
        <v>0</v>
      </c>
      <c r="O303" s="3">
        <v>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2:26" x14ac:dyDescent="0.2">
      <c r="B304">
        <v>1</v>
      </c>
      <c r="C304">
        <v>2170</v>
      </c>
      <c r="D304">
        <v>1</v>
      </c>
      <c r="E304" t="s">
        <v>358</v>
      </c>
      <c r="F304" s="3">
        <v>440</v>
      </c>
      <c r="G304" s="3">
        <v>440</v>
      </c>
      <c r="H304" s="3">
        <v>440</v>
      </c>
      <c r="I304" s="3">
        <v>440</v>
      </c>
      <c r="J304" s="3">
        <v>440</v>
      </c>
      <c r="K304" s="3">
        <v>440</v>
      </c>
      <c r="L304" s="3">
        <v>0</v>
      </c>
      <c r="M304" s="3">
        <v>0</v>
      </c>
      <c r="N304" s="3">
        <v>0</v>
      </c>
      <c r="O304" s="3">
        <v>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x14ac:dyDescent="0.2">
      <c r="B305">
        <v>1</v>
      </c>
      <c r="C305">
        <v>2171</v>
      </c>
      <c r="D305">
        <v>1</v>
      </c>
      <c r="E305" t="s">
        <v>359</v>
      </c>
      <c r="F305" s="3">
        <v>2334.56</v>
      </c>
      <c r="G305" s="3">
        <v>2334.56</v>
      </c>
      <c r="H305" s="3">
        <v>2334.56</v>
      </c>
      <c r="I305" s="3">
        <v>2334.56</v>
      </c>
      <c r="J305" s="3">
        <v>2334.56</v>
      </c>
      <c r="K305" s="3">
        <v>2334.56</v>
      </c>
      <c r="L305" s="3">
        <v>2334.56</v>
      </c>
      <c r="M305" s="3">
        <v>2334.56</v>
      </c>
      <c r="N305" s="3">
        <v>0</v>
      </c>
      <c r="O305" s="3">
        <v>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x14ac:dyDescent="0.2">
      <c r="B306">
        <v>1</v>
      </c>
      <c r="C306">
        <v>2172</v>
      </c>
      <c r="D306">
        <v>1</v>
      </c>
      <c r="E306" t="s">
        <v>360</v>
      </c>
      <c r="F306" s="3">
        <v>405.2</v>
      </c>
      <c r="G306" s="3">
        <v>405.2</v>
      </c>
      <c r="H306" s="3">
        <v>405.2</v>
      </c>
      <c r="I306" s="3">
        <v>405.2</v>
      </c>
      <c r="J306" s="3">
        <v>278.95999999999998</v>
      </c>
      <c r="K306" s="3">
        <v>278.95999999999998</v>
      </c>
      <c r="L306" s="3">
        <v>0</v>
      </c>
      <c r="M306" s="3">
        <v>0</v>
      </c>
      <c r="N306" s="3">
        <v>0</v>
      </c>
      <c r="O306" s="3">
        <v>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x14ac:dyDescent="0.2">
      <c r="B307">
        <v>1</v>
      </c>
      <c r="C307">
        <v>2174</v>
      </c>
      <c r="D307">
        <v>1</v>
      </c>
      <c r="E307" t="s">
        <v>361</v>
      </c>
      <c r="F307" s="3">
        <v>1.02</v>
      </c>
      <c r="G307" s="3">
        <v>1.02</v>
      </c>
      <c r="H307" s="3">
        <v>1.02</v>
      </c>
      <c r="I307" s="3">
        <v>1.02</v>
      </c>
      <c r="J307" s="3">
        <v>1.02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x14ac:dyDescent="0.2">
      <c r="B308">
        <v>1</v>
      </c>
      <c r="C308">
        <v>2176</v>
      </c>
      <c r="D308">
        <v>1</v>
      </c>
      <c r="E308" t="s">
        <v>362</v>
      </c>
      <c r="F308" s="3">
        <v>1400</v>
      </c>
      <c r="G308" s="3">
        <v>1400</v>
      </c>
      <c r="H308" s="3">
        <v>1400</v>
      </c>
      <c r="I308" s="3">
        <v>1400</v>
      </c>
      <c r="J308" s="3">
        <v>1400</v>
      </c>
      <c r="K308" s="3">
        <v>1400</v>
      </c>
      <c r="L308" s="3">
        <v>1400</v>
      </c>
      <c r="M308" s="3">
        <v>0</v>
      </c>
      <c r="N308" s="3">
        <v>0</v>
      </c>
      <c r="O308" s="3">
        <v>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x14ac:dyDescent="0.2">
      <c r="B309">
        <v>1</v>
      </c>
      <c r="C309">
        <v>2180</v>
      </c>
      <c r="D309">
        <v>1</v>
      </c>
      <c r="E309" t="s">
        <v>363</v>
      </c>
      <c r="F309" s="3">
        <v>771.03</v>
      </c>
      <c r="G309" s="3">
        <v>771.03</v>
      </c>
      <c r="H309" s="3">
        <v>771.03</v>
      </c>
      <c r="I309" s="3">
        <v>771.03</v>
      </c>
      <c r="J309" s="3">
        <v>270</v>
      </c>
      <c r="K309" s="3">
        <v>270</v>
      </c>
      <c r="L309" s="3">
        <v>270</v>
      </c>
      <c r="M309" s="3">
        <v>270</v>
      </c>
      <c r="N309" s="3">
        <v>0</v>
      </c>
      <c r="O309" s="3">
        <v>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x14ac:dyDescent="0.2">
      <c r="B310">
        <v>1</v>
      </c>
      <c r="C310">
        <v>2184</v>
      </c>
      <c r="D310">
        <v>1</v>
      </c>
      <c r="E310" t="s">
        <v>364</v>
      </c>
      <c r="F310" s="3">
        <v>1101.27</v>
      </c>
      <c r="G310" s="3">
        <v>1101.27</v>
      </c>
      <c r="H310" s="3">
        <v>1101.27</v>
      </c>
      <c r="I310" s="3">
        <v>1101.27</v>
      </c>
      <c r="J310" s="3">
        <v>700</v>
      </c>
      <c r="K310" s="3">
        <v>700</v>
      </c>
      <c r="L310" s="3">
        <v>700</v>
      </c>
      <c r="M310" s="3">
        <v>700</v>
      </c>
      <c r="N310" s="3">
        <v>0</v>
      </c>
      <c r="O310" s="3">
        <v>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x14ac:dyDescent="0.2">
      <c r="B311">
        <v>1</v>
      </c>
      <c r="C311">
        <v>2190</v>
      </c>
      <c r="D311">
        <v>1</v>
      </c>
      <c r="E311" t="s">
        <v>365</v>
      </c>
      <c r="F311" s="3">
        <v>982.19</v>
      </c>
      <c r="G311" s="3">
        <v>982.19</v>
      </c>
      <c r="H311" s="3">
        <v>982.19</v>
      </c>
      <c r="I311" s="3">
        <v>982.19</v>
      </c>
      <c r="J311" s="3">
        <v>581</v>
      </c>
      <c r="K311" s="3">
        <v>581</v>
      </c>
      <c r="L311" s="3">
        <v>581</v>
      </c>
      <c r="M311" s="3">
        <v>581</v>
      </c>
      <c r="N311" s="3">
        <v>581</v>
      </c>
      <c r="O311" s="3">
        <v>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x14ac:dyDescent="0.2">
      <c r="B312">
        <v>1</v>
      </c>
      <c r="C312">
        <v>2198</v>
      </c>
      <c r="D312">
        <v>1</v>
      </c>
      <c r="E312" t="s">
        <v>366</v>
      </c>
      <c r="F312" s="3">
        <v>875.1</v>
      </c>
      <c r="G312" s="3">
        <v>875.1</v>
      </c>
      <c r="H312" s="3">
        <v>875.1</v>
      </c>
      <c r="I312" s="3">
        <v>875.1</v>
      </c>
      <c r="J312" s="3">
        <v>475</v>
      </c>
      <c r="K312" s="3">
        <v>475</v>
      </c>
      <c r="L312" s="3">
        <v>475</v>
      </c>
      <c r="M312" s="3">
        <v>475</v>
      </c>
      <c r="N312" s="3">
        <v>0</v>
      </c>
      <c r="O312" s="3">
        <v>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x14ac:dyDescent="0.2">
      <c r="B313">
        <v>1</v>
      </c>
      <c r="C313">
        <v>2215</v>
      </c>
      <c r="D313">
        <v>1</v>
      </c>
      <c r="E313" t="s">
        <v>367</v>
      </c>
      <c r="F313" s="3">
        <v>543.16999999999996</v>
      </c>
      <c r="G313" s="3">
        <v>543.16999999999996</v>
      </c>
      <c r="H313" s="3">
        <v>543.16999999999996</v>
      </c>
      <c r="I313" s="3">
        <v>543.16999999999996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x14ac:dyDescent="0.2">
      <c r="B314">
        <v>1</v>
      </c>
      <c r="C314">
        <v>2310</v>
      </c>
      <c r="D314">
        <v>1</v>
      </c>
      <c r="E314" t="s">
        <v>368</v>
      </c>
      <c r="F314" s="3">
        <v>600</v>
      </c>
      <c r="G314" s="3">
        <v>600</v>
      </c>
      <c r="H314" s="3">
        <v>600</v>
      </c>
      <c r="I314" s="3">
        <v>600</v>
      </c>
      <c r="J314" s="3">
        <v>600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x14ac:dyDescent="0.2">
      <c r="B315">
        <v>1</v>
      </c>
      <c r="C315">
        <v>2311</v>
      </c>
      <c r="D315">
        <v>1</v>
      </c>
      <c r="E315" t="s">
        <v>369</v>
      </c>
      <c r="F315" s="3">
        <v>600</v>
      </c>
      <c r="G315" s="3">
        <v>600</v>
      </c>
      <c r="H315" s="3">
        <v>600</v>
      </c>
      <c r="I315" s="3">
        <v>600</v>
      </c>
      <c r="J315" s="3">
        <v>600</v>
      </c>
      <c r="K315" s="3">
        <v>600</v>
      </c>
      <c r="L315" s="3">
        <v>600</v>
      </c>
      <c r="M315" s="3">
        <v>600</v>
      </c>
      <c r="N315" s="3">
        <v>0</v>
      </c>
      <c r="O315" s="3">
        <v>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x14ac:dyDescent="0.2">
      <c r="B316">
        <v>1</v>
      </c>
      <c r="C316">
        <v>2342</v>
      </c>
      <c r="D316">
        <v>1</v>
      </c>
      <c r="E316" t="s">
        <v>370</v>
      </c>
      <c r="F316" s="3">
        <v>950</v>
      </c>
      <c r="G316" s="3">
        <v>950</v>
      </c>
      <c r="H316" s="3">
        <v>950</v>
      </c>
      <c r="I316" s="3">
        <v>950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x14ac:dyDescent="0.2">
      <c r="B317">
        <v>1</v>
      </c>
      <c r="C317">
        <v>2358</v>
      </c>
      <c r="D317">
        <v>1</v>
      </c>
      <c r="E317" t="s">
        <v>371</v>
      </c>
      <c r="F317" s="3">
        <v>800</v>
      </c>
      <c r="G317" s="3">
        <v>800</v>
      </c>
      <c r="H317" s="3">
        <v>800</v>
      </c>
      <c r="I317" s="3">
        <v>800</v>
      </c>
      <c r="J317" s="3">
        <v>800</v>
      </c>
      <c r="K317" s="3">
        <v>800</v>
      </c>
      <c r="L317" s="3">
        <v>0</v>
      </c>
      <c r="M317" s="3">
        <v>0</v>
      </c>
      <c r="N317" s="3">
        <v>0</v>
      </c>
      <c r="O317" s="3">
        <v>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x14ac:dyDescent="0.2">
      <c r="B318">
        <v>1</v>
      </c>
      <c r="C318">
        <v>2364</v>
      </c>
      <c r="D318">
        <v>1</v>
      </c>
      <c r="E318" t="s">
        <v>372</v>
      </c>
      <c r="F318" s="3">
        <v>837.76</v>
      </c>
      <c r="G318" s="3">
        <v>837.76</v>
      </c>
      <c r="H318" s="3">
        <v>837.76</v>
      </c>
      <c r="I318" s="3">
        <v>837.76</v>
      </c>
      <c r="J318" s="3">
        <v>294</v>
      </c>
      <c r="K318" s="3">
        <v>294</v>
      </c>
      <c r="L318" s="3">
        <v>0</v>
      </c>
      <c r="M318" s="3">
        <v>0</v>
      </c>
      <c r="N318" s="3">
        <v>0</v>
      </c>
      <c r="O318" s="3">
        <v>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x14ac:dyDescent="0.2">
      <c r="B319">
        <v>1</v>
      </c>
      <c r="C319">
        <v>2365</v>
      </c>
      <c r="D319">
        <v>1</v>
      </c>
      <c r="E319" t="s">
        <v>373</v>
      </c>
      <c r="F319" s="3">
        <v>451.76</v>
      </c>
      <c r="G319" s="3">
        <v>451.76</v>
      </c>
      <c r="H319" s="3">
        <v>451.76</v>
      </c>
      <c r="I319" s="3">
        <v>351.99</v>
      </c>
      <c r="J319" s="3">
        <v>351.99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x14ac:dyDescent="0.2">
      <c r="B320">
        <v>1</v>
      </c>
      <c r="C320">
        <v>2396</v>
      </c>
      <c r="D320">
        <v>1</v>
      </c>
      <c r="E320" t="s">
        <v>374</v>
      </c>
      <c r="F320" s="3">
        <v>650</v>
      </c>
      <c r="G320" s="3">
        <v>650</v>
      </c>
      <c r="H320" s="3">
        <v>650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x14ac:dyDescent="0.2">
      <c r="B321">
        <v>1</v>
      </c>
      <c r="C321">
        <v>2397</v>
      </c>
      <c r="D321">
        <v>1</v>
      </c>
      <c r="E321" t="s">
        <v>375</v>
      </c>
      <c r="F321" s="3">
        <v>300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x14ac:dyDescent="0.2">
      <c r="B322">
        <v>1</v>
      </c>
      <c r="C322">
        <v>2448</v>
      </c>
      <c r="D322">
        <v>1</v>
      </c>
      <c r="E322" t="s">
        <v>376</v>
      </c>
      <c r="F322" s="3">
        <v>700</v>
      </c>
      <c r="G322" s="3">
        <v>700</v>
      </c>
      <c r="H322" s="3">
        <v>700</v>
      </c>
      <c r="I322" s="3">
        <v>700</v>
      </c>
      <c r="J322" s="3">
        <v>700</v>
      </c>
      <c r="K322" s="3">
        <v>700</v>
      </c>
      <c r="L322" s="3">
        <v>700</v>
      </c>
      <c r="M322" s="3">
        <v>700</v>
      </c>
      <c r="N322" s="3">
        <v>0</v>
      </c>
      <c r="O322" s="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x14ac:dyDescent="0.2">
      <c r="B323">
        <v>1</v>
      </c>
      <c r="C323">
        <v>2527</v>
      </c>
      <c r="D323">
        <v>1</v>
      </c>
      <c r="E323" t="s">
        <v>377</v>
      </c>
      <c r="F323" s="3">
        <v>1600.18</v>
      </c>
      <c r="G323" s="3">
        <v>1600.18</v>
      </c>
      <c r="H323" s="3">
        <v>1600.18</v>
      </c>
      <c r="I323" s="3">
        <v>1600.18</v>
      </c>
      <c r="J323" s="3">
        <v>900</v>
      </c>
      <c r="K323" s="3">
        <v>900</v>
      </c>
      <c r="L323" s="3">
        <v>900</v>
      </c>
      <c r="M323" s="3">
        <v>900</v>
      </c>
      <c r="N323" s="3">
        <v>0</v>
      </c>
      <c r="O323" s="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x14ac:dyDescent="0.2">
      <c r="B324">
        <v>1</v>
      </c>
      <c r="C324">
        <v>2534</v>
      </c>
      <c r="D324">
        <v>1</v>
      </c>
      <c r="E324" t="s">
        <v>378</v>
      </c>
      <c r="F324" s="3">
        <v>700</v>
      </c>
      <c r="G324" s="3">
        <v>700</v>
      </c>
      <c r="H324" s="3">
        <v>700</v>
      </c>
      <c r="I324" s="3">
        <v>700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x14ac:dyDescent="0.2">
      <c r="B325">
        <v>1</v>
      </c>
      <c r="C325">
        <v>2536</v>
      </c>
      <c r="D325">
        <v>1</v>
      </c>
      <c r="E325" t="s">
        <v>379</v>
      </c>
      <c r="F325" s="3">
        <v>758.05</v>
      </c>
      <c r="G325" s="3">
        <v>758.05</v>
      </c>
      <c r="H325" s="3">
        <v>256.69</v>
      </c>
      <c r="I325" s="3">
        <v>256.69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x14ac:dyDescent="0.2">
      <c r="B326">
        <v>1</v>
      </c>
      <c r="C326">
        <v>2580</v>
      </c>
      <c r="D326">
        <v>1</v>
      </c>
      <c r="E326" t="s">
        <v>380</v>
      </c>
      <c r="F326" s="3">
        <v>120</v>
      </c>
      <c r="G326" s="3">
        <v>120</v>
      </c>
      <c r="H326" s="3">
        <v>120</v>
      </c>
      <c r="I326" s="3">
        <v>120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x14ac:dyDescent="0.2">
      <c r="B327">
        <v>1</v>
      </c>
      <c r="C327">
        <v>2609</v>
      </c>
      <c r="D327">
        <v>1</v>
      </c>
      <c r="E327" t="s">
        <v>381</v>
      </c>
      <c r="F327" s="3">
        <v>800</v>
      </c>
      <c r="G327" s="3">
        <v>800</v>
      </c>
      <c r="H327" s="3">
        <v>800</v>
      </c>
      <c r="I327" s="3">
        <v>800</v>
      </c>
      <c r="J327" s="3">
        <v>800</v>
      </c>
      <c r="K327" s="3">
        <v>800</v>
      </c>
      <c r="L327" s="3">
        <v>800</v>
      </c>
      <c r="M327" s="3">
        <v>800</v>
      </c>
      <c r="N327" s="3">
        <v>800</v>
      </c>
      <c r="O327" s="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x14ac:dyDescent="0.2">
      <c r="B328">
        <v>1</v>
      </c>
      <c r="C328">
        <v>2683</v>
      </c>
      <c r="D328">
        <v>1</v>
      </c>
      <c r="E328" t="s">
        <v>382</v>
      </c>
      <c r="F328" s="3">
        <v>640.70000000000005</v>
      </c>
      <c r="G328" s="3">
        <v>640.70000000000005</v>
      </c>
      <c r="H328" s="3">
        <v>640.70000000000005</v>
      </c>
      <c r="I328" s="3">
        <v>640.70000000000005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x14ac:dyDescent="0.2">
      <c r="B329">
        <v>1</v>
      </c>
      <c r="C329">
        <v>2687</v>
      </c>
      <c r="D329">
        <v>1</v>
      </c>
      <c r="E329" t="s">
        <v>383</v>
      </c>
      <c r="F329" s="3">
        <v>550</v>
      </c>
      <c r="G329" s="3">
        <v>550</v>
      </c>
      <c r="H329" s="3">
        <v>550</v>
      </c>
      <c r="I329" s="3">
        <v>50</v>
      </c>
      <c r="J329" s="3">
        <v>50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x14ac:dyDescent="0.2">
      <c r="B330">
        <v>1</v>
      </c>
      <c r="C330">
        <v>2689</v>
      </c>
      <c r="D330">
        <v>1</v>
      </c>
      <c r="E330" t="s">
        <v>384</v>
      </c>
      <c r="F330" s="3">
        <v>400.88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x14ac:dyDescent="0.2">
      <c r="B331">
        <v>1</v>
      </c>
      <c r="C331">
        <v>2711</v>
      </c>
      <c r="D331">
        <v>1</v>
      </c>
      <c r="E331" t="s">
        <v>385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x14ac:dyDescent="0.2">
      <c r="B332">
        <v>1</v>
      </c>
      <c r="C332">
        <v>2752</v>
      </c>
      <c r="D332">
        <v>1</v>
      </c>
      <c r="E332" t="s">
        <v>386</v>
      </c>
      <c r="F332" s="3">
        <v>500</v>
      </c>
      <c r="G332" s="3">
        <v>500</v>
      </c>
      <c r="H332" s="3">
        <v>500</v>
      </c>
      <c r="I332" s="3">
        <v>500</v>
      </c>
      <c r="J332" s="3">
        <v>500</v>
      </c>
      <c r="K332" s="3">
        <v>500</v>
      </c>
      <c r="L332" s="3">
        <v>0</v>
      </c>
      <c r="M332" s="3">
        <v>0</v>
      </c>
      <c r="N332" s="3">
        <v>0</v>
      </c>
      <c r="O332" s="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x14ac:dyDescent="0.2">
      <c r="B333">
        <v>1</v>
      </c>
      <c r="C333">
        <v>2753</v>
      </c>
      <c r="D333">
        <v>1</v>
      </c>
      <c r="E333" t="s">
        <v>387</v>
      </c>
      <c r="F333" s="3">
        <v>405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x14ac:dyDescent="0.2">
      <c r="B334">
        <v>1</v>
      </c>
      <c r="C334">
        <v>2754</v>
      </c>
      <c r="D334">
        <v>1</v>
      </c>
      <c r="E334" t="s">
        <v>388</v>
      </c>
      <c r="F334" s="3">
        <v>290.05</v>
      </c>
      <c r="G334" s="3">
        <v>290.05</v>
      </c>
      <c r="H334" s="3">
        <v>290.05</v>
      </c>
      <c r="I334" s="3">
        <v>290.05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x14ac:dyDescent="0.2">
      <c r="B335">
        <v>1</v>
      </c>
      <c r="C335">
        <v>2759</v>
      </c>
      <c r="D335">
        <v>1</v>
      </c>
      <c r="E335" t="s">
        <v>389</v>
      </c>
      <c r="F335" s="3">
        <v>807.08</v>
      </c>
      <c r="G335" s="3">
        <v>807.08</v>
      </c>
      <c r="H335" s="3">
        <v>807.08</v>
      </c>
      <c r="I335" s="3">
        <v>807.08</v>
      </c>
      <c r="J335" s="3">
        <v>500</v>
      </c>
      <c r="K335" s="3">
        <v>500</v>
      </c>
      <c r="L335" s="3">
        <v>500</v>
      </c>
      <c r="M335" s="3">
        <v>0</v>
      </c>
      <c r="N335" s="3">
        <v>0</v>
      </c>
      <c r="O335" s="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x14ac:dyDescent="0.2">
      <c r="B336">
        <v>1</v>
      </c>
      <c r="C336">
        <v>2805</v>
      </c>
      <c r="D336">
        <v>1</v>
      </c>
      <c r="E336" t="s">
        <v>390</v>
      </c>
      <c r="F336" s="3">
        <v>700.03</v>
      </c>
      <c r="G336" s="3">
        <v>700.03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x14ac:dyDescent="0.2">
      <c r="B337">
        <v>1</v>
      </c>
      <c r="C337">
        <v>2835</v>
      </c>
      <c r="D337">
        <v>1</v>
      </c>
      <c r="E337" t="s">
        <v>391</v>
      </c>
      <c r="F337" s="3">
        <v>890.19</v>
      </c>
      <c r="G337" s="3">
        <v>890.19</v>
      </c>
      <c r="H337" s="3">
        <v>890.19</v>
      </c>
      <c r="I337" s="3">
        <v>571.61</v>
      </c>
      <c r="J337" s="3">
        <v>571.61</v>
      </c>
      <c r="K337" s="3">
        <v>571.61</v>
      </c>
      <c r="L337" s="3">
        <v>0</v>
      </c>
      <c r="M337" s="3">
        <v>0</v>
      </c>
      <c r="N337" s="3">
        <v>0</v>
      </c>
      <c r="O337" s="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x14ac:dyDescent="0.2">
      <c r="B338">
        <v>1</v>
      </c>
      <c r="C338">
        <v>2853</v>
      </c>
      <c r="D338">
        <v>1</v>
      </c>
      <c r="E338" t="s">
        <v>392</v>
      </c>
      <c r="F338" s="3">
        <v>1100</v>
      </c>
      <c r="G338" s="3">
        <v>1100</v>
      </c>
      <c r="H338" s="3">
        <v>1100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x14ac:dyDescent="0.2">
      <c r="B339">
        <v>1</v>
      </c>
      <c r="C339">
        <v>2854</v>
      </c>
      <c r="D339">
        <v>1</v>
      </c>
      <c r="E339" t="s">
        <v>393</v>
      </c>
      <c r="F339" s="3">
        <v>800.91</v>
      </c>
      <c r="G339" s="3">
        <v>800.91</v>
      </c>
      <c r="H339" s="3">
        <v>800.91</v>
      </c>
      <c r="I339" s="3">
        <v>800.91</v>
      </c>
      <c r="J339" s="3">
        <v>400</v>
      </c>
      <c r="K339" s="3">
        <v>400</v>
      </c>
      <c r="L339" s="3">
        <v>400</v>
      </c>
      <c r="M339" s="3">
        <v>400</v>
      </c>
      <c r="N339" s="3">
        <v>0</v>
      </c>
      <c r="O339" s="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x14ac:dyDescent="0.2">
      <c r="B340">
        <v>1</v>
      </c>
      <c r="C340">
        <v>2856</v>
      </c>
      <c r="D340">
        <v>1</v>
      </c>
      <c r="E340" t="s">
        <v>394</v>
      </c>
      <c r="F340" s="3">
        <v>1000</v>
      </c>
      <c r="G340" s="3">
        <v>1000</v>
      </c>
      <c r="H340" s="3">
        <v>1000</v>
      </c>
      <c r="I340" s="3">
        <v>1000</v>
      </c>
      <c r="J340" s="3">
        <v>1000</v>
      </c>
      <c r="K340" s="3">
        <v>1000</v>
      </c>
      <c r="L340" s="3">
        <v>1000</v>
      </c>
      <c r="M340" s="3">
        <v>0</v>
      </c>
      <c r="N340" s="3">
        <v>0</v>
      </c>
      <c r="O340" s="3">
        <v>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x14ac:dyDescent="0.2">
      <c r="B341">
        <v>1</v>
      </c>
      <c r="C341">
        <v>2859</v>
      </c>
      <c r="D341">
        <v>1</v>
      </c>
      <c r="E341" t="s">
        <v>395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x14ac:dyDescent="0.2">
      <c r="B342">
        <v>1</v>
      </c>
      <c r="C342">
        <v>2860</v>
      </c>
      <c r="D342">
        <v>1</v>
      </c>
      <c r="E342" t="s">
        <v>396</v>
      </c>
      <c r="F342" s="3">
        <v>650</v>
      </c>
      <c r="G342" s="3">
        <v>650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x14ac:dyDescent="0.2">
      <c r="B343">
        <v>1</v>
      </c>
      <c r="C343">
        <v>2884</v>
      </c>
      <c r="D343">
        <v>1</v>
      </c>
      <c r="E343" t="s">
        <v>397</v>
      </c>
      <c r="F343" s="3">
        <v>950.22</v>
      </c>
      <c r="G343" s="3">
        <v>950.22</v>
      </c>
      <c r="H343" s="3">
        <v>950.22</v>
      </c>
      <c r="I343" s="3">
        <v>950.22</v>
      </c>
      <c r="J343" s="3">
        <v>950.22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x14ac:dyDescent="0.2">
      <c r="B344">
        <v>1</v>
      </c>
      <c r="C344">
        <v>2886</v>
      </c>
      <c r="D344">
        <v>1</v>
      </c>
      <c r="E344" t="s">
        <v>398</v>
      </c>
      <c r="F344" s="3">
        <v>881.91</v>
      </c>
      <c r="G344" s="3">
        <v>881.91</v>
      </c>
      <c r="H344" s="3">
        <v>881.91</v>
      </c>
      <c r="I344" s="3">
        <v>433.41</v>
      </c>
      <c r="J344" s="3">
        <v>433.41</v>
      </c>
      <c r="K344" s="3">
        <v>433.41</v>
      </c>
      <c r="L344" s="3">
        <v>433.41</v>
      </c>
      <c r="M344" s="3">
        <v>433.41</v>
      </c>
      <c r="N344" s="3">
        <v>0</v>
      </c>
      <c r="O344" s="3">
        <v>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x14ac:dyDescent="0.2">
      <c r="B345">
        <v>1</v>
      </c>
      <c r="C345">
        <v>2887</v>
      </c>
      <c r="D345">
        <v>1</v>
      </c>
      <c r="E345" t="s">
        <v>399</v>
      </c>
      <c r="F345" s="3">
        <v>703.29</v>
      </c>
      <c r="G345" s="3">
        <v>703.29</v>
      </c>
      <c r="H345" s="3">
        <v>703.29</v>
      </c>
      <c r="I345" s="3">
        <v>703.29</v>
      </c>
      <c r="J345" s="3">
        <v>452.11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x14ac:dyDescent="0.2">
      <c r="B346">
        <v>1</v>
      </c>
      <c r="C346">
        <v>2888</v>
      </c>
      <c r="D346">
        <v>1</v>
      </c>
      <c r="E346" t="s">
        <v>400</v>
      </c>
      <c r="F346" s="3">
        <v>1101.06</v>
      </c>
      <c r="G346" s="3">
        <v>1101.06</v>
      </c>
      <c r="H346" s="3">
        <v>1101.06</v>
      </c>
      <c r="I346" s="3">
        <v>1101.06</v>
      </c>
      <c r="J346" s="3">
        <v>975</v>
      </c>
      <c r="K346" s="3">
        <v>975</v>
      </c>
      <c r="L346" s="3">
        <v>975</v>
      </c>
      <c r="M346" s="3">
        <v>0</v>
      </c>
      <c r="N346" s="3">
        <v>0</v>
      </c>
      <c r="O346" s="3">
        <v>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x14ac:dyDescent="0.2">
      <c r="B347">
        <v>1</v>
      </c>
      <c r="C347">
        <v>2889</v>
      </c>
      <c r="D347">
        <v>1</v>
      </c>
      <c r="E347" t="s">
        <v>401</v>
      </c>
      <c r="F347" s="3">
        <v>500</v>
      </c>
      <c r="G347" s="3">
        <v>500</v>
      </c>
      <c r="H347" s="3">
        <v>500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x14ac:dyDescent="0.2">
      <c r="B348">
        <v>1</v>
      </c>
      <c r="C348">
        <v>2890</v>
      </c>
      <c r="D348">
        <v>1</v>
      </c>
      <c r="E348" t="s">
        <v>402</v>
      </c>
      <c r="F348" s="3">
        <v>1203.97</v>
      </c>
      <c r="G348" s="3">
        <v>1203.97</v>
      </c>
      <c r="H348" s="3">
        <v>1203.97</v>
      </c>
      <c r="I348" s="3">
        <v>400</v>
      </c>
      <c r="J348" s="3">
        <v>400</v>
      </c>
      <c r="K348" s="3">
        <v>400</v>
      </c>
      <c r="L348" s="3">
        <v>400</v>
      </c>
      <c r="M348" s="3">
        <v>400</v>
      </c>
      <c r="N348" s="3">
        <v>400</v>
      </c>
      <c r="O348" s="3">
        <v>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x14ac:dyDescent="0.2">
      <c r="B349">
        <v>1</v>
      </c>
      <c r="C349">
        <v>2895</v>
      </c>
      <c r="D349">
        <v>1</v>
      </c>
      <c r="E349" t="s">
        <v>403</v>
      </c>
      <c r="F349" s="3">
        <v>50.23</v>
      </c>
      <c r="G349" s="3">
        <v>50.23</v>
      </c>
      <c r="H349" s="3">
        <v>50.23</v>
      </c>
      <c r="I349" s="3">
        <v>50.23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x14ac:dyDescent="0.2">
      <c r="B350">
        <v>1</v>
      </c>
      <c r="C350">
        <v>2897</v>
      </c>
      <c r="D350">
        <v>1</v>
      </c>
      <c r="E350" t="s">
        <v>404</v>
      </c>
      <c r="F350" s="3">
        <v>500</v>
      </c>
      <c r="G350" s="3">
        <v>500</v>
      </c>
      <c r="H350" s="3">
        <v>500</v>
      </c>
      <c r="I350" s="3">
        <v>500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x14ac:dyDescent="0.2">
      <c r="B351">
        <v>1</v>
      </c>
      <c r="C351">
        <v>2898</v>
      </c>
      <c r="D351">
        <v>1</v>
      </c>
      <c r="E351" t="s">
        <v>405</v>
      </c>
      <c r="F351" s="3">
        <v>500</v>
      </c>
      <c r="G351" s="3">
        <v>500</v>
      </c>
      <c r="H351" s="3">
        <v>500</v>
      </c>
      <c r="I351" s="3">
        <v>500</v>
      </c>
      <c r="J351" s="3">
        <v>500</v>
      </c>
      <c r="K351" s="3">
        <v>500</v>
      </c>
      <c r="L351" s="3">
        <v>500</v>
      </c>
      <c r="M351" s="3">
        <v>500</v>
      </c>
      <c r="N351" s="3">
        <v>0</v>
      </c>
      <c r="O351" s="3">
        <v>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x14ac:dyDescent="0.2">
      <c r="B352">
        <v>1</v>
      </c>
      <c r="C352" s="64">
        <v>2899</v>
      </c>
      <c r="D352" s="64">
        <v>1</v>
      </c>
      <c r="E352" s="22" t="s">
        <v>908</v>
      </c>
      <c r="F352" s="3">
        <v>292.99</v>
      </c>
      <c r="G352" s="3">
        <v>292.99</v>
      </c>
      <c r="H352" s="3">
        <v>292.99</v>
      </c>
      <c r="I352" s="3">
        <v>292.99</v>
      </c>
      <c r="J352" s="3">
        <v>292.99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x14ac:dyDescent="0.2">
      <c r="B353">
        <v>1</v>
      </c>
      <c r="C353" s="64">
        <v>2902</v>
      </c>
      <c r="D353" s="64">
        <v>1</v>
      </c>
      <c r="E353" s="22" t="s">
        <v>909</v>
      </c>
      <c r="F353" s="3">
        <v>709.45</v>
      </c>
      <c r="G353" s="3">
        <v>709.45</v>
      </c>
      <c r="H353" s="3">
        <v>709.45</v>
      </c>
      <c r="I353" s="3">
        <v>709.45</v>
      </c>
      <c r="J353" s="3">
        <v>709.45</v>
      </c>
      <c r="K353" s="3">
        <v>709.45</v>
      </c>
      <c r="L353" s="3">
        <v>709.45</v>
      </c>
      <c r="M353" s="3">
        <v>709.45</v>
      </c>
      <c r="N353" s="3">
        <v>0</v>
      </c>
      <c r="O353" s="3">
        <v>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31</vt:i4>
      </vt:variant>
    </vt:vector>
  </HeadingPairs>
  <TitlesOfParts>
    <vt:vector size="43" baseType="lpstr">
      <vt:lpstr>Thru06</vt:lpstr>
      <vt:lpstr>Thru05</vt:lpstr>
      <vt:lpstr>Thru01</vt:lpstr>
      <vt:lpstr>Guide</vt:lpstr>
      <vt:lpstr>Law</vt:lpstr>
      <vt:lpstr>Pre1989</vt:lpstr>
      <vt:lpstr>New8990</vt:lpstr>
      <vt:lpstr>New9108</vt:lpstr>
      <vt:lpstr>Input01</vt:lpstr>
      <vt:lpstr>Input05</vt:lpstr>
      <vt:lpstr>Input06</vt:lpstr>
      <vt:lpstr>Outputs</vt:lpstr>
      <vt:lpstr>ADDCY02</vt:lpstr>
      <vt:lpstr>ADDCY03</vt:lpstr>
      <vt:lpstr>ADDCY04</vt:lpstr>
      <vt:lpstr>ADDCY05</vt:lpstr>
      <vt:lpstr>ADDCY06CPINO</vt:lpstr>
      <vt:lpstr>ADDCY06CPIYES</vt:lpstr>
      <vt:lpstr>AFTERCY01</vt:lpstr>
      <vt:lpstr>CANCELLATIONS</vt:lpstr>
      <vt:lpstr>Dnumber</vt:lpstr>
      <vt:lpstr>DNUMBER06</vt:lpstr>
      <vt:lpstr>DNUMBER3</vt:lpstr>
      <vt:lpstr>Input2006</vt:lpstr>
      <vt:lpstr>Inputall</vt:lpstr>
      <vt:lpstr>NAMES</vt:lpstr>
      <vt:lpstr>Guide!Print_Area</vt:lpstr>
      <vt:lpstr>New9108!Print_Area</vt:lpstr>
      <vt:lpstr>Pre1989!Print_Area</vt:lpstr>
      <vt:lpstr>Thru01!Print_Area</vt:lpstr>
      <vt:lpstr>Thru05!Print_Area</vt:lpstr>
      <vt:lpstr>Thru06!Print_Area</vt:lpstr>
      <vt:lpstr>New9108!Print_Titles</vt:lpstr>
      <vt:lpstr>Pre1989!Print_Titles</vt:lpstr>
      <vt:lpstr>Reset</vt:lpstr>
      <vt:lpstr>Revsum</vt:lpstr>
      <vt:lpstr>Start</vt:lpstr>
      <vt:lpstr>SUBCY02</vt:lpstr>
      <vt:lpstr>SUBCY03</vt:lpstr>
      <vt:lpstr>SUBCY04</vt:lpstr>
      <vt:lpstr>SUBCY05</vt:lpstr>
      <vt:lpstr>SUBCY06</vt:lpstr>
      <vt:lpstr>TBRA</vt:lpstr>
    </vt:vector>
  </TitlesOfParts>
  <Company>State of Minnesota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BOBP</dc:creator>
  <cp:lastModifiedBy>Kostelecky, Teri</cp:lastModifiedBy>
  <cp:lastPrinted>2008-11-12T17:13:37Z</cp:lastPrinted>
  <dcterms:created xsi:type="dcterms:W3CDTF">2002-03-14T16:39:25Z</dcterms:created>
  <dcterms:modified xsi:type="dcterms:W3CDTF">2011-10-27T19:04:30Z</dcterms:modified>
</cp:coreProperties>
</file>