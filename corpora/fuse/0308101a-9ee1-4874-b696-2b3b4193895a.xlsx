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9020" windowHeight="12405"/>
  </bookViews>
  <sheets>
    <sheet name="12-13 Request K-Day " sheetId="2" r:id="rId1"/>
    <sheet name="K-Day" sheetId="1" r:id="rId2"/>
  </sheets>
  <calcPr calcId="145621"/>
</workbook>
</file>

<file path=xl/calcChain.xml><?xml version="1.0" encoding="utf-8"?>
<calcChain xmlns="http://schemas.openxmlformats.org/spreadsheetml/2006/main">
  <c r="F20" i="2" l="1"/>
  <c r="F26" i="2"/>
  <c r="F13" i="2"/>
  <c r="F18" i="2"/>
  <c r="F16" i="2"/>
  <c r="I26" i="2" l="1"/>
  <c r="I13" i="2"/>
  <c r="C26" i="2"/>
  <c r="C13" i="2"/>
  <c r="C27" i="2" l="1"/>
  <c r="I26" i="1"/>
  <c r="I13" i="1"/>
  <c r="F26" i="1"/>
  <c r="F13" i="1"/>
  <c r="C26" i="1"/>
  <c r="C13" i="1"/>
  <c r="C27" i="1" l="1"/>
  <c r="F27" i="1"/>
</calcChain>
</file>

<file path=xl/sharedStrings.xml><?xml version="1.0" encoding="utf-8"?>
<sst xmlns="http://schemas.openxmlformats.org/spreadsheetml/2006/main" count="262" uniqueCount="56">
  <si>
    <t>Amounts</t>
  </si>
  <si>
    <t>Sources of Income</t>
  </si>
  <si>
    <t>1.)</t>
  </si>
  <si>
    <t>2.)</t>
  </si>
  <si>
    <t>3.)</t>
  </si>
  <si>
    <t>4.)</t>
  </si>
  <si>
    <t>5.)</t>
  </si>
  <si>
    <t>6.)</t>
  </si>
  <si>
    <t>7.)</t>
  </si>
  <si>
    <t>8.)</t>
  </si>
  <si>
    <t>9.)</t>
  </si>
  <si>
    <t>10.)</t>
  </si>
  <si>
    <t>Total</t>
  </si>
  <si>
    <t>Costs of Events</t>
  </si>
  <si>
    <t>K-Day 2009</t>
  </si>
  <si>
    <t>USG</t>
  </si>
  <si>
    <t>Carryforward</t>
  </si>
  <si>
    <t>Entertainment</t>
  </si>
  <si>
    <t>Food</t>
  </si>
  <si>
    <t>Equipment</t>
  </si>
  <si>
    <t>General Supplies</t>
  </si>
  <si>
    <t>Publicity</t>
  </si>
  <si>
    <t>Other</t>
  </si>
  <si>
    <t>K-Day 2010 (9-10-2010)</t>
  </si>
  <si>
    <t>Proposed K-Day 2011 (9-9-2011)</t>
  </si>
  <si>
    <t>Safety</t>
  </si>
  <si>
    <t>Request 2011</t>
  </si>
  <si>
    <t>Costs 2011</t>
  </si>
  <si>
    <t>Travel</t>
  </si>
  <si>
    <t>Entertainment (TBA by Committee)</t>
  </si>
  <si>
    <t>Food (looking into changing menu - ordered less in 2010 due to lower allocation)</t>
  </si>
  <si>
    <t>Equipment (Power Generator &amp; Tables/Chairs - Could have to figure in labor costs)</t>
  </si>
  <si>
    <t>General Supplies (Tape, Cleaning Supplies &amp; Trash Bags/Containers</t>
  </si>
  <si>
    <t>Publicity (Posters, Signs and T-Shirts for Workers to Identify Staff)</t>
  </si>
  <si>
    <t>Travel (Buses to transport students to and from McLain State Park)</t>
  </si>
  <si>
    <t>Safety (Mercy Ambulance &amp; PSPS)</t>
  </si>
  <si>
    <t>Other (Mclain State Park Fee, Lodging of Entertainment &amp; Inflation Costs)</t>
  </si>
  <si>
    <t>**Not Charged for Facilities Labor Fee or SLS (anticipated)</t>
  </si>
  <si>
    <t xml:space="preserve">Request </t>
  </si>
  <si>
    <t>K-Day 2011 (9-9-2011)</t>
  </si>
  <si>
    <t xml:space="preserve">Proposed K-Day </t>
  </si>
  <si>
    <t>Student Activities</t>
  </si>
  <si>
    <t>End Balance</t>
  </si>
  <si>
    <t>Other (Mclain State Park Fee &amp; Inflation Costs)</t>
  </si>
  <si>
    <t>Equipment (Power Generator, SLS &amp; Tables/Chairs)</t>
  </si>
  <si>
    <t xml:space="preserve">Food </t>
  </si>
  <si>
    <t>General Supplies (Tape, Cleaning Supplies &amp; Trash Bags/Containers)</t>
  </si>
  <si>
    <t>Providing a diverse and inclusive community that encourages involvement and a free exchange of ideas.</t>
  </si>
  <si>
    <t>Valuing creativity, leadership, and excellence.</t>
  </si>
  <si>
    <t>Including students in decisions that enhance their educational experience.</t>
  </si>
  <si>
    <t>Being innovative and supportive in our programs, policies, and procedures.</t>
  </si>
  <si>
    <t>Leading and supporting exemplary collegial relationships within the University community.</t>
  </si>
  <si>
    <t>Learn the skills necessary to work effectively and respectfully in groups.</t>
  </si>
  <si>
    <t>Demonstrate a sense of pride, spirit and affinity for Michigan Tech.</t>
  </si>
  <si>
    <t>Student Affairs Guiding Principles</t>
  </si>
  <si>
    <t>Student Affairs Learning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</si>
</sst>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;[Red]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1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right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164" fontId="2" fillId="0" borderId="6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0" fontId="2" fillId="3" borderId="1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5" fillId="0" borderId="0" xfId="0" applyFont="1" applyBorder="1" applyAlignment="1">
      <alignment horizontal="left"/>
    </xf>
    <xf numFmtId="164" fontId="5" fillId="0" borderId="6" xfId="0" applyNumberFormat="1" applyFont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0" fontId="6" fillId="0" borderId="0" xfId="0" applyFont="1"/>
    <xf numFmtId="164" fontId="6" fillId="0" borderId="10" xfId="0" applyNumberFormat="1" applyFont="1" applyBorder="1"/>
    <xf numFmtId="164" fontId="6" fillId="0" borderId="6" xfId="0" applyNumberFormat="1" applyFont="1" applyBorder="1"/>
    <xf numFmtId="0" fontId="2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0" borderId="14" xfId="0" applyFont="1" applyBorder="1" applyAlignment="1">
      <alignment horizontal="right"/>
    </xf>
    <xf numFmtId="164" fontId="2" fillId="0" borderId="16" xfId="0" applyNumberFormat="1" applyFont="1" applyBorder="1"/>
    <xf numFmtId="0" fontId="2" fillId="0" borderId="14" xfId="0" applyFont="1" applyBorder="1"/>
    <xf numFmtId="164" fontId="2" fillId="0" borderId="15" xfId="0" applyNumberFormat="1" applyFont="1" applyBorder="1"/>
    <xf numFmtId="0" fontId="2" fillId="0" borderId="16" xfId="0" applyFont="1" applyBorder="1"/>
    <xf numFmtId="0" fontId="2" fillId="0" borderId="18" xfId="0" applyFont="1" applyBorder="1"/>
    <xf numFmtId="164" fontId="6" fillId="0" borderId="19" xfId="0" applyNumberFormat="1" applyFont="1" applyBorder="1"/>
    <xf numFmtId="164" fontId="5" fillId="0" borderId="16" xfId="0" applyNumberFormat="1" applyFont="1" applyBorder="1" applyAlignment="1">
      <alignment horizontal="right"/>
    </xf>
    <xf numFmtId="164" fontId="6" fillId="0" borderId="16" xfId="0" applyNumberFormat="1" applyFont="1" applyBorder="1"/>
    <xf numFmtId="164" fontId="2" fillId="3" borderId="16" xfId="0" applyNumberFormat="1" applyFont="1" applyFill="1" applyBorder="1"/>
    <xf numFmtId="164" fontId="8" fillId="0" borderId="16" xfId="0" applyNumberFormat="1" applyFont="1" applyBorder="1"/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/>
    <xf numFmtId="164" fontId="7" fillId="3" borderId="19" xfId="0" applyNumberFormat="1" applyFont="1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4" fontId="1" fillId="2" borderId="19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164" fontId="1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I39"/>
  <sheetViews>
    <sheetView tabSelected="1" topLeftCell="A10" workbookViewId="0">
      <selection activeCell="E33" sqref="E33"/>
    </sheetView>
  </sheetViews>
  <sheetFormatPr defaultRowHeight="15" x14ac:dyDescent="0.25"/>
  <cols>
    <col min="1" max="1" width="9.140625" style="1"/>
    <col min="2" max="2" width="38.85546875" style="1" customWidth="1"/>
    <col min="3" max="3" width="11" style="1" customWidth="1"/>
    <col min="4" max="4" width="9.140625" style="1"/>
    <col min="5" max="5" width="31.28515625" style="1" customWidth="1"/>
    <col min="6" max="6" width="12.7109375" style="1" customWidth="1"/>
    <col min="7" max="7" width="9.140625" style="1"/>
    <col min="8" max="8" width="36" style="1" customWidth="1"/>
    <col min="9" max="9" width="11.140625" style="1" customWidth="1"/>
    <col min="10" max="16384" width="9.140625" style="1"/>
  </cols>
  <sheetData>
    <row r="1" spans="1:9" ht="36" customHeight="1" x14ac:dyDescent="0.25">
      <c r="A1" s="26"/>
      <c r="B1" s="27" t="s">
        <v>23</v>
      </c>
      <c r="C1" s="28"/>
      <c r="D1" s="26"/>
      <c r="E1" s="27" t="s">
        <v>39</v>
      </c>
      <c r="F1" s="28"/>
      <c r="G1" s="26"/>
      <c r="H1" s="27" t="s">
        <v>40</v>
      </c>
      <c r="I1" s="28"/>
    </row>
    <row r="2" spans="1:9" x14ac:dyDescent="0.25">
      <c r="A2" s="29"/>
      <c r="B2" s="18" t="s">
        <v>1</v>
      </c>
      <c r="C2" s="30" t="s">
        <v>0</v>
      </c>
      <c r="D2" s="29"/>
      <c r="E2" s="18" t="s">
        <v>1</v>
      </c>
      <c r="F2" s="30" t="s">
        <v>0</v>
      </c>
      <c r="G2" s="29"/>
      <c r="H2" s="18" t="s">
        <v>1</v>
      </c>
      <c r="I2" s="30" t="s">
        <v>0</v>
      </c>
    </row>
    <row r="3" spans="1:9" x14ac:dyDescent="0.25">
      <c r="A3" s="31" t="s">
        <v>2</v>
      </c>
      <c r="B3" s="3" t="s">
        <v>15</v>
      </c>
      <c r="C3" s="32">
        <v>14000</v>
      </c>
      <c r="D3" s="31" t="s">
        <v>2</v>
      </c>
      <c r="E3" s="19" t="s">
        <v>15</v>
      </c>
      <c r="F3" s="38">
        <v>14000</v>
      </c>
      <c r="G3" s="31" t="s">
        <v>2</v>
      </c>
      <c r="H3" s="19" t="s">
        <v>15</v>
      </c>
      <c r="I3" s="38"/>
    </row>
    <row r="4" spans="1:9" x14ac:dyDescent="0.25">
      <c r="A4" s="31" t="s">
        <v>3</v>
      </c>
      <c r="B4" s="3" t="s">
        <v>16</v>
      </c>
      <c r="C4" s="32">
        <v>2868.77</v>
      </c>
      <c r="D4" s="31" t="s">
        <v>3</v>
      </c>
      <c r="E4" s="3" t="s">
        <v>16</v>
      </c>
      <c r="F4" s="39">
        <v>1633.79</v>
      </c>
      <c r="G4" s="31" t="s">
        <v>3</v>
      </c>
      <c r="H4" s="3" t="s">
        <v>16</v>
      </c>
      <c r="I4" s="39"/>
    </row>
    <row r="5" spans="1:9" x14ac:dyDescent="0.25">
      <c r="A5" s="31" t="s">
        <v>4</v>
      </c>
      <c r="B5" s="3"/>
      <c r="C5" s="32"/>
      <c r="D5" s="31" t="s">
        <v>4</v>
      </c>
      <c r="E5" s="3" t="s">
        <v>41</v>
      </c>
      <c r="F5" s="32">
        <v>692.21</v>
      </c>
      <c r="G5" s="31" t="s">
        <v>4</v>
      </c>
      <c r="H5" s="3"/>
      <c r="I5" s="32"/>
    </row>
    <row r="6" spans="1:9" x14ac:dyDescent="0.25">
      <c r="A6" s="31" t="s">
        <v>5</v>
      </c>
      <c r="B6" s="3"/>
      <c r="C6" s="32"/>
      <c r="D6" s="31" t="s">
        <v>5</v>
      </c>
      <c r="E6" s="3"/>
      <c r="F6" s="32"/>
      <c r="G6" s="31" t="s">
        <v>5</v>
      </c>
      <c r="H6" s="3"/>
      <c r="I6" s="32"/>
    </row>
    <row r="7" spans="1:9" x14ac:dyDescent="0.25">
      <c r="A7" s="31" t="s">
        <v>6</v>
      </c>
      <c r="B7" s="3"/>
      <c r="C7" s="32"/>
      <c r="D7" s="31" t="s">
        <v>6</v>
      </c>
      <c r="E7" s="3"/>
      <c r="F7" s="32"/>
      <c r="G7" s="31" t="s">
        <v>6</v>
      </c>
      <c r="H7" s="3"/>
      <c r="I7" s="32"/>
    </row>
    <row r="8" spans="1:9" x14ac:dyDescent="0.25">
      <c r="A8" s="31" t="s">
        <v>7</v>
      </c>
      <c r="B8" s="3"/>
      <c r="C8" s="32"/>
      <c r="D8" s="31" t="s">
        <v>7</v>
      </c>
      <c r="E8" s="3"/>
      <c r="F8" s="32"/>
      <c r="G8" s="31" t="s">
        <v>7</v>
      </c>
      <c r="H8" s="3"/>
      <c r="I8" s="32"/>
    </row>
    <row r="9" spans="1:9" x14ac:dyDescent="0.25">
      <c r="A9" s="31" t="s">
        <v>8</v>
      </c>
      <c r="B9" s="3"/>
      <c r="C9" s="32"/>
      <c r="D9" s="31" t="s">
        <v>8</v>
      </c>
      <c r="E9" s="3"/>
      <c r="F9" s="32"/>
      <c r="G9" s="31" t="s">
        <v>8</v>
      </c>
      <c r="H9" s="3"/>
      <c r="I9" s="32"/>
    </row>
    <row r="10" spans="1:9" x14ac:dyDescent="0.25">
      <c r="A10" s="31" t="s">
        <v>9</v>
      </c>
      <c r="B10" s="3"/>
      <c r="C10" s="32"/>
      <c r="D10" s="31" t="s">
        <v>9</v>
      </c>
      <c r="E10" s="3"/>
      <c r="F10" s="32"/>
      <c r="G10" s="31" t="s">
        <v>9</v>
      </c>
      <c r="H10" s="3"/>
      <c r="I10" s="32"/>
    </row>
    <row r="11" spans="1:9" x14ac:dyDescent="0.25">
      <c r="A11" s="31" t="s">
        <v>10</v>
      </c>
      <c r="B11" s="3"/>
      <c r="C11" s="32"/>
      <c r="D11" s="31" t="s">
        <v>10</v>
      </c>
      <c r="E11" s="3"/>
      <c r="F11" s="32"/>
      <c r="G11" s="31" t="s">
        <v>10</v>
      </c>
      <c r="H11" s="3"/>
      <c r="I11" s="32"/>
    </row>
    <row r="12" spans="1:9" x14ac:dyDescent="0.25">
      <c r="A12" s="31" t="s">
        <v>11</v>
      </c>
      <c r="B12" s="3"/>
      <c r="C12" s="32"/>
      <c r="D12" s="31" t="s">
        <v>11</v>
      </c>
      <c r="E12" s="3"/>
      <c r="F12" s="32"/>
      <c r="G12" s="31" t="s">
        <v>11</v>
      </c>
      <c r="H12" s="3"/>
      <c r="I12" s="32"/>
    </row>
    <row r="13" spans="1:9" x14ac:dyDescent="0.25">
      <c r="A13" s="33"/>
      <c r="B13" s="4" t="s">
        <v>12</v>
      </c>
      <c r="C13" s="34">
        <f>C3+C4+C5+C6+C7+C8+C9+C10+C11+C12</f>
        <v>16868.77</v>
      </c>
      <c r="D13" s="33"/>
      <c r="E13" s="4" t="s">
        <v>12</v>
      </c>
      <c r="F13" s="34">
        <f>F3+F4+F5+F6+F7+F8+F9+F10+F11+F12</f>
        <v>16326</v>
      </c>
      <c r="G13" s="33"/>
      <c r="H13" s="4" t="s">
        <v>12</v>
      </c>
      <c r="I13" s="34">
        <f>I3+I4+I5+I6+I7+I8+I9+I10+I11+I12</f>
        <v>0</v>
      </c>
    </row>
    <row r="14" spans="1:9" x14ac:dyDescent="0.25">
      <c r="A14" s="33"/>
      <c r="B14" s="3"/>
      <c r="C14" s="35"/>
      <c r="D14" s="33"/>
      <c r="E14" s="3"/>
      <c r="F14" s="35"/>
      <c r="G14" s="33"/>
      <c r="H14" s="3"/>
      <c r="I14" s="35"/>
    </row>
    <row r="15" spans="1:9" x14ac:dyDescent="0.25">
      <c r="A15" s="33"/>
      <c r="B15" s="2" t="s">
        <v>13</v>
      </c>
      <c r="C15" s="35"/>
      <c r="D15" s="33"/>
      <c r="E15" s="2" t="s">
        <v>13</v>
      </c>
      <c r="F15" s="35"/>
      <c r="G15" s="33"/>
      <c r="H15" s="2" t="s">
        <v>13</v>
      </c>
      <c r="I15" s="35"/>
    </row>
    <row r="16" spans="1:9" x14ac:dyDescent="0.25">
      <c r="A16" s="31" t="s">
        <v>2</v>
      </c>
      <c r="B16" s="3" t="s">
        <v>17</v>
      </c>
      <c r="C16" s="32">
        <v>3975</v>
      </c>
      <c r="D16" s="31" t="s">
        <v>2</v>
      </c>
      <c r="E16" s="3" t="s">
        <v>17</v>
      </c>
      <c r="F16" s="32">
        <f>370.8+2000</f>
        <v>2370.8000000000002</v>
      </c>
      <c r="G16" s="31" t="s">
        <v>2</v>
      </c>
      <c r="H16" s="3" t="s">
        <v>17</v>
      </c>
      <c r="I16" s="32">
        <v>2500</v>
      </c>
    </row>
    <row r="17" spans="1:9" x14ac:dyDescent="0.25">
      <c r="A17" s="31" t="s">
        <v>3</v>
      </c>
      <c r="B17" s="3" t="s">
        <v>18</v>
      </c>
      <c r="C17" s="32">
        <v>4818.2</v>
      </c>
      <c r="D17" s="31" t="s">
        <v>3</v>
      </c>
      <c r="E17" s="3" t="s">
        <v>18</v>
      </c>
      <c r="F17" s="40">
        <v>7433.53</v>
      </c>
      <c r="G17" s="31" t="s">
        <v>3</v>
      </c>
      <c r="H17" s="3" t="s">
        <v>18</v>
      </c>
      <c r="I17" s="32">
        <v>7500</v>
      </c>
    </row>
    <row r="18" spans="1:9" x14ac:dyDescent="0.25">
      <c r="A18" s="31" t="s">
        <v>4</v>
      </c>
      <c r="B18" s="3" t="s">
        <v>19</v>
      </c>
      <c r="C18" s="32">
        <v>1801</v>
      </c>
      <c r="D18" s="31" t="s">
        <v>4</v>
      </c>
      <c r="E18" s="3" t="s">
        <v>19</v>
      </c>
      <c r="F18" s="32">
        <f>115+1125+1478.75+300+320+325</f>
        <v>3663.75</v>
      </c>
      <c r="G18" s="31" t="s">
        <v>4</v>
      </c>
      <c r="H18" s="3" t="s">
        <v>19</v>
      </c>
      <c r="I18" s="32">
        <v>3500</v>
      </c>
    </row>
    <row r="19" spans="1:9" x14ac:dyDescent="0.25">
      <c r="A19" s="31" t="s">
        <v>5</v>
      </c>
      <c r="B19" s="3" t="s">
        <v>20</v>
      </c>
      <c r="C19" s="32">
        <v>72.64</v>
      </c>
      <c r="D19" s="31" t="s">
        <v>5</v>
      </c>
      <c r="E19" s="3" t="s">
        <v>20</v>
      </c>
      <c r="F19" s="32">
        <v>49.85</v>
      </c>
      <c r="G19" s="31" t="s">
        <v>5</v>
      </c>
      <c r="H19" s="3" t="s">
        <v>20</v>
      </c>
      <c r="I19" s="32">
        <v>100</v>
      </c>
    </row>
    <row r="20" spans="1:9" x14ac:dyDescent="0.25">
      <c r="A20" s="31" t="s">
        <v>6</v>
      </c>
      <c r="B20" s="3" t="s">
        <v>21</v>
      </c>
      <c r="C20" s="32">
        <v>868.05</v>
      </c>
      <c r="D20" s="31" t="s">
        <v>6</v>
      </c>
      <c r="E20" s="3" t="s">
        <v>21</v>
      </c>
      <c r="F20" s="32">
        <f>725+240.57</f>
        <v>965.56999999999994</v>
      </c>
      <c r="G20" s="31" t="s">
        <v>6</v>
      </c>
      <c r="H20" s="3" t="s">
        <v>21</v>
      </c>
      <c r="I20" s="32">
        <v>1000</v>
      </c>
    </row>
    <row r="21" spans="1:9" x14ac:dyDescent="0.25">
      <c r="A21" s="31" t="s">
        <v>7</v>
      </c>
      <c r="B21" s="3" t="s">
        <v>22</v>
      </c>
      <c r="C21" s="32">
        <v>1950.09</v>
      </c>
      <c r="D21" s="31" t="s">
        <v>7</v>
      </c>
      <c r="E21" s="3" t="s">
        <v>28</v>
      </c>
      <c r="F21" s="32">
        <v>1326</v>
      </c>
      <c r="G21" s="31" t="s">
        <v>7</v>
      </c>
      <c r="H21" s="3" t="s">
        <v>28</v>
      </c>
      <c r="I21" s="32">
        <v>1500</v>
      </c>
    </row>
    <row r="22" spans="1:9" x14ac:dyDescent="0.25">
      <c r="A22" s="31" t="s">
        <v>8</v>
      </c>
      <c r="B22" s="3"/>
      <c r="C22" s="32"/>
      <c r="D22" s="31" t="s">
        <v>8</v>
      </c>
      <c r="E22" s="3" t="s">
        <v>25</v>
      </c>
      <c r="F22" s="41">
        <v>466.76</v>
      </c>
      <c r="G22" s="31" t="s">
        <v>8</v>
      </c>
      <c r="H22" s="3" t="s">
        <v>25</v>
      </c>
      <c r="I22" s="32">
        <v>500</v>
      </c>
    </row>
    <row r="23" spans="1:9" x14ac:dyDescent="0.25">
      <c r="A23" s="31" t="s">
        <v>9</v>
      </c>
      <c r="B23" s="3"/>
      <c r="C23" s="32"/>
      <c r="D23" s="31" t="s">
        <v>9</v>
      </c>
      <c r="E23" s="3" t="s">
        <v>22</v>
      </c>
      <c r="F23" s="32">
        <v>50.44</v>
      </c>
      <c r="G23" s="31" t="s">
        <v>9</v>
      </c>
      <c r="H23" s="3" t="s">
        <v>22</v>
      </c>
      <c r="I23" s="32">
        <v>100</v>
      </c>
    </row>
    <row r="24" spans="1:9" x14ac:dyDescent="0.25">
      <c r="A24" s="31" t="s">
        <v>10</v>
      </c>
      <c r="B24" s="3"/>
      <c r="C24" s="32"/>
      <c r="D24" s="31" t="s">
        <v>10</v>
      </c>
      <c r="E24" s="3"/>
      <c r="F24" s="32"/>
      <c r="G24" s="31" t="s">
        <v>10</v>
      </c>
      <c r="H24" s="3"/>
      <c r="I24" s="32"/>
    </row>
    <row r="25" spans="1:9" x14ac:dyDescent="0.25">
      <c r="A25" s="31" t="s">
        <v>11</v>
      </c>
      <c r="B25" s="3"/>
      <c r="C25" s="32"/>
      <c r="D25" s="31" t="s">
        <v>11</v>
      </c>
      <c r="E25" s="3"/>
      <c r="F25" s="32"/>
      <c r="G25" s="31" t="s">
        <v>11</v>
      </c>
      <c r="H25" s="3"/>
      <c r="I25" s="32"/>
    </row>
    <row r="26" spans="1:9" x14ac:dyDescent="0.25">
      <c r="A26" s="33"/>
      <c r="B26" s="4" t="s">
        <v>12</v>
      </c>
      <c r="C26" s="34">
        <f>C16+C17+C18+C19+C20+C21+C22+C23+C24+C25</f>
        <v>13484.98</v>
      </c>
      <c r="D26" s="33"/>
      <c r="E26" s="4" t="s">
        <v>12</v>
      </c>
      <c r="F26" s="34">
        <f>SUM(F16:F25)</f>
        <v>16326.7</v>
      </c>
      <c r="G26" s="33"/>
      <c r="H26" s="4" t="s">
        <v>12</v>
      </c>
      <c r="I26" s="34">
        <f>I16+I17+I18+I19+I20+I21+I22+I23+I24+I25</f>
        <v>16700</v>
      </c>
    </row>
    <row r="27" spans="1:9" ht="15.75" thickBot="1" x14ac:dyDescent="0.3">
      <c r="A27" s="33"/>
      <c r="B27" s="36" t="s">
        <v>16</v>
      </c>
      <c r="C27" s="37">
        <f>C13-C26</f>
        <v>3383.7900000000009</v>
      </c>
      <c r="D27" s="42"/>
      <c r="E27" s="43" t="s">
        <v>42</v>
      </c>
      <c r="F27" s="44">
        <v>0.7</v>
      </c>
      <c r="G27" s="45"/>
      <c r="H27" s="46" t="s">
        <v>38</v>
      </c>
      <c r="I27" s="47">
        <v>16000</v>
      </c>
    </row>
    <row r="28" spans="1:9" x14ac:dyDescent="0.25">
      <c r="A28" s="3"/>
      <c r="C28" s="23" t="s">
        <v>37</v>
      </c>
      <c r="D28" s="23"/>
      <c r="E28" s="23"/>
    </row>
    <row r="29" spans="1:9" x14ac:dyDescent="0.25">
      <c r="A29" s="3"/>
      <c r="B29" s="1" t="s">
        <v>27</v>
      </c>
    </row>
    <row r="30" spans="1:9" x14ac:dyDescent="0.25">
      <c r="A30" s="48" t="s">
        <v>2</v>
      </c>
      <c r="B30" s="3" t="s">
        <v>29</v>
      </c>
      <c r="F30" s="49" t="s">
        <v>54</v>
      </c>
    </row>
    <row r="31" spans="1:9" x14ac:dyDescent="0.25">
      <c r="A31" s="48" t="s">
        <v>3</v>
      </c>
      <c r="B31" s="3" t="s">
        <v>45</v>
      </c>
      <c r="F31" t="s">
        <v>47</v>
      </c>
    </row>
    <row r="32" spans="1:9" x14ac:dyDescent="0.25">
      <c r="A32" s="48" t="s">
        <v>4</v>
      </c>
      <c r="B32" s="3" t="s">
        <v>44</v>
      </c>
      <c r="F32" t="s">
        <v>48</v>
      </c>
    </row>
    <row r="33" spans="1:6" x14ac:dyDescent="0.25">
      <c r="A33" s="48" t="s">
        <v>5</v>
      </c>
      <c r="B33" s="3" t="s">
        <v>46</v>
      </c>
      <c r="F33" t="s">
        <v>49</v>
      </c>
    </row>
    <row r="34" spans="1:6" x14ac:dyDescent="0.25">
      <c r="A34" s="48" t="s">
        <v>6</v>
      </c>
      <c r="B34" s="3" t="s">
        <v>33</v>
      </c>
      <c r="F34" t="s">
        <v>50</v>
      </c>
    </row>
    <row r="35" spans="1:6" x14ac:dyDescent="0.25">
      <c r="A35" s="48" t="s">
        <v>7</v>
      </c>
      <c r="B35" s="1" t="s">
        <v>34</v>
      </c>
      <c r="F35" t="s">
        <v>51</v>
      </c>
    </row>
    <row r="36" spans="1:6" x14ac:dyDescent="0.25">
      <c r="A36" s="48" t="s">
        <v>8</v>
      </c>
      <c r="B36" s="1" t="s">
        <v>35</v>
      </c>
      <c r="F36" s="49" t="s">
        <v>55</v>
      </c>
    </row>
    <row r="37" spans="1:6" x14ac:dyDescent="0.25">
      <c r="A37" s="48" t="s">
        <v>9</v>
      </c>
      <c r="B37" s="3" t="s">
        <v>43</v>
      </c>
      <c r="F37" t="s">
        <v>52</v>
      </c>
    </row>
    <row r="38" spans="1:6" x14ac:dyDescent="0.25">
      <c r="A38" s="3"/>
      <c r="F38" t="s">
        <v>53</v>
      </c>
    </row>
    <row r="39" spans="1:6" x14ac:dyDescent="0.25">
      <c r="A39" s="3"/>
    </row>
  </sheetData>
  <pageMargins left="0.7" right="0.7" top="0.75" bottom="0.75" header="0.3" footer="0.3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I38"/>
  <sheetViews>
    <sheetView topLeftCell="A7" workbookViewId="0">
      <selection activeCell="B42" sqref="B42"/>
    </sheetView>
  </sheetViews>
  <sheetFormatPr defaultRowHeight="15" x14ac:dyDescent="0.25"/>
  <cols>
    <col min="1" max="1" width="7" style="1" customWidth="1"/>
    <col min="2" max="2" width="35.5703125" style="1" customWidth="1"/>
    <col min="3" max="3" width="10.7109375" style="1" customWidth="1"/>
    <col min="4" max="4" width="9.140625" style="1"/>
    <col min="5" max="5" width="38.85546875" style="1" customWidth="1"/>
    <col min="6" max="6" width="11" style="1" customWidth="1"/>
    <col min="7" max="7" width="9.140625" style="1"/>
    <col min="8" max="8" width="31.28515625" style="1" customWidth="1"/>
    <col min="9" max="9" width="11.85546875" style="1" customWidth="1"/>
    <col min="10" max="16384" width="9.140625" style="1"/>
  </cols>
  <sheetData>
    <row r="1" spans="1:9" ht="36" customHeight="1" thickTop="1" x14ac:dyDescent="0.25">
      <c r="A1" s="5"/>
      <c r="B1" s="6" t="s">
        <v>14</v>
      </c>
      <c r="C1" s="7"/>
      <c r="D1" s="5"/>
      <c r="E1" s="6" t="s">
        <v>23</v>
      </c>
      <c r="F1" s="7"/>
      <c r="G1" s="5"/>
      <c r="H1" s="6" t="s">
        <v>24</v>
      </c>
      <c r="I1" s="7"/>
    </row>
    <row r="2" spans="1:9" x14ac:dyDescent="0.25">
      <c r="A2" s="8"/>
      <c r="B2" s="2" t="s">
        <v>1</v>
      </c>
      <c r="C2" s="16" t="s">
        <v>0</v>
      </c>
      <c r="D2" s="17"/>
      <c r="E2" s="18" t="s">
        <v>1</v>
      </c>
      <c r="F2" s="16" t="s">
        <v>0</v>
      </c>
      <c r="G2" s="17"/>
      <c r="H2" s="18" t="s">
        <v>1</v>
      </c>
      <c r="I2" s="16" t="s">
        <v>0</v>
      </c>
    </row>
    <row r="3" spans="1:9" x14ac:dyDescent="0.25">
      <c r="A3" s="9" t="s">
        <v>2</v>
      </c>
      <c r="B3" s="3" t="s">
        <v>15</v>
      </c>
      <c r="C3" s="10">
        <v>17000</v>
      </c>
      <c r="D3" s="9" t="s">
        <v>2</v>
      </c>
      <c r="E3" s="3" t="s">
        <v>15</v>
      </c>
      <c r="F3" s="10">
        <v>14000</v>
      </c>
      <c r="G3" s="9" t="s">
        <v>2</v>
      </c>
      <c r="H3" s="19" t="s">
        <v>15</v>
      </c>
      <c r="I3" s="20"/>
    </row>
    <row r="4" spans="1:9" x14ac:dyDescent="0.25">
      <c r="A4" s="9" t="s">
        <v>3</v>
      </c>
      <c r="B4" s="3" t="s">
        <v>16</v>
      </c>
      <c r="C4" s="10">
        <v>2576.79</v>
      </c>
      <c r="D4" s="9" t="s">
        <v>3</v>
      </c>
      <c r="E4" s="3" t="s">
        <v>16</v>
      </c>
      <c r="F4" s="10">
        <v>2868.77</v>
      </c>
      <c r="G4" s="9" t="s">
        <v>3</v>
      </c>
      <c r="H4" s="3" t="s">
        <v>16</v>
      </c>
      <c r="I4" s="25">
        <v>3633.79</v>
      </c>
    </row>
    <row r="5" spans="1:9" x14ac:dyDescent="0.25">
      <c r="A5" s="9" t="s">
        <v>4</v>
      </c>
      <c r="B5" s="3"/>
      <c r="C5" s="10"/>
      <c r="D5" s="9" t="s">
        <v>4</v>
      </c>
      <c r="E5" s="3"/>
      <c r="F5" s="10"/>
      <c r="G5" s="9" t="s">
        <v>4</v>
      </c>
      <c r="H5" s="3"/>
      <c r="I5" s="10"/>
    </row>
    <row r="6" spans="1:9" x14ac:dyDescent="0.25">
      <c r="A6" s="9" t="s">
        <v>5</v>
      </c>
      <c r="B6" s="3"/>
      <c r="C6" s="10"/>
      <c r="D6" s="9" t="s">
        <v>5</v>
      </c>
      <c r="E6" s="3"/>
      <c r="F6" s="10"/>
      <c r="G6" s="9" t="s">
        <v>5</v>
      </c>
      <c r="H6" s="3"/>
      <c r="I6" s="10"/>
    </row>
    <row r="7" spans="1:9" x14ac:dyDescent="0.25">
      <c r="A7" s="9" t="s">
        <v>6</v>
      </c>
      <c r="B7" s="3"/>
      <c r="C7" s="10"/>
      <c r="D7" s="9" t="s">
        <v>6</v>
      </c>
      <c r="E7" s="3"/>
      <c r="F7" s="10"/>
      <c r="G7" s="9" t="s">
        <v>6</v>
      </c>
      <c r="H7" s="3"/>
      <c r="I7" s="10"/>
    </row>
    <row r="8" spans="1:9" x14ac:dyDescent="0.25">
      <c r="A8" s="9" t="s">
        <v>7</v>
      </c>
      <c r="B8" s="3"/>
      <c r="C8" s="10"/>
      <c r="D8" s="9" t="s">
        <v>7</v>
      </c>
      <c r="E8" s="3"/>
      <c r="F8" s="10"/>
      <c r="G8" s="9" t="s">
        <v>7</v>
      </c>
      <c r="H8" s="3"/>
      <c r="I8" s="10"/>
    </row>
    <row r="9" spans="1:9" x14ac:dyDescent="0.25">
      <c r="A9" s="9" t="s">
        <v>8</v>
      </c>
      <c r="B9" s="3"/>
      <c r="C9" s="10"/>
      <c r="D9" s="9" t="s">
        <v>8</v>
      </c>
      <c r="E9" s="3"/>
      <c r="F9" s="10"/>
      <c r="G9" s="9" t="s">
        <v>8</v>
      </c>
      <c r="H9" s="3"/>
      <c r="I9" s="10"/>
    </row>
    <row r="10" spans="1:9" x14ac:dyDescent="0.25">
      <c r="A10" s="9" t="s">
        <v>9</v>
      </c>
      <c r="B10" s="3"/>
      <c r="C10" s="10"/>
      <c r="D10" s="9" t="s">
        <v>9</v>
      </c>
      <c r="E10" s="3"/>
      <c r="F10" s="10"/>
      <c r="G10" s="9" t="s">
        <v>9</v>
      </c>
      <c r="H10" s="3"/>
      <c r="I10" s="10"/>
    </row>
    <row r="11" spans="1:9" x14ac:dyDescent="0.25">
      <c r="A11" s="9" t="s">
        <v>10</v>
      </c>
      <c r="B11" s="3"/>
      <c r="C11" s="10"/>
      <c r="D11" s="9" t="s">
        <v>10</v>
      </c>
      <c r="E11" s="3"/>
      <c r="F11" s="10"/>
      <c r="G11" s="9" t="s">
        <v>10</v>
      </c>
      <c r="H11" s="3"/>
      <c r="I11" s="10"/>
    </row>
    <row r="12" spans="1:9" x14ac:dyDescent="0.25">
      <c r="A12" s="9" t="s">
        <v>11</v>
      </c>
      <c r="B12" s="3"/>
      <c r="C12" s="10"/>
      <c r="D12" s="9" t="s">
        <v>11</v>
      </c>
      <c r="E12" s="3"/>
      <c r="F12" s="10"/>
      <c r="G12" s="9" t="s">
        <v>11</v>
      </c>
      <c r="H12" s="3"/>
      <c r="I12" s="10"/>
    </row>
    <row r="13" spans="1:9" x14ac:dyDescent="0.25">
      <c r="A13" s="8"/>
      <c r="B13" s="4" t="s">
        <v>12</v>
      </c>
      <c r="C13" s="14">
        <f>C3+C4+C5+C6+C7+C8+C9+C10+C11+C12</f>
        <v>19576.79</v>
      </c>
      <c r="D13" s="3"/>
      <c r="E13" s="4" t="s">
        <v>12</v>
      </c>
      <c r="F13" s="14">
        <f>F3+F4+F5+F6+F7+F8+F9+F10+F11+F12</f>
        <v>16868.77</v>
      </c>
      <c r="G13" s="3"/>
      <c r="H13" s="4" t="s">
        <v>12</v>
      </c>
      <c r="I13" s="14">
        <f>I3+I4+I5+I6+I7+I8+I9+I10+I11+I12</f>
        <v>3633.79</v>
      </c>
    </row>
    <row r="14" spans="1:9" x14ac:dyDescent="0.25">
      <c r="A14" s="8"/>
      <c r="B14" s="3"/>
      <c r="C14" s="11"/>
      <c r="D14" s="8"/>
      <c r="E14" s="3"/>
      <c r="F14" s="11"/>
      <c r="G14" s="8"/>
      <c r="H14" s="3"/>
      <c r="I14" s="11"/>
    </row>
    <row r="15" spans="1:9" x14ac:dyDescent="0.25">
      <c r="A15" s="8"/>
      <c r="B15" s="2" t="s">
        <v>13</v>
      </c>
      <c r="C15" s="11"/>
      <c r="D15" s="8"/>
      <c r="E15" s="2" t="s">
        <v>13</v>
      </c>
      <c r="F15" s="11"/>
      <c r="G15" s="8"/>
      <c r="H15" s="2" t="s">
        <v>13</v>
      </c>
      <c r="I15" s="11"/>
    </row>
    <row r="16" spans="1:9" x14ac:dyDescent="0.25">
      <c r="A16" s="9" t="s">
        <v>2</v>
      </c>
      <c r="B16" s="3" t="s">
        <v>17</v>
      </c>
      <c r="C16" s="10">
        <v>3975</v>
      </c>
      <c r="D16" s="9" t="s">
        <v>2</v>
      </c>
      <c r="E16" s="3" t="s">
        <v>17</v>
      </c>
      <c r="F16" s="10">
        <v>3975</v>
      </c>
      <c r="G16" s="9" t="s">
        <v>2</v>
      </c>
      <c r="H16" s="3" t="s">
        <v>17</v>
      </c>
      <c r="I16" s="10">
        <v>4500</v>
      </c>
    </row>
    <row r="17" spans="1:9" x14ac:dyDescent="0.25">
      <c r="A17" s="9" t="s">
        <v>3</v>
      </c>
      <c r="B17" s="3" t="s">
        <v>18</v>
      </c>
      <c r="C17" s="10">
        <v>7468.5</v>
      </c>
      <c r="D17" s="9" t="s">
        <v>3</v>
      </c>
      <c r="E17" s="3" t="s">
        <v>18</v>
      </c>
      <c r="F17" s="10">
        <v>4818.2</v>
      </c>
      <c r="G17" s="9" t="s">
        <v>3</v>
      </c>
      <c r="H17" s="3" t="s">
        <v>18</v>
      </c>
      <c r="I17" s="10">
        <v>6000</v>
      </c>
    </row>
    <row r="18" spans="1:9" x14ac:dyDescent="0.25">
      <c r="A18" s="9" t="s">
        <v>4</v>
      </c>
      <c r="B18" s="3" t="s">
        <v>19</v>
      </c>
      <c r="C18" s="10">
        <v>2308.0300000000002</v>
      </c>
      <c r="D18" s="9" t="s">
        <v>4</v>
      </c>
      <c r="E18" s="3" t="s">
        <v>19</v>
      </c>
      <c r="F18" s="10">
        <v>1801</v>
      </c>
      <c r="G18" s="9" t="s">
        <v>4</v>
      </c>
      <c r="H18" s="3" t="s">
        <v>19</v>
      </c>
      <c r="I18" s="10">
        <v>2000</v>
      </c>
    </row>
    <row r="19" spans="1:9" x14ac:dyDescent="0.25">
      <c r="A19" s="9" t="s">
        <v>5</v>
      </c>
      <c r="B19" s="3" t="s">
        <v>20</v>
      </c>
      <c r="C19" s="10">
        <v>21</v>
      </c>
      <c r="D19" s="9" t="s">
        <v>5</v>
      </c>
      <c r="E19" s="3" t="s">
        <v>20</v>
      </c>
      <c r="F19" s="10">
        <v>72.64</v>
      </c>
      <c r="G19" s="9" t="s">
        <v>5</v>
      </c>
      <c r="H19" s="3" t="s">
        <v>20</v>
      </c>
      <c r="I19" s="10">
        <v>100</v>
      </c>
    </row>
    <row r="20" spans="1:9" x14ac:dyDescent="0.25">
      <c r="A20" s="9" t="s">
        <v>6</v>
      </c>
      <c r="B20" s="3" t="s">
        <v>21</v>
      </c>
      <c r="C20" s="10">
        <v>1111.05</v>
      </c>
      <c r="D20" s="9" t="s">
        <v>6</v>
      </c>
      <c r="E20" s="3" t="s">
        <v>21</v>
      </c>
      <c r="F20" s="10">
        <v>868.05</v>
      </c>
      <c r="G20" s="9" t="s">
        <v>6</v>
      </c>
      <c r="H20" s="3" t="s">
        <v>21</v>
      </c>
      <c r="I20" s="10">
        <v>900</v>
      </c>
    </row>
    <row r="21" spans="1:9" x14ac:dyDescent="0.25">
      <c r="A21" s="9" t="s">
        <v>7</v>
      </c>
      <c r="B21" s="3" t="s">
        <v>22</v>
      </c>
      <c r="C21" s="10">
        <v>1824.44</v>
      </c>
      <c r="D21" s="9" t="s">
        <v>7</v>
      </c>
      <c r="E21" s="3" t="s">
        <v>22</v>
      </c>
      <c r="F21" s="10">
        <v>1950.09</v>
      </c>
      <c r="G21" s="9" t="s">
        <v>7</v>
      </c>
      <c r="H21" s="1" t="s">
        <v>28</v>
      </c>
      <c r="I21" s="10">
        <v>1275</v>
      </c>
    </row>
    <row r="22" spans="1:9" x14ac:dyDescent="0.25">
      <c r="A22" s="9" t="s">
        <v>8</v>
      </c>
      <c r="B22" s="3"/>
      <c r="C22" s="10"/>
      <c r="D22" s="9" t="s">
        <v>8</v>
      </c>
      <c r="E22" s="3"/>
      <c r="F22" s="10"/>
      <c r="G22" s="9" t="s">
        <v>8</v>
      </c>
      <c r="H22" s="1" t="s">
        <v>25</v>
      </c>
      <c r="I22" s="10">
        <v>500</v>
      </c>
    </row>
    <row r="23" spans="1:9" x14ac:dyDescent="0.25">
      <c r="A23" s="9" t="s">
        <v>9</v>
      </c>
      <c r="B23" s="3"/>
      <c r="C23" s="10"/>
      <c r="D23" s="9" t="s">
        <v>9</v>
      </c>
      <c r="E23" s="3"/>
      <c r="F23" s="10"/>
      <c r="G23" s="9" t="s">
        <v>9</v>
      </c>
      <c r="H23" s="3" t="s">
        <v>22</v>
      </c>
      <c r="I23" s="10">
        <v>425</v>
      </c>
    </row>
    <row r="24" spans="1:9" x14ac:dyDescent="0.25">
      <c r="A24" s="9" t="s">
        <v>10</v>
      </c>
      <c r="B24" s="3"/>
      <c r="C24" s="10"/>
      <c r="D24" s="9" t="s">
        <v>10</v>
      </c>
      <c r="E24" s="3"/>
      <c r="F24" s="10"/>
      <c r="G24" s="9" t="s">
        <v>10</v>
      </c>
      <c r="H24" s="3"/>
      <c r="I24" s="10"/>
    </row>
    <row r="25" spans="1:9" x14ac:dyDescent="0.25">
      <c r="A25" s="9" t="s">
        <v>11</v>
      </c>
      <c r="B25" s="3"/>
      <c r="C25" s="10"/>
      <c r="D25" s="9" t="s">
        <v>11</v>
      </c>
      <c r="E25" s="3"/>
      <c r="F25" s="10"/>
      <c r="G25" s="9" t="s">
        <v>11</v>
      </c>
      <c r="H25" s="3"/>
      <c r="I25" s="10"/>
    </row>
    <row r="26" spans="1:9" x14ac:dyDescent="0.25">
      <c r="A26" s="8"/>
      <c r="B26" s="4" t="s">
        <v>12</v>
      </c>
      <c r="C26" s="14">
        <f>C16+C17+C18+C19+C20+C21+C22+C23+C24+C25</f>
        <v>16708.02</v>
      </c>
      <c r="D26" s="3"/>
      <c r="E26" s="4" t="s">
        <v>12</v>
      </c>
      <c r="F26" s="14">
        <f>F16+F17+F18+F19+F20+F21+F22+F23+F24+F25</f>
        <v>13484.98</v>
      </c>
      <c r="G26" s="3"/>
      <c r="H26" s="4" t="s">
        <v>12</v>
      </c>
      <c r="I26" s="14">
        <f>I16+I17+I18+I19+I20+I21+I22+I23+I24+I25</f>
        <v>15700</v>
      </c>
    </row>
    <row r="27" spans="1:9" ht="15.75" thickBot="1" x14ac:dyDescent="0.3">
      <c r="A27" s="12"/>
      <c r="B27" s="13" t="s">
        <v>16</v>
      </c>
      <c r="C27" s="15">
        <f>C13-C26</f>
        <v>2868.7700000000004</v>
      </c>
      <c r="D27" s="13"/>
      <c r="E27" s="13" t="s">
        <v>16</v>
      </c>
      <c r="F27" s="24">
        <f>F13-F26</f>
        <v>3383.7900000000009</v>
      </c>
      <c r="G27" s="21"/>
      <c r="H27" s="21" t="s">
        <v>26</v>
      </c>
      <c r="I27" s="22">
        <v>15000</v>
      </c>
    </row>
    <row r="28" spans="1:9" ht="15.75" thickTop="1" x14ac:dyDescent="0.25">
      <c r="F28" s="23" t="s">
        <v>37</v>
      </c>
      <c r="G28" s="23"/>
      <c r="H28" s="23"/>
    </row>
    <row r="30" spans="1:9" x14ac:dyDescent="0.25">
      <c r="B30" s="1" t="s">
        <v>27</v>
      </c>
    </row>
    <row r="31" spans="1:9" x14ac:dyDescent="0.25">
      <c r="A31" s="9" t="s">
        <v>2</v>
      </c>
      <c r="B31" s="3" t="s">
        <v>29</v>
      </c>
    </row>
    <row r="32" spans="1:9" x14ac:dyDescent="0.25">
      <c r="A32" s="9" t="s">
        <v>3</v>
      </c>
      <c r="B32" s="3" t="s">
        <v>30</v>
      </c>
    </row>
    <row r="33" spans="1:2" x14ac:dyDescent="0.25">
      <c r="A33" s="9" t="s">
        <v>4</v>
      </c>
      <c r="B33" s="3" t="s">
        <v>31</v>
      </c>
    </row>
    <row r="34" spans="1:2" x14ac:dyDescent="0.25">
      <c r="A34" s="9" t="s">
        <v>5</v>
      </c>
      <c r="B34" s="3" t="s">
        <v>32</v>
      </c>
    </row>
    <row r="35" spans="1:2" x14ac:dyDescent="0.25">
      <c r="A35" s="9" t="s">
        <v>6</v>
      </c>
      <c r="B35" s="3" t="s">
        <v>33</v>
      </c>
    </row>
    <row r="36" spans="1:2" x14ac:dyDescent="0.25">
      <c r="A36" s="9" t="s">
        <v>7</v>
      </c>
      <c r="B36" s="1" t="s">
        <v>34</v>
      </c>
    </row>
    <row r="37" spans="1:2" x14ac:dyDescent="0.25">
      <c r="A37" s="9" t="s">
        <v>8</v>
      </c>
      <c r="B37" s="1" t="s">
        <v>35</v>
      </c>
    </row>
    <row r="38" spans="1:2" x14ac:dyDescent="0.25">
      <c r="A38" s="9" t="s">
        <v>9</v>
      </c>
      <c r="B38" s="3" t="s">
        <v>36</v>
      </c>
    </row>
  </sheetData>
  <pageMargins left="0.7" right="0.7" top="0.75" bottom="0.75" header="0.3" footer="0.3"/>
  <pageSetup paperSize="5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12-13 Request K-Day </vt:lpstr>
      <vt:lpstr>K-Day</vt:lpstr>
    </vt:vector>
  </TitlesOfParts>
  <Company>Michigan Tech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Michael Holmes</dc:creator>
  <cp:lastModifiedBy>Rachel L. Wussow</cp:lastModifiedBy>
  <cp:lastPrinted>2012-02-28T22:12:40Z</cp:lastPrinted>
  <dcterms:created xsi:type="dcterms:W3CDTF">2010-01-11T16:31:29Z</dcterms:created>
  <dcterms:modified xsi:type="dcterms:W3CDTF">2012-02-29T15:07:13Z</dcterms:modified>
</cp:coreProperties>
</file>