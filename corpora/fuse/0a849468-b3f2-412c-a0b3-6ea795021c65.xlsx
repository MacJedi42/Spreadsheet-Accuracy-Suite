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drawings/drawing4.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ml.chartshap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5" yWindow="-15" windowWidth="7695" windowHeight="8265" activeTab="1"/>
  </bookViews>
  <sheets>
    <sheet name="SUMMARY" sheetId="1" r:id="rId1"/>
    <sheet name="UK MD" sheetId="2" r:id="rId2"/>
    <sheet name="UK non-MD" sheetId="4" r:id="rId3"/>
    <sheet name="Refs" sheetId="5" r:id="rId4"/>
  </sheets>
  <definedNames>
    <definedName name="_xlnm.Print_Area" localSheetId="0">SUMMARY!$A$1:$L$54</definedName>
    <definedName name="_xlnm.Print_Area" localSheetId="2">'UK non-MD'!$A$1:$J$75</definedName>
  </definedNames>
  <calcPr calcId="124519"/>
</workbook>
</file>

<file path=xl/calcChain.xml><?xml version="1.0" encoding="utf-8"?>
<calcChain xmlns="http://schemas.openxmlformats.org/spreadsheetml/2006/main">
  <c r="G35" i="4"/>
  <c r="G34"/>
  <c r="G33"/>
  <c r="C58" l="1"/>
  <c r="D58"/>
  <c r="D72"/>
  <c r="C50"/>
  <c r="C72"/>
  <c r="D111" i="2"/>
  <c r="D112"/>
  <c r="D113"/>
  <c r="D114"/>
  <c r="D115"/>
  <c r="D116"/>
  <c r="D117"/>
  <c r="D118"/>
  <c r="D119"/>
  <c r="D120"/>
  <c r="C112"/>
  <c r="C113"/>
  <c r="C114"/>
  <c r="C115"/>
  <c r="C116"/>
  <c r="C117"/>
  <c r="C118"/>
  <c r="C119"/>
  <c r="C120"/>
  <c r="C111"/>
  <c r="G44" i="1" l="1"/>
  <c r="H44"/>
  <c r="F44"/>
  <c r="F47"/>
  <c r="G47"/>
  <c r="H47"/>
  <c r="F46"/>
  <c r="G46"/>
  <c r="H46"/>
  <c r="E47"/>
  <c r="E46"/>
  <c r="H37"/>
  <c r="G37"/>
  <c r="H36"/>
  <c r="G36"/>
  <c r="H34"/>
  <c r="H38" s="1"/>
  <c r="E50" i="4"/>
  <c r="G34" i="1"/>
  <c r="G38" s="1"/>
  <c r="F37"/>
  <c r="F36"/>
  <c r="F34"/>
  <c r="F38" s="1"/>
  <c r="E37"/>
  <c r="E36"/>
  <c r="F72" i="4"/>
  <c r="E72"/>
  <c r="F58"/>
  <c r="E58"/>
  <c r="D50"/>
  <c r="F36"/>
  <c r="E36"/>
  <c r="G36"/>
  <c r="C36"/>
  <c r="D33"/>
  <c r="H33" s="1"/>
  <c r="D34"/>
  <c r="H34" s="1"/>
  <c r="D35"/>
  <c r="H35" s="1"/>
  <c r="E34" i="1" s="1"/>
  <c r="F48" l="1"/>
  <c r="H48"/>
  <c r="G48"/>
  <c r="E38"/>
  <c r="H36" i="4"/>
  <c r="E44" i="1" s="1"/>
  <c r="E48" s="1"/>
  <c r="D36" i="4"/>
  <c r="K56" i="2" l="1"/>
  <c r="K57"/>
  <c r="K58"/>
  <c r="K59"/>
  <c r="K60"/>
  <c r="K61"/>
  <c r="K62"/>
  <c r="K63"/>
  <c r="K64"/>
  <c r="K55"/>
  <c r="K65" s="1"/>
  <c r="K70"/>
  <c r="L70" s="1"/>
  <c r="M70" s="1"/>
  <c r="K71"/>
  <c r="L71" s="1"/>
  <c r="M71" s="1"/>
  <c r="K72"/>
  <c r="L72" s="1"/>
  <c r="M72" s="1"/>
  <c r="K73"/>
  <c r="L73" s="1"/>
  <c r="M73" s="1"/>
  <c r="K74"/>
  <c r="L74" s="1"/>
  <c r="M74" s="1"/>
  <c r="K75"/>
  <c r="L75" s="1"/>
  <c r="M75" s="1"/>
  <c r="K76"/>
  <c r="L76" s="1"/>
  <c r="M76" s="1"/>
  <c r="K77"/>
  <c r="L77" s="1"/>
  <c r="M77" s="1"/>
  <c r="K78"/>
  <c r="L78" s="1"/>
  <c r="M78" s="1"/>
  <c r="H46" s="1"/>
  <c r="K69"/>
  <c r="L69" s="1"/>
  <c r="J98"/>
  <c r="K98" s="1"/>
  <c r="J99"/>
  <c r="K99" s="1"/>
  <c r="J100"/>
  <c r="K100" s="1"/>
  <c r="J101"/>
  <c r="K101" s="1"/>
  <c r="J102"/>
  <c r="K102" s="1"/>
  <c r="J103"/>
  <c r="K103" s="1"/>
  <c r="J104"/>
  <c r="K104" s="1"/>
  <c r="J105"/>
  <c r="K105" s="1"/>
  <c r="J106"/>
  <c r="K106" s="1"/>
  <c r="H48" s="1"/>
  <c r="J97"/>
  <c r="J107" s="1"/>
  <c r="J84"/>
  <c r="K84" s="1"/>
  <c r="J85"/>
  <c r="K85" s="1"/>
  <c r="J86"/>
  <c r="K86" s="1"/>
  <c r="J87"/>
  <c r="K87" s="1"/>
  <c r="J88"/>
  <c r="K88" s="1"/>
  <c r="J89"/>
  <c r="K89" s="1"/>
  <c r="J90"/>
  <c r="K90" s="1"/>
  <c r="J91"/>
  <c r="K91" s="1"/>
  <c r="J92"/>
  <c r="K92" s="1"/>
  <c r="H47" s="1"/>
  <c r="J83"/>
  <c r="K83" s="1"/>
  <c r="K93" s="1"/>
  <c r="E47" s="1"/>
  <c r="D107"/>
  <c r="E107"/>
  <c r="F107"/>
  <c r="G107"/>
  <c r="H98"/>
  <c r="I98" s="1"/>
  <c r="H99"/>
  <c r="I99" s="1"/>
  <c r="H100"/>
  <c r="I100" s="1"/>
  <c r="H101"/>
  <c r="I101" s="1"/>
  <c r="H102"/>
  <c r="I102" s="1"/>
  <c r="H103"/>
  <c r="I103" s="1"/>
  <c r="H104"/>
  <c r="I104" s="1"/>
  <c r="H105"/>
  <c r="I105" s="1"/>
  <c r="H106"/>
  <c r="I106" s="1"/>
  <c r="G48" s="1"/>
  <c r="D36" i="1" s="1"/>
  <c r="H97" i="2"/>
  <c r="H107" s="1"/>
  <c r="C98"/>
  <c r="C99"/>
  <c r="C100"/>
  <c r="C101"/>
  <c r="C102"/>
  <c r="C103"/>
  <c r="C104"/>
  <c r="C105"/>
  <c r="C106"/>
  <c r="F48" s="1"/>
  <c r="C97"/>
  <c r="C107" s="1"/>
  <c r="C48" s="1"/>
  <c r="C46" i="1" s="1"/>
  <c r="J46" s="1"/>
  <c r="F65" i="2"/>
  <c r="G65"/>
  <c r="H65"/>
  <c r="I65"/>
  <c r="D79"/>
  <c r="E79"/>
  <c r="F79"/>
  <c r="G79"/>
  <c r="H84"/>
  <c r="I84" s="1"/>
  <c r="H85"/>
  <c r="I85" s="1"/>
  <c r="H86"/>
  <c r="I86" s="1"/>
  <c r="H87"/>
  <c r="I87" s="1"/>
  <c r="H88"/>
  <c r="I88" s="1"/>
  <c r="H89"/>
  <c r="I89" s="1"/>
  <c r="H90"/>
  <c r="I90" s="1"/>
  <c r="H91"/>
  <c r="I91" s="1"/>
  <c r="H92"/>
  <c r="I92" s="1"/>
  <c r="G47" s="1"/>
  <c r="D37" i="1" s="1"/>
  <c r="H83" i="2"/>
  <c r="I83" s="1"/>
  <c r="I93" s="1"/>
  <c r="D47" s="1"/>
  <c r="D47" i="1" s="1"/>
  <c r="C84" i="2"/>
  <c r="C85"/>
  <c r="C86"/>
  <c r="C87"/>
  <c r="C88"/>
  <c r="C89"/>
  <c r="C90"/>
  <c r="C91"/>
  <c r="C92"/>
  <c r="F47" s="1"/>
  <c r="C37" i="1" s="1"/>
  <c r="J37" s="1"/>
  <c r="C83" i="2"/>
  <c r="D93"/>
  <c r="E93"/>
  <c r="F93"/>
  <c r="G93"/>
  <c r="H93"/>
  <c r="C93"/>
  <c r="C47" s="1"/>
  <c r="C47" i="1" s="1"/>
  <c r="J47" s="1"/>
  <c r="C70" i="2"/>
  <c r="C71"/>
  <c r="C72"/>
  <c r="C73"/>
  <c r="C74"/>
  <c r="C75"/>
  <c r="C76"/>
  <c r="C77"/>
  <c r="C78"/>
  <c r="F46" s="1"/>
  <c r="C35" i="1" s="1"/>
  <c r="C69" i="2"/>
  <c r="E56"/>
  <c r="E112" s="1"/>
  <c r="E57"/>
  <c r="E113" s="1"/>
  <c r="E58"/>
  <c r="E114" s="1"/>
  <c r="E59"/>
  <c r="E115" s="1"/>
  <c r="E60"/>
  <c r="E116" s="1"/>
  <c r="E61"/>
  <c r="E117" s="1"/>
  <c r="E62"/>
  <c r="E118" s="1"/>
  <c r="E63"/>
  <c r="E119" s="1"/>
  <c r="E64"/>
  <c r="E120" s="1"/>
  <c r="E55"/>
  <c r="H70"/>
  <c r="I70" s="1"/>
  <c r="J70" s="1"/>
  <c r="H71"/>
  <c r="I71" s="1"/>
  <c r="J71" s="1"/>
  <c r="H72"/>
  <c r="I72" s="1"/>
  <c r="J72" s="1"/>
  <c r="H73"/>
  <c r="I73" s="1"/>
  <c r="J73" s="1"/>
  <c r="H74"/>
  <c r="I74" s="1"/>
  <c r="J74" s="1"/>
  <c r="H75"/>
  <c r="I75" s="1"/>
  <c r="J75" s="1"/>
  <c r="H76"/>
  <c r="I76" s="1"/>
  <c r="J76" s="1"/>
  <c r="H77"/>
  <c r="I77" s="1"/>
  <c r="J77" s="1"/>
  <c r="H78"/>
  <c r="I78" s="1"/>
  <c r="J78" s="1"/>
  <c r="G46" s="1"/>
  <c r="D35" i="1" s="1"/>
  <c r="H69" i="2"/>
  <c r="H79" s="1"/>
  <c r="C79"/>
  <c r="C46" s="1"/>
  <c r="J56"/>
  <c r="J57"/>
  <c r="J58"/>
  <c r="J59"/>
  <c r="J60"/>
  <c r="J61"/>
  <c r="J62"/>
  <c r="J63"/>
  <c r="J64"/>
  <c r="J55"/>
  <c r="J65" s="1"/>
  <c r="C65"/>
  <c r="D64"/>
  <c r="F45" s="1"/>
  <c r="C34" i="1" s="1"/>
  <c r="J34" s="1"/>
  <c r="D63" i="2"/>
  <c r="D62"/>
  <c r="D61"/>
  <c r="D60"/>
  <c r="D59"/>
  <c r="D58"/>
  <c r="D57"/>
  <c r="D56"/>
  <c r="D55"/>
  <c r="E65" l="1"/>
  <c r="E111"/>
  <c r="C36" i="1"/>
  <c r="J36" s="1"/>
  <c r="F49" i="2"/>
  <c r="D65"/>
  <c r="L55"/>
  <c r="M55"/>
  <c r="L56"/>
  <c r="M56"/>
  <c r="L57"/>
  <c r="M57"/>
  <c r="L58"/>
  <c r="M58"/>
  <c r="L59"/>
  <c r="M59"/>
  <c r="L60"/>
  <c r="M60"/>
  <c r="L61"/>
  <c r="M61"/>
  <c r="L62"/>
  <c r="M62"/>
  <c r="L63"/>
  <c r="M63"/>
  <c r="L64"/>
  <c r="G45" s="1"/>
  <c r="D34" i="1" s="1"/>
  <c r="M64" i="2"/>
  <c r="H45" s="1"/>
  <c r="H49" s="1"/>
  <c r="M69"/>
  <c r="M79" s="1"/>
  <c r="E46" s="1"/>
  <c r="L79"/>
  <c r="I46" s="1"/>
  <c r="C45"/>
  <c r="C49" s="1"/>
  <c r="K79"/>
  <c r="J93"/>
  <c r="I47" s="1"/>
  <c r="J47" s="1"/>
  <c r="K97"/>
  <c r="K107" s="1"/>
  <c r="E48" s="1"/>
  <c r="I48" s="1"/>
  <c r="J48" s="1"/>
  <c r="I97"/>
  <c r="I107" s="1"/>
  <c r="D48" s="1"/>
  <c r="D46" i="1" s="1"/>
  <c r="I69" i="2"/>
  <c r="C38" i="1" l="1"/>
  <c r="J38" s="1"/>
  <c r="D38"/>
  <c r="G49" i="2"/>
  <c r="M65"/>
  <c r="E45" s="1"/>
  <c r="E49" s="1"/>
  <c r="L65"/>
  <c r="D45" s="1"/>
  <c r="D44" i="1" s="1"/>
  <c r="I45" i="2"/>
  <c r="J69"/>
  <c r="J79" s="1"/>
  <c r="I79"/>
  <c r="J45" l="1"/>
  <c r="C44" i="1" s="1"/>
  <c r="I49" i="2"/>
  <c r="J46"/>
  <c r="C45" i="1" s="1"/>
  <c r="D46" i="2"/>
  <c r="D49" l="1"/>
  <c r="D45" i="1"/>
  <c r="D48" s="1"/>
  <c r="J44"/>
  <c r="C48"/>
  <c r="J48" s="1"/>
  <c r="J49" i="2"/>
</calcChain>
</file>

<file path=xl/sharedStrings.xml><?xml version="1.0" encoding="utf-8"?>
<sst xmlns="http://schemas.openxmlformats.org/spreadsheetml/2006/main" count="194" uniqueCount="104">
  <si>
    <t>Year</t>
  </si>
  <si>
    <t>ENGLAND</t>
  </si>
  <si>
    <t>All cases</t>
  </si>
  <si>
    <t>MenB</t>
  </si>
  <si>
    <t>MenC</t>
  </si>
  <si>
    <t>Average (past 10 yrs)</t>
  </si>
  <si>
    <t>HES Admissions data A39</t>
  </si>
  <si>
    <t>Cleaned HES admissions data</t>
  </si>
  <si>
    <t>WALES</t>
  </si>
  <si>
    <t>Ungrouped cases</t>
  </si>
  <si>
    <t>MenB as a percentage of all grouped cases</t>
  </si>
  <si>
    <t>Meningococcal Reference Unit isolates of Neisseria menengitidis</t>
  </si>
  <si>
    <t>00/01</t>
  </si>
  <si>
    <t>01/02</t>
  </si>
  <si>
    <t>02/03</t>
  </si>
  <si>
    <t>03/04</t>
  </si>
  <si>
    <t>04/05</t>
  </si>
  <si>
    <t>05/06</t>
  </si>
  <si>
    <t>06/07</t>
  </si>
  <si>
    <t>07/08</t>
  </si>
  <si>
    <t>08/09</t>
  </si>
  <si>
    <t>09/10</t>
  </si>
  <si>
    <t>Total MenB estimate</t>
  </si>
  <si>
    <t>Total MenB estimate with 1.3 uplift</t>
  </si>
  <si>
    <t>All grouped cases (A,B,C,W135 &amp; Y)</t>
  </si>
  <si>
    <t>MenC as a percentage of all grouped cases</t>
  </si>
  <si>
    <t>Total MenC estimate</t>
  </si>
  <si>
    <t>Total MenC estimate with 1.3 uplift</t>
  </si>
  <si>
    <t>NI</t>
  </si>
  <si>
    <t>SCOTLAND</t>
  </si>
  <si>
    <t>Total Mening</t>
  </si>
  <si>
    <t>10 YEAR AVERAGE</t>
  </si>
  <si>
    <t>2009/10</t>
  </si>
  <si>
    <t>10 yr average MenC - 2009/10 MenC</t>
  </si>
  <si>
    <t>10 yr average meningo cases reduced to reflect the impact of MenC vaccination</t>
  </si>
  <si>
    <t>TOTAL</t>
  </si>
  <si>
    <t>Meningococcal meningitis &amp; septicaemia</t>
  </si>
  <si>
    <t>Pneumococcal meningitis</t>
  </si>
  <si>
    <t>TB meningitis</t>
  </si>
  <si>
    <t xml:space="preserve">Other causes </t>
  </si>
  <si>
    <t xml:space="preserve">Total </t>
  </si>
  <si>
    <t>All</t>
  </si>
  <si>
    <t xml:space="preserve">Scotland </t>
  </si>
  <si>
    <t xml:space="preserve">Northern Ireland </t>
  </si>
  <si>
    <t>Total UK</t>
  </si>
  <si>
    <t>2007-08</t>
  </si>
  <si>
    <t>2008-09</t>
  </si>
  <si>
    <t>2009-10</t>
  </si>
  <si>
    <t>HES Admissions data G001</t>
  </si>
  <si>
    <t>England and Wales</t>
  </si>
  <si>
    <t>England</t>
  </si>
  <si>
    <t>Uplift required to convert English NOIDS to E&amp;W NOIDS</t>
  </si>
  <si>
    <t>Average</t>
  </si>
  <si>
    <t>Average over past 3 years</t>
  </si>
  <si>
    <t xml:space="preserve">Hi </t>
  </si>
  <si>
    <t>TB men</t>
  </si>
  <si>
    <t xml:space="preserve">Pneumococcal meningitis </t>
  </si>
  <si>
    <t xml:space="preserve">Hib meningitis </t>
  </si>
  <si>
    <t xml:space="preserve">TB meningitis </t>
  </si>
  <si>
    <t>Other bacterial meningitis</t>
  </si>
  <si>
    <r>
      <rPr>
        <b/>
        <i/>
        <sz val="9"/>
        <color theme="1"/>
        <rFont val="Arial"/>
        <family val="2"/>
      </rPr>
      <t>Haemophilus influenzae</t>
    </r>
    <r>
      <rPr>
        <b/>
        <sz val="9"/>
        <color theme="1"/>
        <rFont val="Arial"/>
        <family val="2"/>
      </rPr>
      <t xml:space="preserve"> CSF isolates (and cases from 2002)</t>
    </r>
  </si>
  <si>
    <t>Neonatal Group B Streptococcal septicaemia*</t>
  </si>
  <si>
    <r>
      <t>Haemophilus influenzae</t>
    </r>
    <r>
      <rPr>
        <b/>
        <sz val="9"/>
        <rFont val="Arial"/>
        <family val="2"/>
      </rPr>
      <t xml:space="preserve"> meningitis</t>
    </r>
  </si>
  <si>
    <t>Table 1: Annual cases of bacterial meningitis and septicaemia by country and type (2009/10)</t>
  </si>
  <si>
    <t>Cleaned HES admissions data uplifted to include Wales</t>
  </si>
  <si>
    <t>Other causes</t>
  </si>
  <si>
    <t>Table 2: Annual cases of bacterial meningitis and septicaemia by country and type to represent the burden of uncontrolled disease</t>
  </si>
  <si>
    <t>Laboratory confirmed Total</t>
  </si>
  <si>
    <t>Wales</t>
  </si>
  <si>
    <t xml:space="preserve">England </t>
  </si>
  <si>
    <t>Laboratory confirmed MenB</t>
  </si>
  <si>
    <t>Laboratory confirmed MenC</t>
  </si>
  <si>
    <t>Cases of Pneumococcal meningitis  reported to SPIDER</t>
  </si>
  <si>
    <t>Other bacterial (CSF Isolates)</t>
  </si>
  <si>
    <t>2001</t>
  </si>
  <si>
    <t>2003</t>
  </si>
  <si>
    <t>2005</t>
  </si>
  <si>
    <t>2007</t>
  </si>
  <si>
    <t>2009</t>
  </si>
  <si>
    <t>Notifications of pneumococcal meningitis by calendar year (2007-2009)</t>
  </si>
  <si>
    <t xml:space="preserve">Scotland* </t>
  </si>
  <si>
    <t>* Scottish data is for calendar year 2009 because epidemiological data was unavailable</t>
  </si>
  <si>
    <t>1.         http://www.hesonline.nhs.uk/Ease/servlet/ContentServer?siteID=1937&amp;categoryID=203</t>
  </si>
  <si>
    <t>2.         http://www.hpa.org.uk/Topics/InfectiousDiseases/InfectionsAZ/MeningococcalDisease/EpidemiologicalData/</t>
  </si>
  <si>
    <t>3.         http://www.publichealthagency.org/directorate-public-health/health-protection/meningococcal-disease</t>
  </si>
  <si>
    <t>4.         http://www.hps.scot.nhs.uk/surveillance/SystemsDetail.aspx?id=13</t>
  </si>
  <si>
    <t>TB Meningitis Cases reported to ESMI</t>
  </si>
  <si>
    <t>References</t>
  </si>
  <si>
    <t xml:space="preserve">Table 3: Cases of meningococcal disease in the UK in 2009/10 and 10 year averages </t>
  </si>
  <si>
    <r>
      <t>Table 4: Cases of meningococal disease in England: HES</t>
    </r>
    <r>
      <rPr>
        <b/>
        <vertAlign val="superscript"/>
        <sz val="9"/>
        <color theme="1"/>
        <rFont val="Agency FB"/>
        <family val="2"/>
      </rPr>
      <t>1</t>
    </r>
    <r>
      <rPr>
        <b/>
        <sz val="9"/>
        <color theme="1"/>
        <rFont val="Arial"/>
        <family val="2"/>
      </rPr>
      <t xml:space="preserve"> and Lab confirmed data</t>
    </r>
    <r>
      <rPr>
        <b/>
        <vertAlign val="superscript"/>
        <sz val="9"/>
        <color theme="1"/>
        <rFont val="Arial"/>
        <family val="2"/>
      </rPr>
      <t>2</t>
    </r>
    <r>
      <rPr>
        <b/>
        <sz val="9"/>
        <color theme="1"/>
        <rFont val="Arial"/>
        <family val="2"/>
      </rPr>
      <t xml:space="preserve"> (2000/01 to 2009/10)</t>
    </r>
  </si>
  <si>
    <r>
      <t>Table 5: Meningococcal Reference Unit isolates of Neisseria meningitidis: Wales</t>
    </r>
    <r>
      <rPr>
        <b/>
        <vertAlign val="superscript"/>
        <sz val="9"/>
        <color theme="1"/>
        <rFont val="Arial"/>
        <family val="2"/>
      </rPr>
      <t>2</t>
    </r>
    <r>
      <rPr>
        <b/>
        <sz val="9"/>
        <color theme="1"/>
        <rFont val="Arial"/>
        <family val="2"/>
      </rPr>
      <t xml:space="preserve"> (2000/01 to 2009/10)</t>
    </r>
  </si>
  <si>
    <r>
      <t>Table 6: Enhanced surveillance of meningococcal disease in Northern Ireland</t>
    </r>
    <r>
      <rPr>
        <b/>
        <vertAlign val="superscript"/>
        <sz val="9"/>
        <color theme="1"/>
        <rFont val="Arial"/>
        <family val="2"/>
      </rPr>
      <t>3</t>
    </r>
    <r>
      <rPr>
        <b/>
        <sz val="9"/>
        <color theme="1"/>
        <rFont val="Arial"/>
        <family val="2"/>
      </rPr>
      <t>.  Notifications validated with lab confirmed data (2000/01 to 2009/10)</t>
    </r>
  </si>
  <si>
    <r>
      <t>Table 7: Enhanced surveillance of meningococcal disease in Scotland by calendar year</t>
    </r>
    <r>
      <rPr>
        <b/>
        <vertAlign val="superscript"/>
        <sz val="9"/>
        <color theme="1"/>
        <rFont val="Arial"/>
        <family val="2"/>
      </rPr>
      <t>4</t>
    </r>
    <r>
      <rPr>
        <b/>
        <sz val="9"/>
        <color theme="1"/>
        <rFont val="Arial"/>
        <family val="2"/>
      </rPr>
      <t>.  Notifications validated with lab confirmed data (2000 to 2009)</t>
    </r>
  </si>
  <si>
    <t>5.         http://www.hpa.org.uk/infections/topics_az/noids/archive.htm</t>
  </si>
  <si>
    <r>
      <t>Table 9: Cases of pneumococcal meningitis in England and Wales: HES</t>
    </r>
    <r>
      <rPr>
        <b/>
        <vertAlign val="superscript"/>
        <sz val="9"/>
        <color theme="1"/>
        <rFont val="Arial"/>
        <family val="2"/>
      </rPr>
      <t>1</t>
    </r>
    <r>
      <rPr>
        <b/>
        <sz val="9"/>
        <color theme="1"/>
        <rFont val="Arial"/>
        <family val="2"/>
      </rPr>
      <t xml:space="preserve"> and NOIDS</t>
    </r>
    <r>
      <rPr>
        <b/>
        <vertAlign val="superscript"/>
        <sz val="9"/>
        <color theme="1"/>
        <rFont val="Arial"/>
        <family val="2"/>
      </rPr>
      <t>5</t>
    </r>
    <r>
      <rPr>
        <b/>
        <sz val="9"/>
        <color theme="1"/>
        <rFont val="Arial"/>
        <family val="2"/>
      </rPr>
      <t xml:space="preserve"> data (2007/8 to 2009/10)</t>
    </r>
  </si>
  <si>
    <r>
      <t>Table 10: Cases of other bacterial meningitis in England and Wales: NOIDS</t>
    </r>
    <r>
      <rPr>
        <b/>
        <vertAlign val="superscript"/>
        <sz val="9"/>
        <color theme="1"/>
        <rFont val="Arial"/>
        <family val="2"/>
      </rPr>
      <t>5</t>
    </r>
    <r>
      <rPr>
        <b/>
        <sz val="9"/>
        <color theme="1"/>
        <rFont val="Arial"/>
        <family val="2"/>
      </rPr>
      <t xml:space="preserve"> data (2000 to 2009)</t>
    </r>
  </si>
  <si>
    <t>6.         http://www.publichealth.hscni.net/directorate-public-health/health-protection/surveillance-data</t>
  </si>
  <si>
    <r>
      <t>Table 11: Cases of other bacterial meningitis in Northern Ireland sourced from PHA</t>
    </r>
    <r>
      <rPr>
        <b/>
        <vertAlign val="superscript"/>
        <sz val="9"/>
        <color theme="1"/>
        <rFont val="Arial"/>
        <family val="2"/>
      </rPr>
      <t>6,7</t>
    </r>
    <r>
      <rPr>
        <b/>
        <sz val="9"/>
        <color theme="1"/>
        <rFont val="Arial"/>
        <family val="2"/>
      </rPr>
      <t xml:space="preserve"> (2006 to 2009)</t>
    </r>
  </si>
  <si>
    <t>7.         http://www.publichealthagency.org/directorate-public-health/health-protection/tuberculosis</t>
  </si>
  <si>
    <r>
      <t>Table 12: Cases of other bacterial meningitis in Scotland sourced from HPS</t>
    </r>
    <r>
      <rPr>
        <b/>
        <vertAlign val="superscript"/>
        <sz val="9"/>
        <color theme="1"/>
        <rFont val="Arial"/>
        <family val="2"/>
      </rPr>
      <t>8,9,10</t>
    </r>
    <r>
      <rPr>
        <b/>
        <sz val="9"/>
        <color theme="1"/>
        <rFont val="Arial"/>
        <family val="2"/>
      </rPr>
      <t xml:space="preserve"> (2000 to 2009)</t>
    </r>
  </si>
  <si>
    <t>8.         http://www.hps.scot.nhs.uk/resp/ssdetail.aspx?id=14</t>
  </si>
  <si>
    <t>9.         http://www.hps.scot.nhs.uk/surveillance/SystemsDetail.aspx?id=18</t>
  </si>
  <si>
    <t>10.         http://www.hps.scot.nhs.uk/resp/ssdetail.aspx?id=15</t>
  </si>
  <si>
    <r>
      <t>Table 8: Lab confirmed cases of meningococal disease in the UK</t>
    </r>
    <r>
      <rPr>
        <b/>
        <vertAlign val="superscript"/>
        <sz val="9"/>
        <color theme="1"/>
        <rFont val="Arial"/>
        <family val="2"/>
      </rPr>
      <t>2</t>
    </r>
    <r>
      <rPr>
        <b/>
        <sz val="9"/>
        <color theme="1"/>
        <rFont val="Arial"/>
        <family val="2"/>
      </rPr>
      <t xml:space="preserve"> (2000/01 to 2009/10)</t>
    </r>
  </si>
</sst>
</file>

<file path=xl/styles.xml><?xml version="1.0" encoding="utf-8"?>
<styleSheet xmlns="http://schemas.openxmlformats.org/spreadsheetml/2006/main">
  <fonts count="19">
    <font>
      <sz val="11"/>
      <color theme="1"/>
      <name val="Calibri"/>
      <family val="2"/>
      <scheme val="minor"/>
    </font>
    <font>
      <b/>
      <sz val="11"/>
      <color theme="1"/>
      <name val="Calibri"/>
      <family val="2"/>
      <scheme val="minor"/>
    </font>
    <font>
      <sz val="10"/>
      <name val="Arial"/>
      <family val="2"/>
    </font>
    <font>
      <b/>
      <sz val="9"/>
      <name val="Arial"/>
      <family val="2"/>
    </font>
    <font>
      <b/>
      <sz val="9"/>
      <color theme="1"/>
      <name val="Arial"/>
      <family val="2"/>
    </font>
    <font>
      <sz val="9"/>
      <color theme="1"/>
      <name val="Arial"/>
      <family val="2"/>
    </font>
    <font>
      <sz val="9"/>
      <name val="Arial"/>
      <family val="2"/>
    </font>
    <font>
      <sz val="10"/>
      <color indexed="8"/>
      <name val="Arial"/>
      <family val="2"/>
    </font>
    <font>
      <b/>
      <i/>
      <sz val="9"/>
      <color theme="1"/>
      <name val="Arial"/>
      <family val="2"/>
    </font>
    <font>
      <b/>
      <i/>
      <sz val="11"/>
      <color theme="1"/>
      <name val="Calibri"/>
      <family val="2"/>
      <scheme val="minor"/>
    </font>
    <font>
      <b/>
      <sz val="11"/>
      <name val="Calibri"/>
      <family val="2"/>
      <scheme val="minor"/>
    </font>
    <font>
      <b/>
      <sz val="9"/>
      <color indexed="8"/>
      <name val="Arial"/>
      <family val="2"/>
    </font>
    <font>
      <b/>
      <sz val="9"/>
      <color rgb="FF000000"/>
      <name val="Arial"/>
      <family val="2"/>
    </font>
    <font>
      <sz val="9"/>
      <color rgb="FF222222"/>
      <name val="Arial"/>
      <family val="2"/>
    </font>
    <font>
      <b/>
      <i/>
      <sz val="9"/>
      <name val="Arial"/>
      <family val="2"/>
    </font>
    <font>
      <b/>
      <vertAlign val="superscript"/>
      <sz val="9"/>
      <color theme="1"/>
      <name val="Agency FB"/>
      <family val="2"/>
    </font>
    <font>
      <b/>
      <vertAlign val="superscript"/>
      <sz val="9"/>
      <color theme="1"/>
      <name val="Arial"/>
      <family val="2"/>
    </font>
    <font>
      <u/>
      <sz val="11"/>
      <color theme="10"/>
      <name val="Calibri"/>
      <family val="2"/>
    </font>
    <font>
      <b/>
      <u/>
      <sz val="11"/>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theme="0" tint="-0.34998626667073579"/>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2" fillId="0" borderId="0"/>
    <xf numFmtId="0" fontId="2" fillId="0" borderId="0"/>
    <xf numFmtId="0" fontId="7" fillId="0" borderId="0"/>
    <xf numFmtId="0" fontId="17" fillId="0" borderId="0" applyNumberFormat="0" applyFill="0" applyBorder="0" applyAlignment="0" applyProtection="0">
      <alignment vertical="top"/>
      <protection locked="0"/>
    </xf>
  </cellStyleXfs>
  <cellXfs count="127">
    <xf numFmtId="0" fontId="0" fillId="0" borderId="0" xfId="0"/>
    <xf numFmtId="3" fontId="3" fillId="0" borderId="1" xfId="1" applyNumberFormat="1" applyFont="1" applyFill="1" applyBorder="1" applyAlignment="1">
      <alignment horizontal="center" vertical="center"/>
    </xf>
    <xf numFmtId="0" fontId="0" fillId="0" borderId="0" xfId="0" applyAlignment="1">
      <alignment horizontal="center" vertical="center"/>
    </xf>
    <xf numFmtId="1" fontId="4" fillId="0" borderId="2" xfId="0" applyNumberFormat="1" applyFont="1" applyFill="1" applyBorder="1" applyAlignment="1">
      <alignment horizontal="center" vertical="center" wrapText="1"/>
    </xf>
    <xf numFmtId="0" fontId="4" fillId="0" borderId="2" xfId="0" applyFont="1" applyFill="1" applyBorder="1" applyAlignment="1">
      <alignment horizontal="center" vertical="center" shrinkToFit="1"/>
    </xf>
    <xf numFmtId="3" fontId="5" fillId="0" borderId="1" xfId="0" applyNumberFormat="1" applyFont="1" applyFill="1" applyBorder="1" applyAlignment="1">
      <alignment horizontal="center" vertical="center"/>
    </xf>
    <xf numFmtId="1" fontId="5" fillId="0" borderId="1" xfId="0" applyNumberFormat="1" applyFont="1" applyFill="1" applyBorder="1" applyAlignment="1">
      <alignment horizontal="center" vertical="center"/>
    </xf>
    <xf numFmtId="0" fontId="5" fillId="0" borderId="1" xfId="0" applyFont="1" applyFill="1" applyBorder="1" applyAlignment="1">
      <alignment horizontal="center" vertical="center" shrinkToFit="1"/>
    </xf>
    <xf numFmtId="0" fontId="5" fillId="0" borderId="1" xfId="0" applyFont="1" applyFill="1" applyBorder="1" applyAlignment="1">
      <alignment horizontal="center" vertical="center"/>
    </xf>
    <xf numFmtId="3" fontId="6" fillId="0" borderId="1" xfId="2" applyNumberFormat="1" applyFont="1" applyFill="1" applyBorder="1" applyAlignment="1">
      <alignment horizontal="center" vertical="center"/>
    </xf>
    <xf numFmtId="3" fontId="6" fillId="0" borderId="1" xfId="0" applyNumberFormat="1" applyFont="1" applyFill="1" applyBorder="1" applyAlignment="1">
      <alignment horizontal="center" vertical="center"/>
    </xf>
    <xf numFmtId="3" fontId="5" fillId="0" borderId="3" xfId="0" applyNumberFormat="1" applyFont="1" applyFill="1" applyBorder="1" applyAlignment="1">
      <alignment horizontal="center" vertical="center"/>
    </xf>
    <xf numFmtId="0" fontId="5" fillId="0" borderId="3" xfId="0" applyFont="1" applyFill="1" applyBorder="1" applyAlignment="1">
      <alignment horizontal="center" vertical="center"/>
    </xf>
    <xf numFmtId="0" fontId="5" fillId="0" borderId="3" xfId="0" applyFont="1" applyFill="1" applyBorder="1" applyAlignment="1">
      <alignment horizontal="center" vertical="center" shrinkToFit="1"/>
    </xf>
    <xf numFmtId="3" fontId="4" fillId="0" borderId="1" xfId="0" applyNumberFormat="1" applyFont="1" applyFill="1" applyBorder="1" applyAlignment="1">
      <alignment horizontal="center" vertical="center" wrapText="1"/>
    </xf>
    <xf numFmtId="0" fontId="4" fillId="0" borderId="1" xfId="0" applyFont="1" applyFill="1" applyBorder="1" applyAlignment="1">
      <alignment horizontal="center" vertical="center" wrapText="1"/>
    </xf>
    <xf numFmtId="0" fontId="0" fillId="0" borderId="0" xfId="0" applyAlignment="1">
      <alignment wrapText="1"/>
    </xf>
    <xf numFmtId="0" fontId="1" fillId="0" borderId="0" xfId="0" applyFont="1"/>
    <xf numFmtId="0" fontId="0" fillId="0" borderId="0" xfId="0" applyAlignment="1"/>
    <xf numFmtId="0" fontId="4" fillId="0" borderId="2" xfId="0" applyFont="1" applyFill="1" applyBorder="1" applyAlignment="1">
      <alignment horizontal="center" vertical="center" wrapText="1" shrinkToFit="1"/>
    </xf>
    <xf numFmtId="0" fontId="4" fillId="0" borderId="0" xfId="0" applyFont="1" applyFill="1" applyBorder="1" applyAlignment="1">
      <alignment horizontal="center" vertical="center"/>
    </xf>
    <xf numFmtId="0" fontId="4" fillId="0" borderId="0" xfId="0" applyFont="1"/>
    <xf numFmtId="0" fontId="4" fillId="0" borderId="0" xfId="0" applyFont="1" applyFill="1" applyBorder="1" applyAlignment="1">
      <alignment horizontal="left" vertical="center"/>
    </xf>
    <xf numFmtId="1" fontId="4" fillId="0" borderId="1" xfId="0" applyNumberFormat="1" applyFont="1" applyFill="1" applyBorder="1" applyAlignment="1">
      <alignment horizontal="center" vertical="center" wrapText="1"/>
    </xf>
    <xf numFmtId="0" fontId="4" fillId="0" borderId="1" xfId="0" applyFont="1" applyFill="1" applyBorder="1" applyAlignment="1">
      <alignment horizontal="center" vertical="center" wrapText="1" shrinkToFit="1"/>
    </xf>
    <xf numFmtId="0" fontId="4" fillId="0" borderId="1" xfId="0" applyFont="1" applyFill="1" applyBorder="1" applyAlignment="1">
      <alignment horizontal="center" vertical="center" shrinkToFit="1"/>
    </xf>
    <xf numFmtId="0" fontId="5" fillId="0" borderId="1" xfId="0" applyFont="1" applyFill="1" applyBorder="1" applyAlignment="1">
      <alignment horizontal="center" vertical="center" wrapText="1"/>
    </xf>
    <xf numFmtId="0" fontId="5" fillId="0" borderId="1" xfId="0" applyFont="1" applyBorder="1" applyAlignment="1">
      <alignment horizontal="center" vertical="center"/>
    </xf>
    <xf numFmtId="0" fontId="3" fillId="0" borderId="1" xfId="0" applyFont="1" applyBorder="1" applyAlignment="1">
      <alignment horizontal="center" vertical="center"/>
    </xf>
    <xf numFmtId="49" fontId="3" fillId="0" borderId="1" xfId="0" applyNumberFormat="1" applyFont="1" applyBorder="1" applyAlignment="1">
      <alignment horizontal="center" vertical="center"/>
    </xf>
    <xf numFmtId="2" fontId="5" fillId="0" borderId="1" xfId="0" applyNumberFormat="1" applyFont="1" applyFill="1" applyBorder="1" applyAlignment="1">
      <alignment horizontal="center" vertical="center"/>
    </xf>
    <xf numFmtId="2" fontId="5" fillId="0" borderId="1" xfId="0" applyNumberFormat="1" applyFont="1" applyBorder="1" applyAlignment="1">
      <alignment horizontal="center" vertical="center"/>
    </xf>
    <xf numFmtId="2" fontId="5" fillId="0" borderId="1" xfId="0" applyNumberFormat="1" applyFont="1" applyBorder="1" applyAlignment="1">
      <alignment horizontal="center"/>
    </xf>
    <xf numFmtId="0" fontId="6" fillId="0" borderId="1" xfId="0" applyFont="1" applyBorder="1" applyAlignment="1">
      <alignment horizontal="center" vertical="center"/>
    </xf>
    <xf numFmtId="2" fontId="5" fillId="0" borderId="1" xfId="0" applyNumberFormat="1" applyFont="1" applyBorder="1" applyAlignment="1">
      <alignment horizontal="center" vertical="center" wrapText="1"/>
    </xf>
    <xf numFmtId="3" fontId="3" fillId="0" borderId="0" xfId="1" applyNumberFormat="1" applyFont="1" applyFill="1" applyBorder="1" applyAlignment="1">
      <alignment horizontal="center" vertical="center"/>
    </xf>
    <xf numFmtId="0" fontId="4" fillId="0" borderId="0" xfId="0" applyFont="1" applyFill="1" applyBorder="1" applyAlignment="1">
      <alignment horizontal="center" vertical="center" wrapText="1"/>
    </xf>
    <xf numFmtId="0" fontId="4" fillId="0" borderId="0" xfId="0" applyFont="1" applyFill="1" applyBorder="1" applyAlignment="1">
      <alignment vertical="center"/>
    </xf>
    <xf numFmtId="0" fontId="4" fillId="0" borderId="1" xfId="0" applyFont="1" applyFill="1" applyBorder="1" applyAlignment="1">
      <alignment horizontal="center" vertical="center" wrapText="1"/>
    </xf>
    <xf numFmtId="0" fontId="5" fillId="0" borderId="1" xfId="0" applyFont="1" applyBorder="1" applyAlignment="1">
      <alignment horizontal="center"/>
    </xf>
    <xf numFmtId="2" fontId="5" fillId="0" borderId="0" xfId="0" applyNumberFormat="1" applyFont="1" applyFill="1" applyBorder="1" applyAlignment="1">
      <alignment horizontal="center"/>
    </xf>
    <xf numFmtId="0" fontId="8" fillId="0" borderId="1" xfId="0" applyFont="1" applyBorder="1" applyAlignment="1">
      <alignment horizontal="center"/>
    </xf>
    <xf numFmtId="2" fontId="8" fillId="0" borderId="1" xfId="0" applyNumberFormat="1" applyFont="1" applyBorder="1" applyAlignment="1">
      <alignment horizontal="center"/>
    </xf>
    <xf numFmtId="0" fontId="9" fillId="0" borderId="0" xfId="0" applyFont="1" applyAlignment="1">
      <alignment horizontal="center"/>
    </xf>
    <xf numFmtId="0" fontId="4" fillId="0" borderId="1" xfId="0" applyFont="1" applyBorder="1" applyAlignment="1">
      <alignment horizontal="center" vertical="center"/>
    </xf>
    <xf numFmtId="0" fontId="5" fillId="0" borderId="0" xfId="0" applyFont="1"/>
    <xf numFmtId="0" fontId="4" fillId="0" borderId="1" xfId="0" applyFont="1" applyFill="1" applyBorder="1" applyAlignment="1">
      <alignment horizontal="center" vertical="center"/>
    </xf>
    <xf numFmtId="0" fontId="5" fillId="2" borderId="1" xfId="0" applyFont="1" applyFill="1" applyBorder="1" applyAlignment="1">
      <alignment horizontal="center" vertical="center"/>
    </xf>
    <xf numFmtId="0" fontId="4" fillId="0" borderId="1" xfId="0" applyFont="1" applyBorder="1" applyAlignment="1">
      <alignment horizontal="center" vertical="center" wrapText="1"/>
    </xf>
    <xf numFmtId="2" fontId="5" fillId="2" borderId="1" xfId="0" applyNumberFormat="1" applyFont="1" applyFill="1" applyBorder="1" applyAlignment="1">
      <alignment horizontal="center" vertical="center"/>
    </xf>
    <xf numFmtId="0" fontId="4" fillId="0" borderId="0" xfId="0" applyFont="1" applyBorder="1" applyAlignment="1">
      <alignment horizontal="center" vertical="center" wrapText="1"/>
    </xf>
    <xf numFmtId="2" fontId="5" fillId="0" borderId="0" xfId="0" applyNumberFormat="1" applyFont="1" applyBorder="1" applyAlignment="1">
      <alignment horizontal="center" vertical="center"/>
    </xf>
    <xf numFmtId="0" fontId="4" fillId="0" borderId="1" xfId="0" applyFont="1" applyFill="1" applyBorder="1" applyAlignment="1">
      <alignment horizontal="center" vertical="top"/>
    </xf>
    <xf numFmtId="0" fontId="4" fillId="0" borderId="0" xfId="0" applyFont="1" applyAlignment="1">
      <alignment horizontal="left" wrapText="1"/>
    </xf>
    <xf numFmtId="0" fontId="4" fillId="0" borderId="0" xfId="0" applyFont="1" applyAlignment="1">
      <alignment wrapText="1"/>
    </xf>
    <xf numFmtId="0" fontId="4" fillId="0" borderId="0" xfId="0" applyFont="1" applyAlignment="1"/>
    <xf numFmtId="2" fontId="4" fillId="0" borderId="0" xfId="0" applyNumberFormat="1" applyFont="1" applyBorder="1" applyAlignment="1">
      <alignment vertical="center" wrapText="1"/>
    </xf>
    <xf numFmtId="0" fontId="11" fillId="0" borderId="1" xfId="3" applyNumberFormat="1" applyFont="1" applyFill="1" applyBorder="1" applyAlignment="1">
      <alignment horizontal="center" vertical="top"/>
    </xf>
    <xf numFmtId="0" fontId="4" fillId="0" borderId="1" xfId="0" applyFont="1" applyBorder="1" applyAlignment="1">
      <alignment horizontal="center" vertical="top"/>
    </xf>
    <xf numFmtId="0" fontId="6" fillId="0" borderId="1" xfId="0" applyFont="1" applyFill="1" applyBorder="1" applyAlignment="1">
      <alignment horizontal="center" vertical="top" wrapText="1"/>
    </xf>
    <xf numFmtId="0" fontId="3" fillId="0" borderId="1" xfId="0" applyFont="1" applyFill="1" applyBorder="1" applyAlignment="1">
      <alignment horizontal="center" vertical="center" wrapText="1"/>
    </xf>
    <xf numFmtId="0" fontId="5" fillId="0" borderId="1" xfId="0" applyFont="1" applyFill="1" applyBorder="1" applyAlignment="1">
      <alignment horizontal="center"/>
    </xf>
    <xf numFmtId="0" fontId="6" fillId="0" borderId="1" xfId="0" applyFont="1" applyFill="1" applyBorder="1" applyAlignment="1">
      <alignment horizontal="center" vertical="center" wrapText="1"/>
    </xf>
    <xf numFmtId="0" fontId="12" fillId="0" borderId="1" xfId="0" applyFont="1" applyFill="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6" fillId="0" borderId="1" xfId="0" applyFont="1" applyBorder="1" applyAlignment="1">
      <alignment horizontal="center" vertical="center" wrapText="1"/>
    </xf>
    <xf numFmtId="2" fontId="3" fillId="0" borderId="1" xfId="0" applyNumberFormat="1" applyFont="1" applyBorder="1" applyAlignment="1">
      <alignment horizontal="center" vertical="center"/>
    </xf>
    <xf numFmtId="2" fontId="4" fillId="0" borderId="1" xfId="0" applyNumberFormat="1" applyFont="1" applyFill="1" applyBorder="1" applyAlignment="1">
      <alignment horizontal="center" vertical="center"/>
    </xf>
    <xf numFmtId="2" fontId="4" fillId="0" borderId="1" xfId="0" applyNumberFormat="1" applyFont="1" applyBorder="1" applyAlignment="1">
      <alignment horizontal="center" vertical="center"/>
    </xf>
    <xf numFmtId="0" fontId="13" fillId="0" borderId="0" xfId="0" applyFont="1"/>
    <xf numFmtId="0" fontId="3" fillId="0" borderId="1" xfId="0" applyFont="1" applyBorder="1" applyAlignment="1">
      <alignment vertical="top" wrapText="1"/>
    </xf>
    <xf numFmtId="1" fontId="6" fillId="0" borderId="1" xfId="0" applyNumberFormat="1" applyFont="1" applyBorder="1" applyAlignment="1">
      <alignment horizontal="center" vertical="center" wrapText="1"/>
    </xf>
    <xf numFmtId="1" fontId="3" fillId="0" borderId="1" xfId="0" applyNumberFormat="1" applyFont="1" applyBorder="1" applyAlignment="1">
      <alignment horizontal="center" vertical="center" wrapText="1"/>
    </xf>
    <xf numFmtId="0" fontId="10" fillId="0" borderId="0" xfId="0" applyFont="1" applyBorder="1" applyAlignment="1"/>
    <xf numFmtId="2" fontId="0" fillId="0" borderId="0" xfId="0" applyNumberFormat="1"/>
    <xf numFmtId="1" fontId="3" fillId="0" borderId="4" xfId="0" applyNumberFormat="1" applyFont="1" applyBorder="1" applyAlignment="1">
      <alignment horizontal="center" vertical="center" wrapText="1"/>
    </xf>
    <xf numFmtId="1" fontId="3" fillId="0" borderId="3" xfId="0" applyNumberFormat="1" applyFont="1" applyBorder="1" applyAlignment="1">
      <alignment horizontal="center" vertical="center" wrapText="1"/>
    </xf>
    <xf numFmtId="1" fontId="3" fillId="0" borderId="7" xfId="0" applyNumberFormat="1" applyFont="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applyAlignment="1">
      <alignment vertical="top" wrapText="1"/>
    </xf>
    <xf numFmtId="0" fontId="0" fillId="0" borderId="1" xfId="0" applyBorder="1"/>
    <xf numFmtId="1" fontId="0" fillId="0" borderId="1" xfId="0" applyNumberFormat="1" applyBorder="1"/>
    <xf numFmtId="2" fontId="5" fillId="0" borderId="4" xfId="0" applyNumberFormat="1" applyFont="1" applyBorder="1" applyAlignment="1">
      <alignment horizontal="center" vertical="center"/>
    </xf>
    <xf numFmtId="2" fontId="8" fillId="0" borderId="4" xfId="0" applyNumberFormat="1" applyFont="1" applyBorder="1" applyAlignment="1">
      <alignment horizontal="center"/>
    </xf>
    <xf numFmtId="0" fontId="4" fillId="0" borderId="1" xfId="0" applyFont="1" applyBorder="1" applyAlignment="1">
      <alignment horizontal="center" vertical="center" wrapText="1"/>
    </xf>
    <xf numFmtId="0" fontId="6" fillId="3" borderId="1" xfId="0" applyFont="1" applyFill="1" applyBorder="1" applyAlignment="1">
      <alignment horizontal="center" vertical="center" wrapText="1"/>
    </xf>
    <xf numFmtId="0" fontId="5" fillId="3" borderId="1" xfId="0" applyFont="1" applyFill="1" applyBorder="1" applyAlignment="1">
      <alignment horizontal="center"/>
    </xf>
    <xf numFmtId="0" fontId="6" fillId="3" borderId="1" xfId="0" applyFont="1" applyFill="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vertical="top" wrapText="1"/>
    </xf>
    <xf numFmtId="1" fontId="3" fillId="0" borderId="0" xfId="0" applyNumberFormat="1" applyFont="1" applyBorder="1" applyAlignment="1">
      <alignment horizontal="center" vertical="center" wrapText="1"/>
    </xf>
    <xf numFmtId="0" fontId="6" fillId="0" borderId="0" xfId="0" applyFont="1" applyBorder="1" applyAlignment="1">
      <alignment vertical="top"/>
    </xf>
    <xf numFmtId="2" fontId="5" fillId="0" borderId="0" xfId="0" applyNumberFormat="1" applyFont="1" applyFill="1" applyBorder="1" applyAlignment="1">
      <alignment horizontal="center" vertical="center"/>
    </xf>
    <xf numFmtId="0" fontId="17" fillId="0" borderId="0" xfId="4" applyAlignment="1" applyProtection="1">
      <alignment horizontal="left" indent="2"/>
    </xf>
    <xf numFmtId="49" fontId="3" fillId="0" borderId="0" xfId="0" applyNumberFormat="1" applyFont="1" applyBorder="1" applyAlignment="1">
      <alignment horizontal="center" vertical="center"/>
    </xf>
    <xf numFmtId="0" fontId="0" fillId="0" borderId="0" xfId="0" applyBorder="1"/>
    <xf numFmtId="1" fontId="0" fillId="0" borderId="0" xfId="0" applyNumberFormat="1" applyBorder="1"/>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8" fillId="0" borderId="0" xfId="0" applyFont="1"/>
    <xf numFmtId="1" fontId="6" fillId="0" borderId="3" xfId="0" applyNumberFormat="1" applyFont="1" applyBorder="1" applyAlignment="1">
      <alignment horizontal="center" vertical="center" wrapText="1"/>
    </xf>
    <xf numFmtId="1" fontId="6" fillId="0" borderId="2" xfId="0" applyNumberFormat="1" applyFont="1" applyBorder="1" applyAlignment="1">
      <alignment horizontal="center" vertical="center" wrapText="1"/>
    </xf>
    <xf numFmtId="1" fontId="3" fillId="0" borderId="3" xfId="0" applyNumberFormat="1" applyFont="1" applyBorder="1" applyAlignment="1">
      <alignment horizontal="center" vertical="center" wrapText="1"/>
    </xf>
    <xf numFmtId="1" fontId="3" fillId="0" borderId="2" xfId="0" applyNumberFormat="1"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applyAlignment="1">
      <alignment horizontal="center" vertical="top" wrapText="1"/>
    </xf>
    <xf numFmtId="0" fontId="3" fillId="0" borderId="1" xfId="0" applyFont="1" applyBorder="1" applyAlignment="1">
      <alignment vertical="top" wrapText="1"/>
    </xf>
    <xf numFmtId="0" fontId="14" fillId="0" borderId="1" xfId="0" applyFont="1" applyBorder="1" applyAlignment="1">
      <alignment horizontal="center" vertical="center" wrapText="1"/>
    </xf>
    <xf numFmtId="0" fontId="3" fillId="0" borderId="3"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top" wrapText="1"/>
    </xf>
    <xf numFmtId="0" fontId="3" fillId="0" borderId="2" xfId="0" applyFont="1" applyBorder="1" applyAlignment="1">
      <alignment horizontal="center" vertical="top" wrapText="1"/>
    </xf>
    <xf numFmtId="0" fontId="14" fillId="0" borderId="3" xfId="0" applyFont="1" applyBorder="1" applyAlignment="1">
      <alignment horizontal="center" vertical="center" wrapText="1"/>
    </xf>
    <xf numFmtId="0" fontId="1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2"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Fill="1" applyBorder="1" applyAlignment="1">
      <alignment horizontal="center" vertical="center" wrapText="1"/>
    </xf>
    <xf numFmtId="0" fontId="4" fillId="0" borderId="1" xfId="0" applyFont="1" applyBorder="1" applyAlignment="1">
      <alignment horizontal="center" vertical="center"/>
    </xf>
    <xf numFmtId="0" fontId="4" fillId="0" borderId="4" xfId="0" applyFont="1" applyBorder="1" applyAlignment="1">
      <alignment horizontal="center" vertical="center"/>
    </xf>
    <xf numFmtId="0" fontId="4" fillId="0" borderId="6" xfId="0" applyFont="1" applyBorder="1" applyAlignment="1">
      <alignment horizontal="center" vertical="center"/>
    </xf>
    <xf numFmtId="0" fontId="4" fillId="0" borderId="5" xfId="0" applyFont="1" applyBorder="1" applyAlignment="1">
      <alignment horizontal="center" vertical="center"/>
    </xf>
    <xf numFmtId="2" fontId="4" fillId="0" borderId="1" xfId="0" applyNumberFormat="1" applyFont="1" applyBorder="1" applyAlignment="1">
      <alignment horizontal="center" vertical="center" wrapText="1"/>
    </xf>
  </cellXfs>
  <cellStyles count="5">
    <cellStyle name="Hyperlink" xfId="4" builtinId="8"/>
    <cellStyle name="Normal" xfId="0" builtinId="0"/>
    <cellStyle name="Normal 2 2" xfId="1"/>
    <cellStyle name="Normal 4 2" xfId="2"/>
    <cellStyle name="Normal_PneumoMeningiitsByYear" xfId="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3.xml"/></Relationships>
</file>

<file path=xl/charts/chart1.xml><?xml version="1.0" encoding="utf-8"?>
<c:chartSpace xmlns:c="http://schemas.openxmlformats.org/drawingml/2006/chart" xmlns:a="http://schemas.openxmlformats.org/drawingml/2006/main" xmlns:r="http://schemas.openxmlformats.org/officeDocument/2006/relationships">
  <c:lang val="en-GB"/>
  <c:chart>
    <c:title>
      <c:tx>
        <c:rich>
          <a:bodyPr/>
          <a:lstStyle/>
          <a:p>
            <a:pPr>
              <a:defRPr sz="1400"/>
            </a:pPr>
            <a:r>
              <a:rPr lang="en-GB" sz="1400"/>
              <a:t>Lab</a:t>
            </a:r>
            <a:r>
              <a:rPr lang="en-GB" sz="1400" baseline="0"/>
              <a:t> confirmed cases of meningococcal disease in the UK by epidemiological year </a:t>
            </a:r>
            <a:endParaRPr lang="en-GB" sz="1400"/>
          </a:p>
        </c:rich>
      </c:tx>
      <c:layout>
        <c:manualLayout>
          <c:xMode val="edge"/>
          <c:yMode val="edge"/>
          <c:x val="0.11948600174978127"/>
          <c:y val="2.7777777777777801E-2"/>
        </c:manualLayout>
      </c:layout>
    </c:title>
    <c:plotArea>
      <c:layout/>
      <c:barChart>
        <c:barDir val="col"/>
        <c:grouping val="clustered"/>
        <c:ser>
          <c:idx val="0"/>
          <c:order val="0"/>
          <c:tx>
            <c:strRef>
              <c:f>'UK MD'!$C$110</c:f>
              <c:strCache>
                <c:ptCount val="1"/>
                <c:pt idx="0">
                  <c:v>Laboratory confirmed MenB</c:v>
                </c:pt>
              </c:strCache>
            </c:strRef>
          </c:tx>
          <c:cat>
            <c:strRef>
              <c:f>'UK MD'!$B$111:$B$120</c:f>
              <c:strCache>
                <c:ptCount val="10"/>
                <c:pt idx="0">
                  <c:v>00/01</c:v>
                </c:pt>
                <c:pt idx="1">
                  <c:v>01/02</c:v>
                </c:pt>
                <c:pt idx="2">
                  <c:v>02/03</c:v>
                </c:pt>
                <c:pt idx="3">
                  <c:v>03/04</c:v>
                </c:pt>
                <c:pt idx="4">
                  <c:v>04/05</c:v>
                </c:pt>
                <c:pt idx="5">
                  <c:v>05/06</c:v>
                </c:pt>
                <c:pt idx="6">
                  <c:v>06/07</c:v>
                </c:pt>
                <c:pt idx="7">
                  <c:v>07/08</c:v>
                </c:pt>
                <c:pt idx="8">
                  <c:v>08/09</c:v>
                </c:pt>
                <c:pt idx="9">
                  <c:v>09/10</c:v>
                </c:pt>
              </c:strCache>
            </c:strRef>
          </c:cat>
          <c:val>
            <c:numRef>
              <c:f>'UK MD'!$C$111:$C$120</c:f>
              <c:numCache>
                <c:formatCode>General</c:formatCode>
                <c:ptCount val="10"/>
                <c:pt idx="0">
                  <c:v>1879</c:v>
                </c:pt>
                <c:pt idx="1">
                  <c:v>1679</c:v>
                </c:pt>
                <c:pt idx="2">
                  <c:v>1336</c:v>
                </c:pt>
                <c:pt idx="3">
                  <c:v>1443</c:v>
                </c:pt>
                <c:pt idx="4">
                  <c:v>1405</c:v>
                </c:pt>
                <c:pt idx="5">
                  <c:v>1280</c:v>
                </c:pt>
                <c:pt idx="6">
                  <c:v>1132</c:v>
                </c:pt>
                <c:pt idx="7">
                  <c:v>1204</c:v>
                </c:pt>
                <c:pt idx="8">
                  <c:v>1164</c:v>
                </c:pt>
                <c:pt idx="9">
                  <c:v>889</c:v>
                </c:pt>
              </c:numCache>
            </c:numRef>
          </c:val>
        </c:ser>
        <c:ser>
          <c:idx val="1"/>
          <c:order val="1"/>
          <c:tx>
            <c:strRef>
              <c:f>'UK MD'!$D$110</c:f>
              <c:strCache>
                <c:ptCount val="1"/>
                <c:pt idx="0">
                  <c:v>Laboratory confirmed MenC</c:v>
                </c:pt>
              </c:strCache>
            </c:strRef>
          </c:tx>
          <c:cat>
            <c:strRef>
              <c:f>'UK MD'!$B$111:$B$120</c:f>
              <c:strCache>
                <c:ptCount val="10"/>
                <c:pt idx="0">
                  <c:v>00/01</c:v>
                </c:pt>
                <c:pt idx="1">
                  <c:v>01/02</c:v>
                </c:pt>
                <c:pt idx="2">
                  <c:v>02/03</c:v>
                </c:pt>
                <c:pt idx="3">
                  <c:v>03/04</c:v>
                </c:pt>
                <c:pt idx="4">
                  <c:v>04/05</c:v>
                </c:pt>
                <c:pt idx="5">
                  <c:v>05/06</c:v>
                </c:pt>
                <c:pt idx="6">
                  <c:v>06/07</c:v>
                </c:pt>
                <c:pt idx="7">
                  <c:v>07/08</c:v>
                </c:pt>
                <c:pt idx="8">
                  <c:v>08/09</c:v>
                </c:pt>
                <c:pt idx="9">
                  <c:v>09/10</c:v>
                </c:pt>
              </c:strCache>
            </c:strRef>
          </c:cat>
          <c:val>
            <c:numRef>
              <c:f>'UK MD'!$D$111:$D$120</c:f>
              <c:numCache>
                <c:formatCode>General</c:formatCode>
                <c:ptCount val="10"/>
                <c:pt idx="0">
                  <c:v>484</c:v>
                </c:pt>
                <c:pt idx="1">
                  <c:v>244</c:v>
                </c:pt>
                <c:pt idx="2">
                  <c:v>136</c:v>
                </c:pt>
                <c:pt idx="3">
                  <c:v>69</c:v>
                </c:pt>
                <c:pt idx="4">
                  <c:v>48</c:v>
                </c:pt>
                <c:pt idx="5">
                  <c:v>32</c:v>
                </c:pt>
                <c:pt idx="6">
                  <c:v>32</c:v>
                </c:pt>
                <c:pt idx="7">
                  <c:v>33</c:v>
                </c:pt>
                <c:pt idx="8">
                  <c:v>14</c:v>
                </c:pt>
                <c:pt idx="9">
                  <c:v>17</c:v>
                </c:pt>
              </c:numCache>
            </c:numRef>
          </c:val>
        </c:ser>
        <c:axId val="65382272"/>
        <c:axId val="65273856"/>
      </c:barChart>
      <c:catAx>
        <c:axId val="65382272"/>
        <c:scaling>
          <c:orientation val="minMax"/>
        </c:scaling>
        <c:axPos val="b"/>
        <c:title>
          <c:tx>
            <c:rich>
              <a:bodyPr/>
              <a:lstStyle/>
              <a:p>
                <a:pPr>
                  <a:defRPr/>
                </a:pPr>
                <a:r>
                  <a:rPr lang="en-US"/>
                  <a:t>Epidemiological year</a:t>
                </a:r>
              </a:p>
            </c:rich>
          </c:tx>
          <c:layout/>
        </c:title>
        <c:tickLblPos val="nextTo"/>
        <c:txPr>
          <a:bodyPr rot="-3300000"/>
          <a:lstStyle/>
          <a:p>
            <a:pPr>
              <a:defRPr/>
            </a:pPr>
            <a:endParaRPr lang="en-US"/>
          </a:p>
        </c:txPr>
        <c:crossAx val="65273856"/>
        <c:crosses val="autoZero"/>
        <c:auto val="1"/>
        <c:lblAlgn val="ctr"/>
        <c:lblOffset val="100"/>
      </c:catAx>
      <c:valAx>
        <c:axId val="65273856"/>
        <c:scaling>
          <c:orientation val="minMax"/>
        </c:scaling>
        <c:axPos val="l"/>
        <c:majorGridlines/>
        <c:title>
          <c:tx>
            <c:rich>
              <a:bodyPr rot="-5400000" vert="horz"/>
              <a:lstStyle/>
              <a:p>
                <a:pPr>
                  <a:defRPr/>
                </a:pPr>
                <a:r>
                  <a:rPr lang="en-US"/>
                  <a:t>No. of cases</a:t>
                </a:r>
              </a:p>
            </c:rich>
          </c:tx>
          <c:layout/>
        </c:title>
        <c:numFmt formatCode="General" sourceLinked="1"/>
        <c:tickLblPos val="nextTo"/>
        <c:crossAx val="65382272"/>
        <c:crosses val="autoZero"/>
        <c:crossBetween val="between"/>
      </c:valAx>
    </c:plotArea>
    <c:legend>
      <c:legendPos val="r"/>
      <c:layout/>
    </c:legend>
    <c:plotVisOnly val="1"/>
    <c:dispBlanksAs val="zero"/>
  </c:chart>
  <c:printSettings>
    <c:headerFooter/>
    <c:pageMargins b="0.75000000000000144" l="0.70000000000000062" r="0.70000000000000062" t="0.75000000000000144" header="0.30000000000000032" footer="0.30000000000000032"/>
    <c:pageSetup/>
  </c:printSettings>
  <c:userShapes r:id="rId1"/>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200025</xdr:colOff>
      <xdr:row>1</xdr:row>
      <xdr:rowOff>114301</xdr:rowOff>
    </xdr:from>
    <xdr:ext cx="8298392" cy="5068054"/>
    <xdr:sp macro="" textlink="">
      <xdr:nvSpPr>
        <xdr:cNvPr id="2" name="TextBox 1"/>
        <xdr:cNvSpPr txBox="1"/>
      </xdr:nvSpPr>
      <xdr:spPr>
        <a:xfrm>
          <a:off x="200025" y="304801"/>
          <a:ext cx="8298392" cy="5068054"/>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pPr>
            <a:lnSpc>
              <a:spcPct val="150000"/>
            </a:lnSpc>
          </a:pPr>
          <a:r>
            <a:rPr lang="en-GB" sz="900" b="1">
              <a:solidFill>
                <a:schemeClr val="tx1"/>
              </a:solidFill>
              <a:latin typeface="Arial" pitchFamily="34" charset="0"/>
              <a:ea typeface="+mn-ea"/>
              <a:cs typeface="Arial" pitchFamily="34" charset="0"/>
            </a:rPr>
            <a:t>The purpose of this exercise</a:t>
          </a:r>
          <a:r>
            <a:rPr lang="en-GB" sz="900" b="1" baseline="0">
              <a:solidFill>
                <a:schemeClr val="tx1"/>
              </a:solidFill>
              <a:latin typeface="Arial" pitchFamily="34" charset="0"/>
              <a:ea typeface="+mn-ea"/>
              <a:cs typeface="Arial" pitchFamily="34" charset="0"/>
            </a:rPr>
            <a:t> </a:t>
          </a:r>
          <a:r>
            <a:rPr lang="en-GB" sz="900" baseline="0">
              <a:solidFill>
                <a:schemeClr val="tx1"/>
              </a:solidFill>
              <a:latin typeface="Arial" pitchFamily="34" charset="0"/>
              <a:ea typeface="+mn-ea"/>
              <a:cs typeface="Arial" pitchFamily="34" charset="0"/>
            </a:rPr>
            <a:t>is to estimate  the current number of UK cases of meningococcal disease and MenB, and of all bacterial meningitis including meningococcal septicaemia and neonatal GBS septicaemia , since these are explicitly within Meningitis Research Foundation's remit.</a:t>
          </a:r>
        </a:p>
        <a:p>
          <a:pPr>
            <a:lnSpc>
              <a:spcPct val="150000"/>
            </a:lnSpc>
          </a:pPr>
          <a:endParaRPr lang="en-GB" sz="900" baseline="0">
            <a:solidFill>
              <a:schemeClr val="tx1"/>
            </a:solidFill>
            <a:latin typeface="Arial" pitchFamily="34" charset="0"/>
            <a:ea typeface="+mn-ea"/>
            <a:cs typeface="Arial" pitchFamily="34" charset="0"/>
          </a:endParaRPr>
        </a:p>
        <a:p>
          <a:pPr>
            <a:lnSpc>
              <a:spcPct val="150000"/>
            </a:lnSpc>
          </a:pPr>
          <a:r>
            <a:rPr lang="en-GB" sz="900" baseline="0">
              <a:solidFill>
                <a:schemeClr val="tx1"/>
              </a:solidFill>
              <a:latin typeface="Arial" pitchFamily="34" charset="0"/>
              <a:ea typeface="+mn-ea"/>
              <a:cs typeface="Arial" pitchFamily="34" charset="0"/>
            </a:rPr>
            <a:t>We have undertaken two calculations:</a:t>
          </a:r>
        </a:p>
        <a:p>
          <a:pPr>
            <a:lnSpc>
              <a:spcPct val="150000"/>
            </a:lnSpc>
          </a:pPr>
          <a:endParaRPr lang="en-GB" sz="900" baseline="0">
            <a:solidFill>
              <a:schemeClr val="tx1"/>
            </a:solidFill>
            <a:latin typeface="Arial" pitchFamily="34" charset="0"/>
            <a:ea typeface="+mn-ea"/>
            <a:cs typeface="Arial" pitchFamily="34" charset="0"/>
          </a:endParaRPr>
        </a:p>
        <a:p>
          <a:pPr>
            <a:lnSpc>
              <a:spcPct val="150000"/>
            </a:lnSpc>
          </a:pPr>
          <a:r>
            <a:rPr lang="en-GB" sz="900" baseline="0">
              <a:solidFill>
                <a:schemeClr val="tx1"/>
              </a:solidFill>
              <a:latin typeface="Arial" pitchFamily="34" charset="0"/>
              <a:ea typeface="+mn-ea"/>
              <a:cs typeface="Arial" pitchFamily="34" charset="0"/>
            </a:rPr>
            <a:t>1)   An estimation of the yearly number of cases in the UK at present (2009/10 - see Table 1)</a:t>
          </a:r>
        </a:p>
        <a:p>
          <a:pPr>
            <a:lnSpc>
              <a:spcPct val="150000"/>
            </a:lnSpc>
          </a:pPr>
          <a:r>
            <a:rPr lang="en-GB" sz="900" baseline="0">
              <a:solidFill>
                <a:schemeClr val="tx1"/>
              </a:solidFill>
              <a:latin typeface="Arial" pitchFamily="34" charset="0"/>
              <a:ea typeface="+mn-ea"/>
              <a:cs typeface="Arial" pitchFamily="34" charset="0"/>
            </a:rPr>
            <a:t>2)   An estimation of the average yearly number of cases which better represents the ongoing burden of uncontrolled disease (see Table 2)</a:t>
          </a:r>
        </a:p>
        <a:p>
          <a:pPr>
            <a:lnSpc>
              <a:spcPct val="150000"/>
            </a:lnSpc>
          </a:pPr>
          <a:endParaRPr lang="en-GB" sz="900" baseline="0">
            <a:solidFill>
              <a:schemeClr val="tx1"/>
            </a:solidFill>
            <a:latin typeface="Arial" pitchFamily="34" charset="0"/>
            <a:ea typeface="+mn-ea"/>
            <a:cs typeface="Arial" pitchFamily="34" charset="0"/>
          </a:endParaRPr>
        </a:p>
        <a:p>
          <a:pPr>
            <a:lnSpc>
              <a:spcPct val="150000"/>
            </a:lnSpc>
          </a:pPr>
          <a:r>
            <a:rPr lang="en-GB" sz="900">
              <a:solidFill>
                <a:schemeClr val="tx1"/>
              </a:solidFill>
              <a:latin typeface="Arial" pitchFamily="34" charset="0"/>
              <a:ea typeface="+mn-ea"/>
              <a:cs typeface="Arial" pitchFamily="34" charset="0"/>
            </a:rPr>
            <a:t>We</a:t>
          </a:r>
          <a:r>
            <a:rPr lang="en-GB" sz="900" baseline="0">
              <a:solidFill>
                <a:schemeClr val="tx1"/>
              </a:solidFill>
              <a:latin typeface="Arial" pitchFamily="34" charset="0"/>
              <a:ea typeface="+mn-ea"/>
              <a:cs typeface="Arial" pitchFamily="34" charset="0"/>
            </a:rPr>
            <a:t> use  Table 2 to represent the current potential burden from uncontrolled disease because</a:t>
          </a:r>
          <a:r>
            <a:rPr lang="en-GB" sz="900">
              <a:solidFill>
                <a:schemeClr val="tx1"/>
              </a:solidFill>
              <a:latin typeface="Arial" pitchFamily="34" charset="0"/>
              <a:ea typeface="+mn-ea"/>
              <a:cs typeface="Arial" pitchFamily="34" charset="0"/>
            </a:rPr>
            <a:t> MenB disease happens to be at a natural low in 2009/10, and is likely to rise again if the infection remains uncontrolled, so looking at data from this year alone under-represents the true burden of disease.    For decades MenB infection has been the most common cause of bacterial meningitis in the UK.  </a:t>
          </a:r>
          <a:r>
            <a:rPr lang="en-GB" sz="900" baseline="0">
              <a:solidFill>
                <a:schemeClr val="tx1"/>
              </a:solidFill>
              <a:latin typeface="Arial" pitchFamily="34" charset="0"/>
              <a:ea typeface="+mn-ea"/>
              <a:cs typeface="Arial" pitchFamily="34" charset="0"/>
            </a:rPr>
            <a:t>. </a:t>
          </a:r>
        </a:p>
        <a:p>
          <a:pPr>
            <a:lnSpc>
              <a:spcPct val="150000"/>
            </a:lnSpc>
          </a:pPr>
          <a:endParaRPr lang="en-GB" sz="900" baseline="0">
            <a:solidFill>
              <a:schemeClr val="tx1"/>
            </a:solidFill>
            <a:latin typeface="Arial" pitchFamily="34" charset="0"/>
            <a:ea typeface="+mn-ea"/>
            <a:cs typeface="Arial" pitchFamily="34" charset="0"/>
          </a:endParaRPr>
        </a:p>
        <a:p>
          <a:pPr>
            <a:lnSpc>
              <a:spcPct val="150000"/>
            </a:lnSpc>
          </a:pPr>
          <a:r>
            <a:rPr lang="en-GB" sz="900" baseline="0">
              <a:solidFill>
                <a:schemeClr val="tx1"/>
              </a:solidFill>
              <a:latin typeface="Arial" pitchFamily="34" charset="0"/>
              <a:ea typeface="+mn-ea"/>
              <a:cs typeface="Arial" pitchFamily="34" charset="0"/>
            </a:rPr>
            <a:t>Since there is currently no vaccine to prevent or control MenB infection, an average taken from the most recent peak in meningococcal disease up to the present is more representative of  disease burden.  The same is not the case for MenC or pneumococcal disease, since vaccines which protect against these diseases were introduced to the UK childhood schedule within the past ten years and have reduced disease incidence.  Taking a ten year average for these diseases  would  overestimate the present disease burden. To ensure our figures take into account the decline in vaccine-preventable infections, we have removed cases attibutable to MenC that are in excess of present levels for our meningococcal figures, and in the case of pneumococcal disease we have chosen to use data from 2006/7 to 2009/10 (so we only look at incidence after the introduction of pneumococcal vaccination to the UK schedule).</a:t>
          </a:r>
        </a:p>
        <a:p>
          <a:pPr>
            <a:lnSpc>
              <a:spcPct val="150000"/>
            </a:lnSpc>
          </a:pPr>
          <a:endParaRPr lang="en-GB" sz="900" baseline="0">
            <a:solidFill>
              <a:schemeClr val="tx1"/>
            </a:solidFill>
            <a:latin typeface="Arial" pitchFamily="34" charset="0"/>
            <a:ea typeface="+mn-ea"/>
            <a:cs typeface="Arial" pitchFamily="34" charset="0"/>
          </a:endParaRPr>
        </a:p>
        <a:p>
          <a:pPr>
            <a:lnSpc>
              <a:spcPct val="150000"/>
            </a:lnSpc>
          </a:pPr>
          <a:r>
            <a:rPr lang="en-GB" sz="900" baseline="0">
              <a:solidFill>
                <a:schemeClr val="tx1"/>
              </a:solidFill>
              <a:latin typeface="Arial" pitchFamily="34" charset="0"/>
              <a:ea typeface="+mn-ea"/>
              <a:cs typeface="Arial" pitchFamily="34" charset="0"/>
            </a:rPr>
            <a:t>Meningitis Research Foundation estimates that currently about </a:t>
          </a:r>
          <a:r>
            <a:rPr lang="en-GB" sz="900" b="1" baseline="0">
              <a:solidFill>
                <a:schemeClr val="tx1"/>
              </a:solidFill>
              <a:latin typeface="Arial" pitchFamily="34" charset="0"/>
              <a:ea typeface="+mn-ea"/>
              <a:cs typeface="Arial" pitchFamily="34" charset="0"/>
            </a:rPr>
            <a:t>3,400 people </a:t>
          </a:r>
          <a:r>
            <a:rPr lang="en-GB" sz="900" baseline="0">
              <a:solidFill>
                <a:schemeClr val="tx1"/>
              </a:solidFill>
              <a:latin typeface="Arial" pitchFamily="34" charset="0"/>
              <a:ea typeface="+mn-ea"/>
              <a:cs typeface="Arial" pitchFamily="34" charset="0"/>
            </a:rPr>
            <a:t>get bacterial meningitis and  associated septicaemia in the UK every year.  This means that, on average, more than 9 people will contract meningitis and septicaemia every day.</a:t>
          </a:r>
        </a:p>
        <a:p>
          <a:pPr>
            <a:lnSpc>
              <a:spcPct val="150000"/>
            </a:lnSpc>
          </a:pPr>
          <a:endParaRPr lang="en-GB" sz="900" baseline="0">
            <a:solidFill>
              <a:schemeClr val="tx1"/>
            </a:solidFill>
            <a:latin typeface="Arial" pitchFamily="34" charset="0"/>
            <a:ea typeface="+mn-ea"/>
            <a:cs typeface="Arial" pitchFamily="34" charset="0"/>
          </a:endParaRPr>
        </a:p>
        <a:p>
          <a:pPr marL="0" marR="0" indent="0" defTabSz="914400" eaLnBrk="1" fontAlgn="auto" latinLnBrk="0" hangingPunct="1">
            <a:lnSpc>
              <a:spcPct val="150000"/>
            </a:lnSpc>
            <a:spcBef>
              <a:spcPts val="0"/>
            </a:spcBef>
            <a:spcAft>
              <a:spcPts val="0"/>
            </a:spcAft>
            <a:buClrTx/>
            <a:buSzTx/>
            <a:buFontTx/>
            <a:buNone/>
            <a:tabLst/>
            <a:defRPr/>
          </a:pPr>
          <a:r>
            <a:rPr lang="en-GB" sz="900" baseline="0">
              <a:solidFill>
                <a:schemeClr val="tx1"/>
              </a:solidFill>
              <a:latin typeface="Arial" pitchFamily="34" charset="0"/>
              <a:ea typeface="+mn-ea"/>
              <a:cs typeface="Arial" pitchFamily="34" charset="0"/>
            </a:rPr>
            <a:t>We have collected data from original sources for these calculations including the Health Protection Agency, Hospital Episode  Statistics, Health Protection Scotland and  the Public Health Agency (Northern Ireland).  Raw data and full calculations are provided throughout this spreadsheet.</a:t>
          </a:r>
          <a:endParaRPr lang="en-GB" sz="900">
            <a:latin typeface="Arial" pitchFamily="34" charset="0"/>
            <a:cs typeface="Arial" pitchFamily="34" charset="0"/>
          </a:endParaRPr>
        </a:p>
        <a:p>
          <a:pPr>
            <a:lnSpc>
              <a:spcPct val="150000"/>
            </a:lnSpc>
          </a:pPr>
          <a:endParaRPr lang="en-GB" sz="900" baseline="0">
            <a:solidFill>
              <a:schemeClr val="tx1"/>
            </a:solidFill>
            <a:latin typeface="Arial" pitchFamily="34" charset="0"/>
            <a:ea typeface="+mn-ea"/>
            <a:cs typeface="Arial" pitchFamily="34" charset="0"/>
          </a:endParaRPr>
        </a:p>
      </xdr:txBody>
    </xdr:sp>
    <xdr:clientData/>
  </xdr:oneCellAnchor>
  <xdr:oneCellAnchor>
    <xdr:from>
      <xdr:col>1</xdr:col>
      <xdr:colOff>104775</xdr:colOff>
      <xdr:row>48</xdr:row>
      <xdr:rowOff>0</xdr:rowOff>
    </xdr:from>
    <xdr:ext cx="184731" cy="264560"/>
    <xdr:sp macro="" textlink="">
      <xdr:nvSpPr>
        <xdr:cNvPr id="3" name="TextBox 2"/>
        <xdr:cNvSpPr txBox="1"/>
      </xdr:nvSpPr>
      <xdr:spPr>
        <a:xfrm>
          <a:off x="714375" y="8867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GB" sz="1100"/>
        </a:p>
      </xdr:txBody>
    </xdr:sp>
    <xdr:clientData/>
  </xdr:oneCellAnchor>
  <xdr:oneCellAnchor>
    <xdr:from>
      <xdr:col>0</xdr:col>
      <xdr:colOff>457201</xdr:colOff>
      <xdr:row>49</xdr:row>
      <xdr:rowOff>38100</xdr:rowOff>
    </xdr:from>
    <xdr:ext cx="7871882" cy="689420"/>
    <xdr:sp macro="" textlink="">
      <xdr:nvSpPr>
        <xdr:cNvPr id="4" name="TextBox 3"/>
        <xdr:cNvSpPr txBox="1"/>
      </xdr:nvSpPr>
      <xdr:spPr>
        <a:xfrm>
          <a:off x="457201" y="7679267"/>
          <a:ext cx="7871882" cy="68942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pPr>
            <a:lnSpc>
              <a:spcPct val="150000"/>
            </a:lnSpc>
          </a:pPr>
          <a:r>
            <a:rPr lang="en-GB" sz="900">
              <a:latin typeface="Arial" pitchFamily="34" charset="0"/>
              <a:cs typeface="Arial" pitchFamily="34" charset="0"/>
            </a:rPr>
            <a:t>* From Heath et al (2004) Lancet 363:292. </a:t>
          </a:r>
        </a:p>
        <a:p>
          <a:pPr>
            <a:lnSpc>
              <a:spcPct val="150000"/>
            </a:lnSpc>
          </a:pPr>
          <a:r>
            <a:rPr lang="en-GB" sz="900">
              <a:latin typeface="Arial" pitchFamily="34" charset="0"/>
              <a:cs typeface="Arial" pitchFamily="34" charset="0"/>
            </a:rPr>
            <a:t>274</a:t>
          </a:r>
          <a:r>
            <a:rPr lang="en-GB" sz="900" baseline="0">
              <a:latin typeface="Arial" pitchFamily="34" charset="0"/>
              <a:cs typeface="Arial" pitchFamily="34" charset="0"/>
            </a:rPr>
            <a:t> </a:t>
          </a:r>
          <a:r>
            <a:rPr lang="en-GB" sz="900">
              <a:latin typeface="Arial" pitchFamily="34" charset="0"/>
              <a:cs typeface="Arial" pitchFamily="34" charset="0"/>
            </a:rPr>
            <a:t>neonatal GBS septicaemia cases in UK in 2000.  Likely to be an underestimate since it was found that using capture-recapture analysis in England, Wales and the channel Islands, cases were estimated to be 23% higher.</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0</xdr:col>
      <xdr:colOff>238125</xdr:colOff>
      <xdr:row>1</xdr:row>
      <xdr:rowOff>28576</xdr:rowOff>
    </xdr:from>
    <xdr:ext cx="7343775" cy="7456400"/>
    <xdr:sp macro="" textlink="">
      <xdr:nvSpPr>
        <xdr:cNvPr id="2" name="TextBox 1"/>
        <xdr:cNvSpPr txBox="1"/>
      </xdr:nvSpPr>
      <xdr:spPr>
        <a:xfrm>
          <a:off x="238125" y="219076"/>
          <a:ext cx="7343775" cy="74564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pPr>
            <a:lnSpc>
              <a:spcPct val="150000"/>
            </a:lnSpc>
          </a:pPr>
          <a:r>
            <a:rPr lang="en-GB" sz="900">
              <a:solidFill>
                <a:schemeClr val="tx1"/>
              </a:solidFill>
              <a:latin typeface="Arial" pitchFamily="34" charset="0"/>
              <a:ea typeface="+mn-ea"/>
              <a:cs typeface="Arial" pitchFamily="34" charset="0"/>
            </a:rPr>
            <a:t>UK MENINGOCOCCAL</a:t>
          </a:r>
          <a:r>
            <a:rPr lang="en-GB" sz="900" baseline="0">
              <a:solidFill>
                <a:schemeClr val="tx1"/>
              </a:solidFill>
              <a:latin typeface="Arial" pitchFamily="34" charset="0"/>
              <a:ea typeface="+mn-ea"/>
              <a:cs typeface="Arial" pitchFamily="34" charset="0"/>
            </a:rPr>
            <a:t> </a:t>
          </a:r>
          <a:r>
            <a:rPr lang="en-GB" sz="900">
              <a:solidFill>
                <a:schemeClr val="tx1"/>
              </a:solidFill>
              <a:latin typeface="Arial" pitchFamily="34" charset="0"/>
              <a:ea typeface="+mn-ea"/>
              <a:cs typeface="Arial" pitchFamily="34" charset="0"/>
            </a:rPr>
            <a:t> STATS are provided in Table 3.</a:t>
          </a:r>
        </a:p>
        <a:p>
          <a:pPr>
            <a:lnSpc>
              <a:spcPct val="150000"/>
            </a:lnSpc>
          </a:pPr>
          <a:r>
            <a:rPr lang="en-GB" sz="900" baseline="0">
              <a:solidFill>
                <a:schemeClr val="tx1"/>
              </a:solidFill>
              <a:latin typeface="Arial" pitchFamily="34" charset="0"/>
              <a:ea typeface="+mn-ea"/>
              <a:cs typeface="Arial" pitchFamily="34" charset="0"/>
            </a:rPr>
            <a:t>Table 3 provides an estimate of the average number of cases of meningococcal disease per year over a ten year time span for all meningococcal disease, MenB and MenC.  As we want to estimate the the burden of meningococcal disease that is currently uncontrolled by vaccination, we have corrected the final totals to reflect the impact of of MenC vaccination (i.e. cases of MenC above the 2009/10 levels have been removed from the total number of cases).</a:t>
          </a:r>
          <a:endParaRPr lang="en-GB" sz="900">
            <a:solidFill>
              <a:schemeClr val="tx1"/>
            </a:solidFill>
            <a:latin typeface="Arial" pitchFamily="34" charset="0"/>
            <a:ea typeface="+mn-ea"/>
            <a:cs typeface="Arial" pitchFamily="34" charset="0"/>
          </a:endParaRPr>
        </a:p>
        <a:p>
          <a:pPr>
            <a:lnSpc>
              <a:spcPct val="150000"/>
            </a:lnSpc>
          </a:pPr>
          <a:endParaRPr lang="en-GB" sz="900">
            <a:solidFill>
              <a:schemeClr val="tx1"/>
            </a:solidFill>
            <a:latin typeface="Arial" pitchFamily="34" charset="0"/>
            <a:ea typeface="+mn-ea"/>
            <a:cs typeface="Arial" pitchFamily="34" charset="0"/>
          </a:endParaRPr>
        </a:p>
        <a:p>
          <a:pPr>
            <a:lnSpc>
              <a:spcPct val="150000"/>
            </a:lnSpc>
          </a:pPr>
          <a:r>
            <a:rPr lang="en-GB" sz="900" baseline="0">
              <a:solidFill>
                <a:schemeClr val="tx1"/>
              </a:solidFill>
              <a:latin typeface="Arial" pitchFamily="34" charset="0"/>
              <a:ea typeface="+mn-ea"/>
              <a:cs typeface="Arial" pitchFamily="34" charset="0"/>
            </a:rPr>
            <a:t>Information on how numbers of cases were calculated for each part of the UK are provided below and further information can be accessed from the tables  on the Facts and Figures page of theMRF website.</a:t>
          </a:r>
        </a:p>
        <a:p>
          <a:pPr>
            <a:lnSpc>
              <a:spcPct val="150000"/>
            </a:lnSpc>
          </a:pPr>
          <a:endParaRPr lang="en-GB" sz="900" baseline="0">
            <a:solidFill>
              <a:schemeClr val="tx1"/>
            </a:solidFill>
            <a:latin typeface="Arial" pitchFamily="34" charset="0"/>
            <a:ea typeface="+mn-ea"/>
            <a:cs typeface="Arial" pitchFamily="34" charset="0"/>
          </a:endParaRPr>
        </a:p>
        <a:p>
          <a:pPr>
            <a:lnSpc>
              <a:spcPct val="150000"/>
            </a:lnSpc>
          </a:pPr>
          <a:r>
            <a:rPr lang="en-GB" sz="900" baseline="0">
              <a:solidFill>
                <a:schemeClr val="tx1"/>
              </a:solidFill>
              <a:latin typeface="Arial" pitchFamily="34" charset="0"/>
              <a:ea typeface="+mn-ea"/>
              <a:cs typeface="Arial" pitchFamily="34" charset="0"/>
            </a:rPr>
            <a:t>ENGLAND (See Table 4)</a:t>
          </a:r>
          <a:endParaRPr lang="en-GB" sz="900">
            <a:solidFill>
              <a:schemeClr val="tx1"/>
            </a:solidFill>
            <a:latin typeface="Arial" pitchFamily="34" charset="0"/>
            <a:ea typeface="+mn-ea"/>
            <a:cs typeface="Arial" pitchFamily="34" charset="0"/>
          </a:endParaRPr>
        </a:p>
        <a:p>
          <a:pPr>
            <a:lnSpc>
              <a:spcPct val="150000"/>
            </a:lnSpc>
          </a:pPr>
          <a:r>
            <a:rPr lang="en-GB" sz="900" baseline="0">
              <a:solidFill>
                <a:schemeClr val="tx1"/>
              </a:solidFill>
              <a:latin typeface="Arial" pitchFamily="34" charset="0"/>
              <a:ea typeface="+mn-ea"/>
              <a:cs typeface="Arial" pitchFamily="34" charset="0"/>
            </a:rPr>
            <a:t>We have used Hospital episodes statistics (HES ) admissions data for ICD10 code A39 (meningococcal infection).   We used  HES instead of Health Protection Agency (HPA) lab confirmed data to represent figures in England because we know that  HPA figures are likely to underestimate true incidence, since some hospitals do not routinely send samples to the HPA.  Although HES data contain duplicates,  </a:t>
          </a:r>
          <a:r>
            <a:rPr lang="en-GB" sz="900">
              <a:solidFill>
                <a:schemeClr val="tx1"/>
              </a:solidFill>
              <a:latin typeface="Arial" pitchFamily="34" charset="0"/>
              <a:ea typeface="+mn-ea"/>
              <a:cs typeface="Arial" pitchFamily="34" charset="0"/>
            </a:rPr>
            <a:t>Dr Hannah Christensen and Dr Caroline Trotter at the University of Bristol have produced cleaned HES admissions data with duplicates removed over a seven year period in order to estimate burden of illness for their health economic model of meningococcal disease. </a:t>
          </a:r>
          <a:r>
            <a:rPr lang="en-GB" sz="900" baseline="0">
              <a:solidFill>
                <a:schemeClr val="tx1"/>
              </a:solidFill>
              <a:latin typeface="Arial" pitchFamily="34" charset="0"/>
              <a:ea typeface="+mn-ea"/>
              <a:cs typeface="Arial" pitchFamily="34" charset="0"/>
            </a:rPr>
            <a:t> This cleaned data represents, on average, 90% of  uncleaned HES  admissions .  Therefore we have reduced HES admissions by 10% to remove possible duplicates.    HES data is not broken down by serogroup, so to estimate  menB and menC cases we have looked at the proportion of lab confirmed cases attributable to MenB and MenC and applied this proportion to the cleaned HES statistics. </a:t>
          </a:r>
        </a:p>
        <a:p>
          <a:pPr fontAlgn="base">
            <a:lnSpc>
              <a:spcPct val="150000"/>
            </a:lnSpc>
          </a:pPr>
          <a:endParaRPr lang="en-GB" sz="900" baseline="0">
            <a:solidFill>
              <a:schemeClr val="tx1"/>
            </a:solidFill>
            <a:latin typeface="Arial" pitchFamily="34" charset="0"/>
            <a:ea typeface="+mn-ea"/>
            <a:cs typeface="Arial" pitchFamily="34" charset="0"/>
          </a:endParaRPr>
        </a:p>
        <a:p>
          <a:pPr>
            <a:lnSpc>
              <a:spcPct val="150000"/>
            </a:lnSpc>
          </a:pPr>
          <a:r>
            <a:rPr lang="en-GB" sz="900" baseline="0">
              <a:solidFill>
                <a:schemeClr val="tx1"/>
              </a:solidFill>
              <a:latin typeface="Arial" pitchFamily="34" charset="0"/>
              <a:ea typeface="+mn-ea"/>
              <a:cs typeface="Arial" pitchFamily="34" charset="0"/>
            </a:rPr>
            <a:t>WALES (See Table 5)</a:t>
          </a:r>
          <a:endParaRPr lang="en-GB" sz="900">
            <a:solidFill>
              <a:schemeClr val="tx1"/>
            </a:solidFill>
            <a:latin typeface="Arial" pitchFamily="34" charset="0"/>
            <a:ea typeface="+mn-ea"/>
            <a:cs typeface="Arial" pitchFamily="34" charset="0"/>
          </a:endParaRPr>
        </a:p>
        <a:p>
          <a:pPr>
            <a:lnSpc>
              <a:spcPct val="150000"/>
            </a:lnSpc>
          </a:pPr>
          <a:r>
            <a:rPr lang="en-GB" sz="900" baseline="0">
              <a:solidFill>
                <a:schemeClr val="tx1"/>
              </a:solidFill>
              <a:latin typeface="Arial" pitchFamily="34" charset="0"/>
              <a:ea typeface="+mn-ea"/>
              <a:cs typeface="Arial" pitchFamily="34" charset="0"/>
            </a:rPr>
            <a:t>HES data are available for England only.  The average annual number of lab-confirmed cases  of meningococcal disease in England over the past 10 years is 1,391, whereas the cleaned HES data gives us a figure of 1,809.  We can therefore say that over the past ten years, the average  yearly cases of meningococcal disease according to cleaned HES data is approximately 1.3 times higher than lab confirmed data for England.  We have assumed that  lab confirmed cases of meningococcal disease  in Wales are under -ascertained by a similar amount and have therefore applied an uplift of 1.3 to average yearly HPA lab-confirmed cases  in Wales. </a:t>
          </a:r>
        </a:p>
        <a:p>
          <a:pPr>
            <a:lnSpc>
              <a:spcPct val="150000"/>
            </a:lnSpc>
          </a:pPr>
          <a:r>
            <a:rPr lang="en-GB" sz="900" baseline="0">
              <a:solidFill>
                <a:schemeClr val="tx1"/>
              </a:solidFill>
              <a:latin typeface="Arial" pitchFamily="34" charset="0"/>
              <a:ea typeface="+mn-ea"/>
              <a:cs typeface="Arial" pitchFamily="34" charset="0"/>
            </a:rPr>
            <a:t>HPA lab confirmed data list  some of the isolates  as ungrouped or ungroupable.  This is when PCR has detected Meningococcal DNA, but further testing to determine the serogroup was not successful, or because the Meningococcal Reference Unit has been unable to determine an expressed capsule (this result is rare and often associated with throat or nose swab isolates).  We have attributed a proportion of the ungrouped /ungroupable cases to be MenB and MenC (according to the serogroup distribution of grouped cases for that particular year) and have added these to the lab confirmed MenB and MenC cases.</a:t>
          </a:r>
        </a:p>
        <a:p>
          <a:pPr>
            <a:lnSpc>
              <a:spcPct val="150000"/>
            </a:lnSpc>
          </a:pPr>
          <a:endParaRPr lang="en-GB" sz="900" baseline="0">
            <a:solidFill>
              <a:schemeClr val="tx1"/>
            </a:solidFill>
            <a:latin typeface="Arial" pitchFamily="34" charset="0"/>
            <a:ea typeface="+mn-ea"/>
            <a:cs typeface="Arial" pitchFamily="34" charset="0"/>
          </a:endParaRPr>
        </a:p>
        <a:p>
          <a:pPr>
            <a:lnSpc>
              <a:spcPct val="150000"/>
            </a:lnSpc>
          </a:pPr>
          <a:r>
            <a:rPr lang="en-GB" sz="900" baseline="0">
              <a:solidFill>
                <a:schemeClr val="tx1"/>
              </a:solidFill>
              <a:latin typeface="Arial" pitchFamily="34" charset="0"/>
              <a:ea typeface="+mn-ea"/>
              <a:cs typeface="Arial" pitchFamily="34" charset="0"/>
            </a:rPr>
            <a:t>NORTHERN IRELAND (see Table 6) and SCOTLAND (see Table 7) have enhanced surveillance systems in place to try to capture all cases, so we have not applied any uplift to these data.  Enhanced surveillance involves validating notifications of disease with laboratory reports.  Some cases may be clinically diagnosed without ever receiving laboratory confimation and these cases are listed as ungrouped.  Some lab confirmed cases may also be found to be ungrouped/able for reasons already mentioned.  We have attributed a proportion of the ungrouped/able cases to be MenB and MenC (according to the serogroup distribution of grouped cases for that particular year) and have added these to the lab confirmed MenB and MenC cases.</a:t>
          </a:r>
        </a:p>
      </xdr:txBody>
    </xdr:sp>
    <xdr:clientData/>
  </xdr:oneCellAnchor>
  <xdr:twoCellAnchor>
    <xdr:from>
      <xdr:col>5</xdr:col>
      <xdr:colOff>657226</xdr:colOff>
      <xdr:row>109</xdr:row>
      <xdr:rowOff>133350</xdr:rowOff>
    </xdr:from>
    <xdr:to>
      <xdr:col>11</xdr:col>
      <xdr:colOff>171451</xdr:colOff>
      <xdr:row>123</xdr:row>
      <xdr:rowOff>85725</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0.69583</cdr:x>
      <cdr:y>0.84722</cdr:y>
    </cdr:from>
    <cdr:to>
      <cdr:x>0.89583</cdr:x>
      <cdr:y>1</cdr:y>
    </cdr:to>
    <cdr:sp macro="" textlink="">
      <cdr:nvSpPr>
        <cdr:cNvPr id="2" name="TextBox 1"/>
        <cdr:cNvSpPr txBox="1"/>
      </cdr:nvSpPr>
      <cdr:spPr>
        <a:xfrm xmlns:a="http://schemas.openxmlformats.org/drawingml/2006/main">
          <a:off x="3181350" y="2324100"/>
          <a:ext cx="914400" cy="419100"/>
        </a:xfrm>
        <a:prstGeom xmlns:a="http://schemas.openxmlformats.org/drawingml/2006/main" prst="rect">
          <a:avLst/>
        </a:prstGeom>
      </cdr:spPr>
      <cdr:txBody>
        <a:bodyPr xmlns:a="http://schemas.openxmlformats.org/drawingml/2006/main" wrap="none" rtlCol="0"/>
        <a:lstStyle xmlns:a="http://schemas.openxmlformats.org/drawingml/2006/main"/>
        <a:p xmlns:a="http://schemas.openxmlformats.org/drawingml/2006/main">
          <a:endParaRPr lang="en-GB" sz="1100"/>
        </a:p>
      </cdr:txBody>
    </cdr:sp>
  </cdr:relSizeAnchor>
  <cdr:relSizeAnchor xmlns:cdr="http://schemas.openxmlformats.org/drawingml/2006/chartDrawing">
    <cdr:from>
      <cdr:x>0.65833</cdr:x>
      <cdr:y>0.90278</cdr:y>
    </cdr:from>
    <cdr:to>
      <cdr:x>0.99583</cdr:x>
      <cdr:y>0.99306</cdr:y>
    </cdr:to>
    <cdr:sp macro="" textlink="">
      <cdr:nvSpPr>
        <cdr:cNvPr id="3" name="TextBox 2"/>
        <cdr:cNvSpPr txBox="1"/>
      </cdr:nvSpPr>
      <cdr:spPr>
        <a:xfrm xmlns:a="http://schemas.openxmlformats.org/drawingml/2006/main">
          <a:off x="3009898" y="2476500"/>
          <a:ext cx="1543051" cy="247650"/>
        </a:xfrm>
        <a:prstGeom xmlns:a="http://schemas.openxmlformats.org/drawingml/2006/main" prst="rect">
          <a:avLst/>
        </a:prstGeom>
      </cdr:spPr>
      <cdr:txBody>
        <a:bodyPr xmlns:a="http://schemas.openxmlformats.org/drawingml/2006/main" wrap="none" rtlCol="0"/>
        <a:lstStyle xmlns:a="http://schemas.openxmlformats.org/drawingml/2006/main"/>
        <a:p xmlns:a="http://schemas.openxmlformats.org/drawingml/2006/main">
          <a:r>
            <a:rPr lang="en-GB" sz="800" b="1">
              <a:latin typeface="Arial Narrow" pitchFamily="34" charset="0"/>
              <a:cs typeface="Arial" pitchFamily="34" charset="0"/>
            </a:rPr>
            <a:t>Source: Health Protection</a:t>
          </a:r>
          <a:r>
            <a:rPr lang="en-GB" sz="800" b="1" baseline="0">
              <a:latin typeface="Arial Narrow" pitchFamily="34" charset="0"/>
              <a:cs typeface="Arial" pitchFamily="34" charset="0"/>
            </a:rPr>
            <a:t> Agency</a:t>
          </a:r>
          <a:endParaRPr lang="en-GB" sz="800" b="1">
            <a:latin typeface="Arial Narrow" pitchFamily="34" charset="0"/>
            <a:cs typeface="Arial" pitchFamily="34" charset="0"/>
          </a:endParaRPr>
        </a:p>
      </cdr:txBody>
    </cdr:sp>
  </cdr:relSizeAnchor>
</c:userShapes>
</file>

<file path=xl/drawings/drawing4.xml><?xml version="1.0" encoding="utf-8"?>
<xdr:wsDr xmlns:xdr="http://schemas.openxmlformats.org/drawingml/2006/spreadsheetDrawing" xmlns:a="http://schemas.openxmlformats.org/drawingml/2006/main">
  <xdr:oneCellAnchor>
    <xdr:from>
      <xdr:col>0</xdr:col>
      <xdr:colOff>419100</xdr:colOff>
      <xdr:row>0</xdr:row>
      <xdr:rowOff>114300</xdr:rowOff>
    </xdr:from>
    <xdr:ext cx="8305799" cy="5267083"/>
    <xdr:sp macro="" textlink="">
      <xdr:nvSpPr>
        <xdr:cNvPr id="2" name="TextBox 1"/>
        <xdr:cNvSpPr txBox="1"/>
      </xdr:nvSpPr>
      <xdr:spPr>
        <a:xfrm>
          <a:off x="419100" y="114300"/>
          <a:ext cx="8305799" cy="5267083"/>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pPr>
            <a:lnSpc>
              <a:spcPct val="150000"/>
            </a:lnSpc>
          </a:pPr>
          <a:r>
            <a:rPr lang="en-GB" sz="900">
              <a:latin typeface="Arial" pitchFamily="34" charset="0"/>
              <a:cs typeface="Arial" pitchFamily="34" charset="0"/>
            </a:rPr>
            <a:t>UK</a:t>
          </a:r>
          <a:r>
            <a:rPr lang="en-GB" sz="900" baseline="0">
              <a:latin typeface="Arial" pitchFamily="34" charset="0"/>
              <a:cs typeface="Arial" pitchFamily="34" charset="0"/>
            </a:rPr>
            <a:t> cases of bacterial meningitis cases not attributable to meningococcal disease are presented below:</a:t>
          </a:r>
        </a:p>
        <a:p>
          <a:pPr>
            <a:lnSpc>
              <a:spcPct val="150000"/>
            </a:lnSpc>
          </a:pPr>
          <a:endParaRPr lang="en-GB" sz="900" baseline="0">
            <a:latin typeface="Arial" pitchFamily="34" charset="0"/>
            <a:cs typeface="Arial" pitchFamily="34" charset="0"/>
          </a:endParaRPr>
        </a:p>
        <a:p>
          <a:pPr>
            <a:lnSpc>
              <a:spcPct val="150000"/>
            </a:lnSpc>
          </a:pPr>
          <a:r>
            <a:rPr lang="en-GB" sz="900">
              <a:latin typeface="Arial" pitchFamily="34" charset="0"/>
              <a:cs typeface="Arial" pitchFamily="34" charset="0"/>
            </a:rPr>
            <a:t>ENGLAND AND WALES:</a:t>
          </a:r>
        </a:p>
        <a:p>
          <a:pPr>
            <a:lnSpc>
              <a:spcPct val="150000"/>
            </a:lnSpc>
          </a:pPr>
          <a:r>
            <a:rPr lang="en-GB" sz="900">
              <a:latin typeface="Arial" pitchFamily="34" charset="0"/>
              <a:cs typeface="Arial" pitchFamily="34" charset="0"/>
            </a:rPr>
            <a:t>PNEUMOCOCCAL STATS (see Table</a:t>
          </a:r>
          <a:r>
            <a:rPr lang="en-GB" sz="900" baseline="0">
              <a:latin typeface="Arial" pitchFamily="34" charset="0"/>
              <a:cs typeface="Arial" pitchFamily="34" charset="0"/>
            </a:rPr>
            <a:t> 9</a:t>
          </a:r>
          <a:r>
            <a:rPr lang="en-GB" sz="900">
              <a:latin typeface="Arial" pitchFamily="34" charset="0"/>
              <a:cs typeface="Arial" pitchFamily="34" charset="0"/>
            </a:rPr>
            <a:t>)</a:t>
          </a:r>
        </a:p>
        <a:p>
          <a:pPr marL="0" marR="0" indent="0" defTabSz="914400" eaLnBrk="1" fontAlgn="auto" latinLnBrk="0" hangingPunct="1">
            <a:lnSpc>
              <a:spcPct val="150000"/>
            </a:lnSpc>
            <a:spcBef>
              <a:spcPts val="0"/>
            </a:spcBef>
            <a:spcAft>
              <a:spcPts val="0"/>
            </a:spcAft>
            <a:buClrTx/>
            <a:buSzTx/>
            <a:buFontTx/>
            <a:buNone/>
            <a:tabLst/>
            <a:defRPr/>
          </a:pPr>
          <a:r>
            <a:rPr lang="en-GB" sz="900" baseline="0">
              <a:solidFill>
                <a:schemeClr val="tx1"/>
              </a:solidFill>
              <a:latin typeface="Arial" pitchFamily="34" charset="0"/>
              <a:ea typeface="+mn-ea"/>
              <a:cs typeface="Arial" pitchFamily="34" charset="0"/>
            </a:rPr>
            <a:t>We have used Hospital episodes statistics (HES ) admissions data for ICD10 code G001 (pneumococcal meningitis).   </a:t>
          </a:r>
          <a:r>
            <a:rPr lang="en-GB" sz="900">
              <a:solidFill>
                <a:schemeClr val="tx1"/>
              </a:solidFill>
              <a:latin typeface="Arial" pitchFamily="34" charset="0"/>
              <a:ea typeface="+mn-ea"/>
              <a:cs typeface="Arial" pitchFamily="34" charset="0"/>
            </a:rPr>
            <a:t>HES data contain duplicates, but Dr Caroline Trotter at the University of Bristol has produced cleaned HES admissions data with duplicates removed which represented on average 75% of the raw HES data.  Therefore we used 75% of the raw HES data to avoid duplication</a:t>
          </a:r>
          <a:r>
            <a:rPr lang="en-GB" sz="900" baseline="0">
              <a:solidFill>
                <a:schemeClr val="tx1"/>
              </a:solidFill>
              <a:latin typeface="Arial" pitchFamily="34" charset="0"/>
              <a:ea typeface="+mn-ea"/>
              <a:cs typeface="Arial" pitchFamily="34" charset="0"/>
            </a:rPr>
            <a:t>.  There has been a drop in cases of pneumococal meningitis since 2006/7, which is the time that PCV7 was introduced to the UK schedule.  We want to estimate the the burden of pneumococcal meningitis that is currently uncontrolled by vaccination, so we averaged the data from the years 2007/8 to 2009/10 so as not to overestimate the current burden of disease.  HES are only available in England, so to calculate Welsh cases we looked at Notifications of Infectious Diseases (NOIDs) data.  Due to under reporting,  these data would underrepresent the true burden of disease in Wales.  To correct for this, we looked at the proportion of cases notified in Wales compared to those notified in England and applied the yearly uplift factor to the cleaned HES admissions data each year.</a:t>
          </a:r>
        </a:p>
        <a:p>
          <a:pPr marL="0" marR="0" indent="0" defTabSz="914400" eaLnBrk="1" fontAlgn="auto" latinLnBrk="0" hangingPunct="1">
            <a:lnSpc>
              <a:spcPct val="150000"/>
            </a:lnSpc>
            <a:spcBef>
              <a:spcPts val="0"/>
            </a:spcBef>
            <a:spcAft>
              <a:spcPts val="0"/>
            </a:spcAft>
            <a:buClrTx/>
            <a:buSzTx/>
            <a:buFontTx/>
            <a:buNone/>
            <a:tabLst/>
            <a:defRPr/>
          </a:pPr>
          <a:endParaRPr lang="en-GB" sz="900" baseline="0">
            <a:solidFill>
              <a:schemeClr val="tx1"/>
            </a:solidFill>
            <a:latin typeface="Arial" pitchFamily="34" charset="0"/>
            <a:ea typeface="+mn-ea"/>
            <a:cs typeface="Arial" pitchFamily="34" charset="0"/>
          </a:endParaRPr>
        </a:p>
        <a:p>
          <a:pPr>
            <a:lnSpc>
              <a:spcPct val="150000"/>
            </a:lnSpc>
          </a:pPr>
          <a:r>
            <a:rPr lang="en-GB" sz="900" baseline="0">
              <a:solidFill>
                <a:schemeClr val="tx1"/>
              </a:solidFill>
              <a:latin typeface="Arial" pitchFamily="34" charset="0"/>
              <a:ea typeface="+mn-ea"/>
              <a:cs typeface="Arial" pitchFamily="34" charset="0"/>
            </a:rPr>
            <a:t>OTHER BACTERIAL MENINGITIS (see Table 10)</a:t>
          </a:r>
        </a:p>
        <a:p>
          <a:pPr>
            <a:lnSpc>
              <a:spcPct val="150000"/>
            </a:lnSpc>
          </a:pPr>
          <a:r>
            <a:rPr lang="en-GB" sz="900" baseline="0">
              <a:solidFill>
                <a:schemeClr val="tx1"/>
              </a:solidFill>
              <a:latin typeface="Arial" pitchFamily="34" charset="0"/>
              <a:ea typeface="+mn-ea"/>
              <a:cs typeface="Arial" pitchFamily="34" charset="0"/>
            </a:rPr>
            <a:t>Although HES data exist for the other types of becterial meningitis,  we know of no source of de-duplicated admissions data.  We have therefore used the NOIDS data for Haemophilus influenzae, TB meningitis and Other Causes of bacterial meningitis.  Data cells for the years prior to the introduction of  relevant vaccines are greyed out in the tables and not included in calculations of average yearly cases because this would inflate the averages and be unrepresentative of  current  disease levels.</a:t>
          </a:r>
        </a:p>
        <a:p>
          <a:pPr>
            <a:lnSpc>
              <a:spcPct val="150000"/>
            </a:lnSpc>
          </a:pPr>
          <a:endParaRPr lang="en-GB" sz="900" baseline="0">
            <a:solidFill>
              <a:schemeClr val="tx1"/>
            </a:solidFill>
            <a:latin typeface="Arial" pitchFamily="34" charset="0"/>
            <a:ea typeface="+mn-ea"/>
            <a:cs typeface="Arial" pitchFamily="34" charset="0"/>
          </a:endParaRPr>
        </a:p>
        <a:p>
          <a:pPr>
            <a:lnSpc>
              <a:spcPct val="150000"/>
            </a:lnSpc>
          </a:pPr>
          <a:r>
            <a:rPr lang="en-GB" sz="900" baseline="0">
              <a:solidFill>
                <a:sysClr val="windowText" lastClr="000000"/>
              </a:solidFill>
              <a:latin typeface="Arial" pitchFamily="34" charset="0"/>
              <a:ea typeface="+mn-ea"/>
              <a:cs typeface="Arial" pitchFamily="34" charset="0"/>
            </a:rPr>
            <a:t>NORTHERN IRELAND and SCOTLAND (see Tables 11 and 12)</a:t>
          </a:r>
        </a:p>
        <a:p>
          <a:pPr marL="0" marR="0" indent="0" defTabSz="914400" eaLnBrk="1" fontAlgn="auto" latinLnBrk="0" hangingPunct="1">
            <a:lnSpc>
              <a:spcPct val="150000"/>
            </a:lnSpc>
            <a:spcBef>
              <a:spcPts val="0"/>
            </a:spcBef>
            <a:spcAft>
              <a:spcPts val="0"/>
            </a:spcAft>
            <a:buClrTx/>
            <a:buSzTx/>
            <a:buFontTx/>
            <a:buNone/>
            <a:tabLst/>
            <a:defRPr/>
          </a:pPr>
          <a:r>
            <a:rPr lang="en-GB" sz="900" baseline="0">
              <a:solidFill>
                <a:sysClr val="windowText" lastClr="000000"/>
              </a:solidFill>
              <a:latin typeface="Arial" pitchFamily="34" charset="0"/>
              <a:ea typeface="+mn-ea"/>
              <a:cs typeface="Arial" pitchFamily="34" charset="0"/>
            </a:rPr>
            <a:t>Stats for annual cases of other types of bacterial meningitis from Northern Ireland and Scotland have been sourced from the Public Health Agency (PHA) and Health Protection Scotland (HPS) respectively.  We could only source the last 4 years of Northern Ireland data.  In Scotland, enhanced surveillance data is shown for Pneumococcal and TB.  Enhanced surveillance  data is shown for  Haemophilus Influenzae data from 2002.  CSF Isolate data is shown for "other bacterial " and for Haemophilus before 2002.  </a:t>
          </a:r>
          <a:r>
            <a:rPr lang="en-GB" sz="900" baseline="0">
              <a:solidFill>
                <a:schemeClr val="tx1"/>
              </a:solidFill>
              <a:latin typeface="Arial" pitchFamily="34" charset="0"/>
              <a:ea typeface="+mn-ea"/>
              <a:cs typeface="Arial" pitchFamily="34" charset="0"/>
            </a:rPr>
            <a:t>Data cells for the years prior to the introduction of  relevant vaccines are greyed out in the tables and not included in calculations of average yearly cases because this would inflate the averages and be unrepresentative of  current  disease levels.</a:t>
          </a:r>
          <a:endParaRPr lang="en-GB" sz="900">
            <a:latin typeface="Arial" pitchFamily="34" charset="0"/>
            <a:cs typeface="Arial" pitchFamily="34" charset="0"/>
          </a:endParaRPr>
        </a:p>
        <a:p>
          <a:pPr>
            <a:lnSpc>
              <a:spcPct val="150000"/>
            </a:lnSpc>
          </a:pPr>
          <a:endParaRPr lang="en-GB" sz="900" baseline="0">
            <a:solidFill>
              <a:sysClr val="windowText" lastClr="000000"/>
            </a:solidFill>
            <a:latin typeface="Arial" pitchFamily="34" charset="0"/>
            <a:ea typeface="+mn-ea"/>
            <a:cs typeface="Arial" pitchFamily="34" charset="0"/>
          </a:endParaRP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hyperlink" Target="http://www.hps.scot.nhs.uk/resp/ssdetail.aspx?id=14" TargetMode="External"/><Relationship Id="rId3" Type="http://schemas.openxmlformats.org/officeDocument/2006/relationships/hyperlink" Target="http://www.publichealthagency.org/directorate-public-health/health-protection/meningococcal-disease" TargetMode="External"/><Relationship Id="rId7" Type="http://schemas.openxmlformats.org/officeDocument/2006/relationships/hyperlink" Target="http://www.publichealthagency.org/directorate-public-health/health-protection/tuberculosis" TargetMode="External"/><Relationship Id="rId2" Type="http://schemas.openxmlformats.org/officeDocument/2006/relationships/hyperlink" Target="http://www.hpa.org.uk/Topics/InfectiousDiseases/InfectionsAZ/MeningococcalDisease/EpidemiologicalData/" TargetMode="External"/><Relationship Id="rId1" Type="http://schemas.openxmlformats.org/officeDocument/2006/relationships/hyperlink" Target="http://www.hesonline.nhs.uk/Ease/servlet/ContentServer?siteID=1937&amp;categoryID=203" TargetMode="External"/><Relationship Id="rId6" Type="http://schemas.openxmlformats.org/officeDocument/2006/relationships/hyperlink" Target="http://www.publichealth.hscni.net/directorate-public-health/health-protection/surveillance-data" TargetMode="External"/><Relationship Id="rId5" Type="http://schemas.openxmlformats.org/officeDocument/2006/relationships/hyperlink" Target="http://www.hpa.org.uk/infections/topics_az/noids/archive.htm" TargetMode="External"/><Relationship Id="rId10" Type="http://schemas.openxmlformats.org/officeDocument/2006/relationships/hyperlink" Target="http://www.hps.scot.nhs.uk/resp/ssdetail.aspx?id=15" TargetMode="External"/><Relationship Id="rId4" Type="http://schemas.openxmlformats.org/officeDocument/2006/relationships/hyperlink" Target="http://www.hps.scot.nhs.uk/surveillance/SystemsDetail.aspx?id=13" TargetMode="External"/><Relationship Id="rId9" Type="http://schemas.openxmlformats.org/officeDocument/2006/relationships/hyperlink" Target="http://www.hps.scot.nhs.uk/surveillance/SystemsDetail.aspx?id=18" TargetMode="External"/></Relationships>
</file>

<file path=xl/worksheets/sheet1.xml><?xml version="1.0" encoding="utf-8"?>
<worksheet xmlns="http://schemas.openxmlformats.org/spreadsheetml/2006/main" xmlns:r="http://schemas.openxmlformats.org/officeDocument/2006/relationships">
  <dimension ref="B31:J48"/>
  <sheetViews>
    <sheetView topLeftCell="A13" workbookViewId="0">
      <selection activeCell="E30" sqref="E30"/>
    </sheetView>
  </sheetViews>
  <sheetFormatPr defaultRowHeight="15"/>
  <cols>
    <col min="2" max="2" width="16" customWidth="1"/>
    <col min="5" max="5" width="13.7109375" customWidth="1"/>
    <col min="6" max="6" width="12.5703125" customWidth="1"/>
    <col min="7" max="7" width="11.28515625" customWidth="1"/>
    <col min="8" max="8" width="10.5703125" customWidth="1"/>
    <col min="9" max="9" width="14.140625" customWidth="1"/>
  </cols>
  <sheetData>
    <row r="31" spans="2:10">
      <c r="B31" s="21" t="s">
        <v>63</v>
      </c>
    </row>
    <row r="32" spans="2:10" ht="38.25" customHeight="1">
      <c r="B32" s="114"/>
      <c r="C32" s="108" t="s">
        <v>36</v>
      </c>
      <c r="D32" s="108"/>
      <c r="E32" s="110" t="s">
        <v>37</v>
      </c>
      <c r="F32" s="116" t="s">
        <v>62</v>
      </c>
      <c r="G32" s="110" t="s">
        <v>38</v>
      </c>
      <c r="H32" s="110" t="s">
        <v>39</v>
      </c>
      <c r="I32" s="110" t="s">
        <v>61</v>
      </c>
      <c r="J32" s="112" t="s">
        <v>40</v>
      </c>
    </row>
    <row r="33" spans="2:10">
      <c r="B33" s="115"/>
      <c r="C33" s="71" t="s">
        <v>41</v>
      </c>
      <c r="D33" s="71" t="s">
        <v>3</v>
      </c>
      <c r="E33" s="111"/>
      <c r="F33" s="117"/>
      <c r="G33" s="111"/>
      <c r="H33" s="111"/>
      <c r="I33" s="111"/>
      <c r="J33" s="113"/>
    </row>
    <row r="34" spans="2:10">
      <c r="B34" s="80" t="s">
        <v>69</v>
      </c>
      <c r="C34" s="72">
        <f>'UK MD'!F45</f>
        <v>1207.8</v>
      </c>
      <c r="D34" s="72">
        <f>'UK MD'!G45</f>
        <v>1074.0792857142856</v>
      </c>
      <c r="E34" s="101">
        <f>'UK non-MD'!H35</f>
        <v>379.70414201183434</v>
      </c>
      <c r="F34" s="101">
        <f>'UK non-MD'!C49</f>
        <v>31</v>
      </c>
      <c r="G34" s="101">
        <f>'UK non-MD'!D49</f>
        <v>192</v>
      </c>
      <c r="H34" s="101">
        <f>'UK non-MD'!E49</f>
        <v>275</v>
      </c>
      <c r="I34" s="72"/>
      <c r="J34" s="103">
        <f>SUM(E34:I34)+C34 +C35</f>
        <v>2142.7041420118339</v>
      </c>
    </row>
    <row r="35" spans="2:10">
      <c r="B35" s="80" t="s">
        <v>68</v>
      </c>
      <c r="C35" s="72">
        <f>'UK MD'!$F$46</f>
        <v>57.2</v>
      </c>
      <c r="D35" s="72">
        <f>'UK MD'!$G$46</f>
        <v>49.4</v>
      </c>
      <c r="E35" s="102"/>
      <c r="F35" s="102"/>
      <c r="G35" s="102"/>
      <c r="H35" s="102"/>
      <c r="I35" s="72"/>
      <c r="J35" s="104"/>
    </row>
    <row r="36" spans="2:10">
      <c r="B36" s="90" t="s">
        <v>80</v>
      </c>
      <c r="C36" s="72">
        <f>'UK MD'!F48</f>
        <v>139</v>
      </c>
      <c r="D36" s="72">
        <f>'UK MD'!G48</f>
        <v>123.97297297297297</v>
      </c>
      <c r="E36" s="72">
        <f>'UK non-MD'!C71</f>
        <v>25</v>
      </c>
      <c r="F36" s="72">
        <f>'UK non-MD'!D71</f>
        <v>2</v>
      </c>
      <c r="G36" s="72">
        <f>'UK non-MD'!E71</f>
        <v>10</v>
      </c>
      <c r="H36" s="72">
        <f>'UK non-MD'!F71</f>
        <v>81</v>
      </c>
      <c r="I36" s="72"/>
      <c r="J36" s="73">
        <f t="shared" ref="J36:J37" si="0">SUM(E36:I36)+C36</f>
        <v>257</v>
      </c>
    </row>
    <row r="37" spans="2:10" ht="15.75" thickBot="1">
      <c r="B37" s="71" t="s">
        <v>43</v>
      </c>
      <c r="C37" s="72">
        <f>'UK MD'!F47</f>
        <v>65</v>
      </c>
      <c r="D37" s="72">
        <f>'UK MD'!G47</f>
        <v>61.75</v>
      </c>
      <c r="E37" s="72">
        <f>'UK non-MD'!C57</f>
        <v>2</v>
      </c>
      <c r="F37" s="72">
        <f>'UK non-MD'!D57</f>
        <v>0</v>
      </c>
      <c r="G37" s="72">
        <f>'UK non-MD'!E57</f>
        <v>0</v>
      </c>
      <c r="H37" s="72">
        <f>'UK non-MD'!F57</f>
        <v>36</v>
      </c>
      <c r="I37" s="72"/>
      <c r="J37" s="77">
        <f t="shared" si="0"/>
        <v>103</v>
      </c>
    </row>
    <row r="38" spans="2:10" s="17" customFormat="1" ht="15.75" thickBot="1">
      <c r="B38" s="71" t="s">
        <v>44</v>
      </c>
      <c r="C38" s="73">
        <f>SUM(C34:C37)</f>
        <v>1469</v>
      </c>
      <c r="D38" s="73">
        <f t="shared" ref="D38:H38" si="1">SUM(D34:D37)</f>
        <v>1309.2022586872586</v>
      </c>
      <c r="E38" s="73">
        <f t="shared" si="1"/>
        <v>406.70414201183434</v>
      </c>
      <c r="F38" s="73">
        <f t="shared" si="1"/>
        <v>33</v>
      </c>
      <c r="G38" s="73">
        <f t="shared" si="1"/>
        <v>202</v>
      </c>
      <c r="H38" s="73">
        <f t="shared" si="1"/>
        <v>392</v>
      </c>
      <c r="I38" s="76">
        <v>274</v>
      </c>
      <c r="J38" s="78">
        <f>SUM(E38:I38)+C38</f>
        <v>2776.7041420118344</v>
      </c>
    </row>
    <row r="39" spans="2:10" s="17" customFormat="1">
      <c r="B39" s="92" t="s">
        <v>81</v>
      </c>
      <c r="C39" s="91"/>
      <c r="D39" s="91"/>
      <c r="E39" s="91"/>
      <c r="F39" s="91"/>
      <c r="G39" s="91"/>
      <c r="H39" s="91"/>
      <c r="I39" s="91"/>
      <c r="J39" s="91"/>
    </row>
    <row r="41" spans="2:10">
      <c r="B41" s="21" t="s">
        <v>66</v>
      </c>
      <c r="C41" s="74"/>
      <c r="D41" s="74"/>
      <c r="E41" s="74"/>
      <c r="F41" s="74"/>
      <c r="G41" s="74"/>
      <c r="H41" s="74"/>
      <c r="I41" s="74"/>
      <c r="J41" s="74"/>
    </row>
    <row r="42" spans="2:10" ht="35.25" customHeight="1">
      <c r="B42" s="107"/>
      <c r="C42" s="108" t="s">
        <v>36</v>
      </c>
      <c r="D42" s="108"/>
      <c r="E42" s="105" t="s">
        <v>37</v>
      </c>
      <c r="F42" s="109" t="s">
        <v>62</v>
      </c>
      <c r="G42" s="105" t="s">
        <v>38</v>
      </c>
      <c r="H42" s="105" t="s">
        <v>39</v>
      </c>
      <c r="I42" s="105" t="s">
        <v>61</v>
      </c>
      <c r="J42" s="106" t="s">
        <v>40</v>
      </c>
    </row>
    <row r="43" spans="2:10">
      <c r="B43" s="107"/>
      <c r="C43" s="71" t="s">
        <v>41</v>
      </c>
      <c r="D43" s="71" t="s">
        <v>3</v>
      </c>
      <c r="E43" s="105"/>
      <c r="F43" s="109"/>
      <c r="G43" s="105"/>
      <c r="H43" s="105"/>
      <c r="I43" s="105"/>
      <c r="J43" s="106"/>
    </row>
    <row r="44" spans="2:10">
      <c r="B44" s="80" t="s">
        <v>69</v>
      </c>
      <c r="C44" s="72">
        <f>'UK MD'!J45</f>
        <v>1708.557552235962</v>
      </c>
      <c r="D44" s="72">
        <f>'UK MD'!D45</f>
        <v>1571.6703463763997</v>
      </c>
      <c r="E44" s="101">
        <f>'UK non-MD'!H36</f>
        <v>383.76961315468787</v>
      </c>
      <c r="F44" s="101">
        <f>'UK non-MD'!C50</f>
        <v>29</v>
      </c>
      <c r="G44" s="101">
        <f>'UK non-MD'!D50</f>
        <v>188.3</v>
      </c>
      <c r="H44" s="101">
        <f>'UK non-MD'!E50</f>
        <v>338.4</v>
      </c>
      <c r="I44" s="72"/>
      <c r="J44" s="103">
        <f>SUM(E44:I44)+C44+C45</f>
        <v>2723.5938399249567</v>
      </c>
    </row>
    <row r="45" spans="2:10">
      <c r="B45" s="80" t="s">
        <v>68</v>
      </c>
      <c r="C45" s="72">
        <f>'UK MD'!$J$46</f>
        <v>75.566674534307012</v>
      </c>
      <c r="D45" s="72">
        <f>'UK MD'!$D$46</f>
        <v>69.363881014812335</v>
      </c>
      <c r="E45" s="102"/>
      <c r="F45" s="102"/>
      <c r="G45" s="102"/>
      <c r="H45" s="102"/>
      <c r="I45" s="72"/>
      <c r="J45" s="104"/>
    </row>
    <row r="46" spans="2:10">
      <c r="B46" s="71" t="s">
        <v>42</v>
      </c>
      <c r="C46" s="72">
        <f>'UK MD'!C48</f>
        <v>183.6</v>
      </c>
      <c r="D46" s="72">
        <f>'UK MD'!D48</f>
        <v>137.2530440690274</v>
      </c>
      <c r="E46" s="72">
        <f>'UK non-MD'!C72</f>
        <v>22.333333333333332</v>
      </c>
      <c r="F46" s="72">
        <f>'UK non-MD'!D72</f>
        <v>4.666666666666667</v>
      </c>
      <c r="G46" s="72">
        <f>'UK non-MD'!E72</f>
        <v>7.4</v>
      </c>
      <c r="H46" s="72">
        <f>'UK non-MD'!F72</f>
        <v>35.5</v>
      </c>
      <c r="I46" s="72"/>
      <c r="J46" s="73">
        <f t="shared" ref="J46:J47" si="2">SUM(E46:I46)+C46</f>
        <v>253.5</v>
      </c>
    </row>
    <row r="47" spans="2:10" ht="15.75" thickBot="1">
      <c r="B47" s="71" t="s">
        <v>43</v>
      </c>
      <c r="C47" s="72">
        <f>'UK MD'!C47</f>
        <v>106</v>
      </c>
      <c r="D47" s="72">
        <f>'UK MD'!D47</f>
        <v>91.524335293777995</v>
      </c>
      <c r="E47" s="72">
        <f>'UK non-MD'!C58</f>
        <v>2</v>
      </c>
      <c r="F47" s="72">
        <f>'UK non-MD'!D58</f>
        <v>0.33333333333333331</v>
      </c>
      <c r="G47" s="72">
        <f>'UK non-MD'!E58</f>
        <v>0.5</v>
      </c>
      <c r="H47" s="72">
        <f>'UK non-MD'!F58</f>
        <v>44.5</v>
      </c>
      <c r="I47" s="72"/>
      <c r="J47" s="77">
        <f t="shared" si="2"/>
        <v>153.33333333333334</v>
      </c>
    </row>
    <row r="48" spans="2:10" s="17" customFormat="1" ht="15.75" thickBot="1">
      <c r="B48" s="71" t="s">
        <v>44</v>
      </c>
      <c r="C48" s="73">
        <f>SUM(C44:C47)</f>
        <v>2073.7242267702686</v>
      </c>
      <c r="D48" s="73">
        <f t="shared" ref="D48:H48" si="3">SUM(D44:D47)</f>
        <v>1869.8116067540175</v>
      </c>
      <c r="E48" s="73">
        <f t="shared" si="3"/>
        <v>408.10294648802119</v>
      </c>
      <c r="F48" s="73">
        <f t="shared" si="3"/>
        <v>34</v>
      </c>
      <c r="G48" s="73">
        <f t="shared" si="3"/>
        <v>196.20000000000002</v>
      </c>
      <c r="H48" s="73">
        <f t="shared" si="3"/>
        <v>418.4</v>
      </c>
      <c r="I48" s="76">
        <v>274</v>
      </c>
      <c r="J48" s="78">
        <f>SUM(E48:I48)+C48</f>
        <v>3404.4271732582897</v>
      </c>
    </row>
  </sheetData>
  <mergeCells count="26">
    <mergeCell ref="I32:I33"/>
    <mergeCell ref="J32:J33"/>
    <mergeCell ref="B32:B33"/>
    <mergeCell ref="C32:D32"/>
    <mergeCell ref="E32:E33"/>
    <mergeCell ref="F32:F33"/>
    <mergeCell ref="G32:G33"/>
    <mergeCell ref="H32:H33"/>
    <mergeCell ref="I42:I43"/>
    <mergeCell ref="J42:J43"/>
    <mergeCell ref="B42:B43"/>
    <mergeCell ref="C42:D42"/>
    <mergeCell ref="E42:E43"/>
    <mergeCell ref="F42:F43"/>
    <mergeCell ref="G42:G43"/>
    <mergeCell ref="H42:H43"/>
    <mergeCell ref="E44:E45"/>
    <mergeCell ref="F44:F45"/>
    <mergeCell ref="G44:G45"/>
    <mergeCell ref="H44:H45"/>
    <mergeCell ref="J44:J45"/>
    <mergeCell ref="E34:E35"/>
    <mergeCell ref="F34:F35"/>
    <mergeCell ref="G34:G35"/>
    <mergeCell ref="H34:H35"/>
    <mergeCell ref="J34:J35"/>
  </mergeCells>
  <pageMargins left="0.7" right="0.7" top="0.75" bottom="0.75" header="0.3" footer="0.3"/>
  <pageSetup paperSize="9" scale="65" orientation="portrait" verticalDpi="0" r:id="rId1"/>
  <drawing r:id="rId2"/>
</worksheet>
</file>

<file path=xl/worksheets/sheet2.xml><?xml version="1.0" encoding="utf-8"?>
<worksheet xmlns="http://schemas.openxmlformats.org/spreadsheetml/2006/main" xmlns:r="http://schemas.openxmlformats.org/officeDocument/2006/relationships">
  <dimension ref="B42:N123"/>
  <sheetViews>
    <sheetView tabSelected="1" topLeftCell="A97" workbookViewId="0">
      <selection activeCell="B109" sqref="B109"/>
    </sheetView>
  </sheetViews>
  <sheetFormatPr defaultRowHeight="15"/>
  <cols>
    <col min="1" max="1" width="6.140625" customWidth="1"/>
    <col min="2" max="2" width="11.5703125" customWidth="1"/>
    <col min="3" max="3" width="10.85546875" customWidth="1"/>
    <col min="4" max="4" width="11.42578125" customWidth="1"/>
    <col min="5" max="5" width="10.140625" customWidth="1"/>
    <col min="6" max="6" width="11.140625" customWidth="1"/>
    <col min="7" max="7" width="9.7109375" customWidth="1"/>
    <col min="8" max="8" width="10.140625" customWidth="1"/>
    <col min="9" max="9" width="13.42578125" customWidth="1"/>
    <col min="10" max="10" width="17.5703125" customWidth="1"/>
    <col min="11" max="11" width="10.42578125" customWidth="1"/>
  </cols>
  <sheetData>
    <row r="42" spans="2:11">
      <c r="B42" s="21" t="s">
        <v>88</v>
      </c>
    </row>
    <row r="43" spans="2:11" s="17" customFormat="1" ht="15" customHeight="1">
      <c r="B43" s="44"/>
      <c r="C43" s="122" t="s">
        <v>31</v>
      </c>
      <c r="D43" s="122"/>
      <c r="E43" s="122"/>
      <c r="F43" s="123" t="s">
        <v>32</v>
      </c>
      <c r="G43" s="124"/>
      <c r="H43" s="125"/>
      <c r="I43" s="118" t="s">
        <v>33</v>
      </c>
      <c r="J43" s="120" t="s">
        <v>34</v>
      </c>
    </row>
    <row r="44" spans="2:11" s="17" customFormat="1" ht="34.5" customHeight="1">
      <c r="B44" s="44"/>
      <c r="C44" s="44" t="s">
        <v>30</v>
      </c>
      <c r="D44" s="44" t="s">
        <v>3</v>
      </c>
      <c r="E44" s="44" t="s">
        <v>4</v>
      </c>
      <c r="F44" s="44" t="s">
        <v>30</v>
      </c>
      <c r="G44" s="44" t="s">
        <v>3</v>
      </c>
      <c r="H44" s="44" t="s">
        <v>4</v>
      </c>
      <c r="I44" s="119"/>
      <c r="J44" s="120"/>
    </row>
    <row r="45" spans="2:11">
      <c r="B45" s="44" t="s">
        <v>1</v>
      </c>
      <c r="C45" s="31">
        <f>D65</f>
        <v>1809</v>
      </c>
      <c r="D45" s="31">
        <f>L65</f>
        <v>1571.6703463763997</v>
      </c>
      <c r="E45" s="31">
        <f>M65</f>
        <v>124.88601919260948</v>
      </c>
      <c r="F45" s="31">
        <f>D64</f>
        <v>1207.8</v>
      </c>
      <c r="G45" s="31">
        <f>L64</f>
        <v>1074.0792857142856</v>
      </c>
      <c r="H45" s="31">
        <f>M64</f>
        <v>24.443571428571428</v>
      </c>
      <c r="I45" s="83">
        <f>E45-H45</f>
        <v>100.44244776403805</v>
      </c>
      <c r="J45" s="31">
        <f>C45-I45</f>
        <v>1708.557552235962</v>
      </c>
      <c r="K45" s="75"/>
    </row>
    <row r="46" spans="2:11">
      <c r="B46" s="44" t="s">
        <v>8</v>
      </c>
      <c r="C46" s="31">
        <f>C79*1.3</f>
        <v>82.03</v>
      </c>
      <c r="D46" s="31">
        <f>J79</f>
        <v>69.363881014812335</v>
      </c>
      <c r="E46" s="31">
        <f>M79</f>
        <v>6.4633254656929946</v>
      </c>
      <c r="F46" s="31">
        <f>C78*1.3</f>
        <v>57.2</v>
      </c>
      <c r="G46" s="31">
        <f>J78</f>
        <v>49.4</v>
      </c>
      <c r="H46" s="31">
        <f>M78</f>
        <v>0</v>
      </c>
      <c r="I46" s="83">
        <f>E46-H46</f>
        <v>6.4633254656929946</v>
      </c>
      <c r="J46" s="31">
        <f>C46-I46</f>
        <v>75.566674534307012</v>
      </c>
    </row>
    <row r="47" spans="2:11">
      <c r="B47" s="44" t="s">
        <v>28</v>
      </c>
      <c r="C47" s="31">
        <f>C93</f>
        <v>106</v>
      </c>
      <c r="D47" s="31">
        <f>I93</f>
        <v>91.524335293777995</v>
      </c>
      <c r="E47" s="31">
        <f>K93</f>
        <v>4.5153945855068063</v>
      </c>
      <c r="F47" s="31">
        <f>C92</f>
        <v>65</v>
      </c>
      <c r="G47" s="31">
        <f>I92</f>
        <v>61.75</v>
      </c>
      <c r="H47" s="31">
        <f>K92</f>
        <v>0</v>
      </c>
      <c r="I47" s="83">
        <f>E47-H47</f>
        <v>4.5153945855068063</v>
      </c>
      <c r="J47" s="31">
        <f>C47-I47</f>
        <v>101.48460541449319</v>
      </c>
    </row>
    <row r="48" spans="2:11">
      <c r="B48" s="44" t="s">
        <v>29</v>
      </c>
      <c r="C48" s="31">
        <f>C107</f>
        <v>183.6</v>
      </c>
      <c r="D48" s="31">
        <f>I107</f>
        <v>137.2530440690274</v>
      </c>
      <c r="E48" s="31">
        <f>K107</f>
        <v>19.857931504366483</v>
      </c>
      <c r="F48" s="31">
        <f>C106</f>
        <v>139</v>
      </c>
      <c r="G48" s="31">
        <f>I106</f>
        <v>123.97297297297297</v>
      </c>
      <c r="H48" s="31">
        <f>K106</f>
        <v>0</v>
      </c>
      <c r="I48" s="83">
        <f>E48-H48</f>
        <v>19.857931504366483</v>
      </c>
      <c r="J48" s="31">
        <f>C48-I48</f>
        <v>163.7420684956335</v>
      </c>
    </row>
    <row r="49" spans="2:14" s="43" customFormat="1" ht="14.25" customHeight="1">
      <c r="B49" s="41" t="s">
        <v>35</v>
      </c>
      <c r="C49" s="42">
        <f>SUM(C45:C48)</f>
        <v>2180.63</v>
      </c>
      <c r="D49" s="42">
        <f t="shared" ref="D49:H49" si="0">SUM(D45:D48)</f>
        <v>1869.8116067540172</v>
      </c>
      <c r="E49" s="42">
        <f t="shared" si="0"/>
        <v>155.72267074817577</v>
      </c>
      <c r="F49" s="42">
        <f t="shared" si="0"/>
        <v>1469</v>
      </c>
      <c r="G49" s="42">
        <f t="shared" si="0"/>
        <v>1309.2022586872586</v>
      </c>
      <c r="H49" s="42">
        <f t="shared" si="0"/>
        <v>24.443571428571428</v>
      </c>
      <c r="I49" s="84">
        <f>SUM(I45:I48)</f>
        <v>131.27909931960434</v>
      </c>
      <c r="J49" s="42">
        <f>SUM(J45:J48)</f>
        <v>2049.3509006803956</v>
      </c>
    </row>
    <row r="50" spans="2:14" ht="14.25" customHeight="1"/>
    <row r="51" spans="2:14" ht="14.25" customHeight="1"/>
    <row r="52" spans="2:14" ht="14.25" customHeight="1">
      <c r="B52" s="21" t="s">
        <v>89</v>
      </c>
    </row>
    <row r="53" spans="2:14" s="2" customFormat="1" ht="18" customHeight="1">
      <c r="B53" s="35"/>
      <c r="C53" s="20"/>
      <c r="D53" s="36"/>
      <c r="E53" s="121" t="s">
        <v>11</v>
      </c>
      <c r="F53" s="121"/>
      <c r="G53" s="121"/>
      <c r="H53" s="121"/>
      <c r="I53" s="121"/>
      <c r="J53" s="37"/>
    </row>
    <row r="54" spans="2:14" ht="60">
      <c r="B54" s="1" t="s">
        <v>0</v>
      </c>
      <c r="C54" s="15" t="s">
        <v>6</v>
      </c>
      <c r="D54" s="15" t="s">
        <v>7</v>
      </c>
      <c r="E54" s="3" t="s">
        <v>2</v>
      </c>
      <c r="F54" s="23" t="s">
        <v>24</v>
      </c>
      <c r="G54" s="19" t="s">
        <v>9</v>
      </c>
      <c r="H54" s="4" t="s">
        <v>3</v>
      </c>
      <c r="I54" s="4" t="s">
        <v>4</v>
      </c>
      <c r="J54" s="23" t="s">
        <v>10</v>
      </c>
      <c r="K54" s="23" t="s">
        <v>25</v>
      </c>
      <c r="L54" s="23" t="s">
        <v>22</v>
      </c>
      <c r="M54" s="23" t="s">
        <v>26</v>
      </c>
      <c r="N54" s="18"/>
    </row>
    <row r="55" spans="2:14">
      <c r="B55" s="28" t="s">
        <v>12</v>
      </c>
      <c r="C55" s="5">
        <v>3225</v>
      </c>
      <c r="D55" s="5">
        <f>C55*0.9</f>
        <v>2902.5</v>
      </c>
      <c r="E55" s="6">
        <f>F55+G55</f>
        <v>2344</v>
      </c>
      <c r="F55" s="6">
        <v>2173</v>
      </c>
      <c r="G55" s="7">
        <v>171</v>
      </c>
      <c r="H55" s="7">
        <v>1616</v>
      </c>
      <c r="I55" s="7">
        <v>389</v>
      </c>
      <c r="J55" s="30">
        <f>H55/F55*100</f>
        <v>74.367234238380121</v>
      </c>
      <c r="K55" s="31">
        <f>I55/F55*100</f>
        <v>17.901518637827888</v>
      </c>
      <c r="L55" s="32">
        <f>D55*(J55/100)</f>
        <v>2158.5089737689832</v>
      </c>
      <c r="M55" s="32">
        <f>D55*K55/100</f>
        <v>519.59157846295443</v>
      </c>
    </row>
    <row r="56" spans="2:14">
      <c r="B56" s="29" t="s">
        <v>13</v>
      </c>
      <c r="C56" s="5">
        <v>2639</v>
      </c>
      <c r="D56" s="5">
        <f t="shared" ref="D56:D64" si="1">C56*0.9</f>
        <v>2375.1</v>
      </c>
      <c r="E56" s="6">
        <f t="shared" ref="E56:E64" si="2">F56+G56</f>
        <v>1855</v>
      </c>
      <c r="F56" s="6">
        <v>1745</v>
      </c>
      <c r="G56" s="7">
        <v>110</v>
      </c>
      <c r="H56" s="7">
        <v>1426</v>
      </c>
      <c r="I56" s="7">
        <v>198</v>
      </c>
      <c r="J56" s="30">
        <f t="shared" ref="J56:J64" si="3">H56/F56*100</f>
        <v>81.719197707736384</v>
      </c>
      <c r="K56" s="31">
        <f t="shared" ref="K56:K64" si="4">I56/F56*100</f>
        <v>11.346704871060172</v>
      </c>
      <c r="L56" s="32">
        <f t="shared" ref="L56:L64" si="5">D56*(J56/100)</f>
        <v>1940.9126647564467</v>
      </c>
      <c r="M56" s="32">
        <f t="shared" ref="M56:M64" si="6">D56*K56/100</f>
        <v>269.49558739255014</v>
      </c>
    </row>
    <row r="57" spans="2:14">
      <c r="B57" s="29" t="s">
        <v>14</v>
      </c>
      <c r="C57" s="5">
        <v>2133</v>
      </c>
      <c r="D57" s="5">
        <f t="shared" si="1"/>
        <v>1919.7</v>
      </c>
      <c r="E57" s="6">
        <f t="shared" si="2"/>
        <v>1416</v>
      </c>
      <c r="F57" s="6">
        <v>1339</v>
      </c>
      <c r="G57" s="7">
        <v>77</v>
      </c>
      <c r="H57" s="7">
        <v>1162</v>
      </c>
      <c r="I57" s="7">
        <v>115</v>
      </c>
      <c r="J57" s="30">
        <f t="shared" si="3"/>
        <v>86.781179985063488</v>
      </c>
      <c r="K57" s="31">
        <f t="shared" si="4"/>
        <v>8.5884988797610156</v>
      </c>
      <c r="L57" s="32">
        <f t="shared" si="5"/>
        <v>1665.9383121732637</v>
      </c>
      <c r="M57" s="32">
        <f t="shared" si="6"/>
        <v>164.87341299477222</v>
      </c>
    </row>
    <row r="58" spans="2:14">
      <c r="B58" s="29" t="s">
        <v>15</v>
      </c>
      <c r="C58" s="5">
        <v>2103</v>
      </c>
      <c r="D58" s="5">
        <f t="shared" si="1"/>
        <v>1892.7</v>
      </c>
      <c r="E58" s="6">
        <f t="shared" si="2"/>
        <v>1438</v>
      </c>
      <c r="F58" s="6">
        <v>1386</v>
      </c>
      <c r="G58" s="7">
        <v>52</v>
      </c>
      <c r="H58" s="7">
        <v>1250</v>
      </c>
      <c r="I58" s="7">
        <v>61</v>
      </c>
      <c r="J58" s="30">
        <f t="shared" si="3"/>
        <v>90.187590187590189</v>
      </c>
      <c r="K58" s="31">
        <f t="shared" si="4"/>
        <v>4.4011544011544013</v>
      </c>
      <c r="L58" s="32">
        <f t="shared" si="5"/>
        <v>1706.9805194805197</v>
      </c>
      <c r="M58" s="32">
        <f t="shared" si="6"/>
        <v>83.300649350649351</v>
      </c>
    </row>
    <row r="59" spans="2:14">
      <c r="B59" s="29" t="s">
        <v>16</v>
      </c>
      <c r="C59" s="9">
        <v>1874</v>
      </c>
      <c r="D59" s="5">
        <f t="shared" si="1"/>
        <v>1686.6000000000001</v>
      </c>
      <c r="E59" s="6">
        <f t="shared" si="2"/>
        <v>1384</v>
      </c>
      <c r="F59" s="6">
        <v>1329</v>
      </c>
      <c r="G59" s="7">
        <v>55</v>
      </c>
      <c r="H59" s="7">
        <v>1220</v>
      </c>
      <c r="I59" s="7">
        <v>41</v>
      </c>
      <c r="J59" s="30">
        <f t="shared" si="3"/>
        <v>91.798344620015044</v>
      </c>
      <c r="K59" s="31">
        <f t="shared" si="4"/>
        <v>3.0850263355906695</v>
      </c>
      <c r="L59" s="32">
        <f t="shared" si="5"/>
        <v>1548.270880361174</v>
      </c>
      <c r="M59" s="32">
        <f t="shared" si="6"/>
        <v>52.032054176072236</v>
      </c>
    </row>
    <row r="60" spans="2:14">
      <c r="B60" s="29" t="s">
        <v>17</v>
      </c>
      <c r="C60" s="5">
        <v>1728</v>
      </c>
      <c r="D60" s="5">
        <f t="shared" si="1"/>
        <v>1555.2</v>
      </c>
      <c r="E60" s="6">
        <f t="shared" si="2"/>
        <v>1227</v>
      </c>
      <c r="F60" s="6">
        <v>1201</v>
      </c>
      <c r="G60" s="7">
        <v>26</v>
      </c>
      <c r="H60" s="7">
        <v>1105</v>
      </c>
      <c r="I60" s="7">
        <v>30</v>
      </c>
      <c r="J60" s="30">
        <f t="shared" si="3"/>
        <v>92.00666111573689</v>
      </c>
      <c r="K60" s="31">
        <f t="shared" si="4"/>
        <v>2.4979184013322229</v>
      </c>
      <c r="L60" s="32">
        <f t="shared" si="5"/>
        <v>1430.8875936719401</v>
      </c>
      <c r="M60" s="32">
        <f t="shared" si="6"/>
        <v>38.847626977518729</v>
      </c>
      <c r="N60" s="16"/>
    </row>
    <row r="61" spans="2:14">
      <c r="B61" s="29" t="s">
        <v>18</v>
      </c>
      <c r="C61" s="5">
        <v>1622</v>
      </c>
      <c r="D61" s="5">
        <f t="shared" si="1"/>
        <v>1459.8</v>
      </c>
      <c r="E61" s="6">
        <f t="shared" si="2"/>
        <v>1094</v>
      </c>
      <c r="F61" s="6">
        <v>1046</v>
      </c>
      <c r="G61" s="7">
        <v>48</v>
      </c>
      <c r="H61" s="7">
        <v>958</v>
      </c>
      <c r="I61" s="7">
        <v>28</v>
      </c>
      <c r="J61" s="30">
        <f t="shared" si="3"/>
        <v>91.586998087954115</v>
      </c>
      <c r="K61" s="31">
        <f t="shared" si="4"/>
        <v>2.676864244741874</v>
      </c>
      <c r="L61" s="32">
        <f t="shared" si="5"/>
        <v>1336.9869980879541</v>
      </c>
      <c r="M61" s="32">
        <f t="shared" si="6"/>
        <v>39.07686424474187</v>
      </c>
    </row>
    <row r="62" spans="2:14">
      <c r="B62" s="29" t="s">
        <v>19</v>
      </c>
      <c r="C62" s="5">
        <v>1724</v>
      </c>
      <c r="D62" s="5">
        <f t="shared" si="1"/>
        <v>1551.6000000000001</v>
      </c>
      <c r="E62" s="6">
        <f t="shared" si="2"/>
        <v>1190</v>
      </c>
      <c r="F62" s="6">
        <v>1117</v>
      </c>
      <c r="G62" s="7">
        <v>73</v>
      </c>
      <c r="H62" s="7">
        <v>1038</v>
      </c>
      <c r="I62" s="7">
        <v>28</v>
      </c>
      <c r="J62" s="30">
        <f t="shared" si="3"/>
        <v>92.927484333034911</v>
      </c>
      <c r="K62" s="31">
        <f t="shared" si="4"/>
        <v>2.5067144136078783</v>
      </c>
      <c r="L62" s="32">
        <f t="shared" si="5"/>
        <v>1441.8628469113698</v>
      </c>
      <c r="M62" s="32">
        <f t="shared" si="6"/>
        <v>38.894180841539843</v>
      </c>
    </row>
    <row r="63" spans="2:14">
      <c r="B63" s="29" t="s">
        <v>20</v>
      </c>
      <c r="C63" s="10">
        <v>1710</v>
      </c>
      <c r="D63" s="5">
        <f t="shared" si="1"/>
        <v>1539</v>
      </c>
      <c r="E63" s="6">
        <f t="shared" si="2"/>
        <v>1111</v>
      </c>
      <c r="F63" s="6">
        <v>1093</v>
      </c>
      <c r="G63" s="7">
        <v>18</v>
      </c>
      <c r="H63" s="7">
        <v>1003</v>
      </c>
      <c r="I63" s="7">
        <v>13</v>
      </c>
      <c r="J63" s="30">
        <f t="shared" si="3"/>
        <v>91.765782250686186</v>
      </c>
      <c r="K63" s="31">
        <f t="shared" si="4"/>
        <v>1.1893870082342177</v>
      </c>
      <c r="L63" s="32">
        <f t="shared" si="5"/>
        <v>1412.2753888380605</v>
      </c>
      <c r="M63" s="32">
        <f t="shared" si="6"/>
        <v>18.30466605672461</v>
      </c>
    </row>
    <row r="64" spans="2:14">
      <c r="B64" s="29" t="s">
        <v>21</v>
      </c>
      <c r="C64" s="11">
        <v>1342</v>
      </c>
      <c r="D64" s="11">
        <f t="shared" si="1"/>
        <v>1207.8</v>
      </c>
      <c r="E64" s="6">
        <f t="shared" si="2"/>
        <v>852</v>
      </c>
      <c r="F64" s="12">
        <v>840</v>
      </c>
      <c r="G64" s="13">
        <v>12</v>
      </c>
      <c r="H64" s="13">
        <v>747</v>
      </c>
      <c r="I64" s="13">
        <v>17</v>
      </c>
      <c r="J64" s="30">
        <f t="shared" si="3"/>
        <v>88.928571428571416</v>
      </c>
      <c r="K64" s="31">
        <f t="shared" si="4"/>
        <v>2.0238095238095237</v>
      </c>
      <c r="L64" s="32">
        <f t="shared" si="5"/>
        <v>1074.0792857142856</v>
      </c>
      <c r="M64" s="32">
        <f t="shared" si="6"/>
        <v>24.443571428571428</v>
      </c>
    </row>
    <row r="65" spans="2:13" ht="24">
      <c r="B65" s="14" t="s">
        <v>5</v>
      </c>
      <c r="C65" s="30">
        <f>AVERAGE(C55:C64)</f>
        <v>2010</v>
      </c>
      <c r="D65" s="30">
        <f t="shared" ref="D65:M65" si="7">AVERAGE(D55:D64)</f>
        <v>1809</v>
      </c>
      <c r="E65" s="30">
        <f t="shared" si="7"/>
        <v>1391.1</v>
      </c>
      <c r="F65" s="30">
        <f t="shared" si="7"/>
        <v>1326.9</v>
      </c>
      <c r="G65" s="30">
        <f t="shared" si="7"/>
        <v>64.2</v>
      </c>
      <c r="H65" s="30">
        <f t="shared" si="7"/>
        <v>1152.5</v>
      </c>
      <c r="I65" s="30">
        <f t="shared" si="7"/>
        <v>92</v>
      </c>
      <c r="J65" s="30">
        <f t="shared" si="7"/>
        <v>88.206904395476869</v>
      </c>
      <c r="K65" s="30">
        <f t="shared" si="7"/>
        <v>5.6217596717119864</v>
      </c>
      <c r="L65" s="30">
        <f t="shared" si="7"/>
        <v>1571.6703463763997</v>
      </c>
      <c r="M65" s="30">
        <f t="shared" si="7"/>
        <v>124.88601919260948</v>
      </c>
    </row>
    <row r="66" spans="2:13">
      <c r="L66" s="40"/>
    </row>
    <row r="67" spans="2:13">
      <c r="B67" s="22" t="s">
        <v>90</v>
      </c>
    </row>
    <row r="68" spans="2:13" ht="62.25" customHeight="1">
      <c r="B68" s="1" t="s">
        <v>0</v>
      </c>
      <c r="C68" s="23" t="s">
        <v>2</v>
      </c>
      <c r="D68" s="23" t="s">
        <v>24</v>
      </c>
      <c r="E68" s="24" t="s">
        <v>9</v>
      </c>
      <c r="F68" s="25" t="s">
        <v>3</v>
      </c>
      <c r="G68" s="25" t="s">
        <v>4</v>
      </c>
      <c r="H68" s="23" t="s">
        <v>10</v>
      </c>
      <c r="I68" s="23" t="s">
        <v>22</v>
      </c>
      <c r="J68" s="23" t="s">
        <v>23</v>
      </c>
      <c r="K68" s="23" t="s">
        <v>25</v>
      </c>
      <c r="L68" s="23" t="s">
        <v>26</v>
      </c>
      <c r="M68" s="23" t="s">
        <v>27</v>
      </c>
    </row>
    <row r="69" spans="2:13">
      <c r="B69" s="28" t="s">
        <v>12</v>
      </c>
      <c r="C69" s="26">
        <f>D69+E69</f>
        <v>104</v>
      </c>
      <c r="D69" s="26">
        <v>99</v>
      </c>
      <c r="E69" s="26">
        <v>5</v>
      </c>
      <c r="F69" s="27">
        <v>74</v>
      </c>
      <c r="G69" s="8">
        <v>23</v>
      </c>
      <c r="H69" s="30">
        <f>F69/D69*100</f>
        <v>74.747474747474755</v>
      </c>
      <c r="I69" s="32">
        <f>(E69*(H69/100))+F69</f>
        <v>77.737373737373744</v>
      </c>
      <c r="J69" s="32">
        <f>I69*1.3</f>
        <v>101.05858585858587</v>
      </c>
      <c r="K69" s="31">
        <f>G69/D69*100</f>
        <v>23.232323232323232</v>
      </c>
      <c r="L69" s="31">
        <f>(E69*(K69/100))+G69</f>
        <v>24.161616161616163</v>
      </c>
      <c r="M69" s="31">
        <f>L69*1.3</f>
        <v>31.410101010101013</v>
      </c>
    </row>
    <row r="70" spans="2:13">
      <c r="B70" s="29" t="s">
        <v>13</v>
      </c>
      <c r="C70" s="26">
        <f t="shared" ref="C70:C78" si="8">D70+E70</f>
        <v>107</v>
      </c>
      <c r="D70" s="26">
        <v>105</v>
      </c>
      <c r="E70" s="26">
        <v>2</v>
      </c>
      <c r="F70" s="27">
        <v>78</v>
      </c>
      <c r="G70" s="8">
        <v>13</v>
      </c>
      <c r="H70" s="30">
        <f t="shared" ref="H70:H78" si="9">F70/D70*100</f>
        <v>74.285714285714292</v>
      </c>
      <c r="I70" s="32">
        <f t="shared" ref="I70:I78" si="10">(E70*(H70/100))+F70</f>
        <v>79.48571428571428</v>
      </c>
      <c r="J70" s="32">
        <f t="shared" ref="J70:J78" si="11">I70*1.3</f>
        <v>103.33142857142857</v>
      </c>
      <c r="K70" s="31">
        <f t="shared" ref="K70:K78" si="12">G70/D70*100</f>
        <v>12.380952380952381</v>
      </c>
      <c r="L70" s="31">
        <f t="shared" ref="L70:L78" si="13">(E70*(K70/100))+G70</f>
        <v>13.247619047619047</v>
      </c>
      <c r="M70" s="31">
        <f t="shared" ref="M70:M78" si="14">L70*1.3</f>
        <v>17.22190476190476</v>
      </c>
    </row>
    <row r="71" spans="2:13">
      <c r="B71" s="29" t="s">
        <v>14</v>
      </c>
      <c r="C71" s="26">
        <f t="shared" si="8"/>
        <v>61</v>
      </c>
      <c r="D71" s="26">
        <v>59</v>
      </c>
      <c r="E71" s="26">
        <v>2</v>
      </c>
      <c r="F71" s="27">
        <v>49</v>
      </c>
      <c r="G71" s="8">
        <v>6</v>
      </c>
      <c r="H71" s="30">
        <f t="shared" si="9"/>
        <v>83.050847457627114</v>
      </c>
      <c r="I71" s="32">
        <f t="shared" si="10"/>
        <v>50.66101694915254</v>
      </c>
      <c r="J71" s="32">
        <f t="shared" si="11"/>
        <v>65.859322033898309</v>
      </c>
      <c r="K71" s="31">
        <f t="shared" si="12"/>
        <v>10.16949152542373</v>
      </c>
      <c r="L71" s="31">
        <f t="shared" si="13"/>
        <v>6.2033898305084749</v>
      </c>
      <c r="M71" s="31">
        <f t="shared" si="14"/>
        <v>8.0644067796610184</v>
      </c>
    </row>
    <row r="72" spans="2:13">
      <c r="B72" s="29" t="s">
        <v>15</v>
      </c>
      <c r="C72" s="26">
        <f t="shared" si="8"/>
        <v>55</v>
      </c>
      <c r="D72" s="26">
        <v>55</v>
      </c>
      <c r="E72" s="26">
        <v>0</v>
      </c>
      <c r="F72" s="27">
        <v>47</v>
      </c>
      <c r="G72" s="8">
        <v>3</v>
      </c>
      <c r="H72" s="30">
        <f t="shared" si="9"/>
        <v>85.454545454545453</v>
      </c>
      <c r="I72" s="32">
        <f t="shared" si="10"/>
        <v>47</v>
      </c>
      <c r="J72" s="32">
        <f t="shared" si="11"/>
        <v>61.1</v>
      </c>
      <c r="K72" s="31">
        <f t="shared" si="12"/>
        <v>5.4545454545454541</v>
      </c>
      <c r="L72" s="31">
        <f t="shared" si="13"/>
        <v>3</v>
      </c>
      <c r="M72" s="31">
        <f t="shared" si="14"/>
        <v>3.9000000000000004</v>
      </c>
    </row>
    <row r="73" spans="2:13">
      <c r="B73" s="29" t="s">
        <v>16</v>
      </c>
      <c r="C73" s="26">
        <f t="shared" si="8"/>
        <v>57</v>
      </c>
      <c r="D73" s="26">
        <v>57</v>
      </c>
      <c r="E73" s="26">
        <v>0</v>
      </c>
      <c r="F73" s="27">
        <v>54</v>
      </c>
      <c r="G73" s="8">
        <v>1</v>
      </c>
      <c r="H73" s="30">
        <f t="shared" si="9"/>
        <v>94.73684210526315</v>
      </c>
      <c r="I73" s="32">
        <f t="shared" si="10"/>
        <v>54</v>
      </c>
      <c r="J73" s="32">
        <f t="shared" si="11"/>
        <v>70.2</v>
      </c>
      <c r="K73" s="31">
        <f t="shared" si="12"/>
        <v>1.7543859649122806</v>
      </c>
      <c r="L73" s="31">
        <f t="shared" si="13"/>
        <v>1</v>
      </c>
      <c r="M73" s="31">
        <f t="shared" si="14"/>
        <v>1.3</v>
      </c>
    </row>
    <row r="74" spans="2:13">
      <c r="B74" s="29" t="s">
        <v>17</v>
      </c>
      <c r="C74" s="26">
        <f t="shared" si="8"/>
        <v>53</v>
      </c>
      <c r="D74" s="26">
        <v>53</v>
      </c>
      <c r="E74" s="26">
        <v>0</v>
      </c>
      <c r="F74" s="27">
        <v>52</v>
      </c>
      <c r="G74" s="8">
        <v>0</v>
      </c>
      <c r="H74" s="30">
        <f t="shared" si="9"/>
        <v>98.113207547169807</v>
      </c>
      <c r="I74" s="32">
        <f t="shared" si="10"/>
        <v>52</v>
      </c>
      <c r="J74" s="32">
        <f t="shared" si="11"/>
        <v>67.600000000000009</v>
      </c>
      <c r="K74" s="31">
        <f t="shared" si="12"/>
        <v>0</v>
      </c>
      <c r="L74" s="31">
        <f t="shared" si="13"/>
        <v>0</v>
      </c>
      <c r="M74" s="31">
        <f t="shared" si="14"/>
        <v>0</v>
      </c>
    </row>
    <row r="75" spans="2:13">
      <c r="B75" s="29" t="s">
        <v>18</v>
      </c>
      <c r="C75" s="26">
        <f t="shared" si="8"/>
        <v>42</v>
      </c>
      <c r="D75" s="26">
        <v>38</v>
      </c>
      <c r="E75" s="26">
        <v>4</v>
      </c>
      <c r="F75" s="27">
        <v>35</v>
      </c>
      <c r="G75" s="8">
        <v>1</v>
      </c>
      <c r="H75" s="30">
        <f t="shared" si="9"/>
        <v>92.10526315789474</v>
      </c>
      <c r="I75" s="32">
        <f t="shared" si="10"/>
        <v>38.684210526315788</v>
      </c>
      <c r="J75" s="32">
        <f t="shared" si="11"/>
        <v>50.289473684210527</v>
      </c>
      <c r="K75" s="31">
        <f t="shared" si="12"/>
        <v>2.6315789473684208</v>
      </c>
      <c r="L75" s="31">
        <f t="shared" si="13"/>
        <v>1.1052631578947367</v>
      </c>
      <c r="M75" s="31">
        <f t="shared" si="14"/>
        <v>1.4368421052631577</v>
      </c>
    </row>
    <row r="76" spans="2:13">
      <c r="B76" s="29" t="s">
        <v>19</v>
      </c>
      <c r="C76" s="26">
        <f t="shared" si="8"/>
        <v>53</v>
      </c>
      <c r="D76" s="26">
        <v>53</v>
      </c>
      <c r="E76" s="26">
        <v>0</v>
      </c>
      <c r="F76" s="27">
        <v>47</v>
      </c>
      <c r="G76" s="8">
        <v>1</v>
      </c>
      <c r="H76" s="30">
        <f t="shared" si="9"/>
        <v>88.679245283018872</v>
      </c>
      <c r="I76" s="32">
        <f t="shared" si="10"/>
        <v>47</v>
      </c>
      <c r="J76" s="32">
        <f t="shared" si="11"/>
        <v>61.1</v>
      </c>
      <c r="K76" s="31">
        <f t="shared" si="12"/>
        <v>1.8867924528301887</v>
      </c>
      <c r="L76" s="31">
        <f t="shared" si="13"/>
        <v>1</v>
      </c>
      <c r="M76" s="31">
        <f t="shared" si="14"/>
        <v>1.3</v>
      </c>
    </row>
    <row r="77" spans="2:13">
      <c r="B77" s="29" t="s">
        <v>20</v>
      </c>
      <c r="C77" s="26">
        <f t="shared" si="8"/>
        <v>55</v>
      </c>
      <c r="D77" s="26">
        <v>55</v>
      </c>
      <c r="E77" s="26">
        <v>0</v>
      </c>
      <c r="F77" s="27">
        <v>49</v>
      </c>
      <c r="G77" s="8">
        <v>0</v>
      </c>
      <c r="H77" s="30">
        <f t="shared" si="9"/>
        <v>89.090909090909093</v>
      </c>
      <c r="I77" s="32">
        <f t="shared" si="10"/>
        <v>49</v>
      </c>
      <c r="J77" s="32">
        <f t="shared" si="11"/>
        <v>63.7</v>
      </c>
      <c r="K77" s="31">
        <f t="shared" si="12"/>
        <v>0</v>
      </c>
      <c r="L77" s="31">
        <f t="shared" si="13"/>
        <v>0</v>
      </c>
      <c r="M77" s="31">
        <f t="shared" si="14"/>
        <v>0</v>
      </c>
    </row>
    <row r="78" spans="2:13">
      <c r="B78" s="29" t="s">
        <v>21</v>
      </c>
      <c r="C78" s="26">
        <f t="shared" si="8"/>
        <v>44</v>
      </c>
      <c r="D78" s="8">
        <v>44</v>
      </c>
      <c r="E78" s="26">
        <v>0</v>
      </c>
      <c r="F78" s="27">
        <v>38</v>
      </c>
      <c r="G78" s="8">
        <v>0</v>
      </c>
      <c r="H78" s="30">
        <f t="shared" si="9"/>
        <v>86.36363636363636</v>
      </c>
      <c r="I78" s="32">
        <f t="shared" si="10"/>
        <v>38</v>
      </c>
      <c r="J78" s="32">
        <f t="shared" si="11"/>
        <v>49.4</v>
      </c>
      <c r="K78" s="31">
        <f t="shared" si="12"/>
        <v>0</v>
      </c>
      <c r="L78" s="31">
        <f t="shared" si="13"/>
        <v>0</v>
      </c>
      <c r="M78" s="31">
        <f t="shared" si="14"/>
        <v>0</v>
      </c>
    </row>
    <row r="79" spans="2:13" ht="24">
      <c r="B79" s="14" t="s">
        <v>5</v>
      </c>
      <c r="C79" s="30">
        <f t="shared" ref="C79:M79" si="15">AVERAGE(C69:C78)</f>
        <v>63.1</v>
      </c>
      <c r="D79" s="30">
        <f t="shared" si="15"/>
        <v>61.8</v>
      </c>
      <c r="E79" s="30">
        <f t="shared" si="15"/>
        <v>1.3</v>
      </c>
      <c r="F79" s="30">
        <f t="shared" si="15"/>
        <v>52.3</v>
      </c>
      <c r="G79" s="30">
        <f t="shared" si="15"/>
        <v>4.8</v>
      </c>
      <c r="H79" s="30">
        <f t="shared" si="15"/>
        <v>86.662768549325364</v>
      </c>
      <c r="I79" s="30">
        <f t="shared" si="15"/>
        <v>53.356831549855634</v>
      </c>
      <c r="J79" s="30">
        <f t="shared" si="15"/>
        <v>69.363881014812335</v>
      </c>
      <c r="K79" s="30">
        <f t="shared" si="15"/>
        <v>5.7510069958355681</v>
      </c>
      <c r="L79" s="30">
        <f t="shared" si="15"/>
        <v>4.9717888197638427</v>
      </c>
      <c r="M79" s="30">
        <f t="shared" si="15"/>
        <v>6.4633254656929946</v>
      </c>
    </row>
    <row r="81" spans="2:11">
      <c r="B81" s="21" t="s">
        <v>91</v>
      </c>
    </row>
    <row r="82" spans="2:11" ht="61.5" customHeight="1">
      <c r="B82" s="28" t="s">
        <v>0</v>
      </c>
      <c r="C82" s="23" t="s">
        <v>2</v>
      </c>
      <c r="D82" s="23" t="s">
        <v>24</v>
      </c>
      <c r="E82" s="24" t="s">
        <v>9</v>
      </c>
      <c r="F82" s="25" t="s">
        <v>3</v>
      </c>
      <c r="G82" s="25" t="s">
        <v>4</v>
      </c>
      <c r="H82" s="23" t="s">
        <v>10</v>
      </c>
      <c r="I82" s="23" t="s">
        <v>22</v>
      </c>
      <c r="J82" s="23" t="s">
        <v>25</v>
      </c>
      <c r="K82" s="23" t="s">
        <v>26</v>
      </c>
    </row>
    <row r="83" spans="2:11">
      <c r="B83" s="28" t="s">
        <v>12</v>
      </c>
      <c r="C83" s="27">
        <f>D83+E83</f>
        <v>167</v>
      </c>
      <c r="D83" s="27">
        <v>97</v>
      </c>
      <c r="E83" s="27">
        <v>70</v>
      </c>
      <c r="F83" s="27">
        <v>72</v>
      </c>
      <c r="G83" s="27">
        <v>8</v>
      </c>
      <c r="H83" s="31">
        <f>F83/D83*100</f>
        <v>74.226804123711347</v>
      </c>
      <c r="I83" s="31">
        <f>(E83*(H83/100))+F83</f>
        <v>123.95876288659794</v>
      </c>
      <c r="J83" s="31">
        <f>G83/D83*100</f>
        <v>8.2474226804123703</v>
      </c>
      <c r="K83" s="31">
        <f>(E83*(J83/100))+G83</f>
        <v>13.773195876288659</v>
      </c>
    </row>
    <row r="84" spans="2:11">
      <c r="B84" s="29" t="s">
        <v>13</v>
      </c>
      <c r="C84" s="27">
        <f t="shared" ref="C84:C92" si="16">D84+E84</f>
        <v>137</v>
      </c>
      <c r="D84" s="27">
        <v>86</v>
      </c>
      <c r="E84" s="27">
        <v>51</v>
      </c>
      <c r="F84" s="27">
        <v>69</v>
      </c>
      <c r="G84" s="27">
        <v>9</v>
      </c>
      <c r="H84" s="31">
        <f t="shared" ref="H84:H92" si="17">F84/D84*100</f>
        <v>80.232558139534888</v>
      </c>
      <c r="I84" s="31">
        <f t="shared" ref="I84:I92" si="18">(E84*(H84/100))+F84</f>
        <v>109.91860465116279</v>
      </c>
      <c r="J84" s="31">
        <f t="shared" ref="J84:J92" si="19">G84/D84*100</f>
        <v>10.465116279069768</v>
      </c>
      <c r="K84" s="31">
        <f t="shared" ref="K84:K92" si="20">(E84*(J84/100))+G84</f>
        <v>14.337209302325583</v>
      </c>
    </row>
    <row r="85" spans="2:11">
      <c r="B85" s="29" t="s">
        <v>14</v>
      </c>
      <c r="C85" s="27">
        <f t="shared" si="16"/>
        <v>116</v>
      </c>
      <c r="D85" s="27">
        <v>73</v>
      </c>
      <c r="E85" s="27">
        <v>43</v>
      </c>
      <c r="F85" s="27">
        <v>64</v>
      </c>
      <c r="G85" s="27">
        <v>6</v>
      </c>
      <c r="H85" s="31">
        <f t="shared" si="17"/>
        <v>87.671232876712324</v>
      </c>
      <c r="I85" s="31">
        <f t="shared" si="18"/>
        <v>101.6986301369863</v>
      </c>
      <c r="J85" s="31">
        <f t="shared" si="19"/>
        <v>8.2191780821917799</v>
      </c>
      <c r="K85" s="31">
        <f t="shared" si="20"/>
        <v>9.5342465753424648</v>
      </c>
    </row>
    <row r="86" spans="2:11">
      <c r="B86" s="29" t="s">
        <v>15</v>
      </c>
      <c r="C86" s="27">
        <f t="shared" si="16"/>
        <v>103</v>
      </c>
      <c r="D86" s="27">
        <v>72</v>
      </c>
      <c r="E86" s="27">
        <v>31</v>
      </c>
      <c r="F86" s="27">
        <v>60</v>
      </c>
      <c r="G86" s="27">
        <v>2</v>
      </c>
      <c r="H86" s="31">
        <f t="shared" si="17"/>
        <v>83.333333333333343</v>
      </c>
      <c r="I86" s="31">
        <f t="shared" si="18"/>
        <v>85.833333333333343</v>
      </c>
      <c r="J86" s="31">
        <f t="shared" si="19"/>
        <v>2.7777777777777777</v>
      </c>
      <c r="K86" s="31">
        <f t="shared" si="20"/>
        <v>2.8611111111111112</v>
      </c>
    </row>
    <row r="87" spans="2:11">
      <c r="B87" s="29" t="s">
        <v>16</v>
      </c>
      <c r="C87" s="27">
        <f t="shared" si="16"/>
        <v>121</v>
      </c>
      <c r="D87" s="27">
        <v>73</v>
      </c>
      <c r="E87" s="27">
        <v>48</v>
      </c>
      <c r="F87" s="27">
        <v>63</v>
      </c>
      <c r="G87" s="27">
        <v>1</v>
      </c>
      <c r="H87" s="31">
        <f t="shared" si="17"/>
        <v>86.301369863013704</v>
      </c>
      <c r="I87" s="31">
        <f t="shared" si="18"/>
        <v>104.42465753424658</v>
      </c>
      <c r="J87" s="31">
        <f t="shared" si="19"/>
        <v>1.3698630136986301</v>
      </c>
      <c r="K87" s="31">
        <f t="shared" si="20"/>
        <v>1.6575342465753424</v>
      </c>
    </row>
    <row r="88" spans="2:11">
      <c r="B88" s="29" t="s">
        <v>17</v>
      </c>
      <c r="C88" s="27">
        <f t="shared" si="16"/>
        <v>84</v>
      </c>
      <c r="D88" s="27">
        <v>58</v>
      </c>
      <c r="E88" s="27">
        <v>26</v>
      </c>
      <c r="F88" s="27">
        <v>57</v>
      </c>
      <c r="G88" s="27">
        <v>1</v>
      </c>
      <c r="H88" s="31">
        <f t="shared" si="17"/>
        <v>98.275862068965509</v>
      </c>
      <c r="I88" s="31">
        <f t="shared" si="18"/>
        <v>82.551724137931032</v>
      </c>
      <c r="J88" s="31">
        <f t="shared" si="19"/>
        <v>1.7241379310344827</v>
      </c>
      <c r="K88" s="31">
        <f t="shared" si="20"/>
        <v>1.4482758620689655</v>
      </c>
    </row>
    <row r="89" spans="2:11">
      <c r="B89" s="29" t="s">
        <v>18</v>
      </c>
      <c r="C89" s="27">
        <f t="shared" si="16"/>
        <v>109</v>
      </c>
      <c r="D89" s="27">
        <v>86</v>
      </c>
      <c r="E89" s="27">
        <v>23</v>
      </c>
      <c r="F89" s="27">
        <v>78</v>
      </c>
      <c r="G89" s="27">
        <v>0</v>
      </c>
      <c r="H89" s="31">
        <f t="shared" si="17"/>
        <v>90.697674418604649</v>
      </c>
      <c r="I89" s="31">
        <f t="shared" si="18"/>
        <v>98.860465116279073</v>
      </c>
      <c r="J89" s="31">
        <f t="shared" si="19"/>
        <v>0</v>
      </c>
      <c r="K89" s="31">
        <f t="shared" si="20"/>
        <v>0</v>
      </c>
    </row>
    <row r="90" spans="2:11">
      <c r="B90" s="29" t="s">
        <v>19</v>
      </c>
      <c r="C90" s="27">
        <f t="shared" si="16"/>
        <v>67</v>
      </c>
      <c r="D90" s="27">
        <v>48</v>
      </c>
      <c r="E90" s="27">
        <v>19</v>
      </c>
      <c r="F90" s="27">
        <v>44</v>
      </c>
      <c r="G90" s="27">
        <v>0</v>
      </c>
      <c r="H90" s="31">
        <f t="shared" si="17"/>
        <v>91.666666666666657</v>
      </c>
      <c r="I90" s="31">
        <f t="shared" si="18"/>
        <v>61.416666666666664</v>
      </c>
      <c r="J90" s="31">
        <f t="shared" si="19"/>
        <v>0</v>
      </c>
      <c r="K90" s="31">
        <f t="shared" si="20"/>
        <v>0</v>
      </c>
    </row>
    <row r="91" spans="2:11">
      <c r="B91" s="29" t="s">
        <v>20</v>
      </c>
      <c r="C91" s="27">
        <f t="shared" si="16"/>
        <v>91</v>
      </c>
      <c r="D91" s="27">
        <v>59</v>
      </c>
      <c r="E91" s="27">
        <v>32</v>
      </c>
      <c r="F91" s="27">
        <v>55</v>
      </c>
      <c r="G91" s="27">
        <v>1</v>
      </c>
      <c r="H91" s="31">
        <f t="shared" si="17"/>
        <v>93.220338983050837</v>
      </c>
      <c r="I91" s="31">
        <f t="shared" si="18"/>
        <v>84.830508474576263</v>
      </c>
      <c r="J91" s="31">
        <f t="shared" si="19"/>
        <v>1.6949152542372881</v>
      </c>
      <c r="K91" s="31">
        <f t="shared" si="20"/>
        <v>1.5423728813559321</v>
      </c>
    </row>
    <row r="92" spans="2:11">
      <c r="B92" s="29" t="s">
        <v>21</v>
      </c>
      <c r="C92" s="27">
        <f t="shared" si="16"/>
        <v>65</v>
      </c>
      <c r="D92" s="27">
        <v>40</v>
      </c>
      <c r="E92" s="27">
        <v>25</v>
      </c>
      <c r="F92" s="27">
        <v>38</v>
      </c>
      <c r="G92" s="27">
        <v>0</v>
      </c>
      <c r="H92" s="31">
        <f t="shared" si="17"/>
        <v>95</v>
      </c>
      <c r="I92" s="31">
        <f t="shared" si="18"/>
        <v>61.75</v>
      </c>
      <c r="J92" s="31">
        <f t="shared" si="19"/>
        <v>0</v>
      </c>
      <c r="K92" s="31">
        <f t="shared" si="20"/>
        <v>0</v>
      </c>
    </row>
    <row r="93" spans="2:11" ht="24">
      <c r="B93" s="14" t="s">
        <v>5</v>
      </c>
      <c r="C93" s="31">
        <f>AVERAGE(C83:C92)</f>
        <v>106</v>
      </c>
      <c r="D93" s="31">
        <f t="shared" ref="D93:K93" si="21">AVERAGE(D83:D92)</f>
        <v>69.2</v>
      </c>
      <c r="E93" s="31">
        <f t="shared" si="21"/>
        <v>36.799999999999997</v>
      </c>
      <c r="F93" s="31">
        <f t="shared" si="21"/>
        <v>60</v>
      </c>
      <c r="G93" s="31">
        <f t="shared" si="21"/>
        <v>2.8</v>
      </c>
      <c r="H93" s="31">
        <f t="shared" si="21"/>
        <v>88.062584047359323</v>
      </c>
      <c r="I93" s="31">
        <f t="shared" si="21"/>
        <v>91.524335293777995</v>
      </c>
      <c r="J93" s="31">
        <f t="shared" si="21"/>
        <v>3.4498411018422095</v>
      </c>
      <c r="K93" s="31">
        <f t="shared" si="21"/>
        <v>4.5153945855068063</v>
      </c>
    </row>
    <row r="95" spans="2:11">
      <c r="B95" s="21" t="s">
        <v>92</v>
      </c>
    </row>
    <row r="96" spans="2:11" ht="60">
      <c r="B96" s="28" t="s">
        <v>0</v>
      </c>
      <c r="C96" s="23" t="s">
        <v>2</v>
      </c>
      <c r="D96" s="23" t="s">
        <v>24</v>
      </c>
      <c r="E96" s="24" t="s">
        <v>9</v>
      </c>
      <c r="F96" s="25" t="s">
        <v>3</v>
      </c>
      <c r="G96" s="25" t="s">
        <v>4</v>
      </c>
      <c r="H96" s="23" t="s">
        <v>10</v>
      </c>
      <c r="I96" s="23" t="s">
        <v>22</v>
      </c>
      <c r="J96" s="23" t="s">
        <v>25</v>
      </c>
      <c r="K96" s="23" t="s">
        <v>26</v>
      </c>
    </row>
    <row r="97" spans="2:11">
      <c r="B97" s="28">
        <v>2000</v>
      </c>
      <c r="C97" s="8">
        <f>D97+E97</f>
        <v>355</v>
      </c>
      <c r="D97" s="8">
        <v>212</v>
      </c>
      <c r="E97" s="8">
        <v>143</v>
      </c>
      <c r="F97" s="8">
        <v>117</v>
      </c>
      <c r="G97" s="8">
        <v>64</v>
      </c>
      <c r="H97" s="30">
        <f>F97/D97*100</f>
        <v>55.188679245283026</v>
      </c>
      <c r="I97" s="30">
        <f>(E97*(H97/100)+F97)</f>
        <v>195.91981132075472</v>
      </c>
      <c r="J97" s="31">
        <f>G97/D97*100</f>
        <v>30.188679245283019</v>
      </c>
      <c r="K97" s="31">
        <f>(E97*(J97/100))+G97</f>
        <v>107.16981132075472</v>
      </c>
    </row>
    <row r="98" spans="2:11">
      <c r="B98" s="29" t="s">
        <v>74</v>
      </c>
      <c r="C98" s="8">
        <f t="shared" ref="C98:C106" si="22">D98+E98</f>
        <v>271</v>
      </c>
      <c r="D98" s="8">
        <v>150</v>
      </c>
      <c r="E98" s="8">
        <v>121</v>
      </c>
      <c r="F98" s="8">
        <v>106</v>
      </c>
      <c r="G98" s="8">
        <v>24</v>
      </c>
      <c r="H98" s="30">
        <f t="shared" ref="H98:H106" si="23">F98/D98*100</f>
        <v>70.666666666666671</v>
      </c>
      <c r="I98" s="30">
        <f t="shared" ref="I98:I106" si="24">(E98*(H98/100)+F98)</f>
        <v>191.50666666666666</v>
      </c>
      <c r="J98" s="31">
        <f t="shared" ref="J98:J106" si="25">G98/D98*100</f>
        <v>16</v>
      </c>
      <c r="K98" s="31">
        <f t="shared" ref="K98:K106" si="26">(E98*(J98/100))+G98</f>
        <v>43.36</v>
      </c>
    </row>
    <row r="99" spans="2:11">
      <c r="B99" s="89">
        <v>2002</v>
      </c>
      <c r="C99" s="8">
        <f t="shared" si="22"/>
        <v>195</v>
      </c>
      <c r="D99" s="27">
        <v>89</v>
      </c>
      <c r="E99" s="27">
        <v>106</v>
      </c>
      <c r="F99" s="27">
        <v>61</v>
      </c>
      <c r="G99" s="27">
        <v>9</v>
      </c>
      <c r="H99" s="30">
        <f t="shared" si="23"/>
        <v>68.539325842696627</v>
      </c>
      <c r="I99" s="30">
        <f t="shared" si="24"/>
        <v>133.65168539325845</v>
      </c>
      <c r="J99" s="31">
        <f t="shared" si="25"/>
        <v>10.112359550561797</v>
      </c>
      <c r="K99" s="31">
        <f t="shared" si="26"/>
        <v>19.719101123595504</v>
      </c>
    </row>
    <row r="100" spans="2:11">
      <c r="B100" s="29" t="s">
        <v>75</v>
      </c>
      <c r="C100" s="8">
        <f t="shared" si="22"/>
        <v>155</v>
      </c>
      <c r="D100" s="27">
        <v>102</v>
      </c>
      <c r="E100" s="27">
        <v>53</v>
      </c>
      <c r="F100" s="27">
        <v>86</v>
      </c>
      <c r="G100" s="27">
        <v>3</v>
      </c>
      <c r="H100" s="30">
        <f t="shared" si="23"/>
        <v>84.313725490196077</v>
      </c>
      <c r="I100" s="30">
        <f t="shared" si="24"/>
        <v>130.68627450980392</v>
      </c>
      <c r="J100" s="31">
        <f t="shared" si="25"/>
        <v>2.9411764705882351</v>
      </c>
      <c r="K100" s="31">
        <f t="shared" si="26"/>
        <v>4.5588235294117645</v>
      </c>
    </row>
    <row r="101" spans="2:11">
      <c r="B101" s="89">
        <v>2004</v>
      </c>
      <c r="C101" s="8">
        <f t="shared" si="22"/>
        <v>150</v>
      </c>
      <c r="D101" s="27">
        <v>90</v>
      </c>
      <c r="E101" s="27">
        <v>60</v>
      </c>
      <c r="F101" s="27">
        <v>68</v>
      </c>
      <c r="G101" s="27">
        <v>5</v>
      </c>
      <c r="H101" s="30">
        <f t="shared" si="23"/>
        <v>75.555555555555557</v>
      </c>
      <c r="I101" s="30">
        <f t="shared" si="24"/>
        <v>113.33333333333333</v>
      </c>
      <c r="J101" s="31">
        <f t="shared" si="25"/>
        <v>5.5555555555555554</v>
      </c>
      <c r="K101" s="31">
        <f t="shared" si="26"/>
        <v>8.3333333333333321</v>
      </c>
    </row>
    <row r="102" spans="2:11">
      <c r="B102" s="29" t="s">
        <v>76</v>
      </c>
      <c r="C102" s="8">
        <f t="shared" si="22"/>
        <v>145</v>
      </c>
      <c r="D102" s="27">
        <v>90</v>
      </c>
      <c r="E102" s="27">
        <v>55</v>
      </c>
      <c r="F102" s="27">
        <v>66</v>
      </c>
      <c r="G102" s="27">
        <v>1</v>
      </c>
      <c r="H102" s="30">
        <f t="shared" si="23"/>
        <v>73.333333333333329</v>
      </c>
      <c r="I102" s="30">
        <f t="shared" si="24"/>
        <v>106.33333333333333</v>
      </c>
      <c r="J102" s="31">
        <f t="shared" si="25"/>
        <v>1.1111111111111112</v>
      </c>
      <c r="K102" s="31">
        <f t="shared" si="26"/>
        <v>1.6111111111111112</v>
      </c>
    </row>
    <row r="103" spans="2:11">
      <c r="B103" s="89">
        <v>2006</v>
      </c>
      <c r="C103" s="8">
        <f t="shared" si="22"/>
        <v>144</v>
      </c>
      <c r="D103" s="27">
        <v>69</v>
      </c>
      <c r="E103" s="27">
        <v>75</v>
      </c>
      <c r="F103" s="27">
        <v>61</v>
      </c>
      <c r="G103" s="27">
        <v>3</v>
      </c>
      <c r="H103" s="30">
        <f t="shared" si="23"/>
        <v>88.405797101449281</v>
      </c>
      <c r="I103" s="30">
        <f t="shared" si="24"/>
        <v>127.30434782608695</v>
      </c>
      <c r="J103" s="31">
        <f t="shared" si="25"/>
        <v>4.3478260869565215</v>
      </c>
      <c r="K103" s="31">
        <f t="shared" si="26"/>
        <v>6.2608695652173907</v>
      </c>
    </row>
    <row r="104" spans="2:11">
      <c r="B104" s="29" t="s">
        <v>77</v>
      </c>
      <c r="C104" s="8">
        <f t="shared" si="22"/>
        <v>157</v>
      </c>
      <c r="D104" s="27">
        <v>83</v>
      </c>
      <c r="E104" s="27">
        <v>74</v>
      </c>
      <c r="F104" s="27">
        <v>75</v>
      </c>
      <c r="G104" s="27">
        <v>4</v>
      </c>
      <c r="H104" s="30">
        <f t="shared" si="23"/>
        <v>90.361445783132538</v>
      </c>
      <c r="I104" s="30">
        <f t="shared" si="24"/>
        <v>141.86746987951807</v>
      </c>
      <c r="J104" s="31">
        <f t="shared" si="25"/>
        <v>4.8192771084337354</v>
      </c>
      <c r="K104" s="31">
        <f t="shared" si="26"/>
        <v>7.5662650602409638</v>
      </c>
    </row>
    <row r="105" spans="2:11">
      <c r="B105" s="89">
        <v>2008</v>
      </c>
      <c r="C105" s="8">
        <f t="shared" si="22"/>
        <v>125</v>
      </c>
      <c r="D105" s="27">
        <v>66</v>
      </c>
      <c r="E105" s="27">
        <v>59</v>
      </c>
      <c r="F105" s="27">
        <v>57</v>
      </c>
      <c r="G105" s="27">
        <v>0</v>
      </c>
      <c r="H105" s="30">
        <f t="shared" si="23"/>
        <v>86.36363636363636</v>
      </c>
      <c r="I105" s="30">
        <f t="shared" si="24"/>
        <v>107.95454545454545</v>
      </c>
      <c r="J105" s="31">
        <f t="shared" si="25"/>
        <v>0</v>
      </c>
      <c r="K105" s="31">
        <f t="shared" si="26"/>
        <v>0</v>
      </c>
    </row>
    <row r="106" spans="2:11">
      <c r="B106" s="29" t="s">
        <v>78</v>
      </c>
      <c r="C106" s="8">
        <f t="shared" si="22"/>
        <v>139</v>
      </c>
      <c r="D106" s="33">
        <v>74</v>
      </c>
      <c r="E106" s="33">
        <v>65</v>
      </c>
      <c r="F106" s="33">
        <v>66</v>
      </c>
      <c r="G106" s="33">
        <v>0</v>
      </c>
      <c r="H106" s="30">
        <f t="shared" si="23"/>
        <v>89.189189189189193</v>
      </c>
      <c r="I106" s="30">
        <f t="shared" si="24"/>
        <v>123.97297297297297</v>
      </c>
      <c r="J106" s="31">
        <f t="shared" si="25"/>
        <v>0</v>
      </c>
      <c r="K106" s="31">
        <f t="shared" si="26"/>
        <v>0</v>
      </c>
    </row>
    <row r="107" spans="2:11" ht="24">
      <c r="B107" s="14" t="s">
        <v>5</v>
      </c>
      <c r="C107" s="34">
        <f>AVERAGE(C97:C106)</f>
        <v>183.6</v>
      </c>
      <c r="D107" s="34">
        <f t="shared" ref="D107:I107" si="27">AVERAGE(D97:D106)</f>
        <v>102.5</v>
      </c>
      <c r="E107" s="34">
        <f t="shared" si="27"/>
        <v>81.099999999999994</v>
      </c>
      <c r="F107" s="34">
        <f t="shared" si="27"/>
        <v>76.3</v>
      </c>
      <c r="G107" s="34">
        <f t="shared" si="27"/>
        <v>11.3</v>
      </c>
      <c r="H107" s="34">
        <f t="shared" si="27"/>
        <v>78.191735457113865</v>
      </c>
      <c r="I107" s="34">
        <f t="shared" si="27"/>
        <v>137.2530440690274</v>
      </c>
      <c r="J107" s="34">
        <f t="shared" ref="J107" si="28">AVERAGE(J97:J106)</f>
        <v>7.5075985128489977</v>
      </c>
      <c r="K107" s="34">
        <f t="shared" ref="K107" si="29">AVERAGE(K97:K106)</f>
        <v>19.857931504366483</v>
      </c>
    </row>
    <row r="109" spans="2:11">
      <c r="B109" s="21" t="s">
        <v>103</v>
      </c>
    </row>
    <row r="110" spans="2:11" ht="48" customHeight="1">
      <c r="B110" s="98" t="s">
        <v>0</v>
      </c>
      <c r="C110" s="99" t="s">
        <v>70</v>
      </c>
      <c r="D110" s="99" t="s">
        <v>71</v>
      </c>
      <c r="E110" s="99" t="s">
        <v>67</v>
      </c>
    </row>
    <row r="111" spans="2:11">
      <c r="B111" s="79" t="s">
        <v>12</v>
      </c>
      <c r="C111" s="81">
        <f t="shared" ref="C111:C120" si="30">H55+F69+F83+F97</f>
        <v>1879</v>
      </c>
      <c r="D111" s="81">
        <f t="shared" ref="D111:D120" si="31">I55+G69+G83+G97</f>
        <v>484</v>
      </c>
      <c r="E111" s="82">
        <f t="shared" ref="E111:E120" si="32">E55+C69+C83+C97</f>
        <v>2970</v>
      </c>
    </row>
    <row r="112" spans="2:11">
      <c r="B112" s="29" t="s">
        <v>13</v>
      </c>
      <c r="C112" s="81">
        <f t="shared" si="30"/>
        <v>1679</v>
      </c>
      <c r="D112" s="81">
        <f t="shared" si="31"/>
        <v>244</v>
      </c>
      <c r="E112" s="82">
        <f t="shared" si="32"/>
        <v>2370</v>
      </c>
    </row>
    <row r="113" spans="2:5">
      <c r="B113" s="29" t="s">
        <v>14</v>
      </c>
      <c r="C113" s="81">
        <f t="shared" si="30"/>
        <v>1336</v>
      </c>
      <c r="D113" s="81">
        <f t="shared" si="31"/>
        <v>136</v>
      </c>
      <c r="E113" s="82">
        <f t="shared" si="32"/>
        <v>1788</v>
      </c>
    </row>
    <row r="114" spans="2:5">
      <c r="B114" s="29" t="s">
        <v>15</v>
      </c>
      <c r="C114" s="81">
        <f t="shared" si="30"/>
        <v>1443</v>
      </c>
      <c r="D114" s="81">
        <f t="shared" si="31"/>
        <v>69</v>
      </c>
      <c r="E114" s="82">
        <f t="shared" si="32"/>
        <v>1751</v>
      </c>
    </row>
    <row r="115" spans="2:5">
      <c r="B115" s="29" t="s">
        <v>16</v>
      </c>
      <c r="C115" s="81">
        <f t="shared" si="30"/>
        <v>1405</v>
      </c>
      <c r="D115" s="81">
        <f t="shared" si="31"/>
        <v>48</v>
      </c>
      <c r="E115" s="82">
        <f t="shared" si="32"/>
        <v>1712</v>
      </c>
    </row>
    <row r="116" spans="2:5">
      <c r="B116" s="29" t="s">
        <v>17</v>
      </c>
      <c r="C116" s="81">
        <f t="shared" si="30"/>
        <v>1280</v>
      </c>
      <c r="D116" s="81">
        <f t="shared" si="31"/>
        <v>32</v>
      </c>
      <c r="E116" s="82">
        <f t="shared" si="32"/>
        <v>1509</v>
      </c>
    </row>
    <row r="117" spans="2:5">
      <c r="B117" s="29" t="s">
        <v>18</v>
      </c>
      <c r="C117" s="81">
        <f t="shared" si="30"/>
        <v>1132</v>
      </c>
      <c r="D117" s="81">
        <f t="shared" si="31"/>
        <v>32</v>
      </c>
      <c r="E117" s="82">
        <f t="shared" si="32"/>
        <v>1389</v>
      </c>
    </row>
    <row r="118" spans="2:5">
      <c r="B118" s="29" t="s">
        <v>19</v>
      </c>
      <c r="C118" s="81">
        <f t="shared" si="30"/>
        <v>1204</v>
      </c>
      <c r="D118" s="81">
        <f t="shared" si="31"/>
        <v>33</v>
      </c>
      <c r="E118" s="82">
        <f t="shared" si="32"/>
        <v>1467</v>
      </c>
    </row>
    <row r="119" spans="2:5">
      <c r="B119" s="29" t="s">
        <v>20</v>
      </c>
      <c r="C119" s="81">
        <f t="shared" si="30"/>
        <v>1164</v>
      </c>
      <c r="D119" s="81">
        <f t="shared" si="31"/>
        <v>14</v>
      </c>
      <c r="E119" s="82">
        <f t="shared" si="32"/>
        <v>1382</v>
      </c>
    </row>
    <row r="120" spans="2:5">
      <c r="B120" s="29" t="s">
        <v>21</v>
      </c>
      <c r="C120" s="81">
        <f t="shared" si="30"/>
        <v>889</v>
      </c>
      <c r="D120" s="81">
        <f t="shared" si="31"/>
        <v>17</v>
      </c>
      <c r="E120" s="82">
        <f t="shared" si="32"/>
        <v>1100</v>
      </c>
    </row>
    <row r="121" spans="2:5">
      <c r="B121" s="95"/>
      <c r="C121" s="96"/>
      <c r="D121" s="96"/>
      <c r="E121" s="97"/>
    </row>
    <row r="122" spans="2:5">
      <c r="B122" s="95"/>
      <c r="C122" s="96"/>
      <c r="D122" s="96"/>
      <c r="E122" s="97"/>
    </row>
    <row r="123" spans="2:5">
      <c r="B123" s="95"/>
      <c r="C123" s="96"/>
      <c r="D123" s="96"/>
      <c r="E123" s="97"/>
    </row>
  </sheetData>
  <mergeCells count="5">
    <mergeCell ref="I43:I44"/>
    <mergeCell ref="J43:J44"/>
    <mergeCell ref="E53:I53"/>
    <mergeCell ref="C43:E43"/>
    <mergeCell ref="F43:H43"/>
  </mergeCells>
  <pageMargins left="0.7" right="0.7" top="0.75" bottom="0.75" header="0.3" footer="0.3"/>
  <pageSetup paperSize="9" scale="62" orientation="portrait" verticalDpi="0" r:id="rId1"/>
  <rowBreaks count="1" manualBreakCount="1">
    <brk id="66" max="16383" man="1"/>
  </rowBreaks>
  <drawing r:id="rId2"/>
</worksheet>
</file>

<file path=xl/worksheets/sheet3.xml><?xml version="1.0" encoding="utf-8"?>
<worksheet xmlns="http://schemas.openxmlformats.org/spreadsheetml/2006/main" xmlns:r="http://schemas.openxmlformats.org/officeDocument/2006/relationships">
  <dimension ref="B30:I75"/>
  <sheetViews>
    <sheetView topLeftCell="A60" workbookViewId="0">
      <selection activeCell="B60" sqref="B60"/>
    </sheetView>
  </sheetViews>
  <sheetFormatPr defaultRowHeight="15"/>
  <cols>
    <col min="2" max="2" width="13.28515625" customWidth="1"/>
    <col min="3" max="3" width="12.85546875" customWidth="1"/>
    <col min="4" max="4" width="12.5703125" customWidth="1"/>
    <col min="5" max="6" width="12.140625" customWidth="1"/>
    <col min="7" max="7" width="18.85546875" customWidth="1"/>
    <col min="8" max="8" width="17.5703125" customWidth="1"/>
    <col min="9" max="9" width="17.7109375" customWidth="1"/>
  </cols>
  <sheetData>
    <row r="30" spans="2:9">
      <c r="B30" s="55" t="s">
        <v>94</v>
      </c>
      <c r="C30" s="55"/>
      <c r="D30" s="55"/>
      <c r="E30" s="55"/>
      <c r="F30" s="55"/>
      <c r="G30" s="54"/>
      <c r="H30" s="54"/>
      <c r="I30" s="54"/>
    </row>
    <row r="31" spans="2:9" ht="46.5" customHeight="1">
      <c r="B31" s="53"/>
      <c r="C31" s="53"/>
      <c r="D31" s="53"/>
      <c r="E31" s="126" t="s">
        <v>79</v>
      </c>
      <c r="F31" s="126"/>
      <c r="G31" s="56"/>
      <c r="H31" s="53"/>
      <c r="I31" s="53"/>
    </row>
    <row r="32" spans="2:9" ht="49.5" customHeight="1">
      <c r="B32" s="46" t="s">
        <v>0</v>
      </c>
      <c r="C32" s="38" t="s">
        <v>48</v>
      </c>
      <c r="D32" s="38" t="s">
        <v>7</v>
      </c>
      <c r="E32" s="48" t="s">
        <v>49</v>
      </c>
      <c r="F32" s="48" t="s">
        <v>50</v>
      </c>
      <c r="G32" s="48" t="s">
        <v>51</v>
      </c>
      <c r="H32" s="38" t="s">
        <v>64</v>
      </c>
    </row>
    <row r="33" spans="2:8">
      <c r="B33" s="46" t="s">
        <v>45</v>
      </c>
      <c r="C33" s="47">
        <v>490</v>
      </c>
      <c r="D33" s="49">
        <f t="shared" ref="D33:D35" si="0">C33*0.75</f>
        <v>367.5</v>
      </c>
      <c r="E33" s="39">
        <v>173</v>
      </c>
      <c r="F33" s="39">
        <v>168</v>
      </c>
      <c r="G33" s="31">
        <f>E33/F33</f>
        <v>1.0297619047619047</v>
      </c>
      <c r="H33" s="31">
        <f>D33*G33</f>
        <v>378.43749999999994</v>
      </c>
    </row>
    <row r="34" spans="2:8">
      <c r="B34" s="46" t="s">
        <v>46</v>
      </c>
      <c r="C34" s="47">
        <v>487</v>
      </c>
      <c r="D34" s="49">
        <f t="shared" si="0"/>
        <v>365.25</v>
      </c>
      <c r="E34" s="39">
        <v>169</v>
      </c>
      <c r="F34" s="39">
        <v>157</v>
      </c>
      <c r="G34" s="31">
        <f t="shared" ref="G34:G35" si="1">E34/F34</f>
        <v>1.0764331210191083</v>
      </c>
      <c r="H34" s="31">
        <f t="shared" ref="H34:H35" si="2">D34*G34</f>
        <v>393.16719745222929</v>
      </c>
    </row>
    <row r="35" spans="2:8">
      <c r="B35" s="46" t="s">
        <v>47</v>
      </c>
      <c r="C35" s="47">
        <v>460</v>
      </c>
      <c r="D35" s="49">
        <f t="shared" si="0"/>
        <v>345</v>
      </c>
      <c r="E35" s="39">
        <v>186</v>
      </c>
      <c r="F35" s="39">
        <v>169</v>
      </c>
      <c r="G35" s="31">
        <f t="shared" si="1"/>
        <v>1.1005917159763314</v>
      </c>
      <c r="H35" s="31">
        <f t="shared" si="2"/>
        <v>379.70414201183434</v>
      </c>
    </row>
    <row r="36" spans="2:8" ht="24">
      <c r="B36" s="48" t="s">
        <v>53</v>
      </c>
      <c r="C36" s="69">
        <f>AVERAGE(C33:C35)</f>
        <v>479</v>
      </c>
      <c r="D36" s="69">
        <f>AVERAGE(D33:D35)</f>
        <v>359.25</v>
      </c>
      <c r="E36" s="69">
        <f>AVERAGE(E33:E35)</f>
        <v>176</v>
      </c>
      <c r="F36" s="69">
        <f t="shared" ref="F36" si="3">AVERAGE(F33:F35)</f>
        <v>164.66666666666666</v>
      </c>
      <c r="G36" s="69">
        <f t="shared" ref="G36:H36" si="4">AVERAGE(G33:G35)</f>
        <v>1.0689289139191149</v>
      </c>
      <c r="H36" s="69">
        <f t="shared" si="4"/>
        <v>383.76961315468787</v>
      </c>
    </row>
    <row r="37" spans="2:8">
      <c r="B37" s="50"/>
      <c r="C37" s="51"/>
      <c r="D37" s="51"/>
      <c r="E37" s="45"/>
      <c r="F37" s="45"/>
    </row>
    <row r="38" spans="2:8">
      <c r="B38" s="55" t="s">
        <v>95</v>
      </c>
    </row>
    <row r="39" spans="2:8">
      <c r="B39" s="46" t="s">
        <v>0</v>
      </c>
      <c r="C39" s="44" t="s">
        <v>54</v>
      </c>
      <c r="D39" s="48" t="s">
        <v>55</v>
      </c>
      <c r="E39" s="60" t="s">
        <v>65</v>
      </c>
    </row>
    <row r="40" spans="2:8">
      <c r="B40" s="57">
        <v>2000</v>
      </c>
      <c r="C40" s="87">
        <v>39</v>
      </c>
      <c r="D40" s="39">
        <v>94</v>
      </c>
      <c r="E40" s="39">
        <v>464</v>
      </c>
    </row>
    <row r="41" spans="2:8">
      <c r="B41" s="57">
        <v>2001</v>
      </c>
      <c r="C41" s="87">
        <v>74</v>
      </c>
      <c r="D41" s="39">
        <v>161</v>
      </c>
      <c r="E41" s="39">
        <v>517</v>
      </c>
    </row>
    <row r="42" spans="2:8">
      <c r="B42" s="57">
        <v>2002</v>
      </c>
      <c r="C42" s="87">
        <v>62</v>
      </c>
      <c r="D42" s="39">
        <v>140</v>
      </c>
      <c r="E42" s="39">
        <v>361</v>
      </c>
    </row>
    <row r="43" spans="2:8">
      <c r="B43" s="57">
        <v>2003</v>
      </c>
      <c r="C43" s="87">
        <v>63</v>
      </c>
      <c r="D43" s="39">
        <v>150</v>
      </c>
      <c r="E43" s="39">
        <v>323</v>
      </c>
    </row>
    <row r="44" spans="2:8">
      <c r="B44" s="57">
        <v>2004</v>
      </c>
      <c r="C44" s="87">
        <v>45</v>
      </c>
      <c r="D44" s="39">
        <v>140</v>
      </c>
      <c r="E44" s="39">
        <v>294</v>
      </c>
    </row>
    <row r="45" spans="2:8">
      <c r="B45" s="57">
        <v>2005</v>
      </c>
      <c r="C45" s="87">
        <v>44</v>
      </c>
      <c r="D45" s="39">
        <v>228</v>
      </c>
      <c r="E45" s="39">
        <v>315</v>
      </c>
    </row>
    <row r="46" spans="2:8">
      <c r="B46" s="57">
        <v>2006</v>
      </c>
      <c r="C46" s="87">
        <v>57</v>
      </c>
      <c r="D46" s="39">
        <v>252</v>
      </c>
      <c r="E46" s="39">
        <v>321</v>
      </c>
    </row>
    <row r="47" spans="2:8">
      <c r="B47" s="57">
        <v>2007</v>
      </c>
      <c r="C47" s="39">
        <v>32</v>
      </c>
      <c r="D47" s="39">
        <v>320</v>
      </c>
      <c r="E47" s="39">
        <v>254</v>
      </c>
    </row>
    <row r="48" spans="2:8">
      <c r="B48" s="52">
        <v>2008</v>
      </c>
      <c r="C48" s="59">
        <v>24</v>
      </c>
      <c r="D48" s="39">
        <v>206</v>
      </c>
      <c r="E48" s="39">
        <v>260</v>
      </c>
    </row>
    <row r="49" spans="2:6">
      <c r="B49" s="52">
        <v>2009</v>
      </c>
      <c r="C49" s="61">
        <v>31</v>
      </c>
      <c r="D49" s="39">
        <v>192</v>
      </c>
      <c r="E49" s="39">
        <v>275</v>
      </c>
    </row>
    <row r="50" spans="2:6">
      <c r="B50" s="52" t="s">
        <v>52</v>
      </c>
      <c r="C50" s="58">
        <f>AVERAGE(C47:C49)</f>
        <v>29</v>
      </c>
      <c r="D50" s="58">
        <f>AVERAGE(D40:D49)</f>
        <v>188.3</v>
      </c>
      <c r="E50" s="58">
        <f>AVERAGE(E40:E49)</f>
        <v>338.4</v>
      </c>
    </row>
    <row r="52" spans="2:6">
      <c r="B52" s="55" t="s">
        <v>97</v>
      </c>
    </row>
    <row r="53" spans="2:6" ht="36">
      <c r="B53" s="46" t="s">
        <v>0</v>
      </c>
      <c r="C53" s="60" t="s">
        <v>56</v>
      </c>
      <c r="D53" s="60" t="s">
        <v>57</v>
      </c>
      <c r="E53" s="60" t="s">
        <v>58</v>
      </c>
      <c r="F53" s="60" t="s">
        <v>59</v>
      </c>
    </row>
    <row r="54" spans="2:6">
      <c r="B54" s="63">
        <v>2006</v>
      </c>
      <c r="C54" s="86">
        <v>5</v>
      </c>
      <c r="D54" s="86">
        <v>0</v>
      </c>
      <c r="E54" s="62">
        <v>0</v>
      </c>
      <c r="F54" s="62">
        <v>63</v>
      </c>
    </row>
    <row r="55" spans="2:6">
      <c r="B55" s="63">
        <v>2007</v>
      </c>
      <c r="C55" s="62">
        <v>1</v>
      </c>
      <c r="D55" s="62">
        <v>1</v>
      </c>
      <c r="E55" s="62">
        <v>1</v>
      </c>
      <c r="F55" s="62">
        <v>39</v>
      </c>
    </row>
    <row r="56" spans="2:6">
      <c r="B56" s="63">
        <v>2008</v>
      </c>
      <c r="C56" s="62">
        <v>3</v>
      </c>
      <c r="D56" s="62">
        <v>0</v>
      </c>
      <c r="E56" s="62">
        <v>1</v>
      </c>
      <c r="F56" s="62">
        <v>40</v>
      </c>
    </row>
    <row r="57" spans="2:6">
      <c r="B57" s="63">
        <v>2009</v>
      </c>
      <c r="C57" s="62">
        <v>2</v>
      </c>
      <c r="D57" s="62">
        <v>0</v>
      </c>
      <c r="E57" s="62">
        <v>0</v>
      </c>
      <c r="F57" s="62">
        <v>36</v>
      </c>
    </row>
    <row r="58" spans="2:6">
      <c r="B58" s="46" t="s">
        <v>52</v>
      </c>
      <c r="C58" s="68">
        <f>AVERAGE(C55:C57)</f>
        <v>2</v>
      </c>
      <c r="D58" s="68">
        <f>AVERAGE(D55:D57)</f>
        <v>0.33333333333333331</v>
      </c>
      <c r="E58" s="68">
        <f t="shared" ref="E58:F58" si="5">AVERAGE(E54:E57)</f>
        <v>0.5</v>
      </c>
      <c r="F58" s="68">
        <f t="shared" si="5"/>
        <v>44.5</v>
      </c>
    </row>
    <row r="60" spans="2:6">
      <c r="B60" s="55" t="s">
        <v>99</v>
      </c>
    </row>
    <row r="61" spans="2:6" ht="60">
      <c r="B61" s="44" t="s">
        <v>0</v>
      </c>
      <c r="C61" s="85" t="s">
        <v>72</v>
      </c>
      <c r="D61" s="48" t="s">
        <v>60</v>
      </c>
      <c r="E61" s="64" t="s">
        <v>86</v>
      </c>
      <c r="F61" s="85" t="s">
        <v>73</v>
      </c>
    </row>
    <row r="62" spans="2:6">
      <c r="B62" s="65">
        <v>2000</v>
      </c>
      <c r="C62" s="86">
        <v>32</v>
      </c>
      <c r="D62" s="86">
        <v>3</v>
      </c>
      <c r="E62" s="66">
        <v>7</v>
      </c>
      <c r="F62" s="33">
        <v>23</v>
      </c>
    </row>
    <row r="63" spans="2:6">
      <c r="B63" s="65">
        <v>2001</v>
      </c>
      <c r="C63" s="86">
        <v>38</v>
      </c>
      <c r="D63" s="86">
        <v>4</v>
      </c>
      <c r="E63" s="66">
        <v>4</v>
      </c>
      <c r="F63" s="33">
        <v>17</v>
      </c>
    </row>
    <row r="64" spans="2:6">
      <c r="B64" s="65">
        <v>2002</v>
      </c>
      <c r="C64" s="86">
        <v>35</v>
      </c>
      <c r="D64" s="88">
        <v>6</v>
      </c>
      <c r="E64" s="66">
        <v>7</v>
      </c>
      <c r="F64" s="33">
        <v>20</v>
      </c>
    </row>
    <row r="65" spans="2:6">
      <c r="B65" s="65">
        <v>2003</v>
      </c>
      <c r="C65" s="86">
        <v>27</v>
      </c>
      <c r="D65" s="88">
        <v>7</v>
      </c>
      <c r="E65" s="66">
        <v>7</v>
      </c>
      <c r="F65" s="33">
        <v>20</v>
      </c>
    </row>
    <row r="66" spans="2:6">
      <c r="B66" s="65">
        <v>2004</v>
      </c>
      <c r="C66" s="86">
        <v>19</v>
      </c>
      <c r="D66" s="88">
        <v>6</v>
      </c>
      <c r="E66" s="66">
        <v>8</v>
      </c>
      <c r="F66" s="33">
        <v>20</v>
      </c>
    </row>
    <row r="67" spans="2:6">
      <c r="B67" s="65">
        <v>2005</v>
      </c>
      <c r="C67" s="86">
        <v>36</v>
      </c>
      <c r="D67" s="88">
        <v>7</v>
      </c>
      <c r="E67" s="66">
        <v>3</v>
      </c>
      <c r="F67" s="33">
        <v>17</v>
      </c>
    </row>
    <row r="68" spans="2:6">
      <c r="B68" s="65">
        <v>2006</v>
      </c>
      <c r="C68" s="86">
        <v>37</v>
      </c>
      <c r="D68" s="88">
        <v>2</v>
      </c>
      <c r="E68" s="66">
        <v>8</v>
      </c>
      <c r="F68" s="33">
        <v>45</v>
      </c>
    </row>
    <row r="69" spans="2:6">
      <c r="B69" s="65">
        <v>2007</v>
      </c>
      <c r="C69" s="66">
        <v>18</v>
      </c>
      <c r="D69" s="33">
        <v>6</v>
      </c>
      <c r="E69" s="66">
        <v>9</v>
      </c>
      <c r="F69" s="33">
        <v>54</v>
      </c>
    </row>
    <row r="70" spans="2:6">
      <c r="B70" s="65">
        <v>2008</v>
      </c>
      <c r="C70" s="66">
        <v>24</v>
      </c>
      <c r="D70" s="33">
        <v>6</v>
      </c>
      <c r="E70" s="66">
        <v>11</v>
      </c>
      <c r="F70" s="33">
        <v>58</v>
      </c>
    </row>
    <row r="71" spans="2:6">
      <c r="B71" s="65">
        <v>2009</v>
      </c>
      <c r="C71" s="66">
        <v>25</v>
      </c>
      <c r="D71" s="33">
        <v>2</v>
      </c>
      <c r="E71" s="66">
        <v>10</v>
      </c>
      <c r="F71" s="33">
        <v>81</v>
      </c>
    </row>
    <row r="72" spans="2:6">
      <c r="B72" s="44" t="s">
        <v>52</v>
      </c>
      <c r="C72" s="67">
        <f>AVERAGE(C69:C71)</f>
        <v>22.333333333333332</v>
      </c>
      <c r="D72" s="67">
        <f>AVERAGE(D69:D71)</f>
        <v>4.666666666666667</v>
      </c>
      <c r="E72" s="67">
        <f>AVERAGE(E62:E71)</f>
        <v>7.4</v>
      </c>
      <c r="F72" s="67">
        <f>AVERAGE(F62:F71)</f>
        <v>35.5</v>
      </c>
    </row>
    <row r="74" spans="2:6">
      <c r="B74" s="70"/>
    </row>
    <row r="75" spans="2:6">
      <c r="B75" s="45"/>
    </row>
  </sheetData>
  <mergeCells count="1">
    <mergeCell ref="E31:F31"/>
  </mergeCells>
  <pageMargins left="0.7" right="0.7" top="0.75" bottom="0.75" header="0.3" footer="0.3"/>
  <pageSetup paperSize="9" scale="64" orientation="portrait" r:id="rId1"/>
  <drawing r:id="rId2"/>
</worksheet>
</file>

<file path=xl/worksheets/sheet4.xml><?xml version="1.0" encoding="utf-8"?>
<worksheet xmlns="http://schemas.openxmlformats.org/spreadsheetml/2006/main" xmlns:r="http://schemas.openxmlformats.org/officeDocument/2006/relationships">
  <dimension ref="A1:L12"/>
  <sheetViews>
    <sheetView workbookViewId="0">
      <selection activeCell="A10" sqref="A10"/>
    </sheetView>
  </sheetViews>
  <sheetFormatPr defaultRowHeight="15"/>
  <sheetData>
    <row r="1" spans="1:12">
      <c r="A1" s="100" t="s">
        <v>87</v>
      </c>
    </row>
    <row r="3" spans="1:12">
      <c r="A3" s="94" t="s">
        <v>82</v>
      </c>
      <c r="B3" s="93"/>
      <c r="C3" s="93"/>
      <c r="D3" s="93"/>
      <c r="E3" s="93"/>
      <c r="F3" s="93"/>
      <c r="G3" s="93"/>
      <c r="H3" s="93"/>
      <c r="I3" s="93"/>
      <c r="J3" s="93"/>
      <c r="K3" s="93"/>
      <c r="L3" s="93"/>
    </row>
    <row r="4" spans="1:12">
      <c r="A4" s="94" t="s">
        <v>83</v>
      </c>
    </row>
    <row r="5" spans="1:12">
      <c r="A5" s="94" t="s">
        <v>84</v>
      </c>
    </row>
    <row r="6" spans="1:12">
      <c r="A6" s="94" t="s">
        <v>85</v>
      </c>
    </row>
    <row r="7" spans="1:12">
      <c r="A7" s="94" t="s">
        <v>93</v>
      </c>
    </row>
    <row r="8" spans="1:12">
      <c r="A8" s="94" t="s">
        <v>96</v>
      </c>
    </row>
    <row r="9" spans="1:12">
      <c r="A9" s="94" t="s">
        <v>98</v>
      </c>
    </row>
    <row r="10" spans="1:12">
      <c r="A10" s="94" t="s">
        <v>100</v>
      </c>
    </row>
    <row r="11" spans="1:12">
      <c r="A11" s="94" t="s">
        <v>101</v>
      </c>
    </row>
    <row r="12" spans="1:12">
      <c r="A12" s="94" t="s">
        <v>102</v>
      </c>
    </row>
  </sheetData>
  <hyperlinks>
    <hyperlink ref="A3" r:id="rId1" display="http://www.hesonline.nhs.uk/Ease/servlet/ContentServer?siteID=1937&amp;categoryID=203"/>
    <hyperlink ref="A4" r:id="rId2" display="http://www.hpa.org.uk/Topics/InfectiousDiseases/InfectionsAZ/MeningococcalDisease/EpidemiologicalData/"/>
    <hyperlink ref="A5" r:id="rId3" display="http://www.publichealthagency.org/directorate-public-health/health-protection/meningococcal-disease"/>
    <hyperlink ref="A6" r:id="rId4" display="http://www.hps.scot.nhs.uk/surveillance/SystemsDetail.aspx?id=13"/>
    <hyperlink ref="A7" r:id="rId5" display="http://www.hpa.org.uk/infections/topics_az/noids/archive.htm"/>
    <hyperlink ref="A8" r:id="rId6" display="http://www.publichealth.hscni.net/directorate-public-health/health-protection/surveillance-data"/>
    <hyperlink ref="A9" r:id="rId7" display="http://www.publichealthagency.org/directorate-public-health/health-protection/tuberculosis"/>
    <hyperlink ref="A10" r:id="rId8" display="http://www.hps.scot.nhs.uk/resp/ssdetail.aspx?id=14"/>
    <hyperlink ref="A11" r:id="rId9" display="http://www.hps.scot.nhs.uk/surveillance/SystemsDetail.aspx?id=18"/>
    <hyperlink ref="A12" r:id="rId10" display="http://www.hps.scot.nhs.uk/resp/ssdetail.aspx?id=1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SUMMARY</vt:lpstr>
      <vt:lpstr>UK MD</vt:lpstr>
      <vt:lpstr>UK non-MD</vt:lpstr>
      <vt:lpstr>Refs</vt:lpstr>
      <vt:lpstr>SUMMARY!Print_Area</vt:lpstr>
      <vt:lpstr>'UK non-MD'!Print_Area</vt:lpstr>
    </vt:vector>
  </TitlesOfParts>
  <Company>Meningitis Research Foundation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Claire Wright</dc:creator>
  <cp:lastModifiedBy>adrianr</cp:lastModifiedBy>
  <cp:lastPrinted>2012-01-11T15:01:08Z</cp:lastPrinted>
  <dcterms:created xsi:type="dcterms:W3CDTF">2011-11-23T09:47:39Z</dcterms:created>
  <dcterms:modified xsi:type="dcterms:W3CDTF">2012-03-21T16:04:51Z</dcterms:modified>
</cp:coreProperties>
</file>