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75" windowWidth="15270" windowHeight="8190" tabRatio="898"/>
  </bookViews>
  <sheets>
    <sheet name="Instructions" sheetId="10" r:id="rId1"/>
    <sheet name="1. Signature_Page" sheetId="9" r:id="rId2"/>
    <sheet name="2. MOE_Input_Sheet" sheetId="4" r:id="rId3"/>
    <sheet name="3. Calculations_Sheet" sheetId="2" r:id="rId4"/>
    <sheet name="4. Exceptions" sheetId="3" r:id="rId5"/>
    <sheet name="5. Staff_Departures" sheetId="5" r:id="rId6"/>
    <sheet name="6. HighCost_Students" sheetId="6" r:id="rId7"/>
    <sheet name="7. Termination_of_Exps" sheetId="8" r:id="rId8"/>
  </sheets>
  <definedNames>
    <definedName name="_xlnm.Print_Area" localSheetId="2">'2. MOE_Input_Sheet'!$A$1:$K$54</definedName>
    <definedName name="_xlnm.Print_Area" localSheetId="4">'4. Exceptions'!$A$1:$E$45</definedName>
    <definedName name="_xlnm.Print_Area" localSheetId="5">'5. Staff_Departures'!$A$1:$H$116</definedName>
    <definedName name="_xlnm.Print_Area" localSheetId="7">'7. Termination_of_Exps'!$A$1:$G$48</definedName>
    <definedName name="_xlnm.Print_Titles" localSheetId="7">'7. Termination_of_Exps'!$1:$15</definedName>
  </definedNames>
  <calcPr calcId="145621" concurrentCalc="0"/>
</workbook>
</file>

<file path=xl/calcChain.xml><?xml version="1.0" encoding="utf-8"?>
<calcChain xmlns="http://schemas.openxmlformats.org/spreadsheetml/2006/main">
  <c r="C7" i="4" l="1"/>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L13" i="2"/>
  <c r="A5" i="6"/>
  <c r="A5" i="8"/>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3" i="6"/>
  <c r="F114" i="6"/>
  <c r="A5" i="5"/>
  <c r="H15" i="5"/>
  <c r="H16" i="5"/>
  <c r="H17" i="5"/>
  <c r="H18" i="5"/>
  <c r="H19" i="5"/>
  <c r="H20" i="5"/>
  <c r="H21" i="5"/>
  <c r="H22" i="5"/>
  <c r="H23" i="5"/>
  <c r="H24" i="5"/>
  <c r="H25" i="5"/>
  <c r="H26" i="5"/>
  <c r="H27" i="5"/>
  <c r="H28" i="5"/>
  <c r="H29" i="5"/>
  <c r="H30" i="5"/>
  <c r="H31" i="5"/>
  <c r="H32" i="5"/>
  <c r="H33" i="5"/>
  <c r="H14" i="5"/>
  <c r="H115" i="5"/>
  <c r="C9" i="3"/>
  <c r="C3" i="2"/>
  <c r="A4" i="4"/>
  <c r="A5" i="9"/>
  <c r="I22" i="4"/>
  <c r="C5" i="2"/>
  <c r="G22" i="4"/>
  <c r="C12" i="9"/>
  <c r="C10" i="9"/>
  <c r="C11" i="3"/>
  <c r="G47" i="8"/>
  <c r="C36" i="3"/>
  <c r="C31" i="3"/>
  <c r="C26" i="3"/>
  <c r="C13" i="3"/>
  <c r="C7" i="2"/>
  <c r="J21" i="2"/>
  <c r="H21" i="2"/>
  <c r="J19" i="2"/>
  <c r="H19" i="2"/>
  <c r="J17" i="2"/>
  <c r="H17" i="2"/>
  <c r="H28" i="2"/>
  <c r="J15" i="2"/>
  <c r="H45" i="2"/>
  <c r="J10" i="2"/>
  <c r="H10" i="2"/>
  <c r="B15" i="2"/>
  <c r="G50" i="2"/>
  <c r="H54" i="4"/>
  <c r="H15" i="2"/>
  <c r="H13" i="2"/>
  <c r="J13" i="2"/>
  <c r="L25" i="2"/>
  <c r="L21" i="2"/>
  <c r="J25" i="2"/>
  <c r="J33" i="2"/>
  <c r="L19" i="2"/>
  <c r="H25" i="2"/>
  <c r="H41" i="2"/>
  <c r="H37" i="2"/>
  <c r="H33" i="2"/>
  <c r="J41" i="2"/>
  <c r="L15" i="2"/>
  <c r="L17" i="2"/>
  <c r="N13" i="2"/>
  <c r="J28" i="2"/>
  <c r="J45" i="2"/>
  <c r="L45" i="2"/>
  <c r="N45" i="2"/>
  <c r="P25" i="2"/>
  <c r="N25" i="2"/>
  <c r="L41" i="2"/>
  <c r="N41" i="2"/>
  <c r="L33" i="2"/>
  <c r="N33" i="2"/>
  <c r="P45" i="2"/>
  <c r="J37" i="2"/>
  <c r="L37" i="2"/>
  <c r="N37" i="2"/>
  <c r="L28" i="2"/>
  <c r="P33" i="2"/>
  <c r="C39" i="3"/>
  <c r="P41" i="2"/>
  <c r="G43" i="4"/>
  <c r="G39" i="4"/>
  <c r="I39" i="4"/>
  <c r="P37" i="2"/>
  <c r="N28" i="2"/>
  <c r="P28" i="2"/>
  <c r="G41" i="4"/>
  <c r="E41" i="4"/>
  <c r="E39" i="4"/>
  <c r="E43" i="4"/>
  <c r="I43" i="4"/>
  <c r="L48" i="2"/>
  <c r="P48" i="2"/>
  <c r="P49" i="2"/>
  <c r="I41" i="4"/>
  <c r="G48" i="4"/>
  <c r="I48" i="4"/>
  <c r="E16" i="3"/>
  <c r="E44" i="3"/>
  <c r="N48" i="2"/>
  <c r="L51" i="2"/>
  <c r="E48" i="4"/>
  <c r="E45" i="3"/>
  <c r="G50" i="4"/>
  <c r="I50" i="4"/>
</calcChain>
</file>

<file path=xl/sharedStrings.xml><?xml version="1.0" encoding="utf-8"?>
<sst xmlns="http://schemas.openxmlformats.org/spreadsheetml/2006/main" count="406" uniqueCount="352">
  <si>
    <t>as required under IDEA (34 CFR §300.203)</t>
  </si>
  <si>
    <t>Preceding</t>
  </si>
  <si>
    <t>Reporting Year</t>
  </si>
  <si>
    <t>IDEA Part B - Flowthrough Allocation</t>
  </si>
  <si>
    <t xml:space="preserve">    Total Allocation</t>
  </si>
  <si>
    <t>Coordinated Early Intervening Services</t>
  </si>
  <si>
    <t>Maintenance of Fiscal Effort (MOE) Comparisons</t>
  </si>
  <si>
    <t xml:space="preserve">   Only the optimal comparison is shown.  </t>
  </si>
  <si>
    <t>Comparisons</t>
  </si>
  <si>
    <t>Calculation</t>
  </si>
  <si>
    <t>Current Shortfall:</t>
  </si>
  <si>
    <t>Used</t>
  </si>
  <si>
    <t>Date Completed:</t>
  </si>
  <si>
    <t>Current</t>
  </si>
  <si>
    <t>Data Input Section - Input positive numbers</t>
  </si>
  <si>
    <t>50% Limit</t>
  </si>
  <si>
    <t>50% Flexibility</t>
  </si>
  <si>
    <t xml:space="preserve">  Max</t>
  </si>
  <si>
    <t>Available</t>
  </si>
  <si>
    <t>EIS Limit to 50% Rule</t>
  </si>
  <si>
    <t>Percent</t>
  </si>
  <si>
    <t>Change</t>
  </si>
  <si>
    <t>Total</t>
  </si>
  <si>
    <t>No.</t>
  </si>
  <si>
    <t>Maintenance of Effort (MOE) - Comparisons</t>
  </si>
  <si>
    <t>Prior Year</t>
  </si>
  <si>
    <t>Current Year</t>
  </si>
  <si>
    <t>Increase/(Decrease)</t>
  </si>
  <si>
    <t>Surplus/(Shortfall)</t>
  </si>
  <si>
    <t>Per Capita Calculations</t>
  </si>
  <si>
    <t>Maintenance of Effort  - (Shortfall)/ Surplus</t>
  </si>
  <si>
    <t>Maximum</t>
  </si>
  <si>
    <t>Date</t>
  </si>
  <si>
    <t>Shortfall without 50% Flexibility</t>
  </si>
  <si>
    <t>Exceptions to Maintenance of Effort (see Federal IDEA Regulations 34 CFR §300.204):</t>
  </si>
  <si>
    <t>Justify only to the amount of fiscal effort not maintained as noted on the Maintenance of Fiscal Effort Worksheet.  If the total justifications equal/exceed this amount then fiscal effort has been maintained for the reporting year.</t>
  </si>
  <si>
    <t>1.</t>
  </si>
  <si>
    <t>2.</t>
  </si>
  <si>
    <t>Allowable Federal Exceptions to Maintenance of Effort</t>
  </si>
  <si>
    <t>Maintenance of Effort Surplus/(Shortfall)</t>
  </si>
  <si>
    <t>ADE Expenditures Reported for State Grant Codes 3130/3131</t>
  </si>
  <si>
    <t>Comparison Prior Year to Current Year Special Ed Expenditures</t>
  </si>
  <si>
    <t>State and Local Special Education Expenditures (ADE Codes 3130/3131)</t>
  </si>
  <si>
    <t>Colorado Department of Education</t>
  </si>
  <si>
    <t>Admin. Unit Code:</t>
  </si>
  <si>
    <t>Admin. Unit Name</t>
  </si>
  <si>
    <t xml:space="preserve">Total IDEA Part B </t>
  </si>
  <si>
    <t>50% Flexibility, if Meets Requirements</t>
  </si>
  <si>
    <t>Yes</t>
  </si>
  <si>
    <t>State and Local Expenditures (ADE Codes 3130/3131)</t>
  </si>
  <si>
    <t>No</t>
  </si>
  <si>
    <t>Exception:</t>
  </si>
  <si>
    <t>High Cost special education student moves, reaches maximum age, or no longer needs services. ('High Cost' worksheet)</t>
  </si>
  <si>
    <t>Termination of costly expenditures for Long-Term Purchases ('Termination_of_Exps' worksheet)</t>
  </si>
  <si>
    <t>Voluntary Departure, by retirement or otherwise, or departure for just cause. ('Departures' worksheet)</t>
  </si>
  <si>
    <t>Amount</t>
  </si>
  <si>
    <t>Total:</t>
  </si>
  <si>
    <t xml:space="preserve">Did Admin. Unit Meet Requirements Reporting Year? </t>
  </si>
  <si>
    <t>December 1 Total Special Ed Count</t>
  </si>
  <si>
    <t>December 1 Funded Special Ed Student Count</t>
  </si>
  <si>
    <t>Administrative Unit Code</t>
  </si>
  <si>
    <t>Administrative Unit Name</t>
  </si>
  <si>
    <t>Position</t>
  </si>
  <si>
    <t>Reason for Departure</t>
  </si>
  <si>
    <t>SASID</t>
  </si>
  <si>
    <t>Reason for Decrease in Cost</t>
  </si>
  <si>
    <t>Admin Unit Code</t>
  </si>
  <si>
    <t>Admin Unit Name</t>
  </si>
  <si>
    <t>Type of Expenditure</t>
  </si>
  <si>
    <t>01010</t>
  </si>
  <si>
    <t>ADAMS 1 MAPLETON</t>
  </si>
  <si>
    <t>01020</t>
  </si>
  <si>
    <t>ADAMS 12 NORTHGLENN</t>
  </si>
  <si>
    <t>01030</t>
  </si>
  <si>
    <t>ADAMS 14 COMMERCE CITY</t>
  </si>
  <si>
    <t>01040</t>
  </si>
  <si>
    <t>ADAMS 27J BRIGHTON</t>
  </si>
  <si>
    <t>01070</t>
  </si>
  <si>
    <t>ADAMS 50 WESTMINSTER</t>
  </si>
  <si>
    <t>03010</t>
  </si>
  <si>
    <t>ARAPAHOE 1 ENGLEWOOD</t>
  </si>
  <si>
    <t>03020</t>
  </si>
  <si>
    <t>ARAPAHOE 2 SHERIDAN</t>
  </si>
  <si>
    <t>03030</t>
  </si>
  <si>
    <t>ARAPAHOE 5 CHERRY CREEK</t>
  </si>
  <si>
    <t>03040</t>
  </si>
  <si>
    <t>ARAPAHOE 6 LITTLETON</t>
  </si>
  <si>
    <t>03060</t>
  </si>
  <si>
    <t>ADAMS-ARAP 28J AURORA</t>
  </si>
  <si>
    <t>07010</t>
  </si>
  <si>
    <t>BOULDER RE-1J ST VRAIN</t>
  </si>
  <si>
    <t>07020</t>
  </si>
  <si>
    <t>BOULDER RE-2 BOULDER</t>
  </si>
  <si>
    <t>15010</t>
  </si>
  <si>
    <t>DELTA 50J</t>
  </si>
  <si>
    <t>16010</t>
  </si>
  <si>
    <t>DENVER 1</t>
  </si>
  <si>
    <t>18010</t>
  </si>
  <si>
    <t>DOUGLAS RE-1</t>
  </si>
  <si>
    <t>21020</t>
  </si>
  <si>
    <t>EL PASO 2 HARRISON</t>
  </si>
  <si>
    <t>21030</t>
  </si>
  <si>
    <t>EL PASO 3 WIDEFIELD</t>
  </si>
  <si>
    <t>21040</t>
  </si>
  <si>
    <t>EL PASO 8 FOUNTAIN</t>
  </si>
  <si>
    <t>21050</t>
  </si>
  <si>
    <t>EL PASO 11 COLO SPRINGS</t>
  </si>
  <si>
    <t>21060</t>
  </si>
  <si>
    <t>EL PASO 12 CHEYENNE MOUNTAIN</t>
  </si>
  <si>
    <t>21080</t>
  </si>
  <si>
    <t>EL PASO 20 ACADEMY</t>
  </si>
  <si>
    <t>21085</t>
  </si>
  <si>
    <t>EL PASO 38, LEWIS PALMER</t>
  </si>
  <si>
    <t>21090</t>
  </si>
  <si>
    <t>EL PASO 49 FALCON</t>
  </si>
  <si>
    <t>21490</t>
  </si>
  <si>
    <t>FORT LUPTON/KEENESBURG</t>
  </si>
  <si>
    <t>22010</t>
  </si>
  <si>
    <t>FREMONT RE-1 CANON CITY</t>
  </si>
  <si>
    <t>26011</t>
  </si>
  <si>
    <t>GUNNISON RE-1J</t>
  </si>
  <si>
    <t>30011</t>
  </si>
  <si>
    <t>JEFFERSON R-1</t>
  </si>
  <si>
    <t>35010</t>
  </si>
  <si>
    <t>LARIMER R-1 FORT COLLINS</t>
  </si>
  <si>
    <t>35020</t>
  </si>
  <si>
    <t>LARIMER R-2J LOVELAND</t>
  </si>
  <si>
    <t>35030</t>
  </si>
  <si>
    <t>LARIMER R-3 ESTES PARK</t>
  </si>
  <si>
    <t>38010</t>
  </si>
  <si>
    <t>LOGAN RE-1 STERLING</t>
  </si>
  <si>
    <t>39031</t>
  </si>
  <si>
    <t>MESA 51 GRAND JUNCTION</t>
  </si>
  <si>
    <t>41010</t>
  </si>
  <si>
    <t>MOFFAT RE-1 CRAIG</t>
  </si>
  <si>
    <t>43010</t>
  </si>
  <si>
    <t>MONTROSE RE-1J</t>
  </si>
  <si>
    <t>44020</t>
  </si>
  <si>
    <t>MORGAN RE-3, FORT MORGAN</t>
  </si>
  <si>
    <t>51010</t>
  </si>
  <si>
    <t>PUEBLO 60 URBAN</t>
  </si>
  <si>
    <t>51020</t>
  </si>
  <si>
    <t>PUEBLO 70 RURAL</t>
  </si>
  <si>
    <t>62040</t>
  </si>
  <si>
    <t>WELD RE-4 WINDSOR</t>
  </si>
  <si>
    <t>62060</t>
  </si>
  <si>
    <t>WELD 6 GREELEY</t>
  </si>
  <si>
    <t>64043</t>
  </si>
  <si>
    <t>EAST CENTRAL BOCES</t>
  </si>
  <si>
    <t>64053</t>
  </si>
  <si>
    <t>MOUNT EVANS BOCES, IDAHO SPRINGS</t>
  </si>
  <si>
    <t>64083</t>
  </si>
  <si>
    <t>SOUTHWEST BOCS</t>
  </si>
  <si>
    <t>64093</t>
  </si>
  <si>
    <t>MOUNTAIN BOCES</t>
  </si>
  <si>
    <t>64103</t>
  </si>
  <si>
    <t>NORTHEAST BOCES</t>
  </si>
  <si>
    <t>64123</t>
  </si>
  <si>
    <t>NORTHWEST BOCES</t>
  </si>
  <si>
    <t>64133</t>
  </si>
  <si>
    <t>PIKES PEAK BOCES</t>
  </si>
  <si>
    <t>64143</t>
  </si>
  <si>
    <t>SAN JUAN BOCS</t>
  </si>
  <si>
    <t>64153</t>
  </si>
  <si>
    <t>SAN LUIS VALLEY BOCS</t>
  </si>
  <si>
    <t>64160</t>
  </si>
  <si>
    <t>SANTA FE TRAIL BOCES</t>
  </si>
  <si>
    <t>64163</t>
  </si>
  <si>
    <t>SOUTH CENTRAL BOCES</t>
  </si>
  <si>
    <t>64193</t>
  </si>
  <si>
    <t>SOUTHEASTERN BOCES</t>
  </si>
  <si>
    <t>64200</t>
  </si>
  <si>
    <t>UNCOMPAHGRE BOCES, TELLURIDE</t>
  </si>
  <si>
    <t>64203</t>
  </si>
  <si>
    <t>CENTENNIAL BOCES</t>
  </si>
  <si>
    <t>64205</t>
  </si>
  <si>
    <t>UTE PASS BOCES</t>
  </si>
  <si>
    <t>64213</t>
  </si>
  <si>
    <t>RIO BLANCO BOCES</t>
  </si>
  <si>
    <t>80010</t>
  </si>
  <si>
    <t>CHARTER SCHOOL INSTITUTE</t>
  </si>
  <si>
    <t>Select</t>
  </si>
  <si>
    <t>None</t>
  </si>
  <si>
    <t>Signature Page and Certification</t>
  </si>
  <si>
    <t>Superintendent:</t>
  </si>
  <si>
    <t>Date:</t>
  </si>
  <si>
    <t>Director of Special Education:</t>
  </si>
  <si>
    <t>1.  Signature Page</t>
  </si>
  <si>
    <t>2.  MOE Input Sheet</t>
  </si>
  <si>
    <t>The MOE Input Sheet is where all data should be input to determine the next steps for determining whether an Administrative Unit meets the MOE requirements</t>
  </si>
  <si>
    <t>Select your Administrative Unit name from the drop down list.  The Administrative Unit code will automatically populate based on the name you select.</t>
  </si>
  <si>
    <t>Input the amounts for the current year and prior year allocation for IDEA Part B</t>
  </si>
  <si>
    <t>Include the amounts expended and obligated for Early Intervening Services.</t>
  </si>
  <si>
    <t>Input State and Local Expenditures for both periods.</t>
  </si>
  <si>
    <t>Input the December 1 Funded Pupil Count.</t>
  </si>
  <si>
    <t>Data Needed Section:</t>
  </si>
  <si>
    <t>Maintenance of Fiscal Effort (MOE) Comparisons Section:</t>
  </si>
  <si>
    <t>If the three cells under the Results of Comparison say "Continue" it will be necessary for the Administrative Unit to provide additional information to justify the decrease in MOE.</t>
  </si>
  <si>
    <t xml:space="preserve">The Maintenance of Fiscal Effort (MOE) Comparisons section will provide the optimal (best case) MOE comparison for each scenario:  </t>
  </si>
  <si>
    <t>Total Expenditures</t>
  </si>
  <si>
    <t>--</t>
  </si>
  <si>
    <t>The smallest number of the three is the amount that must be explained on the Exceptions sheet:</t>
  </si>
  <si>
    <t>4. Exceptions</t>
  </si>
  <si>
    <t>5. Staff Departures</t>
  </si>
  <si>
    <t>6. High Cost Students</t>
  </si>
  <si>
    <t>Surplus/(Shortfall) After Exceptions (tab 4)</t>
  </si>
  <si>
    <t>EXAMPLE</t>
  </si>
  <si>
    <t>7. Termination of Expenditures</t>
  </si>
  <si>
    <r>
      <t xml:space="preserve">Review the information in the Maintenance of Fiscal Effort (MOE) Comparisons section of the MOE_Input_Sheet.  If </t>
    </r>
    <r>
      <rPr>
        <u/>
        <sz val="11"/>
        <color theme="1"/>
        <rFont val="Calibri"/>
        <family val="2"/>
        <scheme val="minor"/>
      </rPr>
      <t>any</t>
    </r>
    <r>
      <rPr>
        <sz val="11"/>
        <color theme="1"/>
        <rFont val="Calibri"/>
        <family val="2"/>
        <scheme val="minor"/>
      </rPr>
      <t xml:space="preserve"> line in this section has "Pass" under the Result of Comparison, the Administrative Unit has met effort and no further action is required.</t>
    </r>
  </si>
  <si>
    <t>Note:   The Per Capita amounts provided in the MOE Comparisons section are aggregated for comparison purposes.  For example, if the per capita amount is $150 per pupil, the MOE Comparisons section multiplies $150 by the number of pupils in the current year to determine the smallest reporting year comparisons in aggregate.  That is, the per capita must be aggregated at this point to determine the total amount of effort that has not been maintained.</t>
  </si>
  <si>
    <t>Chief Financial Officer/Business Manager</t>
  </si>
  <si>
    <t>Worksheet to Document Departures of Staff</t>
  </si>
  <si>
    <t>3.</t>
  </si>
  <si>
    <t>Per Capita - December 1 Headcount (Funded)</t>
  </si>
  <si>
    <t>Dec 1, 2011</t>
  </si>
  <si>
    <t>2011-12</t>
  </si>
  <si>
    <t>December 1 Total Special Ed Funded Pupil Count</t>
  </si>
  <si>
    <t>December 1 Head Count - Per Capita -- Total Served</t>
  </si>
  <si>
    <t>Per Capita - Dec.1 Headcount (Funded) - 50% Flex</t>
  </si>
  <si>
    <t>Per Capita - December 1 Total Head Count (Served)</t>
  </si>
  <si>
    <t>Per Capita - December 1 Total Head Count (Served) - 50% Flex</t>
  </si>
  <si>
    <t>December 1 Total Served Special Ed Count</t>
  </si>
  <si>
    <r>
      <t>Please Note:</t>
    </r>
    <r>
      <rPr>
        <sz val="10"/>
        <rFont val="Verdana"/>
        <family val="2"/>
      </rPr>
      <t xml:space="preserve"> Administrative Units who have not maintained state and local effort have the opportunity to provide additional information under 34 CFR §300.204 Exception to Maintenance of Effort.  Exceptions that are being submitted for consideration are to be documented on the Exceptions Worksheet and returned to the CDE with the appropriate supporting documentation.</t>
    </r>
  </si>
  <si>
    <t>(Pass or Fail, Fail=Continue)</t>
  </si>
  <si>
    <t>Results of Comparison</t>
  </si>
  <si>
    <t>Current Reporting Year</t>
  </si>
  <si>
    <t>Benefits Amount</t>
  </si>
  <si>
    <t xml:space="preserve">Allowable  </t>
  </si>
  <si>
    <t>Exception</t>
  </si>
  <si>
    <t>Employee</t>
  </si>
  <si>
    <t>For Departing</t>
  </si>
  <si>
    <t xml:space="preserve">Name of </t>
  </si>
  <si>
    <t>Departing Employee</t>
  </si>
  <si>
    <t>Incoming Employee</t>
  </si>
  <si>
    <t>(Enter N/A if not replaced)</t>
  </si>
  <si>
    <t>Salary &amp; Benefits</t>
  </si>
  <si>
    <t>Amount for</t>
  </si>
  <si>
    <t>(Enter $0 if not</t>
  </si>
  <si>
    <t>replaced)</t>
  </si>
  <si>
    <t>34 CFR §300.204(a)</t>
  </si>
  <si>
    <t>Salary &amp;</t>
  </si>
  <si>
    <t>34 CFR §300.204(c)</t>
  </si>
  <si>
    <t>Worksheet to Document Departure of High Cost Students</t>
  </si>
  <si>
    <t>Program</t>
  </si>
  <si>
    <t>for MOE High</t>
  </si>
  <si>
    <t>Cost Program</t>
  </si>
  <si>
    <t>Allowable</t>
  </si>
  <si>
    <t>State &amp; Local</t>
  </si>
  <si>
    <t>State</t>
  </si>
  <si>
    <t>Threshold</t>
  </si>
  <si>
    <t>Contract #</t>
  </si>
  <si>
    <t xml:space="preserve">Amount  </t>
  </si>
  <si>
    <t>Expensed in FY</t>
  </si>
  <si>
    <t>Contract Start</t>
  </si>
  <si>
    <t>and End</t>
  </si>
  <si>
    <t>Dates</t>
  </si>
  <si>
    <t>(Y/N)</t>
  </si>
  <si>
    <t xml:space="preserve">(Allowable </t>
  </si>
  <si>
    <t>Exception)</t>
  </si>
  <si>
    <t>Are there</t>
  </si>
  <si>
    <t>Worksheet for the Termination of Costly Expenditures for Long Term (Multi-Year) Purchases</t>
  </si>
  <si>
    <r>
      <t xml:space="preserve">We (the administrative unit) understand that all Federal requirements for providing a free appropriate public education (FAPE) to children with disabilities under </t>
    </r>
    <r>
      <rPr>
        <b/>
        <sz val="11"/>
        <color theme="1"/>
        <rFont val="Calibri"/>
        <family val="2"/>
      </rPr>
      <t>§</t>
    </r>
    <r>
      <rPr>
        <b/>
        <sz val="11"/>
        <color theme="1"/>
        <rFont val="Calibri"/>
        <family val="2"/>
        <scheme val="minor"/>
      </rPr>
      <t>300.101 of the Individuals with Disabilities Education Act still apply and that these requirements are not diminished in any manner with these exceptions to the MOE calculation as provided.  We certify, that to the best of our knowledge, all information contained in this workbook true and accurate.</t>
    </r>
  </si>
  <si>
    <t>3. Calculations Sheet</t>
  </si>
  <si>
    <t>Select whether your Administrative Unit, 'Meets Requirements' based on the determination made by the ESSU.</t>
  </si>
  <si>
    <t>Input the December 1 Total Served Special Education Count</t>
  </si>
  <si>
    <t>The voluntary departure, by retirement or otherwise, or departure for just cause of special education</t>
  </si>
  <si>
    <t xml:space="preserve">or related services personnel (34 CFR §300.204(a)) is an allowable exception to Maintenance of </t>
  </si>
  <si>
    <t>Effort.</t>
  </si>
  <si>
    <t>On this tab provide the Name, Position, Reason for Departure and Amount of any staff funded from</t>
  </si>
  <si>
    <t xml:space="preserve">State and Local Funds in the prior year who departed.  Provide the Name and Amount of the </t>
  </si>
  <si>
    <t>incoming staff, if applicable.  If a qualified applicant can not be found for the position and it</t>
  </si>
  <si>
    <t>remains vacant until a suitable applicant is found, enter N/A for the Name and $0 for the Amount</t>
  </si>
  <si>
    <t>these staff.  Only the difference between the higher paid departing staff and the lower paid</t>
  </si>
  <si>
    <t xml:space="preserve">therefore not funded in the current year.  </t>
  </si>
  <si>
    <t xml:space="preserve">Do not enter amounts for positions eliminated due to a reduction in force (RIF), contract non-renewal </t>
  </si>
  <si>
    <t xml:space="preserve">or for a reduction in payscale as these are not allowable exceptions.  </t>
  </si>
  <si>
    <t>"Departure for just cause" refers to the labor language regarding misconduct of an employee, or</t>
  </si>
  <si>
    <t>employment contract.</t>
  </si>
  <si>
    <r>
      <t xml:space="preserve">of the incoming employee.  Provide </t>
    </r>
    <r>
      <rPr>
        <b/>
        <u/>
        <sz val="11"/>
        <color theme="1"/>
        <rFont val="Calibri"/>
        <family val="2"/>
        <scheme val="minor"/>
      </rPr>
      <t>the total position cost</t>
    </r>
    <r>
      <rPr>
        <sz val="11"/>
        <color theme="1"/>
        <rFont val="Calibri"/>
        <family val="2"/>
        <scheme val="minor"/>
      </rPr>
      <t xml:space="preserve"> funded by State and Local funds for </t>
    </r>
  </si>
  <si>
    <t>for this</t>
  </si>
  <si>
    <t>Contract in</t>
  </si>
  <si>
    <t xml:space="preserve">Expenditures </t>
  </si>
  <si>
    <t>at least FY</t>
  </si>
  <si>
    <t xml:space="preserve">Contract in </t>
  </si>
  <si>
    <t>Instructions:  The first 100 are prepopulated with the State Threshold and the Amount formula.  Numbers after 30 are hidden.  Unhide to get numbers 31 -100.  Add additional rows as needed and copy the threshold amount in column E and the formula in column F down into the appropriate columns of the additional rows, or you can contact Grants Fiscal to add rows for you.  Do not report the same student on multiple lines.  See the Instructions tab under High Cost Students for more detailed instructions and allowable reasons for departure of high cost students.  For monitoring purposes, maintain your calculations of student costs and back up for reasons for leaving, but do not submit to CDE with this document, unless requested.</t>
  </si>
  <si>
    <t>Instructions:  Provide the requested information in the appropriate columns.  The allowable exception amount will calculate automatically.  If the position could not be filled with a qualified applicant enter N/A for the Name and $0 for the Amount of the incoming employee.  Provide the total position cost funded by State and Local funds for these staff.  Only the difference between the higher paid departing staff and the lower paid incoming staff is an allowable exception.  See the Instructions tab under Staff Departures for more detailed instructions, and information on unallowable staff exceptions.  For monitoring purposes, maintain your records regarding these staff and the calculations of salary and benefit costs, but do not submit to CDE with this document, unless requested.</t>
  </si>
  <si>
    <r>
      <t xml:space="preserve">    </t>
    </r>
    <r>
      <rPr>
        <b/>
        <u/>
        <sz val="12"/>
        <rFont val="Calibri"/>
        <family val="2"/>
        <scheme val="minor"/>
      </rPr>
      <t>Amount(s)</t>
    </r>
  </si>
  <si>
    <t>34 CFR §300.204(d)</t>
  </si>
  <si>
    <t xml:space="preserve">Per Capita - December 1 - Funded Pupil Count, or   </t>
  </si>
  <si>
    <t>Per Capita - December 1 - Total Served Special Education Count</t>
  </si>
  <si>
    <t xml:space="preserve">This sheet is locked and input is not necessary.  It is performing the calculations necessary to </t>
  </si>
  <si>
    <t>determine Maintenance of Effort as reported on sheet 2. MOE_Input_Sheet under comparisons.</t>
  </si>
  <si>
    <t xml:space="preserve">incoming staff is an allowable exception, unless the position could not be filled and was </t>
  </si>
  <si>
    <t xml:space="preserve">some other event relevant to the employee, which justifies the immediate termination of the </t>
  </si>
  <si>
    <t xml:space="preserve">The termination of the obligation of the agency, to provide a program of special education to a </t>
  </si>
  <si>
    <t>particular child with a disability that is an exceptionally costly program, as determined by the SEA,</t>
  </si>
  <si>
    <t xml:space="preserve">is an allowable expception to MOE if the child - (1) has left the jurisdiction of the agency; (2) has  </t>
  </si>
  <si>
    <t xml:space="preserve">reached the age at which the obligation of the agency to provide FAPE to the child has terminated; </t>
  </si>
  <si>
    <t>or (3) no longer needs the program of special education (34 CFR §300.204(c)(1-3)).</t>
  </si>
  <si>
    <t>The State has determined an exceptionally costly special education program, for the purposes</t>
  </si>
  <si>
    <t>of Maintenance of Effort Exceptions,  to be a program that exceeds the ECEA Tier A ($1,250 per</t>
  </si>
  <si>
    <t>student) plus the full Tier B funding ($6,000 per student if ECEA were fully funded) amount of $7,250.</t>
  </si>
  <si>
    <t>Any program cost for a special ed student funded from State and Local Funds in the prior year that</t>
  </si>
  <si>
    <t>exceeds $7,250 and for which the LEA is not obligated to provide in the current year qualifies for</t>
  </si>
  <si>
    <t xml:space="preserve">this exception.  </t>
  </si>
  <si>
    <t>On this tab provide the SASID, Reason for Decrease in Expenditure and the Amount</t>
  </si>
  <si>
    <t>for any high cost students, whether within or out of district placements, who no longer need</t>
  </si>
  <si>
    <r>
      <t xml:space="preserve">the program.  Provide the </t>
    </r>
    <r>
      <rPr>
        <b/>
        <u/>
        <sz val="11"/>
        <color theme="1"/>
        <rFont val="Calibri"/>
        <family val="2"/>
        <scheme val="minor"/>
      </rPr>
      <t>total program cost</t>
    </r>
    <r>
      <rPr>
        <sz val="11"/>
        <color theme="1"/>
        <rFont val="Calibri"/>
        <family val="2"/>
        <scheme val="minor"/>
      </rPr>
      <t xml:space="preserve"> funded by State and Local funds for the student.  </t>
    </r>
  </si>
  <si>
    <t xml:space="preserve">NOTE:  The level set for a high cost program for Maintenance of Effort, is NOT the same level set </t>
  </si>
  <si>
    <t>for reimbursement through the ECEA high cost reimbursement application process.</t>
  </si>
  <si>
    <t xml:space="preserve">The termination of costly expenditures for long-term purchases, such as the acquisition of </t>
  </si>
  <si>
    <t>equipment or the construction of school facilities (34 CFR §300.204(d)) is an allowable exception</t>
  </si>
  <si>
    <t xml:space="preserve">to maintenance of effort.  </t>
  </si>
  <si>
    <t>EDGAR defines equipment as tangible, nonexpendable, personal property having a useful life of</t>
  </si>
  <si>
    <r>
      <t xml:space="preserve">more than one year and an acquisition cost of $5,000 or more per unit (34 CFR </t>
    </r>
    <r>
      <rPr>
        <sz val="11"/>
        <color theme="1"/>
        <rFont val="Calibri"/>
        <family val="2"/>
      </rPr>
      <t>§</t>
    </r>
    <r>
      <rPr>
        <sz val="12.1"/>
        <color theme="1"/>
        <rFont val="Calibri"/>
        <family val="2"/>
      </rPr>
      <t>80.3)</t>
    </r>
    <r>
      <rPr>
        <sz val="11"/>
        <color theme="1"/>
        <rFont val="Calibri"/>
        <family val="2"/>
        <scheme val="minor"/>
      </rPr>
      <t xml:space="preserve">.  </t>
    </r>
  </si>
  <si>
    <t xml:space="preserve">OSEP in a June 2009 Powerpoint presented in a Technical Assistance call states: "An example </t>
  </si>
  <si>
    <t xml:space="preserve">would be if an LEA had undertaken the refurbishing of its existing bus fleet with wheel chair lifts, </t>
  </si>
  <si>
    <t xml:space="preserve">gates and tie-downs.  If the LEA purchased these items, on a single, multi-year contract, the LEA </t>
  </si>
  <si>
    <t xml:space="preserve">could reduce its M-O-E by the annual amount of the contract once the contract is completed." </t>
  </si>
  <si>
    <t xml:space="preserve">acquisition cost of less than $5,000 (such as computer replacements), or expenditures not on a  </t>
  </si>
  <si>
    <t>single, multi-year contract do not qualify for this exception.</t>
  </si>
  <si>
    <t>Purpose</t>
  </si>
  <si>
    <t>Data Needed:</t>
  </si>
  <si>
    <r>
      <t xml:space="preserve">34 CFR </t>
    </r>
    <r>
      <rPr>
        <b/>
        <sz val="14"/>
        <color theme="1"/>
        <rFont val="Calibri"/>
        <family val="2"/>
      </rPr>
      <t>§300.204(d)</t>
    </r>
  </si>
  <si>
    <t>Printing of these instructions is recommended for reference while working through the different tabs of the workbook.</t>
  </si>
  <si>
    <t>Maintenance of Effort Workbook</t>
  </si>
  <si>
    <t>Instructions for Completing MOE Workbook</t>
  </si>
  <si>
    <t>Maintenance of Effort Shortfall from MOE_Input_Sheet</t>
  </si>
  <si>
    <t xml:space="preserve">Maintenance of Effort Workbook </t>
  </si>
  <si>
    <t>Exception Totals Worksheet</t>
  </si>
  <si>
    <t>Instructions:  No Input is necessary on this sheet.  Calculations are made automatically from data input on the Staff_Departures, HighCost_Students and Termination_of_Exps tabs of this workbook.  See Cell E45 to see Pass/Fail results after entering exceptions.</t>
  </si>
  <si>
    <t>This sheet is locked and input is not necessary.  The Exceptions page totals the amounts input into sheets 5 - 7 to determine the amount of effort that may be reduced due to the mitigating circumstances documented in these pages.  Calculations are made automatically and cell E45 indicates if the total exceptions explain the total shortfall and allow the AU to Pass the MOE requirement (Cell E45 will indicate Pass/Fail).</t>
  </si>
  <si>
    <t xml:space="preserve">On this tab, for each contract Indicate Yes or No in response to Are there expenditures for this </t>
  </si>
  <si>
    <t xml:space="preserve">Expenditure (which should be a brief description), Contract #, Contract Start and End Dates,  </t>
  </si>
  <si>
    <t>allowable.  If these questions determine that the expenditure is allowable provide the Type of</t>
  </si>
  <si>
    <t>Instructions:  For each expenditure start by answering the first 2 questions about fiscal year expenditures.  These questions will determine if the expenditure is an allowable exception.  To be allowable, the answer to the question in column B must be Yes and the answer to the question in column C must be No.   If the expense is allowable, enter the requested information in the appropriate column.  Under type of expenditure enter a brief description such as capital outlay equipment, or bus fleet refurbishing, etc., enter the amount expensed in FY 2010/11, this is the amount of your allowable exception.  See the Instructions tab under Termination of Expenditures for more detailed instructions and information on allowable exceptions for the termination of costly long term expenditures.  For monitoring purposes, maintain contract documentation and expenditure back up, but do not submit to CDE with this document, unless requested.</t>
  </si>
  <si>
    <t xml:space="preserve">expenditure is not allowable.  Indicate Yes or No in response to Are there expenditures for this </t>
  </si>
  <si>
    <r>
      <rPr>
        <u/>
        <sz val="11"/>
        <color theme="1"/>
        <rFont val="Calibri"/>
        <family val="2"/>
        <scheme val="minor"/>
      </rPr>
      <t>Large one time, single year expenditures, recurring expenditures to replace equipment with a per unit</t>
    </r>
    <r>
      <rPr>
        <sz val="11"/>
        <color theme="1"/>
        <rFont val="Calibri"/>
        <family val="2"/>
        <scheme val="minor"/>
      </rPr>
      <t xml:space="preserve">  </t>
    </r>
  </si>
  <si>
    <t xml:space="preserve">IDEA Part B - Supplemental Allocation - Enter into the year in which the funds can be used </t>
  </si>
  <si>
    <t>2012-13</t>
  </si>
  <si>
    <t>Input any supplemental award under the FY in which the funds can be used.  For example: supplements made to AUs from 11/12 funds, are available for use in 12/13, and they would be entered under the 12/13 column.</t>
  </si>
  <si>
    <t xml:space="preserve">contract in FY 2012/13?  If the answer to the question is Yes, stop, the expenditure is not </t>
  </si>
  <si>
    <t xml:space="preserve">Enter the Amount Expensed in FY 2011/12, this is the amount of the allowable exception. </t>
  </si>
  <si>
    <t xml:space="preserve">Contract in at least FY 10/11 &amp; FY 11/12?  If the answer to this question is No, stop, the </t>
  </si>
  <si>
    <r>
      <t xml:space="preserve">This workbook </t>
    </r>
    <r>
      <rPr>
        <b/>
        <sz val="11"/>
        <color theme="1"/>
        <rFont val="Calibri"/>
        <family val="2"/>
      </rPr>
      <t>must</t>
    </r>
    <r>
      <rPr>
        <sz val="11"/>
        <color theme="1"/>
        <rFont val="Calibri"/>
        <family val="2"/>
      </rPr>
      <t xml:space="preserve"> be used if the AU appears to have failed Maintenance of Effort and must document the allowable exceptions to show that MOE was maintained with exceptions.  In this scenario, CDE will have entered the actual data used to measure Maintenance of Effort into the Data Needed section of the MOE Input Sheet and the AU must submit the completed workbook with the completed Signature Page to CDE.</t>
    </r>
  </si>
  <si>
    <r>
      <t xml:space="preserve">This workbook </t>
    </r>
    <r>
      <rPr>
        <b/>
        <sz val="11"/>
        <color theme="1"/>
        <rFont val="Calibri"/>
        <family val="2"/>
      </rPr>
      <t>can</t>
    </r>
    <r>
      <rPr>
        <sz val="11"/>
        <color theme="1"/>
        <rFont val="Calibri"/>
        <family val="2"/>
      </rPr>
      <t xml:space="preserve"> be used as a tool to calculate if an AU will meet MOE by entering the AU's projected expenditures into the Data Needed section.  In this scenario, the AU will enter the information into the Data Needed section of the MOE Input Sheet and submission to CDE is not required.</t>
    </r>
  </si>
  <si>
    <t>The signature page must be completed emailed in pdf format to CDE to document that the exceptions provided in 4. Exceptions have been certified by the Superintendent, Director of Special Education and Business Manager/CFO.</t>
  </si>
  <si>
    <t>10/11 &amp; FY</t>
  </si>
  <si>
    <t>11/12? (Y/N)</t>
  </si>
  <si>
    <t>Expenditures</t>
  </si>
  <si>
    <t>FY 2012/13?</t>
  </si>
  <si>
    <t>Dec 1,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</si>
</sst>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6" formatCode="&quot;$&quot;#,##0_);[Red]\(&quot;$&quot;#,##0\)"/>
    <numFmt numFmtId="7" formatCode="&quot;$&quot;#,##0.00_);\(&quot;$&quot;#,##0.00\)"/>
    <numFmt numFmtId="42" formatCode="_(&quot;$&quot;* #,##0_);_(&quot;$&quot;* \(#,##0\);_(&quot;$&quot;* &quot;-&quot;_);_(@_)"/>
    <numFmt numFmtId="44" formatCode="_(&quot;$&quot;* #,##0.00_);_(&quot;$&quot;* \(#,##0.00\);_(&quot;$&quot;* &quot;-&quot;??_);_(@_)"/>
    <numFmt numFmtId="164" formatCode="&quot;$&quot;#,##0.00"/>
    <numFmt numFmtId="165" formatCode="m/d/yyyy;@"/>
    <numFmt numFmtId="166" formatCode="m/d/yy;@"/>
    <numFmt numFmtId="167" formatCode="_(&quot;$&quot;* #,##0_);_(&quot;$&quot;* \(#,##0\);_(&quot;$&quot;* &quot;-&quot;??_);_(@_)"/>
  </numFmts>
  <fonts count="42" x14ac:knownFonts="1">
    <font>
      <sz val="11"/>
      <color theme="1"/>
      <name val="Calibri"/>
      <family val="2"/>
      <scheme val="minor"/>
    </font>
    <font>
      <b/>
      <sz val="12"/>
      <name val="Verdana"/>
      <family val="2"/>
    </font>
    <font>
      <b/>
      <sz val="10"/>
      <name val="Verdana"/>
      <family val="2"/>
    </font>
    <font>
      <b/>
      <sz val="10"/>
      <name val="Arial"/>
      <family val="2"/>
    </font>
    <font>
      <sz val="10"/>
      <name val="Verdana"/>
      <family val="2"/>
    </font>
    <font>
      <sz val="10"/>
      <color indexed="9"/>
      <name val="Verdana"/>
      <family val="2"/>
    </font>
    <font>
      <b/>
      <u/>
      <sz val="10"/>
      <name val="Verdana"/>
      <family val="2"/>
    </font>
    <font>
      <sz val="10"/>
      <name val="Arial"/>
      <family val="2"/>
    </font>
    <font>
      <i/>
      <sz val="10"/>
      <color indexed="14"/>
      <name val="Verdana"/>
      <family val="2"/>
    </font>
    <font>
      <sz val="10"/>
      <color indexed="9"/>
      <name val="Arial"/>
      <family val="2"/>
    </font>
    <font>
      <b/>
      <sz val="10"/>
      <color indexed="9"/>
      <name val="Verdana"/>
      <family val="2"/>
    </font>
    <font>
      <b/>
      <sz val="11"/>
      <color theme="1"/>
      <name val="Calibri"/>
      <family val="2"/>
      <scheme val="minor"/>
    </font>
    <font>
      <sz val="12"/>
      <name val="Arial"/>
      <family val="2"/>
    </font>
    <font>
      <sz val="11"/>
      <color theme="0"/>
      <name val="Calibri"/>
      <family val="2"/>
      <scheme val="minor"/>
    </font>
    <font>
      <b/>
      <sz val="14"/>
      <name val="Verdana"/>
      <family val="2"/>
    </font>
    <font>
      <sz val="14"/>
      <color theme="1"/>
      <name val="Calibri"/>
      <family val="2"/>
      <scheme val="minor"/>
    </font>
    <font>
      <b/>
      <sz val="12"/>
      <color theme="1"/>
      <name val="Verdana"/>
      <family val="2"/>
    </font>
    <font>
      <b/>
      <sz val="14"/>
      <color theme="1"/>
      <name val="Calibri"/>
      <family val="2"/>
      <scheme val="minor"/>
    </font>
    <font>
      <u/>
      <sz val="11"/>
      <color theme="1"/>
      <name val="Calibri"/>
      <family val="2"/>
      <scheme val="minor"/>
    </font>
    <font>
      <b/>
      <u/>
      <sz val="11"/>
      <color theme="1"/>
      <name val="Calibri"/>
      <family val="2"/>
      <scheme val="minor"/>
    </font>
    <font>
      <b/>
      <sz val="10"/>
      <color theme="1"/>
      <name val="Verdana"/>
      <family val="2"/>
    </font>
    <font>
      <sz val="11"/>
      <color theme="1"/>
      <name val="Calibri"/>
      <family val="2"/>
      <scheme val="minor"/>
    </font>
    <font>
      <b/>
      <sz val="10"/>
      <color theme="1"/>
      <name val="Calibri"/>
      <family val="2"/>
      <scheme val="minor"/>
    </font>
    <font>
      <b/>
      <sz val="11"/>
      <color theme="1"/>
      <name val="Calibri"/>
      <family val="2"/>
    </font>
    <font>
      <b/>
      <sz val="8"/>
      <color theme="1"/>
      <name val="Calibri"/>
      <family val="2"/>
      <scheme val="minor"/>
    </font>
    <font>
      <b/>
      <sz val="10"/>
      <name val="Calibri"/>
      <family val="2"/>
      <scheme val="minor"/>
    </font>
    <font>
      <b/>
      <sz val="11"/>
      <name val="Calibri"/>
      <family val="2"/>
      <scheme val="minor"/>
    </font>
    <font>
      <sz val="11"/>
      <name val="Calibri"/>
      <family val="2"/>
      <scheme val="minor"/>
    </font>
    <font>
      <sz val="11"/>
      <color indexed="9"/>
      <name val="Calibri"/>
      <family val="2"/>
      <scheme val="minor"/>
    </font>
    <font>
      <b/>
      <sz val="12"/>
      <name val="Calibri"/>
      <family val="2"/>
      <scheme val="minor"/>
    </font>
    <font>
      <b/>
      <u/>
      <sz val="12"/>
      <name val="Calibri"/>
      <family val="2"/>
      <scheme val="minor"/>
    </font>
    <font>
      <u/>
      <sz val="12"/>
      <name val="Calibri"/>
      <family val="2"/>
      <scheme val="minor"/>
    </font>
    <font>
      <sz val="12"/>
      <name val="Calibri"/>
      <family val="2"/>
      <scheme val="minor"/>
    </font>
    <font>
      <b/>
      <sz val="14"/>
      <name val="Calibri"/>
      <family val="2"/>
      <scheme val="minor"/>
    </font>
    <font>
      <sz val="12"/>
      <color theme="1"/>
      <name val="Calibri"/>
      <family val="2"/>
      <scheme val="minor"/>
    </font>
    <font>
      <sz val="10"/>
      <color theme="1"/>
      <name val="Calibri"/>
      <family val="2"/>
      <scheme val="minor"/>
    </font>
    <font>
      <b/>
      <i/>
      <sz val="11"/>
      <color theme="1"/>
      <name val="Calibri"/>
      <family val="2"/>
      <scheme val="minor"/>
    </font>
    <font>
      <sz val="11"/>
      <color theme="1"/>
      <name val="Calibri"/>
      <family val="2"/>
    </font>
    <font>
      <sz val="12.1"/>
      <color theme="1"/>
      <name val="Calibri"/>
      <family val="2"/>
    </font>
    <font>
      <b/>
      <sz val="14"/>
      <name val="Calibri"/>
      <family val="2"/>
    </font>
    <font>
      <sz val="14"/>
      <name val="Verdana"/>
      <family val="2"/>
    </font>
    <font>
      <b/>
      <sz val="14"/>
      <color theme="1"/>
      <name val="Calibri"/>
      <family val="2"/>
    </font>
  </fonts>
  <fills count="3">
    <fill>
      <patternFill patternType="none"/>
    </fill>
    <fill>
      <patternFill patternType="gray125"/>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55"/>
      </left>
      <right/>
      <top style="medium">
        <color indexed="55"/>
      </top>
      <bottom/>
      <diagonal/>
    </border>
    <border>
      <left/>
      <right/>
      <top style="medium">
        <color indexed="55"/>
      </top>
      <bottom/>
      <diagonal/>
    </border>
    <border>
      <left/>
      <right style="medium">
        <color indexed="55"/>
      </right>
      <top style="medium">
        <color indexed="55"/>
      </top>
      <bottom/>
      <diagonal/>
    </border>
    <border>
      <left style="medium">
        <color indexed="55"/>
      </left>
      <right/>
      <top/>
      <bottom/>
      <diagonal/>
    </border>
    <border>
      <left/>
      <right style="medium">
        <color indexed="55"/>
      </right>
      <top/>
      <bottom/>
      <diagonal/>
    </border>
    <border>
      <left style="thin">
        <color indexed="64"/>
      </left>
      <right style="thin">
        <color indexed="64"/>
      </right>
      <top style="thin">
        <color indexed="64"/>
      </top>
      <bottom style="thin">
        <color indexed="64"/>
      </bottom>
      <diagonal/>
    </border>
    <border>
      <left style="medium">
        <color indexed="55"/>
      </left>
      <right/>
      <top/>
      <bottom style="medium">
        <color indexed="55"/>
      </bottom>
      <diagonal/>
    </border>
    <border>
      <left/>
      <right/>
      <top/>
      <bottom style="medium">
        <color indexed="55"/>
      </bottom>
      <diagonal/>
    </border>
    <border>
      <left/>
      <right style="medium">
        <color indexed="55"/>
      </right>
      <top/>
      <bottom style="medium">
        <color indexed="55"/>
      </bottom>
      <diagonal/>
    </border>
    <border>
      <left/>
      <right/>
      <top/>
      <bottom style="thin">
        <color indexed="64"/>
      </bottom>
      <diagonal/>
    </border>
    <border>
      <left/>
      <right/>
      <top style="thin">
        <color indexed="64"/>
      </top>
      <bottom style="double">
        <color indexed="64"/>
      </bottom>
      <diagonal/>
    </border>
    <border>
      <left/>
      <right/>
      <top style="thin">
        <color indexed="64"/>
      </top>
      <bottom/>
      <diagonal/>
    </border>
    <border>
      <left/>
      <right/>
      <top/>
      <bottom style="thick">
        <color indexed="55"/>
      </bottom>
      <diagonal/>
    </border>
    <border>
      <left style="thick">
        <color indexed="55"/>
      </left>
      <right/>
      <top style="thick">
        <color indexed="55"/>
      </top>
      <bottom/>
      <diagonal/>
    </border>
    <border>
      <left/>
      <right/>
      <top style="thick">
        <color indexed="55"/>
      </top>
      <bottom/>
      <diagonal/>
    </border>
    <border>
      <left/>
      <right style="thick">
        <color indexed="55"/>
      </right>
      <top style="thick">
        <color indexed="55"/>
      </top>
      <bottom/>
      <diagonal/>
    </border>
    <border>
      <left style="thick">
        <color indexed="55"/>
      </left>
      <right/>
      <top/>
      <bottom/>
      <diagonal/>
    </border>
    <border>
      <left/>
      <right style="thick">
        <color indexed="55"/>
      </right>
      <top/>
      <bottom/>
      <diagonal/>
    </border>
    <border>
      <left/>
      <right/>
      <top/>
      <bottom style="medium">
        <color indexed="64"/>
      </bottom>
      <diagonal/>
    </border>
    <border>
      <left style="thick">
        <color indexed="55"/>
      </left>
      <right/>
      <top/>
      <bottom style="thick">
        <color indexed="55"/>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style="thin">
        <color auto="1"/>
      </right>
      <top/>
      <bottom style="thin">
        <color auto="1"/>
      </bottom>
      <diagonal/>
    </border>
    <border>
      <left/>
      <right style="thin">
        <color auto="1"/>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ck">
        <color indexed="55"/>
      </right>
      <top/>
      <bottom style="thick">
        <color indexed="55"/>
      </bottom>
      <diagonal/>
    </border>
  </borders>
  <cellStyleXfs count="3">
    <xf numFmtId="0" fontId="0" fillId="0" borderId="0"/>
    <xf numFmtId="0" fontId="12" fillId="0" borderId="0"/>
    <xf numFmtId="44" fontId="21" fillId="0" borderId="0" applyFont="0" applyFill="0" applyBorder="0" applyAlignment="0" applyProtection="0"/>
  </cellStyleXfs>
  <cellXfs count="329">
    <xf numFmtId="0" fontId="0" fillId="0" borderId="0" xfId="0"/>
    <xf numFmtId="0" fontId="2" fillId="0" borderId="0" xfId="0" applyFont="1" applyAlignment="1">
      <alignment horizontal="center"/>
    </xf>
    <xf numFmtId="0" fontId="2" fillId="0" borderId="0" xfId="0" applyFont="1" applyAlignment="1">
      <alignment horizontal="left"/>
    </xf>
    <xf numFmtId="0" fontId="2" fillId="0" borderId="0" xfId="0" applyFont="1" applyBorder="1" applyAlignment="1">
      <alignment horizontal="center"/>
    </xf>
    <xf numFmtId="0" fontId="4" fillId="0" borderId="0" xfId="0" applyFont="1" applyBorder="1"/>
    <xf numFmtId="0" fontId="4" fillId="0" borderId="0" xfId="0" applyFont="1" applyBorder="1" applyProtection="1"/>
    <xf numFmtId="37" fontId="4" fillId="0" borderId="0" xfId="0" applyNumberFormat="1" applyFont="1" applyBorder="1" applyProtection="1"/>
    <xf numFmtId="164" fontId="5" fillId="0" borderId="0" xfId="0" applyNumberFormat="1" applyFont="1" applyFill="1" applyBorder="1" applyProtection="1"/>
    <xf numFmtId="37" fontId="4" fillId="0" borderId="0" xfId="0" applyNumberFormat="1" applyFont="1" applyBorder="1"/>
    <xf numFmtId="37" fontId="4" fillId="0" borderId="0" xfId="0" applyNumberFormat="1" applyFont="1" applyFill="1" applyBorder="1"/>
    <xf numFmtId="0" fontId="4" fillId="0" borderId="0" xfId="0" applyFont="1"/>
    <xf numFmtId="0" fontId="7" fillId="0" borderId="0" xfId="0" applyFont="1"/>
    <xf numFmtId="0" fontId="2" fillId="0" borderId="0" xfId="0" applyFont="1" applyFill="1" applyBorder="1" applyAlignment="1">
      <alignment horizontal="center"/>
    </xf>
    <xf numFmtId="0" fontId="2" fillId="0" borderId="0" xfId="0" applyFont="1" applyFill="1" applyAlignment="1">
      <alignment horizontal="center"/>
    </xf>
    <xf numFmtId="0" fontId="7" fillId="0" borderId="0" xfId="0" applyFont="1" applyBorder="1"/>
    <xf numFmtId="0" fontId="4" fillId="0" borderId="0" xfId="0" applyFont="1" applyProtection="1"/>
    <xf numFmtId="0" fontId="4" fillId="0" borderId="0" xfId="0" applyFont="1" applyFill="1" applyProtection="1"/>
    <xf numFmtId="0" fontId="3" fillId="0" borderId="0" xfId="0" applyFont="1" applyAlignment="1" applyProtection="1">
      <alignment horizontal="left"/>
    </xf>
    <xf numFmtId="0" fontId="3" fillId="0" borderId="0" xfId="0" applyFont="1" applyFill="1" applyBorder="1" applyAlignment="1" applyProtection="1">
      <alignment horizontal="center"/>
    </xf>
    <xf numFmtId="0" fontId="0" fillId="0" borderId="0" xfId="0" applyProtection="1"/>
    <xf numFmtId="0" fontId="3" fillId="0" borderId="0" xfId="0" applyFont="1" applyProtection="1"/>
    <xf numFmtId="49" fontId="4" fillId="0" borderId="0" xfId="0" applyNumberFormat="1" applyFont="1" applyAlignment="1" applyProtection="1">
      <alignment horizontal="right"/>
    </xf>
    <xf numFmtId="37" fontId="4" fillId="0" borderId="13" xfId="0" applyNumberFormat="1" applyFont="1" applyFill="1" applyBorder="1" applyProtection="1"/>
    <xf numFmtId="10" fontId="4" fillId="0" borderId="0" xfId="0" applyNumberFormat="1" applyFont="1" applyFill="1" applyProtection="1"/>
    <xf numFmtId="0" fontId="0" fillId="0" borderId="15" xfId="0" applyBorder="1" applyProtection="1"/>
    <xf numFmtId="0" fontId="4" fillId="0" borderId="16" xfId="0" applyFont="1" applyBorder="1" applyProtection="1"/>
    <xf numFmtId="0" fontId="0" fillId="0" borderId="0" xfId="0" applyBorder="1" applyProtection="1"/>
    <xf numFmtId="0" fontId="0" fillId="0" borderId="16" xfId="0" applyBorder="1" applyProtection="1"/>
    <xf numFmtId="0" fontId="2" fillId="0" borderId="18" xfId="0" applyFont="1" applyBorder="1" applyProtection="1"/>
    <xf numFmtId="0" fontId="6" fillId="0" borderId="18" xfId="0" applyFont="1" applyBorder="1" applyProtection="1"/>
    <xf numFmtId="0" fontId="0" fillId="0" borderId="18" xfId="0" applyBorder="1" applyProtection="1"/>
    <xf numFmtId="0" fontId="0" fillId="0" borderId="19" xfId="0" applyBorder="1" applyProtection="1"/>
    <xf numFmtId="0" fontId="0" fillId="0" borderId="21" xfId="0" applyBorder="1" applyProtection="1"/>
    <xf numFmtId="0" fontId="4" fillId="0" borderId="20" xfId="0" applyFont="1" applyBorder="1" applyProtection="1"/>
    <xf numFmtId="0" fontId="2" fillId="0" borderId="0" xfId="0" applyFont="1" applyBorder="1" applyProtection="1"/>
    <xf numFmtId="49" fontId="4" fillId="0" borderId="0" xfId="0" applyNumberFormat="1" applyFont="1" applyBorder="1" applyAlignment="1" applyProtection="1">
      <alignment horizontal="right"/>
    </xf>
    <xf numFmtId="0" fontId="4" fillId="0" borderId="0" xfId="0" applyFont="1" applyFill="1" applyBorder="1" applyProtection="1"/>
    <xf numFmtId="39" fontId="0" fillId="0" borderId="0" xfId="0" applyNumberFormat="1" applyBorder="1" applyProtection="1"/>
    <xf numFmtId="0" fontId="4" fillId="0" borderId="23" xfId="0" applyFont="1" applyBorder="1" applyProtection="1"/>
    <xf numFmtId="0" fontId="4" fillId="0" borderId="16" xfId="0" applyFont="1" applyFill="1" applyBorder="1" applyProtection="1"/>
    <xf numFmtId="0" fontId="4" fillId="0" borderId="0" xfId="0" applyFont="1" applyAlignment="1" applyProtection="1"/>
    <xf numFmtId="37" fontId="4" fillId="0" borderId="0" xfId="0" applyNumberFormat="1" applyFont="1" applyFill="1" applyBorder="1" applyProtection="1"/>
    <xf numFmtId="37" fontId="2" fillId="0" borderId="0" xfId="0" applyNumberFormat="1" applyFont="1" applyFill="1" applyBorder="1" applyAlignment="1" applyProtection="1">
      <alignment horizontal="center"/>
    </xf>
    <xf numFmtId="37" fontId="10" fillId="0" borderId="0" xfId="0" applyNumberFormat="1" applyFont="1"/>
    <xf numFmtId="0" fontId="10" fillId="0" borderId="0" xfId="0" applyFont="1"/>
    <xf numFmtId="2" fontId="10" fillId="0" borderId="0" xfId="0" applyNumberFormat="1" applyFont="1" applyFill="1"/>
    <xf numFmtId="0" fontId="13" fillId="0" borderId="0" xfId="0" applyFont="1"/>
    <xf numFmtId="0" fontId="11" fillId="0" borderId="22" xfId="0" applyFont="1" applyBorder="1" applyAlignment="1">
      <alignment horizontal="center"/>
    </xf>
    <xf numFmtId="0" fontId="11" fillId="0" borderId="0" xfId="0" applyFont="1"/>
    <xf numFmtId="0" fontId="0" fillId="2" borderId="0" xfId="0" applyFill="1"/>
    <xf numFmtId="0" fontId="0" fillId="0" borderId="27" xfId="0" applyBorder="1" applyProtection="1"/>
    <xf numFmtId="0" fontId="11" fillId="0" borderId="0" xfId="0" applyFont="1" applyAlignment="1">
      <alignment horizontal="centerContinuous"/>
    </xf>
    <xf numFmtId="0" fontId="1" fillId="0" borderId="0" xfId="0" applyFont="1" applyAlignment="1">
      <alignment horizontal="left"/>
    </xf>
    <xf numFmtId="0" fontId="1" fillId="0" borderId="0" xfId="0" applyFont="1" applyFill="1" applyBorder="1" applyAlignment="1" applyProtection="1">
      <alignment horizontal="center"/>
      <protection locked="0"/>
    </xf>
    <xf numFmtId="0" fontId="2" fillId="0" borderId="30" xfId="0" applyFont="1" applyBorder="1" applyAlignment="1" applyProtection="1"/>
    <xf numFmtId="0" fontId="4" fillId="0" borderId="0" xfId="0" applyFont="1" applyBorder="1" applyAlignment="1" applyProtection="1">
      <alignment horizontal="left" indent="6"/>
    </xf>
    <xf numFmtId="0" fontId="16" fillId="0" borderId="0" xfId="0" applyFont="1" applyAlignment="1">
      <alignment horizontal="centerContinuous"/>
    </xf>
    <xf numFmtId="0" fontId="0" fillId="0" borderId="0" xfId="0" applyAlignment="1">
      <alignment horizontal="centerContinuous"/>
    </xf>
    <xf numFmtId="0" fontId="1" fillId="0" borderId="15" xfId="0" applyFont="1" applyFill="1" applyBorder="1" applyAlignment="1" applyProtection="1">
      <alignment horizontal="center"/>
      <protection locked="0"/>
    </xf>
    <xf numFmtId="0" fontId="11" fillId="0" borderId="0" xfId="0" applyFont="1" applyBorder="1" applyAlignment="1">
      <alignment horizontal="left" wrapText="1"/>
    </xf>
    <xf numFmtId="0" fontId="0" fillId="0" borderId="0" xfId="0" quotePrefix="1" applyNumberFormat="1" applyAlignment="1">
      <alignment horizontal="right" wrapText="1"/>
    </xf>
    <xf numFmtId="0" fontId="0" fillId="0" borderId="0" xfId="0" applyFill="1"/>
    <xf numFmtId="0" fontId="4" fillId="0" borderId="0" xfId="0" applyFont="1" applyBorder="1" applyAlignment="1" applyProtection="1">
      <alignment horizontal="left" wrapText="1" indent="1"/>
    </xf>
    <xf numFmtId="0" fontId="3" fillId="0" borderId="0" xfId="0" applyFont="1" applyAlignment="1" applyProtection="1">
      <alignment horizontal="center"/>
    </xf>
    <xf numFmtId="0" fontId="2" fillId="0" borderId="0" xfId="0" applyFont="1" applyAlignment="1" applyProtection="1">
      <alignment horizontal="center"/>
    </xf>
    <xf numFmtId="0" fontId="1" fillId="0" borderId="0" xfId="0" applyFont="1" applyFill="1" applyBorder="1" applyAlignment="1" applyProtection="1">
      <alignment horizontal="center"/>
    </xf>
    <xf numFmtId="0" fontId="2" fillId="0" borderId="0" xfId="0" applyFont="1" applyFill="1" applyBorder="1" applyAlignment="1" applyProtection="1">
      <alignment horizontal="center"/>
    </xf>
    <xf numFmtId="0" fontId="2" fillId="0" borderId="0" xfId="0" applyFont="1" applyAlignment="1" applyProtection="1">
      <alignment horizontal="left"/>
    </xf>
    <xf numFmtId="49" fontId="2" fillId="0" borderId="0" xfId="0" applyNumberFormat="1" applyFont="1" applyFill="1" applyBorder="1" applyAlignment="1" applyProtection="1">
      <alignment horizontal="center"/>
    </xf>
    <xf numFmtId="0" fontId="2" fillId="0" borderId="0" xfId="0" applyFont="1" applyBorder="1" applyAlignment="1" applyProtection="1">
      <alignment horizontal="center"/>
    </xf>
    <xf numFmtId="0" fontId="0" fillId="0" borderId="0" xfId="0" applyBorder="1" applyAlignment="1" applyProtection="1">
      <alignment horizontal="center"/>
    </xf>
    <xf numFmtId="0" fontId="2" fillId="0" borderId="0" xfId="0" applyFont="1" applyFill="1" applyBorder="1" applyAlignment="1" applyProtection="1">
      <alignment horizontal="left"/>
    </xf>
    <xf numFmtId="0" fontId="0" fillId="0" borderId="0" xfId="0" applyBorder="1" applyAlignment="1" applyProtection="1"/>
    <xf numFmtId="0" fontId="14" fillId="0" borderId="9" xfId="0" applyFont="1" applyBorder="1" applyAlignment="1" applyProtection="1">
      <alignment horizontal="center"/>
    </xf>
    <xf numFmtId="0" fontId="4" fillId="0" borderId="4" xfId="0" applyFont="1" applyBorder="1" applyProtection="1"/>
    <xf numFmtId="0" fontId="4" fillId="0" borderId="5" xfId="0" applyFont="1" applyBorder="1" applyProtection="1"/>
    <xf numFmtId="0" fontId="2" fillId="0" borderId="5" xfId="0" applyFont="1" applyBorder="1" applyProtection="1"/>
    <xf numFmtId="0" fontId="4" fillId="0" borderId="8" xfId="0" applyFont="1" applyBorder="1" applyProtection="1"/>
    <xf numFmtId="0" fontId="1" fillId="0" borderId="7" xfId="0" applyFont="1" applyBorder="1" applyProtection="1"/>
    <xf numFmtId="0" fontId="4" fillId="0" borderId="7" xfId="0" applyFont="1" applyBorder="1" applyProtection="1"/>
    <xf numFmtId="0" fontId="4" fillId="0" borderId="7" xfId="0" applyFont="1" applyBorder="1" applyAlignment="1" applyProtection="1">
      <alignment horizontal="left" indent="1"/>
    </xf>
    <xf numFmtId="37" fontId="4" fillId="0" borderId="8" xfId="0" applyNumberFormat="1" applyFont="1" applyBorder="1" applyProtection="1"/>
    <xf numFmtId="37" fontId="4" fillId="0" borderId="8" xfId="0" applyNumberFormat="1" applyFont="1" applyFill="1" applyBorder="1" applyProtection="1"/>
    <xf numFmtId="0" fontId="0" fillId="2" borderId="0" xfId="0" applyFill="1" applyProtection="1"/>
    <xf numFmtId="4" fontId="4" fillId="0" borderId="0" xfId="0" applyNumberFormat="1" applyFont="1" applyFill="1" applyBorder="1" applyProtection="1"/>
    <xf numFmtId="0" fontId="4" fillId="0" borderId="10" xfId="0" applyFont="1" applyBorder="1" applyProtection="1"/>
    <xf numFmtId="0" fontId="4" fillId="0" borderId="11" xfId="0" applyFont="1" applyBorder="1" applyProtection="1"/>
    <xf numFmtId="37" fontId="4" fillId="0" borderId="5" xfId="0" applyNumberFormat="1" applyFont="1" applyBorder="1" applyProtection="1"/>
    <xf numFmtId="37" fontId="4" fillId="0" borderId="6" xfId="0" applyNumberFormat="1" applyFont="1" applyBorder="1" applyProtection="1"/>
    <xf numFmtId="7" fontId="4" fillId="0" borderId="13" xfId="0" applyNumberFormat="1" applyFont="1" applyFill="1" applyBorder="1" applyProtection="1"/>
    <xf numFmtId="0" fontId="2" fillId="0" borderId="13" xfId="0" applyFont="1" applyFill="1" applyBorder="1" applyAlignment="1" applyProtection="1">
      <alignment horizontal="center"/>
    </xf>
    <xf numFmtId="0" fontId="6" fillId="0" borderId="0" xfId="0" applyFont="1" applyBorder="1" applyAlignment="1" applyProtection="1">
      <alignment horizontal="center"/>
    </xf>
    <xf numFmtId="7" fontId="4" fillId="0" borderId="13" xfId="0" applyNumberFormat="1" applyFont="1" applyFill="1" applyBorder="1" applyAlignment="1" applyProtection="1">
      <alignment vertical="top"/>
    </xf>
    <xf numFmtId="37" fontId="4" fillId="0" borderId="11" xfId="0" applyNumberFormat="1" applyFont="1" applyFill="1" applyBorder="1" applyAlignment="1" applyProtection="1"/>
    <xf numFmtId="37" fontId="2" fillId="0" borderId="11" xfId="0" applyNumberFormat="1" applyFont="1" applyFill="1" applyBorder="1" applyAlignment="1" applyProtection="1">
      <alignment horizontal="center"/>
    </xf>
    <xf numFmtId="37" fontId="4" fillId="0" borderId="12" xfId="0" applyNumberFormat="1" applyFont="1" applyFill="1" applyBorder="1" applyProtection="1"/>
    <xf numFmtId="37" fontId="4" fillId="0" borderId="0" xfId="0" applyNumberFormat="1" applyFont="1" applyFill="1" applyBorder="1" applyAlignment="1" applyProtection="1"/>
    <xf numFmtId="37" fontId="4" fillId="0" borderId="5" xfId="0" applyNumberFormat="1" applyFont="1" applyFill="1" applyBorder="1" applyProtection="1"/>
    <xf numFmtId="7" fontId="2" fillId="0" borderId="13" xfId="0" applyNumberFormat="1" applyFont="1" applyFill="1" applyBorder="1" applyProtection="1"/>
    <xf numFmtId="37" fontId="2" fillId="0" borderId="13" xfId="0" applyNumberFormat="1" applyFont="1" applyFill="1" applyBorder="1" applyAlignment="1" applyProtection="1">
      <alignment horizontal="center"/>
    </xf>
    <xf numFmtId="7" fontId="4" fillId="0" borderId="0" xfId="0" applyNumberFormat="1" applyFont="1" applyFill="1" applyBorder="1" applyProtection="1"/>
    <xf numFmtId="0" fontId="2" fillId="0" borderId="0" xfId="0" applyFont="1" applyBorder="1" applyAlignment="1" applyProtection="1">
      <alignment horizontal="left" wrapText="1" indent="1"/>
    </xf>
    <xf numFmtId="0" fontId="2" fillId="0" borderId="0" xfId="0" applyFont="1" applyAlignment="1" applyProtection="1"/>
    <xf numFmtId="0" fontId="2" fillId="0" borderId="0" xfId="0" applyFont="1" applyBorder="1" applyAlignment="1" applyProtection="1">
      <alignment horizontal="right"/>
    </xf>
    <xf numFmtId="165" fontId="2" fillId="0" borderId="0" xfId="0" applyNumberFormat="1" applyFont="1" applyFill="1" applyBorder="1" applyAlignment="1" applyProtection="1">
      <alignment horizontal="left"/>
    </xf>
    <xf numFmtId="37" fontId="4" fillId="0" borderId="0" xfId="0" applyNumberFormat="1" applyFont="1" applyProtection="1"/>
    <xf numFmtId="0" fontId="0" fillId="0" borderId="29" xfId="0" applyBorder="1" applyProtection="1"/>
    <xf numFmtId="0" fontId="7" fillId="0" borderId="0" xfId="0" applyFont="1" applyBorder="1" applyProtection="1"/>
    <xf numFmtId="0" fontId="7" fillId="0" borderId="27" xfId="0" applyFont="1" applyBorder="1" applyProtection="1"/>
    <xf numFmtId="0" fontId="7" fillId="0" borderId="0" xfId="0" applyFont="1" applyProtection="1"/>
    <xf numFmtId="0" fontId="7" fillId="0" borderId="0" xfId="0" applyFont="1" applyFill="1" applyBorder="1" applyProtection="1"/>
    <xf numFmtId="0" fontId="7" fillId="0" borderId="0" xfId="0" applyFont="1" applyFill="1" applyProtection="1"/>
    <xf numFmtId="0" fontId="2" fillId="0" borderId="31" xfId="0" applyFont="1" applyBorder="1" applyAlignment="1" applyProtection="1">
      <alignment horizontal="left"/>
    </xf>
    <xf numFmtId="0" fontId="2" fillId="0" borderId="13" xfId="0" applyFont="1" applyFill="1" applyBorder="1" applyAlignment="1" applyProtection="1">
      <alignment horizontal="left"/>
    </xf>
    <xf numFmtId="0" fontId="4" fillId="0" borderId="13" xfId="0" applyFont="1" applyBorder="1" applyProtection="1"/>
    <xf numFmtId="0" fontId="7" fillId="0" borderId="13" xfId="0" applyFont="1" applyBorder="1" applyProtection="1"/>
    <xf numFmtId="0" fontId="7" fillId="0" borderId="26" xfId="0" applyFont="1" applyBorder="1" applyProtection="1"/>
    <xf numFmtId="0" fontId="2" fillId="0" borderId="0" xfId="0" applyFont="1" applyFill="1" applyAlignment="1" applyProtection="1">
      <alignment horizontal="center"/>
    </xf>
    <xf numFmtId="0" fontId="2" fillId="0" borderId="0" xfId="0" applyFont="1" applyProtection="1"/>
    <xf numFmtId="0" fontId="7" fillId="0" borderId="0" xfId="0" applyFont="1" applyAlignment="1" applyProtection="1">
      <alignment horizontal="center"/>
    </xf>
    <xf numFmtId="0" fontId="7" fillId="0" borderId="0" xfId="0" applyFont="1" applyFill="1" applyBorder="1" applyAlignment="1" applyProtection="1">
      <alignment horizontal="center"/>
    </xf>
    <xf numFmtId="0" fontId="7" fillId="0" borderId="0" xfId="0" applyFont="1" applyFill="1" applyAlignment="1" applyProtection="1">
      <alignment horizontal="center"/>
    </xf>
    <xf numFmtId="37" fontId="4" fillId="0" borderId="13" xfId="0" applyNumberFormat="1" applyFont="1" applyFill="1" applyBorder="1" applyAlignment="1" applyProtection="1">
      <alignment horizontal="center"/>
    </xf>
    <xf numFmtId="37" fontId="4" fillId="0" borderId="0" xfId="0" applyNumberFormat="1" applyFont="1" applyFill="1" applyProtection="1"/>
    <xf numFmtId="0" fontId="8" fillId="0" borderId="0" xfId="0" applyFont="1" applyProtection="1"/>
    <xf numFmtId="0" fontId="2" fillId="0" borderId="0" xfId="0" applyFont="1" applyFill="1" applyProtection="1"/>
    <xf numFmtId="0" fontId="2" fillId="0" borderId="13" xfId="0" applyFont="1" applyFill="1" applyBorder="1" applyProtection="1"/>
    <xf numFmtId="0" fontId="4" fillId="0" borderId="0" xfId="0" applyFont="1" applyBorder="1" applyAlignment="1" applyProtection="1">
      <alignment horizontal="left" indent="1"/>
    </xf>
    <xf numFmtId="0" fontId="9" fillId="0" borderId="13" xfId="0" applyFont="1" applyBorder="1" applyProtection="1"/>
    <xf numFmtId="37" fontId="5" fillId="0" borderId="0" xfId="0" applyNumberFormat="1" applyFont="1" applyProtection="1"/>
    <xf numFmtId="0" fontId="9" fillId="0" borderId="0" xfId="0" applyFont="1" applyProtection="1"/>
    <xf numFmtId="37" fontId="2" fillId="0" borderId="0" xfId="0" applyNumberFormat="1" applyFont="1" applyProtection="1"/>
    <xf numFmtId="0" fontId="4" fillId="0" borderId="0" xfId="0" applyFont="1" applyFill="1" applyBorder="1" applyAlignment="1" applyProtection="1">
      <alignment horizontal="left" indent="1"/>
    </xf>
    <xf numFmtId="39" fontId="4" fillId="0" borderId="0" xfId="0" applyNumberFormat="1" applyFont="1" applyFill="1" applyBorder="1" applyProtection="1"/>
    <xf numFmtId="39" fontId="4" fillId="0" borderId="0" xfId="0" applyNumberFormat="1" applyFont="1" applyProtection="1"/>
    <xf numFmtId="0" fontId="2" fillId="0" borderId="0" xfId="0" applyFont="1" applyFill="1" applyBorder="1" applyProtection="1"/>
    <xf numFmtId="37" fontId="7" fillId="0" borderId="0" xfId="0" applyNumberFormat="1" applyFont="1" applyProtection="1"/>
    <xf numFmtId="37" fontId="7" fillId="0" borderId="0" xfId="0" applyNumberFormat="1" applyFont="1" applyFill="1" applyProtection="1"/>
    <xf numFmtId="37" fontId="7" fillId="0" borderId="0" xfId="0" applyNumberFormat="1" applyFont="1" applyBorder="1" applyProtection="1"/>
    <xf numFmtId="37" fontId="7" fillId="0" borderId="0" xfId="0" applyNumberFormat="1" applyFont="1" applyFill="1" applyBorder="1" applyProtection="1"/>
    <xf numFmtId="0" fontId="3" fillId="0" borderId="0" xfId="0" applyFont="1" applyFill="1" applyProtection="1"/>
    <xf numFmtId="4" fontId="4" fillId="0" borderId="13" xfId="0" applyNumberFormat="1" applyFont="1" applyFill="1" applyBorder="1" applyProtection="1"/>
    <xf numFmtId="39" fontId="4" fillId="0" borderId="13" xfId="0" applyNumberFormat="1" applyFont="1" applyFill="1" applyBorder="1" applyProtection="1"/>
    <xf numFmtId="4" fontId="4" fillId="0" borderId="0" xfId="0" applyNumberFormat="1" applyFont="1" applyBorder="1" applyProtection="1"/>
    <xf numFmtId="4" fontId="4" fillId="0" borderId="0" xfId="0" applyNumberFormat="1" applyFont="1" applyProtection="1"/>
    <xf numFmtId="4" fontId="4" fillId="0" borderId="0" xfId="0" applyNumberFormat="1" applyFont="1" applyFill="1" applyProtection="1"/>
    <xf numFmtId="37" fontId="3" fillId="0" borderId="0" xfId="0" applyNumberFormat="1" applyFont="1" applyFill="1" applyBorder="1" applyAlignment="1" applyProtection="1">
      <alignment horizontal="center"/>
    </xf>
    <xf numFmtId="39" fontId="4" fillId="0" borderId="14" xfId="0" applyNumberFormat="1" applyFont="1" applyFill="1" applyBorder="1" applyProtection="1"/>
    <xf numFmtId="37" fontId="5" fillId="0" borderId="0" xfId="0" applyNumberFormat="1" applyFont="1" applyFill="1" applyProtection="1"/>
    <xf numFmtId="0" fontId="10" fillId="0" borderId="0" xfId="0" applyFont="1" applyFill="1" applyProtection="1"/>
    <xf numFmtId="166" fontId="2" fillId="0" borderId="0" xfId="0" applyNumberFormat="1" applyFont="1" applyProtection="1"/>
    <xf numFmtId="39" fontId="2" fillId="0" borderId="13" xfId="0" applyNumberFormat="1" applyFont="1" applyFill="1" applyBorder="1" applyProtection="1"/>
    <xf numFmtId="0" fontId="0" fillId="0" borderId="13" xfId="0" applyBorder="1" applyProtection="1"/>
    <xf numFmtId="0" fontId="11" fillId="0" borderId="0" xfId="0" applyFont="1" applyAlignment="1">
      <alignment horizontal="center"/>
    </xf>
    <xf numFmtId="0" fontId="20" fillId="0" borderId="28" xfId="0" applyFont="1" applyBorder="1" applyProtection="1"/>
    <xf numFmtId="0" fontId="0" fillId="0" borderId="30" xfId="0" applyBorder="1" applyProtection="1"/>
    <xf numFmtId="0" fontId="2" fillId="0" borderId="30" xfId="0" applyFont="1" applyBorder="1" applyAlignment="1" applyProtection="1">
      <alignment horizontal="left"/>
    </xf>
    <xf numFmtId="49" fontId="2" fillId="0" borderId="0" xfId="0" applyNumberFormat="1" applyFont="1" applyFill="1" applyBorder="1" applyAlignment="1" applyProtection="1">
      <alignment horizontal="centerContinuous"/>
    </xf>
    <xf numFmtId="0" fontId="3" fillId="0" borderId="0" xfId="0" applyFont="1" applyBorder="1" applyAlignment="1" applyProtection="1">
      <alignment horizontal="left"/>
    </xf>
    <xf numFmtId="0" fontId="3" fillId="0" borderId="15" xfId="0" applyFont="1" applyBorder="1" applyAlignment="1" applyProtection="1">
      <alignment horizontal="left"/>
    </xf>
    <xf numFmtId="0" fontId="11" fillId="0" borderId="22" xfId="0" applyFont="1" applyFill="1" applyBorder="1" applyAlignment="1">
      <alignment horizontal="center"/>
    </xf>
    <xf numFmtId="0" fontId="11" fillId="0" borderId="0" xfId="0" applyFont="1" applyAlignment="1">
      <alignment horizontal="center"/>
    </xf>
    <xf numFmtId="0" fontId="11" fillId="0" borderId="0" xfId="0" applyFont="1" applyAlignment="1">
      <alignment horizontal="center"/>
    </xf>
    <xf numFmtId="0" fontId="11" fillId="0" borderId="0" xfId="0" applyFont="1" applyBorder="1" applyAlignment="1">
      <alignment horizontal="center"/>
    </xf>
    <xf numFmtId="0" fontId="22" fillId="0" borderId="0" xfId="0" applyFont="1" applyAlignment="1">
      <alignment horizontal="center"/>
    </xf>
    <xf numFmtId="44" fontId="0" fillId="0" borderId="0" xfId="2" applyFont="1"/>
    <xf numFmtId="44" fontId="0" fillId="0" borderId="25" xfId="2" applyFont="1" applyBorder="1"/>
    <xf numFmtId="44" fontId="0" fillId="0" borderId="0" xfId="2" applyFont="1" applyProtection="1"/>
    <xf numFmtId="0" fontId="0" fillId="0" borderId="0" xfId="0" applyProtection="1">
      <protection locked="0"/>
    </xf>
    <xf numFmtId="44" fontId="0" fillId="0" borderId="0" xfId="2" applyFont="1" applyProtection="1">
      <protection locked="0"/>
    </xf>
    <xf numFmtId="0" fontId="0" fillId="0" borderId="0" xfId="0" applyAlignment="1" applyProtection="1">
      <alignment wrapText="1"/>
      <protection locked="0"/>
    </xf>
    <xf numFmtId="0" fontId="20" fillId="0" borderId="15" xfId="0" applyFont="1" applyBorder="1" applyAlignment="1" applyProtection="1">
      <alignment horizontal="left"/>
    </xf>
    <xf numFmtId="0" fontId="0" fillId="0" borderId="0" xfId="0" applyBorder="1" applyAlignment="1" applyProtection="1">
      <alignment horizontal="left"/>
    </xf>
    <xf numFmtId="0" fontId="20" fillId="0" borderId="0" xfId="0" applyFont="1" applyBorder="1" applyAlignment="1" applyProtection="1">
      <alignment horizontal="left"/>
    </xf>
    <xf numFmtId="0" fontId="11" fillId="0" borderId="0" xfId="0" applyFont="1" applyFill="1" applyBorder="1" applyAlignment="1">
      <alignment horizontal="center"/>
    </xf>
    <xf numFmtId="6" fontId="0" fillId="0" borderId="0" xfId="0" applyNumberFormat="1"/>
    <xf numFmtId="6" fontId="0" fillId="0" borderId="25" xfId="0" applyNumberFormat="1" applyBorder="1"/>
    <xf numFmtId="0" fontId="24" fillId="0" borderId="0" xfId="0" applyFont="1" applyAlignment="1">
      <alignment horizontal="left" wrapText="1"/>
    </xf>
    <xf numFmtId="0" fontId="0" fillId="0" borderId="0" xfId="0" applyBorder="1"/>
    <xf numFmtId="167" fontId="0" fillId="0" borderId="9" xfId="2" applyNumberFormat="1" applyFont="1" applyBorder="1"/>
    <xf numFmtId="0" fontId="11" fillId="0" borderId="0" xfId="0" applyFont="1" applyBorder="1"/>
    <xf numFmtId="0" fontId="0" fillId="0" borderId="0" xfId="0" applyAlignment="1">
      <alignment horizontal="left" wrapText="1"/>
    </xf>
    <xf numFmtId="0" fontId="0" fillId="0" borderId="0" xfId="0" applyNumberFormat="1" applyAlignment="1">
      <alignment horizontal="left" wrapText="1"/>
    </xf>
    <xf numFmtId="0" fontId="11" fillId="0" borderId="0" xfId="0" applyFont="1" applyAlignment="1">
      <alignment horizontal="center"/>
    </xf>
    <xf numFmtId="0" fontId="22" fillId="0" borderId="0" xfId="0" applyFont="1" applyAlignment="1">
      <alignment horizontal="left" wrapText="1"/>
    </xf>
    <xf numFmtId="0" fontId="11" fillId="0" borderId="0" xfId="0" applyFont="1" applyAlignment="1">
      <alignment horizontal="center" wrapText="1"/>
    </xf>
    <xf numFmtId="0" fontId="26" fillId="0" borderId="0" xfId="0" applyFont="1" applyAlignment="1" applyProtection="1">
      <alignment horizontal="center"/>
    </xf>
    <xf numFmtId="0" fontId="26" fillId="0" borderId="30" xfId="0" applyFont="1" applyBorder="1" applyAlignment="1" applyProtection="1">
      <alignment horizontal="left"/>
    </xf>
    <xf numFmtId="0" fontId="26" fillId="0" borderId="30" xfId="0" applyFont="1" applyBorder="1" applyAlignment="1" applyProtection="1"/>
    <xf numFmtId="0" fontId="0" fillId="0" borderId="0" xfId="0" applyFont="1" applyProtection="1"/>
    <xf numFmtId="0" fontId="27" fillId="0" borderId="0" xfId="0" applyFont="1" applyProtection="1"/>
    <xf numFmtId="49" fontId="27" fillId="0" borderId="0" xfId="0" applyNumberFormat="1" applyFont="1" applyAlignment="1" applyProtection="1">
      <alignment horizontal="right"/>
    </xf>
    <xf numFmtId="9" fontId="28" fillId="0" borderId="0" xfId="0" applyNumberFormat="1" applyFont="1" applyFill="1" applyBorder="1" applyProtection="1"/>
    <xf numFmtId="0" fontId="29" fillId="0" borderId="17" xfId="0" applyFont="1" applyBorder="1" applyProtection="1"/>
    <xf numFmtId="0" fontId="27" fillId="0" borderId="20" xfId="0" applyFont="1" applyBorder="1" applyProtection="1"/>
    <xf numFmtId="0" fontId="27" fillId="0" borderId="0" xfId="0" applyFont="1" applyBorder="1" applyProtection="1"/>
    <xf numFmtId="0" fontId="26" fillId="0" borderId="0" xfId="0" applyFont="1" applyBorder="1" applyProtection="1"/>
    <xf numFmtId="0" fontId="30" fillId="0" borderId="20" xfId="0" applyFont="1" applyBorder="1" applyProtection="1"/>
    <xf numFmtId="0" fontId="31" fillId="0" borderId="0" xfId="0" applyFont="1" applyBorder="1" applyProtection="1"/>
    <xf numFmtId="0" fontId="29" fillId="0" borderId="0" xfId="0" applyFont="1" applyBorder="1" applyProtection="1"/>
    <xf numFmtId="0" fontId="27" fillId="0" borderId="20" xfId="0" applyFont="1" applyBorder="1" applyAlignment="1" applyProtection="1">
      <alignment wrapText="1"/>
    </xf>
    <xf numFmtId="0" fontId="32" fillId="0" borderId="20" xfId="0" applyFont="1" applyBorder="1" applyProtection="1"/>
    <xf numFmtId="0" fontId="27" fillId="0" borderId="0" xfId="0" applyFont="1" applyAlignment="1" applyProtection="1"/>
    <xf numFmtId="37" fontId="26" fillId="0" borderId="0" xfId="0" applyNumberFormat="1" applyFont="1" applyFill="1" applyBorder="1" applyAlignment="1" applyProtection="1">
      <alignment horizontal="center"/>
    </xf>
    <xf numFmtId="0" fontId="0" fillId="0" borderId="32" xfId="0" applyBorder="1" applyProtection="1"/>
    <xf numFmtId="0" fontId="29" fillId="0" borderId="28" xfId="0" applyFont="1" applyBorder="1" applyAlignment="1" applyProtection="1">
      <alignment horizontal="left"/>
    </xf>
    <xf numFmtId="0" fontId="29" fillId="0" borderId="30" xfId="0" applyFont="1" applyBorder="1" applyAlignment="1" applyProtection="1">
      <alignment horizontal="left"/>
    </xf>
    <xf numFmtId="0" fontId="29" fillId="0" borderId="31" xfId="0" applyFont="1" applyBorder="1" applyAlignment="1" applyProtection="1">
      <alignment horizontal="left"/>
    </xf>
    <xf numFmtId="0" fontId="29" fillId="0" borderId="29" xfId="0" applyFont="1" applyBorder="1" applyAlignment="1" applyProtection="1">
      <alignment horizontal="left"/>
    </xf>
    <xf numFmtId="0" fontId="29" fillId="0" borderId="27" xfId="0" applyFont="1" applyBorder="1" applyAlignment="1" applyProtection="1">
      <alignment horizontal="left"/>
    </xf>
    <xf numFmtId="0" fontId="34" fillId="0" borderId="27" xfId="0" applyFont="1" applyBorder="1" applyProtection="1"/>
    <xf numFmtId="0" fontId="30" fillId="0" borderId="26" xfId="0" applyFont="1" applyFill="1" applyBorder="1" applyAlignment="1" applyProtection="1">
      <alignment horizontal="left"/>
    </xf>
    <xf numFmtId="0" fontId="29" fillId="0" borderId="0" xfId="0" applyFont="1" applyAlignment="1" applyProtection="1">
      <alignment horizontal="center"/>
    </xf>
    <xf numFmtId="0" fontId="0" fillId="0" borderId="20" xfId="0" applyBorder="1" applyProtection="1"/>
    <xf numFmtId="167" fontId="27" fillId="0" borderId="13" xfId="2" applyNumberFormat="1" applyFont="1" applyFill="1" applyBorder="1" applyProtection="1"/>
    <xf numFmtId="167" fontId="27" fillId="0" borderId="24" xfId="2" applyNumberFormat="1" applyFont="1" applyFill="1" applyBorder="1" applyProtection="1"/>
    <xf numFmtId="44" fontId="4" fillId="0" borderId="9" xfId="2" applyFont="1" applyFill="1" applyBorder="1" applyProtection="1"/>
    <xf numFmtId="44" fontId="0" fillId="0" borderId="9" xfId="2" applyFont="1" applyFill="1" applyBorder="1" applyProtection="1"/>
    <xf numFmtId="44" fontId="4" fillId="0" borderId="22" xfId="2" applyFont="1" applyFill="1" applyBorder="1" applyProtection="1"/>
    <xf numFmtId="0" fontId="35" fillId="0" borderId="0" xfId="0" applyFont="1"/>
    <xf numFmtId="0" fontId="0" fillId="0" borderId="0" xfId="0"/>
    <xf numFmtId="0" fontId="17" fillId="0" borderId="0" xfId="0" applyFont="1" applyAlignment="1">
      <alignment horizontal="centerContinuous"/>
    </xf>
    <xf numFmtId="0" fontId="0" fillId="0" borderId="0" xfId="0" applyAlignment="1">
      <alignment horizontal="left"/>
    </xf>
    <xf numFmtId="0" fontId="0" fillId="0" borderId="0" xfId="0" applyAlignment="1">
      <alignment horizontal="left" wrapText="1"/>
    </xf>
    <xf numFmtId="0" fontId="0" fillId="0" borderId="0" xfId="0" applyNumberFormat="1" applyAlignment="1">
      <alignment wrapText="1"/>
    </xf>
    <xf numFmtId="0" fontId="0" fillId="0" borderId="0" xfId="0" quotePrefix="1" applyNumberFormat="1" applyAlignment="1">
      <alignment horizontal="right" wrapText="1"/>
    </xf>
    <xf numFmtId="0" fontId="15" fillId="0" borderId="0" xfId="0" applyFont="1" applyProtection="1"/>
    <xf numFmtId="0" fontId="17" fillId="0" borderId="0" xfId="0" applyFont="1" applyAlignment="1"/>
    <xf numFmtId="0" fontId="36" fillId="0" borderId="0" xfId="0" applyFont="1" applyFill="1"/>
    <xf numFmtId="0" fontId="36" fillId="0" borderId="0" xfId="0" applyFont="1"/>
    <xf numFmtId="0" fontId="0" fillId="0" borderId="0" xfId="0" applyFont="1"/>
    <xf numFmtId="0" fontId="0" fillId="0" borderId="0" xfId="0" applyFont="1" applyFill="1"/>
    <xf numFmtId="0" fontId="0" fillId="0" borderId="0" xfId="0" quotePrefix="1" applyFont="1" applyAlignment="1">
      <alignment horizontal="right"/>
    </xf>
    <xf numFmtId="0" fontId="0" fillId="0" borderId="0" xfId="0" applyAlignment="1"/>
    <xf numFmtId="0" fontId="0" fillId="0" borderId="0" xfId="0" applyBorder="1"/>
    <xf numFmtId="0" fontId="11" fillId="0" borderId="0" xfId="0" applyFont="1" applyBorder="1"/>
    <xf numFmtId="0" fontId="0" fillId="0" borderId="0" xfId="0" applyBorder="1" applyAlignment="1">
      <alignment horizontal="left" wrapText="1"/>
    </xf>
    <xf numFmtId="0" fontId="0" fillId="0" borderId="0" xfId="0" applyFont="1" applyAlignment="1">
      <alignment horizontal="left"/>
    </xf>
    <xf numFmtId="0" fontId="0" fillId="0" borderId="0" xfId="0" applyFont="1" applyAlignment="1">
      <alignment horizontal="left" wrapText="1"/>
    </xf>
    <xf numFmtId="0" fontId="18" fillId="0" borderId="0" xfId="0" applyFont="1"/>
    <xf numFmtId="0" fontId="18" fillId="0" borderId="0" xfId="0" quotePrefix="1" applyFont="1" applyAlignment="1">
      <alignment horizontal="right"/>
    </xf>
    <xf numFmtId="0" fontId="18" fillId="0" borderId="0" xfId="0" quotePrefix="1" applyFont="1" applyFill="1" applyAlignment="1">
      <alignment horizontal="right"/>
    </xf>
    <xf numFmtId="0" fontId="18" fillId="0" borderId="0" xfId="0" applyFont="1" applyFill="1"/>
    <xf numFmtId="0" fontId="16" fillId="0" borderId="0" xfId="0" applyFont="1" applyAlignment="1">
      <alignment horizontal="center"/>
    </xf>
    <xf numFmtId="0" fontId="37" fillId="0" borderId="0" xfId="0" applyFont="1" applyAlignment="1">
      <alignment horizontal="left" wrapText="1"/>
    </xf>
    <xf numFmtId="0" fontId="16" fillId="0" borderId="0" xfId="0" applyFont="1" applyBorder="1" applyAlignment="1">
      <alignment horizontal="center"/>
    </xf>
    <xf numFmtId="0" fontId="19" fillId="0" borderId="0" xfId="0" applyFont="1" applyBorder="1" applyAlignment="1">
      <alignment horizontal="left"/>
    </xf>
    <xf numFmtId="0" fontId="19" fillId="0" borderId="0" xfId="0" applyFont="1" applyBorder="1"/>
    <xf numFmtId="0" fontId="18" fillId="0" borderId="0" xfId="0" applyFont="1" applyBorder="1"/>
    <xf numFmtId="0" fontId="26" fillId="0" borderId="0" xfId="0" applyFont="1" applyAlignment="1">
      <alignment horizontal="left"/>
    </xf>
    <xf numFmtId="0" fontId="26" fillId="0" borderId="0" xfId="0" applyFont="1" applyAlignment="1">
      <alignment horizontal="center"/>
    </xf>
    <xf numFmtId="0" fontId="26" fillId="0" borderId="9" xfId="0" applyFont="1" applyBorder="1" applyAlignment="1">
      <alignment horizontal="center"/>
    </xf>
    <xf numFmtId="0" fontId="26" fillId="0" borderId="0" xfId="0" applyFont="1" applyBorder="1" applyAlignment="1">
      <alignment horizontal="center"/>
    </xf>
    <xf numFmtId="0" fontId="26" fillId="0" borderId="0" xfId="0" applyFont="1" applyAlignment="1" applyProtection="1">
      <alignment horizontal="left"/>
    </xf>
    <xf numFmtId="0" fontId="26" fillId="0" borderId="9" xfId="0" quotePrefix="1" applyFont="1" applyBorder="1" applyAlignment="1" applyProtection="1">
      <alignment horizontal="center"/>
    </xf>
    <xf numFmtId="0" fontId="26" fillId="0" borderId="0" xfId="0" applyFont="1" applyBorder="1" applyAlignment="1" applyProtection="1">
      <alignment horizontal="center"/>
    </xf>
    <xf numFmtId="0" fontId="26" fillId="0" borderId="0" xfId="0" applyFont="1" applyFill="1" applyBorder="1" applyAlignment="1" applyProtection="1">
      <alignment horizontal="center"/>
    </xf>
    <xf numFmtId="49" fontId="26" fillId="0" borderId="0" xfId="0" applyNumberFormat="1" applyFont="1" applyFill="1" applyBorder="1" applyAlignment="1" applyProtection="1">
      <alignment horizontal="center"/>
    </xf>
    <xf numFmtId="0" fontId="0" fillId="0" borderId="0" xfId="0" applyFont="1" applyBorder="1" applyAlignment="1" applyProtection="1">
      <alignment horizontal="center"/>
    </xf>
    <xf numFmtId="0" fontId="29" fillId="0" borderId="7" xfId="0" applyFont="1" applyBorder="1" applyProtection="1"/>
    <xf numFmtId="0" fontId="27" fillId="0" borderId="4" xfId="0" applyFont="1" applyBorder="1" applyProtection="1"/>
    <xf numFmtId="0" fontId="27" fillId="0" borderId="5" xfId="0" applyFont="1" applyBorder="1" applyProtection="1"/>
    <xf numFmtId="0" fontId="26" fillId="0" borderId="5" xfId="0" applyFont="1" applyBorder="1" applyAlignment="1" applyProtection="1">
      <alignment horizontal="center"/>
    </xf>
    <xf numFmtId="0" fontId="26" fillId="0" borderId="5" xfId="0" applyFont="1" applyBorder="1" applyProtection="1"/>
    <xf numFmtId="0" fontId="27" fillId="0" borderId="6" xfId="0" applyFont="1" applyBorder="1" applyProtection="1"/>
    <xf numFmtId="0" fontId="26" fillId="0" borderId="7" xfId="0" applyFont="1" applyBorder="1" applyProtection="1"/>
    <xf numFmtId="0" fontId="27" fillId="0" borderId="8" xfId="0" applyFont="1" applyBorder="1" applyProtection="1"/>
    <xf numFmtId="0" fontId="26" fillId="0" borderId="9" xfId="0" applyNumberFormat="1" applyFont="1" applyFill="1" applyBorder="1" applyAlignment="1" applyProtection="1">
      <alignment horizontal="center"/>
    </xf>
    <xf numFmtId="0" fontId="27" fillId="0" borderId="7" xfId="0" applyFont="1" applyBorder="1" applyProtection="1"/>
    <xf numFmtId="0" fontId="27" fillId="0" borderId="0" xfId="0" applyFont="1" applyBorder="1" applyAlignment="1" applyProtection="1">
      <alignment horizontal="center"/>
    </xf>
    <xf numFmtId="0" fontId="27" fillId="0" borderId="7" xfId="0" applyFont="1" applyBorder="1" applyAlignment="1" applyProtection="1">
      <alignment horizontal="left" indent="1"/>
    </xf>
    <xf numFmtId="42" fontId="27" fillId="0" borderId="9" xfId="0" applyNumberFormat="1" applyFont="1" applyFill="1" applyBorder="1" applyProtection="1"/>
    <xf numFmtId="42" fontId="27" fillId="0" borderId="0" xfId="0" applyNumberFormat="1" applyFont="1" applyBorder="1" applyProtection="1"/>
    <xf numFmtId="37" fontId="27" fillId="0" borderId="8" xfId="0" applyNumberFormat="1" applyFont="1" applyBorder="1" applyProtection="1"/>
    <xf numFmtId="42" fontId="27" fillId="0" borderId="0" xfId="0" applyNumberFormat="1" applyFont="1" applyFill="1" applyBorder="1" applyProtection="1"/>
    <xf numFmtId="42" fontId="0" fillId="0" borderId="9" xfId="0" applyNumberFormat="1" applyFont="1" applyFill="1" applyBorder="1" applyProtection="1"/>
    <xf numFmtId="37" fontId="27" fillId="0" borderId="8" xfId="0" applyNumberFormat="1" applyFont="1" applyFill="1" applyBorder="1" applyProtection="1"/>
    <xf numFmtId="3" fontId="27" fillId="0" borderId="0" xfId="0" applyNumberFormat="1" applyFont="1" applyBorder="1" applyProtection="1"/>
    <xf numFmtId="3" fontId="27" fillId="0" borderId="0" xfId="0" applyNumberFormat="1" applyFont="1" applyFill="1" applyBorder="1" applyProtection="1"/>
    <xf numFmtId="3" fontId="27" fillId="0" borderId="9" xfId="0" applyNumberFormat="1" applyFont="1" applyFill="1" applyBorder="1" applyProtection="1"/>
    <xf numFmtId="49" fontId="26" fillId="0" borderId="0" xfId="0" applyNumberFormat="1" applyFont="1" applyBorder="1" applyAlignment="1" applyProtection="1">
      <alignment horizontal="center"/>
    </xf>
    <xf numFmtId="0" fontId="27" fillId="0" borderId="7" xfId="0" applyFont="1" applyFill="1" applyBorder="1" applyAlignment="1" applyProtection="1">
      <alignment horizontal="left" indent="1"/>
    </xf>
    <xf numFmtId="0" fontId="27" fillId="0" borderId="0" xfId="0" applyFont="1" applyFill="1" applyBorder="1" applyProtection="1"/>
    <xf numFmtId="37" fontId="27" fillId="2" borderId="8" xfId="0" applyNumberFormat="1" applyFont="1" applyFill="1" applyBorder="1" applyProtection="1"/>
    <xf numFmtId="4" fontId="27" fillId="0" borderId="0" xfId="0" applyNumberFormat="1" applyFont="1" applyFill="1" applyBorder="1" applyProtection="1"/>
    <xf numFmtId="0" fontId="27" fillId="0" borderId="10" xfId="0" applyFont="1" applyBorder="1" applyProtection="1"/>
    <xf numFmtId="0" fontId="27" fillId="0" borderId="11" xfId="0" applyFont="1" applyBorder="1" applyProtection="1"/>
    <xf numFmtId="37" fontId="27" fillId="0" borderId="11" xfId="0" applyNumberFormat="1" applyFont="1" applyBorder="1" applyProtection="1"/>
    <xf numFmtId="164" fontId="28" fillId="0" borderId="11" xfId="0" applyNumberFormat="1" applyFont="1" applyFill="1" applyBorder="1" applyProtection="1"/>
    <xf numFmtId="37" fontId="27" fillId="0" borderId="12" xfId="0" applyNumberFormat="1" applyFont="1" applyBorder="1" applyProtection="1"/>
    <xf numFmtId="0" fontId="15" fillId="0" borderId="0" xfId="0" applyFont="1"/>
    <xf numFmtId="0" fontId="15" fillId="0" borderId="0" xfId="0" applyFont="1" applyAlignment="1">
      <alignment horizontal="centerContinuous"/>
    </xf>
    <xf numFmtId="0" fontId="40" fillId="0" borderId="0" xfId="0" applyFont="1" applyProtection="1"/>
    <xf numFmtId="0" fontId="40" fillId="0" borderId="0" xfId="0" applyFont="1" applyFill="1" applyProtection="1"/>
    <xf numFmtId="0" fontId="33" fillId="0" borderId="0" xfId="0" applyFont="1" applyAlignment="1" applyProtection="1">
      <alignment horizontal="center"/>
    </xf>
    <xf numFmtId="0" fontId="11" fillId="0" borderId="0" xfId="0" applyFont="1" applyAlignment="1">
      <alignment horizontal="left" wrapText="1"/>
    </xf>
    <xf numFmtId="0" fontId="0" fillId="0" borderId="0" xfId="0" applyNumberFormat="1" applyAlignment="1">
      <alignment horizontal="left" wrapText="1"/>
    </xf>
    <xf numFmtId="0" fontId="0" fillId="0" borderId="0" xfId="0" applyAlignment="1">
      <alignment horizontal="left" wrapText="1"/>
    </xf>
    <xf numFmtId="0" fontId="33" fillId="0" borderId="0" xfId="0" applyFont="1" applyAlignment="1">
      <alignment horizontal="center"/>
    </xf>
    <xf numFmtId="0" fontId="17" fillId="0" borderId="0" xfId="0" applyFont="1" applyAlignment="1">
      <alignment horizontal="center"/>
    </xf>
    <xf numFmtId="0" fontId="37" fillId="0" borderId="0" xfId="0" applyFont="1" applyAlignment="1">
      <alignment horizontal="left" wrapText="1"/>
    </xf>
    <xf numFmtId="0" fontId="0" fillId="0" borderId="13" xfId="0" applyBorder="1" applyAlignment="1">
      <alignment horizontal="center"/>
    </xf>
    <xf numFmtId="0" fontId="11" fillId="0" borderId="28" xfId="0" applyFont="1" applyBorder="1" applyAlignment="1">
      <alignment horizontal="left" wrapText="1"/>
    </xf>
    <xf numFmtId="0" fontId="11" fillId="0" borderId="15" xfId="0" applyFont="1" applyBorder="1" applyAlignment="1">
      <alignment horizontal="left" wrapText="1"/>
    </xf>
    <xf numFmtId="0" fontId="11" fillId="0" borderId="29" xfId="0" applyFont="1" applyBorder="1" applyAlignment="1">
      <alignment horizontal="left" wrapText="1"/>
    </xf>
    <xf numFmtId="0" fontId="11" fillId="0" borderId="30" xfId="0" applyFont="1" applyBorder="1" applyAlignment="1">
      <alignment horizontal="left" wrapText="1"/>
    </xf>
    <xf numFmtId="0" fontId="11" fillId="0" borderId="0" xfId="0" applyFont="1" applyBorder="1" applyAlignment="1">
      <alignment horizontal="left" wrapText="1"/>
    </xf>
    <xf numFmtId="0" fontId="11" fillId="0" borderId="27" xfId="0" applyFont="1" applyBorder="1" applyAlignment="1">
      <alignment horizontal="left" wrapText="1"/>
    </xf>
    <xf numFmtId="0" fontId="11" fillId="0" borderId="31" xfId="0" applyFont="1" applyBorder="1" applyAlignment="1">
      <alignment horizontal="left" wrapText="1"/>
    </xf>
    <xf numFmtId="0" fontId="11" fillId="0" borderId="13" xfId="0" applyFont="1" applyBorder="1" applyAlignment="1">
      <alignment horizontal="left" wrapText="1"/>
    </xf>
    <xf numFmtId="0" fontId="11" fillId="0" borderId="26" xfId="0" applyFont="1" applyBorder="1" applyAlignment="1">
      <alignment horizontal="left" wrapText="1"/>
    </xf>
    <xf numFmtId="0" fontId="26" fillId="0" borderId="1" xfId="0" applyFont="1" applyFill="1" applyBorder="1" applyAlignment="1" applyProtection="1">
      <alignment horizontal="center"/>
      <protection locked="0"/>
    </xf>
    <xf numFmtId="0" fontId="26" fillId="0" borderId="3" xfId="0" applyFont="1" applyFill="1" applyBorder="1" applyAlignment="1" applyProtection="1">
      <alignment horizontal="center"/>
      <protection locked="0"/>
    </xf>
    <xf numFmtId="0" fontId="26" fillId="0" borderId="2" xfId="0" applyFont="1" applyFill="1" applyBorder="1" applyAlignment="1" applyProtection="1">
      <alignment horizontal="center"/>
      <protection locked="0"/>
    </xf>
    <xf numFmtId="0" fontId="2" fillId="0" borderId="10" xfId="0" applyFont="1" applyBorder="1" applyAlignment="1" applyProtection="1">
      <alignment horizontal="left" vertical="center" wrapText="1"/>
    </xf>
    <xf numFmtId="0" fontId="2" fillId="0" borderId="11" xfId="0" applyFont="1" applyBorder="1" applyAlignment="1" applyProtection="1">
      <alignment horizontal="left" vertical="center" wrapText="1"/>
    </xf>
    <xf numFmtId="0" fontId="2" fillId="0" borderId="12" xfId="0" applyFont="1" applyBorder="1" applyAlignment="1" applyProtection="1">
      <alignment horizontal="left" vertical="center" wrapText="1"/>
    </xf>
    <xf numFmtId="0" fontId="33" fillId="0" borderId="0" xfId="0" applyFont="1" applyAlignment="1" applyProtection="1">
      <alignment horizontal="center"/>
    </xf>
    <xf numFmtId="0" fontId="26" fillId="0" borderId="1" xfId="0" applyFont="1" applyFill="1" applyBorder="1" applyAlignment="1" applyProtection="1">
      <alignment horizontal="center"/>
    </xf>
    <xf numFmtId="0" fontId="26" fillId="0" borderId="3" xfId="0" applyFont="1" applyFill="1" applyBorder="1" applyAlignment="1" applyProtection="1">
      <alignment horizontal="center"/>
    </xf>
    <xf numFmtId="0" fontId="26" fillId="0" borderId="2" xfId="0" applyFont="1" applyFill="1" applyBorder="1" applyAlignment="1" applyProtection="1">
      <alignment horizontal="center"/>
    </xf>
    <xf numFmtId="37" fontId="2" fillId="0" borderId="0" xfId="0" applyNumberFormat="1" applyFont="1" applyFill="1" applyBorder="1" applyAlignment="1" applyProtection="1">
      <alignment horizontal="center"/>
    </xf>
    <xf numFmtId="0" fontId="2" fillId="0" borderId="0" xfId="0" applyFont="1" applyAlignment="1" applyProtection="1">
      <alignment horizontal="center"/>
    </xf>
    <xf numFmtId="0" fontId="27" fillId="0" borderId="20" xfId="0" applyFont="1" applyBorder="1" applyAlignment="1" applyProtection="1">
      <alignment horizontal="left" wrapText="1" indent="1"/>
    </xf>
    <xf numFmtId="0" fontId="27" fillId="0" borderId="0" xfId="0" applyFont="1" applyBorder="1" applyAlignment="1" applyProtection="1">
      <alignment horizontal="left" wrapText="1" indent="1"/>
    </xf>
    <xf numFmtId="0" fontId="25" fillId="0" borderId="0" xfId="0" applyFont="1" applyAlignment="1" applyProtection="1">
      <alignment horizontal="left" wrapText="1"/>
    </xf>
    <xf numFmtId="0" fontId="22" fillId="0" borderId="0" xfId="0" applyFont="1" applyAlignment="1">
      <alignment horizontal="left" vertical="top" wrapText="1"/>
    </xf>
    <xf numFmtId="0" fontId="22" fillId="0" borderId="0" xfId="0" applyFont="1" applyAlignment="1">
      <alignment horizontal="left" wrapText="1"/>
    </xf>
    <xf numFmtId="0" fontId="39" fillId="0" borderId="0" xfId="0" applyFont="1" applyFill="1" applyBorder="1" applyAlignment="1" applyProtection="1">
      <alignment horizontal="center"/>
    </xf>
  </cellXfs>
  <cellStyles count="3">
    <cellStyle name="Currency" xfId="2" builtinId="4"/>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7"/>
  <sheetViews>
    <sheetView showGridLines="0" tabSelected="1" zoomScale="110" zoomScaleNormal="110" workbookViewId="0">
      <selection activeCell="B10" sqref="B10:K10"/>
    </sheetView>
  </sheetViews>
  <sheetFormatPr defaultRowHeight="15" x14ac:dyDescent="0.25"/>
  <cols>
    <col min="1" max="1" width="2.7109375" customWidth="1"/>
    <col min="2" max="2" width="7.42578125" customWidth="1"/>
    <col min="3" max="3" width="6.7109375" customWidth="1"/>
    <col min="4" max="4" width="5.7109375" customWidth="1"/>
    <col min="10" max="10" width="8.85546875" customWidth="1"/>
    <col min="11" max="11" width="12.7109375" customWidth="1"/>
  </cols>
  <sheetData>
    <row r="1" spans="1:12" s="290" customFormat="1" ht="18.75" x14ac:dyDescent="0.3">
      <c r="A1" s="298" t="s">
        <v>43</v>
      </c>
      <c r="B1" s="298"/>
      <c r="C1" s="298"/>
      <c r="D1" s="298"/>
      <c r="E1" s="298"/>
      <c r="F1" s="298"/>
      <c r="G1" s="298"/>
      <c r="H1" s="298"/>
      <c r="I1" s="298"/>
      <c r="J1" s="298"/>
      <c r="K1" s="298"/>
    </row>
    <row r="2" spans="1:12" s="290" customFormat="1" ht="18.75" x14ac:dyDescent="0.3">
      <c r="A2" s="298" t="s">
        <v>325</v>
      </c>
      <c r="B2" s="298"/>
      <c r="C2" s="298"/>
      <c r="D2" s="298"/>
      <c r="E2" s="298"/>
      <c r="F2" s="298"/>
      <c r="G2" s="298"/>
      <c r="H2" s="298"/>
      <c r="I2" s="298"/>
      <c r="J2" s="298"/>
      <c r="K2" s="298"/>
    </row>
    <row r="3" spans="1:12" s="290" customFormat="1" ht="18.75" x14ac:dyDescent="0.3">
      <c r="A3" s="298" t="s">
        <v>0</v>
      </c>
      <c r="B3" s="298"/>
      <c r="C3" s="298"/>
      <c r="D3" s="298"/>
      <c r="E3" s="298"/>
      <c r="F3" s="298"/>
      <c r="G3" s="298"/>
      <c r="H3" s="298"/>
      <c r="I3" s="298"/>
      <c r="J3" s="298"/>
      <c r="K3" s="298"/>
    </row>
    <row r="4" spans="1:12" s="290" customFormat="1" ht="18.75" x14ac:dyDescent="0.3">
      <c r="A4" s="221" t="s">
        <v>326</v>
      </c>
      <c r="B4" s="221"/>
      <c r="C4" s="221"/>
      <c r="D4" s="221"/>
      <c r="E4" s="221"/>
      <c r="F4" s="221"/>
      <c r="G4" s="221"/>
      <c r="H4" s="221"/>
      <c r="I4" s="221"/>
      <c r="J4" s="221"/>
      <c r="K4" s="221"/>
    </row>
    <row r="5" spans="1:12" s="290" customFormat="1" ht="18.75" x14ac:dyDescent="0.3">
      <c r="A5" s="299" t="s">
        <v>339</v>
      </c>
      <c r="B5" s="299"/>
      <c r="C5" s="299"/>
      <c r="D5" s="299"/>
      <c r="E5" s="299"/>
      <c r="F5" s="299"/>
      <c r="G5" s="299"/>
      <c r="H5" s="299"/>
      <c r="I5" s="299"/>
      <c r="J5" s="299"/>
      <c r="K5" s="299"/>
      <c r="L5" s="227"/>
    </row>
    <row r="7" spans="1:12" ht="18.75" x14ac:dyDescent="0.3">
      <c r="A7" s="246" t="s">
        <v>321</v>
      </c>
      <c r="B7" s="245"/>
      <c r="C7" s="245"/>
      <c r="D7" s="243"/>
      <c r="E7" s="243"/>
      <c r="F7" s="243"/>
      <c r="G7" s="243"/>
      <c r="H7" s="243"/>
      <c r="I7" s="243"/>
      <c r="J7" s="243"/>
      <c r="K7" s="243"/>
      <c r="L7" s="227"/>
    </row>
    <row r="8" spans="1:12" ht="62.25" customHeight="1" x14ac:dyDescent="0.3">
      <c r="A8" s="243"/>
      <c r="B8" s="300" t="s">
        <v>345</v>
      </c>
      <c r="C8" s="300"/>
      <c r="D8" s="300"/>
      <c r="E8" s="300"/>
      <c r="F8" s="300"/>
      <c r="G8" s="300"/>
      <c r="H8" s="300"/>
      <c r="I8" s="300"/>
      <c r="J8" s="300"/>
      <c r="K8" s="300"/>
      <c r="L8" s="227"/>
    </row>
    <row r="9" spans="1:12" ht="8.25" customHeight="1" x14ac:dyDescent="0.3">
      <c r="A9" s="243"/>
      <c r="B9" s="244"/>
      <c r="C9" s="244"/>
      <c r="D9" s="244"/>
      <c r="E9" s="244"/>
      <c r="F9" s="244"/>
      <c r="G9" s="244"/>
      <c r="H9" s="244"/>
      <c r="I9" s="244"/>
      <c r="J9" s="244"/>
      <c r="K9" s="244"/>
      <c r="L9" s="227"/>
    </row>
    <row r="10" spans="1:12" ht="76.5" customHeight="1" x14ac:dyDescent="0.3">
      <c r="A10" s="243"/>
      <c r="B10" s="300" t="s">
        <v>344</v>
      </c>
      <c r="C10" s="300"/>
      <c r="D10" s="300"/>
      <c r="E10" s="300"/>
      <c r="F10" s="300"/>
      <c r="G10" s="300"/>
      <c r="H10" s="300"/>
      <c r="I10" s="300"/>
      <c r="J10" s="300"/>
      <c r="K10" s="300"/>
      <c r="L10" s="227"/>
    </row>
    <row r="11" spans="1:12" s="220" customFormat="1" ht="9.75" customHeight="1" x14ac:dyDescent="0.3">
      <c r="A11" s="243"/>
      <c r="B11" s="244"/>
      <c r="C11" s="244"/>
      <c r="D11" s="244"/>
      <c r="E11" s="244"/>
      <c r="F11" s="244"/>
      <c r="G11" s="244"/>
      <c r="H11" s="244"/>
      <c r="I11" s="244"/>
      <c r="J11" s="244"/>
      <c r="K11" s="244"/>
      <c r="L11" s="227"/>
    </row>
    <row r="12" spans="1:12" s="220" customFormat="1" ht="27.75" customHeight="1" x14ac:dyDescent="0.3">
      <c r="A12" s="243"/>
      <c r="B12" s="300" t="s">
        <v>324</v>
      </c>
      <c r="C12" s="300"/>
      <c r="D12" s="300"/>
      <c r="E12" s="300"/>
      <c r="F12" s="300"/>
      <c r="G12" s="300"/>
      <c r="H12" s="300"/>
      <c r="I12" s="300"/>
      <c r="J12" s="300"/>
      <c r="K12" s="300"/>
      <c r="L12" s="227"/>
    </row>
    <row r="13" spans="1:12" x14ac:dyDescent="0.25">
      <c r="B13" s="181"/>
      <c r="C13" s="181"/>
      <c r="D13" s="181"/>
      <c r="E13" s="181"/>
      <c r="F13" s="181"/>
      <c r="G13" s="181"/>
      <c r="H13" s="181"/>
      <c r="I13" s="181"/>
      <c r="J13" s="181"/>
      <c r="K13" s="181"/>
    </row>
    <row r="14" spans="1:12" x14ac:dyDescent="0.25">
      <c r="A14" s="247" t="s">
        <v>187</v>
      </c>
      <c r="B14" s="234"/>
      <c r="C14" s="234"/>
      <c r="D14" s="220"/>
      <c r="E14" s="220"/>
      <c r="F14" s="220"/>
      <c r="G14" s="220"/>
      <c r="H14" s="220"/>
      <c r="I14" s="220"/>
      <c r="J14" s="220"/>
      <c r="K14" s="220"/>
      <c r="L14" s="220"/>
    </row>
    <row r="15" spans="1:12" x14ac:dyDescent="0.25">
      <c r="A15" s="235"/>
      <c r="B15" s="234"/>
      <c r="C15" s="234"/>
    </row>
    <row r="16" spans="1:12" x14ac:dyDescent="0.25">
      <c r="A16" s="220"/>
      <c r="B16" s="297" t="s">
        <v>346</v>
      </c>
      <c r="C16" s="297"/>
      <c r="D16" s="297"/>
      <c r="E16" s="297"/>
      <c r="F16" s="297"/>
      <c r="G16" s="297"/>
      <c r="H16" s="297"/>
      <c r="I16" s="297"/>
      <c r="J16" s="297"/>
      <c r="K16" s="297"/>
      <c r="L16" s="220"/>
    </row>
    <row r="17" spans="1:12" ht="15" customHeight="1" x14ac:dyDescent="0.25">
      <c r="A17" s="220"/>
      <c r="B17" s="297"/>
      <c r="C17" s="297"/>
      <c r="D17" s="297"/>
      <c r="E17" s="297"/>
      <c r="F17" s="297"/>
      <c r="G17" s="297"/>
      <c r="H17" s="297"/>
      <c r="I17" s="297"/>
      <c r="J17" s="297"/>
      <c r="K17" s="297"/>
      <c r="L17" s="220"/>
    </row>
    <row r="18" spans="1:12" x14ac:dyDescent="0.25">
      <c r="A18" s="220"/>
      <c r="B18" s="297"/>
      <c r="C18" s="297"/>
      <c r="D18" s="297"/>
      <c r="E18" s="297"/>
      <c r="F18" s="297"/>
      <c r="G18" s="297"/>
      <c r="H18" s="297"/>
      <c r="I18" s="297"/>
      <c r="J18" s="297"/>
      <c r="K18" s="297"/>
      <c r="L18" s="220"/>
    </row>
    <row r="19" spans="1:12" x14ac:dyDescent="0.25">
      <c r="B19" s="181"/>
      <c r="C19" s="181"/>
      <c r="D19" s="181"/>
      <c r="E19" s="181"/>
      <c r="F19" s="181"/>
      <c r="G19" s="181"/>
      <c r="H19" s="181"/>
      <c r="I19" s="181"/>
      <c r="J19" s="181"/>
      <c r="K19" s="181"/>
    </row>
    <row r="20" spans="1:12" x14ac:dyDescent="0.25">
      <c r="A20" s="247" t="s">
        <v>188</v>
      </c>
      <c r="B20" s="234"/>
      <c r="C20" s="234"/>
      <c r="D20" s="220"/>
      <c r="E20" s="220"/>
      <c r="F20" s="220"/>
      <c r="G20" s="220"/>
      <c r="H20" s="220"/>
      <c r="I20" s="220"/>
      <c r="J20" s="220"/>
      <c r="K20" s="220"/>
    </row>
    <row r="22" spans="1:12" ht="15" customHeight="1" x14ac:dyDescent="0.25">
      <c r="A22" s="220"/>
      <c r="B22" s="297" t="s">
        <v>189</v>
      </c>
      <c r="C22" s="297"/>
      <c r="D22" s="297"/>
      <c r="E22" s="297"/>
      <c r="F22" s="297"/>
      <c r="G22" s="297"/>
      <c r="H22" s="297"/>
      <c r="I22" s="297"/>
      <c r="J22" s="297"/>
      <c r="K22" s="297"/>
    </row>
    <row r="23" spans="1:12" x14ac:dyDescent="0.25">
      <c r="A23" s="220"/>
      <c r="B23" s="297"/>
      <c r="C23" s="297"/>
      <c r="D23" s="297"/>
      <c r="E23" s="297"/>
      <c r="F23" s="297"/>
      <c r="G23" s="297"/>
      <c r="H23" s="297"/>
      <c r="I23" s="297"/>
      <c r="J23" s="297"/>
      <c r="K23" s="297"/>
    </row>
    <row r="24" spans="1:12" x14ac:dyDescent="0.25">
      <c r="A24" s="220"/>
      <c r="B24" s="223"/>
      <c r="C24" s="223"/>
      <c r="D24" s="223"/>
      <c r="E24" s="223"/>
      <c r="F24" s="223"/>
      <c r="G24" s="223"/>
      <c r="H24" s="223"/>
      <c r="I24" s="223"/>
      <c r="J24" s="223"/>
      <c r="K24" s="223"/>
    </row>
    <row r="25" spans="1:12" ht="15" customHeight="1" x14ac:dyDescent="0.25">
      <c r="A25" s="220"/>
      <c r="B25" s="246" t="s">
        <v>195</v>
      </c>
      <c r="C25" s="236"/>
      <c r="D25" s="236"/>
      <c r="E25" s="223"/>
      <c r="F25" s="223"/>
      <c r="G25" s="223"/>
      <c r="H25" s="223"/>
      <c r="I25" s="223"/>
      <c r="J25" s="223"/>
      <c r="K25" s="223"/>
    </row>
    <row r="26" spans="1:12" x14ac:dyDescent="0.25">
      <c r="C26" s="181"/>
      <c r="D26" s="181"/>
      <c r="E26" s="181"/>
      <c r="F26" s="181"/>
      <c r="G26" s="181"/>
      <c r="H26" s="181"/>
      <c r="I26" s="181"/>
      <c r="J26" s="181"/>
      <c r="K26" s="181"/>
    </row>
    <row r="27" spans="1:12" x14ac:dyDescent="0.25">
      <c r="A27" s="220"/>
      <c r="B27" s="220"/>
      <c r="C27" s="297" t="s">
        <v>190</v>
      </c>
      <c r="D27" s="297"/>
      <c r="E27" s="297"/>
      <c r="F27" s="297"/>
      <c r="G27" s="297"/>
      <c r="H27" s="297"/>
      <c r="I27" s="297"/>
      <c r="J27" s="297"/>
      <c r="K27" s="297"/>
    </row>
    <row r="28" spans="1:12" x14ac:dyDescent="0.25">
      <c r="A28" s="220"/>
      <c r="B28" s="220"/>
      <c r="C28" s="297"/>
      <c r="D28" s="297"/>
      <c r="E28" s="297"/>
      <c r="F28" s="297"/>
      <c r="G28" s="297"/>
      <c r="H28" s="297"/>
      <c r="I28" s="297"/>
      <c r="J28" s="297"/>
      <c r="K28" s="297"/>
    </row>
    <row r="30" spans="1:12" x14ac:dyDescent="0.25">
      <c r="A30" s="220"/>
      <c r="B30" s="220"/>
      <c r="C30" s="297" t="s">
        <v>263</v>
      </c>
      <c r="D30" s="297"/>
      <c r="E30" s="297"/>
      <c r="F30" s="297"/>
      <c r="G30" s="297"/>
      <c r="H30" s="297"/>
      <c r="I30" s="297"/>
      <c r="J30" s="297"/>
      <c r="K30" s="297"/>
    </row>
    <row r="31" spans="1:12" x14ac:dyDescent="0.25">
      <c r="A31" s="220"/>
      <c r="B31" s="220"/>
      <c r="C31" s="297"/>
      <c r="D31" s="297"/>
      <c r="E31" s="297"/>
      <c r="F31" s="297"/>
      <c r="G31" s="297"/>
      <c r="H31" s="297"/>
      <c r="I31" s="297"/>
      <c r="J31" s="297"/>
      <c r="K31" s="297"/>
    </row>
    <row r="33" spans="1:11" x14ac:dyDescent="0.25">
      <c r="A33" s="220"/>
      <c r="B33" s="220"/>
      <c r="C33" s="222" t="s">
        <v>191</v>
      </c>
      <c r="D33" s="220"/>
      <c r="E33" s="220"/>
      <c r="F33" s="220"/>
      <c r="G33" s="220"/>
      <c r="H33" s="220"/>
      <c r="I33" s="220"/>
      <c r="J33" s="220"/>
      <c r="K33" s="220"/>
    </row>
    <row r="34" spans="1:11" s="220" customFormat="1" x14ac:dyDescent="0.25">
      <c r="C34" s="222"/>
    </row>
    <row r="35" spans="1:11" s="220" customFormat="1" ht="43.5" customHeight="1" x14ac:dyDescent="0.25">
      <c r="C35" s="297" t="s">
        <v>340</v>
      </c>
      <c r="D35" s="297"/>
      <c r="E35" s="297"/>
      <c r="F35" s="297"/>
      <c r="G35" s="297"/>
      <c r="H35" s="297"/>
      <c r="I35" s="297"/>
      <c r="J35" s="297"/>
      <c r="K35" s="297"/>
    </row>
    <row r="37" spans="1:11" x14ac:dyDescent="0.25">
      <c r="A37" s="220"/>
      <c r="B37" s="220"/>
      <c r="C37" s="220" t="s">
        <v>192</v>
      </c>
      <c r="D37" s="220"/>
      <c r="E37" s="220"/>
      <c r="F37" s="220"/>
      <c r="G37" s="220"/>
      <c r="H37" s="220"/>
      <c r="I37" s="220"/>
      <c r="J37" s="220"/>
      <c r="K37" s="220"/>
    </row>
    <row r="39" spans="1:11" x14ac:dyDescent="0.25">
      <c r="B39" s="220"/>
      <c r="C39" s="220" t="s">
        <v>193</v>
      </c>
      <c r="D39" s="220"/>
      <c r="E39" s="220"/>
      <c r="F39" s="220"/>
      <c r="G39" s="220"/>
      <c r="H39" s="220"/>
      <c r="I39" s="220"/>
      <c r="J39" s="220"/>
      <c r="K39" s="220"/>
    </row>
    <row r="40" spans="1:11" x14ac:dyDescent="0.25">
      <c r="B40" s="235"/>
      <c r="C40" s="234"/>
      <c r="D40" s="234"/>
      <c r="E40" s="234"/>
      <c r="F40" s="234"/>
      <c r="G40" s="234"/>
    </row>
    <row r="41" spans="1:11" x14ac:dyDescent="0.25">
      <c r="B41" s="220"/>
      <c r="C41" s="220" t="s">
        <v>194</v>
      </c>
      <c r="D41" s="220"/>
      <c r="E41" s="220"/>
      <c r="F41" s="220"/>
      <c r="G41" s="220"/>
      <c r="H41" s="220"/>
      <c r="I41" s="220"/>
      <c r="J41" s="220"/>
      <c r="K41" s="220"/>
    </row>
    <row r="42" spans="1:11" ht="15" customHeight="1" x14ac:dyDescent="0.25">
      <c r="C42" s="181"/>
      <c r="D42" s="181"/>
      <c r="E42" s="181"/>
      <c r="F42" s="181"/>
      <c r="G42" s="181"/>
      <c r="H42" s="181"/>
      <c r="I42" s="181"/>
      <c r="J42" s="181"/>
      <c r="K42" s="181"/>
    </row>
    <row r="43" spans="1:11" x14ac:dyDescent="0.25">
      <c r="B43" s="220"/>
      <c r="C43" s="220" t="s">
        <v>264</v>
      </c>
      <c r="D43" s="220"/>
      <c r="E43" s="220"/>
      <c r="F43" s="220"/>
      <c r="G43" s="220"/>
      <c r="H43" s="220"/>
      <c r="I43" s="220"/>
      <c r="J43" s="220"/>
      <c r="K43" s="220"/>
    </row>
    <row r="44" spans="1:11" x14ac:dyDescent="0.25">
      <c r="C44" s="181"/>
      <c r="D44" s="181"/>
      <c r="E44" s="181"/>
      <c r="F44" s="181"/>
      <c r="G44" s="181"/>
      <c r="H44" s="181"/>
      <c r="I44" s="181"/>
      <c r="J44" s="181"/>
      <c r="K44" s="181"/>
    </row>
    <row r="45" spans="1:11" ht="15" customHeight="1" x14ac:dyDescent="0.25">
      <c r="B45" s="247" t="s">
        <v>196</v>
      </c>
      <c r="C45" s="234"/>
      <c r="D45" s="234"/>
      <c r="E45" s="234"/>
      <c r="F45" s="234"/>
      <c r="G45" s="234"/>
      <c r="H45" s="234"/>
      <c r="I45" s="220"/>
      <c r="J45" s="220"/>
      <c r="K45" s="220"/>
    </row>
    <row r="46" spans="1:11" ht="15" customHeight="1" x14ac:dyDescent="0.25">
      <c r="C46" s="181"/>
      <c r="D46" s="181"/>
      <c r="E46" s="181"/>
      <c r="F46" s="181"/>
      <c r="G46" s="181"/>
      <c r="H46" s="181"/>
      <c r="I46" s="181"/>
      <c r="J46" s="181"/>
      <c r="K46" s="181"/>
    </row>
    <row r="47" spans="1:11" ht="16.5" customHeight="1" x14ac:dyDescent="0.25">
      <c r="B47" s="220"/>
      <c r="C47" s="297" t="s">
        <v>208</v>
      </c>
      <c r="D47" s="297"/>
      <c r="E47" s="297"/>
      <c r="F47" s="297"/>
      <c r="G47" s="297"/>
      <c r="H47" s="297"/>
      <c r="I47" s="297"/>
      <c r="J47" s="297"/>
      <c r="K47" s="297"/>
    </row>
    <row r="48" spans="1:11" x14ac:dyDescent="0.25">
      <c r="B48" s="220"/>
      <c r="C48" s="297"/>
      <c r="D48" s="297"/>
      <c r="E48" s="297"/>
      <c r="F48" s="297"/>
      <c r="G48" s="297"/>
      <c r="H48" s="297"/>
      <c r="I48" s="297"/>
      <c r="J48" s="297"/>
      <c r="K48" s="297"/>
    </row>
    <row r="49" spans="2:11" x14ac:dyDescent="0.25">
      <c r="B49" s="220"/>
      <c r="C49" s="297"/>
      <c r="D49" s="297"/>
      <c r="E49" s="297"/>
      <c r="F49" s="297"/>
      <c r="G49" s="297"/>
      <c r="H49" s="297"/>
      <c r="I49" s="297"/>
      <c r="J49" s="297"/>
      <c r="K49" s="297"/>
    </row>
    <row r="50" spans="2:11" ht="15" customHeight="1" x14ac:dyDescent="0.25">
      <c r="B50" s="220"/>
      <c r="C50" s="297" t="s">
        <v>197</v>
      </c>
      <c r="D50" s="297"/>
      <c r="E50" s="297"/>
      <c r="F50" s="297"/>
      <c r="G50" s="297"/>
      <c r="H50" s="297"/>
      <c r="I50" s="297"/>
      <c r="J50" s="297"/>
      <c r="K50" s="297"/>
    </row>
    <row r="51" spans="2:11" x14ac:dyDescent="0.25">
      <c r="B51" s="220"/>
      <c r="C51" s="297"/>
      <c r="D51" s="297"/>
      <c r="E51" s="297"/>
      <c r="F51" s="297"/>
      <c r="G51" s="297"/>
      <c r="H51" s="297"/>
      <c r="I51" s="297"/>
      <c r="J51" s="297"/>
      <c r="K51" s="297"/>
    </row>
    <row r="52" spans="2:11" x14ac:dyDescent="0.25">
      <c r="B52" s="220"/>
      <c r="C52" s="297"/>
      <c r="D52" s="297"/>
      <c r="E52" s="297"/>
      <c r="F52" s="297"/>
      <c r="G52" s="297"/>
      <c r="H52" s="297"/>
      <c r="I52" s="297"/>
      <c r="J52" s="297"/>
      <c r="K52" s="297"/>
    </row>
    <row r="53" spans="2:11" ht="15" customHeight="1" x14ac:dyDescent="0.25">
      <c r="C53" s="60"/>
      <c r="D53" s="182"/>
      <c r="E53" s="182"/>
      <c r="F53" s="182"/>
      <c r="G53" s="182"/>
      <c r="H53" s="182"/>
      <c r="I53" s="182"/>
      <c r="J53" s="182"/>
      <c r="K53" s="182"/>
    </row>
    <row r="54" spans="2:11" ht="15" customHeight="1" x14ac:dyDescent="0.25">
      <c r="C54" s="296" t="s">
        <v>198</v>
      </c>
      <c r="D54" s="296"/>
      <c r="E54" s="296"/>
      <c r="F54" s="296"/>
      <c r="G54" s="296"/>
      <c r="H54" s="296"/>
      <c r="I54" s="296"/>
      <c r="J54" s="296"/>
      <c r="K54" s="296"/>
    </row>
    <row r="55" spans="2:11" ht="15" customHeight="1" x14ac:dyDescent="0.25">
      <c r="C55" s="296"/>
      <c r="D55" s="296"/>
      <c r="E55" s="296"/>
      <c r="F55" s="296"/>
      <c r="G55" s="296"/>
      <c r="H55" s="296"/>
      <c r="I55" s="296"/>
      <c r="J55" s="296"/>
      <c r="K55" s="296"/>
    </row>
    <row r="56" spans="2:11" x14ac:dyDescent="0.25">
      <c r="C56" s="224"/>
      <c r="D56" s="224"/>
      <c r="E56" s="224"/>
      <c r="F56" s="224"/>
      <c r="G56" s="224"/>
      <c r="H56" s="224"/>
      <c r="I56" s="224"/>
      <c r="J56" s="224"/>
      <c r="K56" s="224"/>
    </row>
    <row r="57" spans="2:11" ht="15" customHeight="1" x14ac:dyDescent="0.25">
      <c r="C57" s="225" t="s">
        <v>200</v>
      </c>
      <c r="D57" s="296" t="s">
        <v>199</v>
      </c>
      <c r="E57" s="296"/>
      <c r="F57" s="296"/>
      <c r="G57" s="296"/>
      <c r="H57" s="296"/>
      <c r="I57" s="296"/>
      <c r="J57" s="296"/>
      <c r="K57" s="296"/>
    </row>
    <row r="58" spans="2:11" x14ac:dyDescent="0.25">
      <c r="C58" s="225" t="s">
        <v>200</v>
      </c>
      <c r="D58" s="296" t="s">
        <v>288</v>
      </c>
      <c r="E58" s="296"/>
      <c r="F58" s="296"/>
      <c r="G58" s="296"/>
      <c r="H58" s="296"/>
      <c r="I58" s="296"/>
      <c r="J58" s="296"/>
      <c r="K58" s="296"/>
    </row>
    <row r="59" spans="2:11" x14ac:dyDescent="0.25">
      <c r="C59" s="225" t="s">
        <v>200</v>
      </c>
      <c r="D59" s="296" t="s">
        <v>289</v>
      </c>
      <c r="E59" s="296"/>
      <c r="F59" s="296"/>
      <c r="G59" s="296"/>
      <c r="H59" s="296"/>
      <c r="I59" s="296"/>
      <c r="J59" s="296"/>
      <c r="K59" s="296"/>
    </row>
    <row r="60" spans="2:11" x14ac:dyDescent="0.25">
      <c r="C60" s="182"/>
      <c r="D60" s="182"/>
      <c r="E60" s="182"/>
      <c r="F60" s="182"/>
      <c r="G60" s="182"/>
      <c r="H60" s="182"/>
      <c r="I60" s="182"/>
      <c r="J60" s="182"/>
      <c r="K60" s="182"/>
    </row>
    <row r="61" spans="2:11" x14ac:dyDescent="0.25">
      <c r="C61" s="296" t="s">
        <v>209</v>
      </c>
      <c r="D61" s="296"/>
      <c r="E61" s="296"/>
      <c r="F61" s="296"/>
      <c r="G61" s="296"/>
      <c r="H61" s="296"/>
      <c r="I61" s="296"/>
      <c r="J61" s="296"/>
      <c r="K61" s="296"/>
    </row>
    <row r="62" spans="2:11" x14ac:dyDescent="0.25">
      <c r="C62" s="296"/>
      <c r="D62" s="296"/>
      <c r="E62" s="296"/>
      <c r="F62" s="296"/>
      <c r="G62" s="296"/>
      <c r="H62" s="296"/>
      <c r="I62" s="296"/>
      <c r="J62" s="296"/>
      <c r="K62" s="296"/>
    </row>
    <row r="63" spans="2:11" x14ac:dyDescent="0.25">
      <c r="C63" s="296"/>
      <c r="D63" s="296"/>
      <c r="E63" s="296"/>
      <c r="F63" s="296"/>
      <c r="G63" s="296"/>
      <c r="H63" s="296"/>
      <c r="I63" s="296"/>
      <c r="J63" s="296"/>
      <c r="K63" s="296"/>
    </row>
    <row r="64" spans="2:11" ht="15" customHeight="1" x14ac:dyDescent="0.25">
      <c r="C64" s="296"/>
      <c r="D64" s="296"/>
      <c r="E64" s="296"/>
      <c r="F64" s="296"/>
      <c r="G64" s="296"/>
      <c r="H64" s="296"/>
      <c r="I64" s="296"/>
      <c r="J64" s="296"/>
      <c r="K64" s="296"/>
    </row>
    <row r="65" spans="1:11" x14ac:dyDescent="0.25">
      <c r="C65" s="296"/>
      <c r="D65" s="296"/>
      <c r="E65" s="296"/>
      <c r="F65" s="296"/>
      <c r="G65" s="296"/>
      <c r="H65" s="296"/>
      <c r="I65" s="296"/>
      <c r="J65" s="296"/>
      <c r="K65" s="296"/>
    </row>
    <row r="66" spans="1:11" x14ac:dyDescent="0.25">
      <c r="C66" s="296"/>
      <c r="D66" s="296"/>
      <c r="E66" s="296"/>
      <c r="F66" s="296"/>
      <c r="G66" s="296"/>
      <c r="H66" s="296"/>
      <c r="I66" s="296"/>
      <c r="J66" s="296"/>
      <c r="K66" s="296"/>
    </row>
    <row r="67" spans="1:11" x14ac:dyDescent="0.25">
      <c r="A67" s="235"/>
      <c r="B67" s="234"/>
      <c r="C67" s="236"/>
      <c r="D67" s="181"/>
      <c r="E67" s="181"/>
      <c r="F67" s="181"/>
      <c r="G67" s="181"/>
      <c r="H67" s="181"/>
      <c r="I67" s="181"/>
      <c r="J67" s="181"/>
      <c r="K67" s="181"/>
    </row>
    <row r="68" spans="1:11" x14ac:dyDescent="0.25">
      <c r="A68" s="180"/>
      <c r="B68" s="178"/>
      <c r="C68" s="297" t="s">
        <v>201</v>
      </c>
      <c r="D68" s="297"/>
      <c r="E68" s="297"/>
      <c r="F68" s="297"/>
      <c r="G68" s="297"/>
      <c r="H68" s="297"/>
      <c r="I68" s="297"/>
      <c r="J68" s="297"/>
      <c r="K68" s="297"/>
    </row>
    <row r="69" spans="1:11" x14ac:dyDescent="0.25">
      <c r="C69" s="297"/>
      <c r="D69" s="297"/>
      <c r="E69" s="297"/>
      <c r="F69" s="297"/>
      <c r="G69" s="297"/>
      <c r="H69" s="297"/>
      <c r="I69" s="297"/>
      <c r="J69" s="297"/>
      <c r="K69" s="297"/>
    </row>
    <row r="70" spans="1:11" x14ac:dyDescent="0.25">
      <c r="A70" s="220"/>
      <c r="B70" s="220"/>
      <c r="C70" s="223"/>
      <c r="D70" s="223"/>
      <c r="E70" s="223"/>
      <c r="F70" s="223"/>
      <c r="G70" s="223"/>
      <c r="H70" s="223"/>
      <c r="I70" s="223"/>
      <c r="J70" s="223"/>
      <c r="K70" s="223"/>
    </row>
    <row r="71" spans="1:11" x14ac:dyDescent="0.25">
      <c r="A71" s="247" t="s">
        <v>262</v>
      </c>
      <c r="B71" s="234"/>
      <c r="C71" s="236"/>
      <c r="D71" s="223"/>
      <c r="E71" s="223"/>
      <c r="F71" s="223"/>
      <c r="G71" s="223"/>
      <c r="H71" s="223"/>
      <c r="I71" s="223"/>
      <c r="J71" s="223"/>
      <c r="K71" s="223"/>
    </row>
    <row r="72" spans="1:11" x14ac:dyDescent="0.25">
      <c r="A72" s="235"/>
      <c r="B72" s="234"/>
      <c r="C72" s="236"/>
      <c r="D72" s="223"/>
      <c r="E72" s="223"/>
      <c r="F72" s="223"/>
      <c r="G72" s="223"/>
      <c r="H72" s="223"/>
      <c r="I72" s="223"/>
      <c r="J72" s="223"/>
      <c r="K72" s="223"/>
    </row>
    <row r="73" spans="1:11" x14ac:dyDescent="0.25">
      <c r="A73" s="220"/>
      <c r="B73" s="220" t="s">
        <v>290</v>
      </c>
      <c r="C73" s="223"/>
      <c r="D73" s="223"/>
      <c r="E73" s="223"/>
      <c r="F73" s="223"/>
      <c r="G73" s="223"/>
      <c r="H73" s="223"/>
      <c r="I73" s="223"/>
      <c r="J73" s="223"/>
      <c r="K73" s="223"/>
    </row>
    <row r="74" spans="1:11" ht="15" customHeight="1" x14ac:dyDescent="0.25">
      <c r="A74" s="220"/>
      <c r="B74" s="220" t="s">
        <v>291</v>
      </c>
      <c r="C74" s="223"/>
      <c r="D74" s="223"/>
      <c r="E74" s="223"/>
      <c r="F74" s="223"/>
      <c r="G74" s="223"/>
      <c r="H74" s="223"/>
      <c r="I74" s="223"/>
      <c r="J74" s="223"/>
      <c r="K74" s="223"/>
    </row>
    <row r="75" spans="1:11" x14ac:dyDescent="0.25">
      <c r="B75" s="181"/>
      <c r="C75" s="181"/>
      <c r="D75" s="181"/>
      <c r="E75" s="181"/>
      <c r="F75" s="181"/>
      <c r="G75" s="181"/>
      <c r="H75" s="181"/>
      <c r="I75" s="181"/>
      <c r="J75" s="181"/>
      <c r="K75" s="181"/>
    </row>
    <row r="76" spans="1:11" x14ac:dyDescent="0.25">
      <c r="A76" s="247" t="s">
        <v>202</v>
      </c>
      <c r="B76" s="234"/>
      <c r="C76" s="234"/>
      <c r="D76" s="220"/>
      <c r="E76" s="220"/>
      <c r="F76" s="220"/>
      <c r="G76" s="220"/>
      <c r="H76" s="220"/>
      <c r="I76" s="220"/>
      <c r="J76" s="220"/>
      <c r="K76" s="220"/>
    </row>
    <row r="78" spans="1:11" x14ac:dyDescent="0.25">
      <c r="A78" s="220"/>
      <c r="B78" s="297" t="s">
        <v>331</v>
      </c>
      <c r="C78" s="297"/>
      <c r="D78" s="297"/>
      <c r="E78" s="297"/>
      <c r="F78" s="297"/>
      <c r="G78" s="297"/>
      <c r="H78" s="297"/>
      <c r="I78" s="297"/>
      <c r="J78" s="297"/>
      <c r="K78" s="297"/>
    </row>
    <row r="79" spans="1:11" x14ac:dyDescent="0.25">
      <c r="A79" s="220"/>
      <c r="B79" s="297"/>
      <c r="C79" s="297"/>
      <c r="D79" s="297"/>
      <c r="E79" s="297"/>
      <c r="F79" s="297"/>
      <c r="G79" s="297"/>
      <c r="H79" s="297"/>
      <c r="I79" s="297"/>
      <c r="J79" s="297"/>
      <c r="K79" s="297"/>
    </row>
    <row r="80" spans="1:11" ht="44.25" customHeight="1" x14ac:dyDescent="0.25">
      <c r="A80" s="220"/>
      <c r="B80" s="297"/>
      <c r="C80" s="297"/>
      <c r="D80" s="297"/>
      <c r="E80" s="297"/>
      <c r="F80" s="297"/>
      <c r="G80" s="297"/>
      <c r="H80" s="297"/>
      <c r="I80" s="297"/>
      <c r="J80" s="297"/>
      <c r="K80" s="297"/>
    </row>
    <row r="82" spans="1:11" x14ac:dyDescent="0.25">
      <c r="A82" s="247" t="s">
        <v>203</v>
      </c>
      <c r="B82" s="234"/>
      <c r="C82" s="234"/>
      <c r="D82" s="220"/>
      <c r="E82" s="220"/>
      <c r="F82" s="220"/>
      <c r="G82" s="220"/>
      <c r="H82" s="220"/>
      <c r="I82" s="220"/>
      <c r="J82" s="220"/>
      <c r="K82" s="220"/>
    </row>
    <row r="83" spans="1:11" x14ac:dyDescent="0.25">
      <c r="A83" s="220"/>
      <c r="B83" s="233"/>
      <c r="C83" s="233"/>
      <c r="D83" s="233"/>
      <c r="E83" s="233"/>
      <c r="F83" s="233"/>
      <c r="G83" s="233"/>
      <c r="H83" s="233"/>
      <c r="I83" s="233"/>
      <c r="J83" s="233"/>
      <c r="K83" s="233"/>
    </row>
    <row r="84" spans="1:11" x14ac:dyDescent="0.25">
      <c r="A84" s="220"/>
      <c r="B84" s="220" t="s">
        <v>265</v>
      </c>
      <c r="C84" s="220"/>
      <c r="D84" s="220"/>
      <c r="E84" s="220"/>
      <c r="F84" s="220"/>
      <c r="G84" s="220"/>
      <c r="H84" s="220"/>
      <c r="I84" s="220"/>
      <c r="J84" s="220"/>
      <c r="K84" s="220"/>
    </row>
    <row r="85" spans="1:11" x14ac:dyDescent="0.25">
      <c r="A85" s="220"/>
      <c r="B85" s="220" t="s">
        <v>266</v>
      </c>
      <c r="C85" s="220"/>
      <c r="D85" s="220"/>
      <c r="E85" s="220"/>
      <c r="F85" s="220"/>
      <c r="G85" s="220"/>
      <c r="H85" s="220"/>
      <c r="I85" s="220"/>
      <c r="J85" s="220"/>
      <c r="K85" s="220"/>
    </row>
    <row r="86" spans="1:11" x14ac:dyDescent="0.25">
      <c r="A86" s="220"/>
      <c r="B86" s="220" t="s">
        <v>267</v>
      </c>
      <c r="C86" s="220"/>
      <c r="D86" s="220"/>
      <c r="E86" s="220"/>
      <c r="F86" s="220"/>
      <c r="G86" s="220"/>
      <c r="H86" s="220"/>
      <c r="I86" s="220"/>
      <c r="J86" s="220"/>
      <c r="K86" s="220"/>
    </row>
    <row r="87" spans="1:11" x14ac:dyDescent="0.25">
      <c r="A87" s="220"/>
      <c r="B87" s="233"/>
      <c r="C87" s="233"/>
      <c r="D87" s="233"/>
      <c r="E87" s="233"/>
      <c r="F87" s="233"/>
      <c r="G87" s="233"/>
      <c r="H87" s="233"/>
      <c r="I87" s="233"/>
      <c r="J87" s="233"/>
      <c r="K87" s="233"/>
    </row>
    <row r="88" spans="1:11" x14ac:dyDescent="0.25">
      <c r="A88" s="220"/>
      <c r="B88" s="220" t="s">
        <v>268</v>
      </c>
      <c r="C88" s="220"/>
      <c r="D88" s="220"/>
      <c r="E88" s="220"/>
      <c r="F88" s="220"/>
      <c r="G88" s="220"/>
      <c r="H88" s="220"/>
      <c r="I88" s="220"/>
      <c r="J88" s="220"/>
      <c r="K88" s="220"/>
    </row>
    <row r="89" spans="1:11" x14ac:dyDescent="0.25">
      <c r="A89" s="220"/>
      <c r="B89" s="220" t="s">
        <v>269</v>
      </c>
      <c r="C89" s="220"/>
      <c r="D89" s="220"/>
      <c r="E89" s="220"/>
      <c r="F89" s="220"/>
      <c r="G89" s="220"/>
      <c r="H89" s="220"/>
      <c r="I89" s="220"/>
      <c r="J89" s="220"/>
      <c r="K89" s="220"/>
    </row>
    <row r="90" spans="1:11" x14ac:dyDescent="0.25">
      <c r="A90" s="220"/>
      <c r="B90" s="220" t="s">
        <v>270</v>
      </c>
      <c r="C90" s="220"/>
      <c r="D90" s="220"/>
      <c r="E90" s="220"/>
      <c r="F90" s="220"/>
      <c r="G90" s="220"/>
      <c r="H90" s="220"/>
      <c r="I90" s="220"/>
      <c r="J90" s="220"/>
      <c r="K90" s="220"/>
    </row>
    <row r="91" spans="1:11" x14ac:dyDescent="0.25">
      <c r="A91" s="220"/>
      <c r="B91" s="220" t="s">
        <v>271</v>
      </c>
      <c r="C91" s="220"/>
      <c r="D91" s="220"/>
      <c r="E91" s="220"/>
      <c r="F91" s="220"/>
      <c r="G91" s="220"/>
      <c r="H91" s="220"/>
      <c r="I91" s="220"/>
      <c r="J91" s="220"/>
      <c r="K91" s="220"/>
    </row>
    <row r="92" spans="1:11" x14ac:dyDescent="0.25">
      <c r="A92" s="220"/>
      <c r="B92" s="220" t="s">
        <v>278</v>
      </c>
      <c r="C92" s="220"/>
      <c r="D92" s="220"/>
      <c r="E92" s="220"/>
      <c r="F92" s="220"/>
      <c r="G92" s="220"/>
      <c r="H92" s="220"/>
      <c r="I92" s="220"/>
      <c r="J92" s="220"/>
      <c r="K92" s="220"/>
    </row>
    <row r="93" spans="1:11" x14ac:dyDescent="0.25">
      <c r="A93" s="220"/>
      <c r="B93" s="220" t="s">
        <v>272</v>
      </c>
      <c r="C93" s="220"/>
      <c r="D93" s="220"/>
      <c r="E93" s="220"/>
      <c r="F93" s="220"/>
      <c r="G93" s="220"/>
      <c r="H93" s="220"/>
      <c r="I93" s="220"/>
      <c r="J93" s="220"/>
      <c r="K93" s="220"/>
    </row>
    <row r="94" spans="1:11" x14ac:dyDescent="0.25">
      <c r="A94" s="220"/>
      <c r="B94" s="220" t="s">
        <v>292</v>
      </c>
      <c r="C94" s="220"/>
      <c r="D94" s="220"/>
      <c r="E94" s="220"/>
      <c r="F94" s="220"/>
      <c r="G94" s="220"/>
      <c r="H94" s="220"/>
      <c r="I94" s="220"/>
      <c r="J94" s="220"/>
      <c r="K94" s="220"/>
    </row>
    <row r="95" spans="1:11" x14ac:dyDescent="0.25">
      <c r="A95" s="220"/>
      <c r="B95" s="220" t="s">
        <v>273</v>
      </c>
      <c r="C95" s="220"/>
      <c r="D95" s="220"/>
      <c r="E95" s="220"/>
      <c r="F95" s="220"/>
      <c r="G95" s="220"/>
      <c r="H95" s="220"/>
      <c r="I95" s="220"/>
      <c r="J95" s="220"/>
      <c r="K95" s="220"/>
    </row>
    <row r="96" spans="1:11" x14ac:dyDescent="0.25">
      <c r="A96" s="220"/>
      <c r="B96" s="233"/>
      <c r="C96" s="233"/>
      <c r="D96" s="233"/>
      <c r="E96" s="233"/>
      <c r="F96" s="233"/>
      <c r="G96" s="233"/>
      <c r="H96" s="233"/>
      <c r="I96" s="233"/>
      <c r="J96" s="233"/>
      <c r="K96" s="233"/>
    </row>
    <row r="97" spans="1:11" x14ac:dyDescent="0.25">
      <c r="A97" s="220"/>
      <c r="B97" s="220" t="s">
        <v>276</v>
      </c>
      <c r="C97" s="220"/>
      <c r="D97" s="220"/>
      <c r="E97" s="220"/>
      <c r="F97" s="220"/>
      <c r="G97" s="220"/>
      <c r="H97" s="220"/>
      <c r="I97" s="220"/>
      <c r="J97" s="220"/>
      <c r="K97" s="220"/>
    </row>
    <row r="98" spans="1:11" x14ac:dyDescent="0.25">
      <c r="A98" s="220"/>
      <c r="B98" s="220" t="s">
        <v>293</v>
      </c>
      <c r="C98" s="220"/>
      <c r="D98" s="220"/>
      <c r="E98" s="220"/>
      <c r="F98" s="220"/>
      <c r="G98" s="220"/>
      <c r="H98" s="220"/>
      <c r="I98" s="220"/>
      <c r="J98" s="220"/>
      <c r="K98" s="220"/>
    </row>
    <row r="99" spans="1:11" x14ac:dyDescent="0.25">
      <c r="A99" s="220"/>
      <c r="B99" s="220" t="s">
        <v>277</v>
      </c>
      <c r="C99" s="220"/>
      <c r="D99" s="220"/>
      <c r="E99" s="220"/>
      <c r="F99" s="220"/>
      <c r="G99" s="220"/>
      <c r="H99" s="220"/>
      <c r="I99" s="220"/>
      <c r="J99" s="220"/>
      <c r="K99" s="220"/>
    </row>
    <row r="100" spans="1:11" x14ac:dyDescent="0.25">
      <c r="A100" s="220"/>
      <c r="B100" s="233"/>
      <c r="C100" s="233"/>
      <c r="D100" s="233"/>
      <c r="E100" s="233"/>
      <c r="F100" s="233"/>
      <c r="G100" s="233"/>
      <c r="H100" s="233"/>
      <c r="I100" s="233"/>
      <c r="J100" s="233"/>
      <c r="K100" s="233"/>
    </row>
    <row r="101" spans="1:11" x14ac:dyDescent="0.25">
      <c r="A101" s="220"/>
      <c r="B101" s="239" t="s">
        <v>274</v>
      </c>
      <c r="C101" s="239"/>
      <c r="D101" s="239"/>
      <c r="E101" s="239"/>
      <c r="F101" s="239"/>
      <c r="G101" s="239"/>
      <c r="H101" s="239"/>
      <c r="I101" s="239"/>
      <c r="J101" s="239"/>
      <c r="K101" s="239"/>
    </row>
    <row r="102" spans="1:11" x14ac:dyDescent="0.25">
      <c r="A102" s="220"/>
      <c r="B102" s="239" t="s">
        <v>275</v>
      </c>
      <c r="C102" s="239"/>
      <c r="D102" s="239"/>
      <c r="E102" s="239"/>
      <c r="F102" s="239"/>
      <c r="G102" s="239"/>
      <c r="H102" s="239"/>
      <c r="I102" s="239"/>
      <c r="J102" s="239"/>
      <c r="K102" s="239"/>
    </row>
    <row r="103" spans="1:11" x14ac:dyDescent="0.25">
      <c r="A103" s="220"/>
      <c r="B103" s="233"/>
      <c r="C103" s="233"/>
      <c r="D103" s="233"/>
      <c r="E103" s="233"/>
      <c r="F103" s="233"/>
      <c r="G103" s="233"/>
      <c r="H103" s="233"/>
      <c r="I103" s="233"/>
      <c r="J103" s="233"/>
      <c r="K103" s="233"/>
    </row>
    <row r="104" spans="1:11" x14ac:dyDescent="0.25">
      <c r="A104" s="247" t="s">
        <v>204</v>
      </c>
      <c r="B104" s="235"/>
      <c r="C104" s="235"/>
      <c r="D104" s="235"/>
      <c r="E104" s="220"/>
      <c r="F104" s="220"/>
      <c r="G104" s="220"/>
      <c r="H104" s="220"/>
      <c r="I104" s="220"/>
      <c r="J104" s="220"/>
      <c r="K104" s="220"/>
    </row>
    <row r="105" spans="1:11" x14ac:dyDescent="0.25">
      <c r="B105" s="61"/>
      <c r="C105" s="61"/>
      <c r="D105" s="61"/>
      <c r="E105" s="61"/>
      <c r="F105" s="61"/>
      <c r="G105" s="61"/>
      <c r="H105" s="61"/>
      <c r="I105" s="61"/>
    </row>
    <row r="106" spans="1:11" x14ac:dyDescent="0.25">
      <c r="A106" s="220"/>
      <c r="B106" s="230" t="s">
        <v>294</v>
      </c>
      <c r="C106" s="230"/>
      <c r="D106" s="230"/>
      <c r="E106" s="230"/>
      <c r="F106" s="230"/>
      <c r="G106" s="230"/>
      <c r="H106" s="230"/>
      <c r="I106" s="230"/>
      <c r="J106" s="230"/>
      <c r="K106" s="230"/>
    </row>
    <row r="107" spans="1:11" x14ac:dyDescent="0.25">
      <c r="A107" s="220"/>
      <c r="B107" s="230" t="s">
        <v>295</v>
      </c>
      <c r="C107" s="230"/>
      <c r="D107" s="230"/>
      <c r="E107" s="230"/>
      <c r="F107" s="230"/>
      <c r="G107" s="230"/>
      <c r="H107" s="230"/>
      <c r="I107" s="230"/>
      <c r="J107" s="230"/>
      <c r="K107" s="230"/>
    </row>
    <row r="108" spans="1:11" x14ac:dyDescent="0.25">
      <c r="A108" s="220"/>
      <c r="B108" s="230" t="s">
        <v>296</v>
      </c>
      <c r="C108" s="230"/>
      <c r="D108" s="230"/>
      <c r="E108" s="230"/>
      <c r="F108" s="230"/>
      <c r="G108" s="230"/>
      <c r="H108" s="230"/>
      <c r="I108" s="230"/>
      <c r="J108" s="230"/>
      <c r="K108" s="230"/>
    </row>
    <row r="109" spans="1:11" ht="15" customHeight="1" x14ac:dyDescent="0.25">
      <c r="A109" s="220"/>
      <c r="B109" s="230" t="s">
        <v>297</v>
      </c>
      <c r="C109" s="230"/>
      <c r="D109" s="230"/>
      <c r="E109" s="230"/>
      <c r="F109" s="230"/>
      <c r="G109" s="230"/>
      <c r="H109" s="230"/>
      <c r="I109" s="230"/>
      <c r="J109" s="230"/>
      <c r="K109" s="230"/>
    </row>
    <row r="110" spans="1:11" x14ac:dyDescent="0.25">
      <c r="A110" s="220"/>
      <c r="B110" s="230" t="s">
        <v>298</v>
      </c>
      <c r="C110" s="230"/>
      <c r="D110" s="230"/>
      <c r="E110" s="230"/>
      <c r="F110" s="230"/>
      <c r="G110" s="230"/>
      <c r="H110" s="230"/>
      <c r="I110" s="230"/>
      <c r="J110" s="230"/>
      <c r="K110" s="230"/>
    </row>
    <row r="111" spans="1:11" x14ac:dyDescent="0.25">
      <c r="A111" s="220"/>
      <c r="B111" s="230"/>
      <c r="C111" s="230"/>
      <c r="D111" s="230"/>
      <c r="E111" s="230"/>
      <c r="F111" s="230"/>
      <c r="G111" s="230"/>
      <c r="H111" s="230"/>
      <c r="I111" s="230"/>
      <c r="J111" s="230"/>
      <c r="K111" s="230"/>
    </row>
    <row r="112" spans="1:11" x14ac:dyDescent="0.25">
      <c r="A112" s="220"/>
      <c r="B112" s="230" t="s">
        <v>299</v>
      </c>
      <c r="C112" s="230"/>
      <c r="D112" s="230"/>
      <c r="E112" s="230"/>
      <c r="F112" s="230"/>
      <c r="G112" s="230"/>
      <c r="H112" s="230"/>
      <c r="I112" s="230"/>
      <c r="J112" s="230"/>
      <c r="K112" s="230"/>
    </row>
    <row r="113" spans="1:11" x14ac:dyDescent="0.25">
      <c r="A113" s="220"/>
      <c r="B113" s="230" t="s">
        <v>300</v>
      </c>
      <c r="C113" s="230"/>
      <c r="D113" s="230"/>
      <c r="E113" s="230"/>
      <c r="F113" s="230"/>
      <c r="G113" s="230"/>
      <c r="H113" s="230"/>
      <c r="I113" s="230"/>
      <c r="J113" s="230"/>
      <c r="K113" s="230"/>
    </row>
    <row r="114" spans="1:11" x14ac:dyDescent="0.25">
      <c r="A114" s="220"/>
      <c r="B114" s="230" t="s">
        <v>301</v>
      </c>
      <c r="C114" s="230"/>
      <c r="D114" s="230"/>
      <c r="E114" s="230"/>
      <c r="F114" s="230"/>
      <c r="G114" s="230"/>
      <c r="H114" s="230"/>
      <c r="I114" s="230"/>
      <c r="J114" s="230"/>
      <c r="K114" s="230"/>
    </row>
    <row r="115" spans="1:11" x14ac:dyDescent="0.25">
      <c r="A115" s="220"/>
      <c r="B115" s="230"/>
      <c r="C115" s="230"/>
      <c r="D115" s="230"/>
      <c r="E115" s="230"/>
      <c r="F115" s="230"/>
      <c r="G115" s="230"/>
      <c r="H115" s="230"/>
      <c r="I115" s="230"/>
      <c r="J115" s="230"/>
      <c r="K115" s="230"/>
    </row>
    <row r="116" spans="1:11" x14ac:dyDescent="0.25">
      <c r="A116" s="220"/>
      <c r="B116" s="230" t="s">
        <v>302</v>
      </c>
      <c r="C116" s="230"/>
      <c r="D116" s="230"/>
      <c r="E116" s="230"/>
      <c r="F116" s="230"/>
      <c r="G116" s="230"/>
      <c r="H116" s="230"/>
      <c r="I116" s="230"/>
      <c r="J116" s="230"/>
      <c r="K116" s="230"/>
    </row>
    <row r="117" spans="1:11" x14ac:dyDescent="0.25">
      <c r="A117" s="220"/>
      <c r="B117" s="230" t="s">
        <v>303</v>
      </c>
      <c r="C117" s="230"/>
      <c r="D117" s="230"/>
      <c r="E117" s="230"/>
      <c r="F117" s="230"/>
      <c r="G117" s="230"/>
      <c r="H117" s="230"/>
      <c r="I117" s="230"/>
      <c r="J117" s="230"/>
      <c r="K117" s="230"/>
    </row>
    <row r="118" spans="1:11" x14ac:dyDescent="0.25">
      <c r="A118" s="220"/>
      <c r="B118" s="230" t="s">
        <v>304</v>
      </c>
      <c r="C118" s="230"/>
      <c r="D118" s="230"/>
      <c r="E118" s="230"/>
      <c r="F118" s="230"/>
      <c r="G118" s="230"/>
      <c r="H118" s="230"/>
      <c r="I118" s="230"/>
      <c r="J118" s="230"/>
      <c r="K118" s="230"/>
    </row>
    <row r="119" spans="1:11" x14ac:dyDescent="0.25">
      <c r="A119" s="220"/>
      <c r="B119" s="230"/>
      <c r="C119" s="230"/>
      <c r="D119" s="230"/>
      <c r="E119" s="230"/>
      <c r="F119" s="230"/>
      <c r="G119" s="230"/>
      <c r="H119" s="230"/>
      <c r="I119" s="230"/>
      <c r="J119" s="230"/>
      <c r="K119" s="230"/>
    </row>
    <row r="120" spans="1:11" x14ac:dyDescent="0.25">
      <c r="A120" s="220"/>
      <c r="B120" s="230" t="s">
        <v>305</v>
      </c>
      <c r="C120" s="230"/>
      <c r="D120" s="230"/>
      <c r="E120" s="230"/>
      <c r="F120" s="230"/>
      <c r="G120" s="230"/>
      <c r="H120" s="230"/>
      <c r="I120" s="230"/>
      <c r="J120" s="230"/>
      <c r="K120" s="230"/>
    </row>
    <row r="121" spans="1:11" x14ac:dyDescent="0.25">
      <c r="A121" s="220"/>
      <c r="B121" s="230" t="s">
        <v>306</v>
      </c>
      <c r="C121" s="230"/>
      <c r="D121" s="230"/>
      <c r="E121" s="230"/>
      <c r="F121" s="230"/>
      <c r="G121" s="230"/>
      <c r="H121" s="230"/>
      <c r="I121" s="230"/>
      <c r="J121" s="230"/>
      <c r="K121" s="230"/>
    </row>
    <row r="122" spans="1:11" x14ac:dyDescent="0.25">
      <c r="A122" s="220"/>
      <c r="B122" s="231" t="s">
        <v>307</v>
      </c>
      <c r="C122" s="231"/>
      <c r="D122" s="231"/>
      <c r="E122" s="231"/>
      <c r="F122" s="231"/>
      <c r="G122" s="231"/>
      <c r="H122" s="231"/>
      <c r="I122" s="231"/>
      <c r="J122" s="230"/>
      <c r="K122" s="230"/>
    </row>
    <row r="123" spans="1:11" x14ac:dyDescent="0.25">
      <c r="A123" s="220"/>
      <c r="B123" s="231"/>
      <c r="C123" s="231"/>
      <c r="D123" s="231"/>
      <c r="E123" s="231"/>
      <c r="F123" s="231"/>
      <c r="G123" s="231"/>
      <c r="H123" s="231"/>
      <c r="I123" s="231"/>
      <c r="J123" s="230"/>
      <c r="K123" s="230"/>
    </row>
    <row r="124" spans="1:11" x14ac:dyDescent="0.25">
      <c r="A124" s="220"/>
      <c r="B124" s="228" t="s">
        <v>308</v>
      </c>
      <c r="C124" s="228"/>
      <c r="D124" s="228"/>
      <c r="E124" s="228"/>
      <c r="F124" s="228"/>
      <c r="G124" s="228"/>
      <c r="H124" s="228"/>
      <c r="I124" s="228"/>
      <c r="J124" s="229"/>
      <c r="K124" s="229"/>
    </row>
    <row r="125" spans="1:11" x14ac:dyDescent="0.25">
      <c r="A125" s="220"/>
      <c r="B125" s="228" t="s">
        <v>309</v>
      </c>
      <c r="C125" s="228"/>
      <c r="D125" s="228"/>
      <c r="E125" s="228"/>
      <c r="F125" s="228"/>
      <c r="G125" s="228"/>
      <c r="H125" s="228"/>
      <c r="I125" s="228"/>
      <c r="J125" s="229"/>
      <c r="K125" s="229"/>
    </row>
    <row r="126" spans="1:11" x14ac:dyDescent="0.25">
      <c r="A126" s="220"/>
      <c r="B126" s="231"/>
      <c r="C126" s="231"/>
      <c r="D126" s="231"/>
      <c r="E126" s="231"/>
      <c r="F126" s="231"/>
      <c r="G126" s="231"/>
      <c r="H126" s="231"/>
      <c r="I126" s="231"/>
      <c r="J126" s="230"/>
      <c r="K126" s="230"/>
    </row>
    <row r="127" spans="1:11" x14ac:dyDescent="0.25">
      <c r="A127" s="247" t="s">
        <v>207</v>
      </c>
      <c r="B127" s="248"/>
      <c r="C127" s="248"/>
      <c r="D127" s="248"/>
      <c r="E127" s="248"/>
      <c r="F127" s="230"/>
      <c r="G127" s="230"/>
      <c r="H127" s="230"/>
      <c r="I127" s="230"/>
      <c r="J127" s="230"/>
      <c r="K127" s="230"/>
    </row>
    <row r="129" spans="1:11" x14ac:dyDescent="0.25">
      <c r="A129" s="220"/>
      <c r="B129" s="230" t="s">
        <v>310</v>
      </c>
      <c r="C129" s="230"/>
      <c r="D129" s="230"/>
      <c r="E129" s="230"/>
      <c r="F129" s="230"/>
      <c r="G129" s="230"/>
      <c r="H129" s="230"/>
      <c r="I129" s="230"/>
      <c r="J129" s="230"/>
      <c r="K129" s="230"/>
    </row>
    <row r="130" spans="1:11" x14ac:dyDescent="0.25">
      <c r="A130" s="220"/>
      <c r="B130" s="230" t="s">
        <v>311</v>
      </c>
      <c r="C130" s="230"/>
      <c r="D130" s="230"/>
      <c r="E130" s="230"/>
      <c r="F130" s="230"/>
      <c r="G130" s="230"/>
      <c r="H130" s="230"/>
      <c r="I130" s="230"/>
      <c r="J130" s="230"/>
      <c r="K130" s="230"/>
    </row>
    <row r="131" spans="1:11" x14ac:dyDescent="0.25">
      <c r="A131" s="220"/>
      <c r="B131" s="230" t="s">
        <v>312</v>
      </c>
      <c r="C131" s="230"/>
      <c r="D131" s="230"/>
      <c r="E131" s="230"/>
      <c r="F131" s="230"/>
      <c r="G131" s="230"/>
      <c r="H131" s="230"/>
      <c r="I131" s="230"/>
      <c r="J131" s="230"/>
      <c r="K131" s="230"/>
    </row>
    <row r="132" spans="1:11" x14ac:dyDescent="0.25">
      <c r="A132" s="220"/>
      <c r="B132" s="230"/>
      <c r="C132" s="230"/>
      <c r="D132" s="230"/>
      <c r="E132" s="230"/>
      <c r="F132" s="230"/>
      <c r="G132" s="230"/>
      <c r="H132" s="230"/>
      <c r="I132" s="230"/>
      <c r="J132" s="230"/>
      <c r="K132" s="230"/>
    </row>
    <row r="133" spans="1:11" x14ac:dyDescent="0.25">
      <c r="A133" s="220"/>
      <c r="B133" s="230" t="s">
        <v>313</v>
      </c>
      <c r="C133" s="230"/>
      <c r="D133" s="230"/>
      <c r="E133" s="230"/>
      <c r="F133" s="230"/>
      <c r="G133" s="230"/>
      <c r="H133" s="230"/>
      <c r="I133" s="230"/>
      <c r="J133" s="230"/>
      <c r="K133" s="230"/>
    </row>
    <row r="134" spans="1:11" ht="15.75" x14ac:dyDescent="0.25">
      <c r="B134" s="230" t="s">
        <v>314</v>
      </c>
      <c r="C134" s="230"/>
      <c r="D134" s="230"/>
      <c r="E134" s="230"/>
      <c r="F134" s="230"/>
      <c r="G134" s="230"/>
      <c r="H134" s="230"/>
      <c r="I134" s="230"/>
      <c r="J134" s="230"/>
      <c r="K134" s="230"/>
    </row>
    <row r="135" spans="1:11" x14ac:dyDescent="0.25">
      <c r="B135" s="230"/>
      <c r="C135" s="230"/>
      <c r="D135" s="230"/>
      <c r="E135" s="230"/>
      <c r="F135" s="230"/>
      <c r="G135" s="230"/>
      <c r="H135" s="230"/>
      <c r="I135" s="230"/>
      <c r="J135" s="230"/>
      <c r="K135" s="230"/>
    </row>
    <row r="136" spans="1:11" x14ac:dyDescent="0.25">
      <c r="B136" s="230" t="s">
        <v>315</v>
      </c>
      <c r="C136" s="230"/>
      <c r="D136" s="230"/>
      <c r="E136" s="230"/>
      <c r="F136" s="230"/>
      <c r="G136" s="230"/>
      <c r="H136" s="230"/>
      <c r="I136" s="230"/>
      <c r="J136" s="230"/>
      <c r="K136" s="230"/>
    </row>
    <row r="137" spans="1:11" x14ac:dyDescent="0.25">
      <c r="B137" s="230" t="s">
        <v>316</v>
      </c>
      <c r="C137" s="230"/>
      <c r="D137" s="230"/>
      <c r="E137" s="230"/>
      <c r="F137" s="230"/>
      <c r="G137" s="230"/>
      <c r="H137" s="230"/>
      <c r="I137" s="230"/>
      <c r="J137" s="230"/>
      <c r="K137" s="230"/>
    </row>
    <row r="138" spans="1:11" x14ac:dyDescent="0.25">
      <c r="B138" s="230" t="s">
        <v>317</v>
      </c>
      <c r="C138" s="230"/>
      <c r="D138" s="230"/>
      <c r="E138" s="230"/>
      <c r="F138" s="230"/>
      <c r="G138" s="230"/>
      <c r="H138" s="230"/>
      <c r="I138" s="230"/>
      <c r="J138" s="230"/>
      <c r="K138" s="230"/>
    </row>
    <row r="139" spans="1:11" x14ac:dyDescent="0.25">
      <c r="B139" s="230" t="s">
        <v>318</v>
      </c>
      <c r="C139" s="230"/>
      <c r="D139" s="230"/>
      <c r="E139" s="230"/>
      <c r="F139" s="230"/>
      <c r="G139" s="230"/>
      <c r="H139" s="230"/>
      <c r="I139" s="230"/>
      <c r="J139" s="230"/>
      <c r="K139" s="230"/>
    </row>
    <row r="140" spans="1:11" x14ac:dyDescent="0.25">
      <c r="B140" s="230"/>
      <c r="C140" s="230"/>
      <c r="D140" s="230"/>
      <c r="E140" s="230"/>
      <c r="F140" s="230"/>
      <c r="G140" s="230"/>
      <c r="H140" s="230"/>
      <c r="I140" s="230"/>
      <c r="J140" s="230"/>
      <c r="K140" s="230"/>
    </row>
    <row r="141" spans="1:11" x14ac:dyDescent="0.25">
      <c r="B141" s="230" t="s">
        <v>332</v>
      </c>
      <c r="C141" s="230"/>
      <c r="D141" s="230"/>
      <c r="E141" s="230"/>
      <c r="F141" s="230"/>
      <c r="G141" s="230"/>
      <c r="H141" s="230"/>
      <c r="I141" s="230"/>
      <c r="J141" s="230"/>
      <c r="K141" s="230"/>
    </row>
    <row r="142" spans="1:11" x14ac:dyDescent="0.25">
      <c r="B142" s="237" t="s">
        <v>343</v>
      </c>
      <c r="C142" s="238"/>
      <c r="D142" s="238"/>
      <c r="E142" s="238"/>
      <c r="F142" s="238"/>
      <c r="G142" s="238"/>
      <c r="H142" s="238"/>
      <c r="I142" s="238"/>
      <c r="J142" s="238"/>
      <c r="K142" s="238"/>
    </row>
    <row r="143" spans="1:11" s="220" customFormat="1" x14ac:dyDescent="0.25">
      <c r="B143" s="237" t="s">
        <v>336</v>
      </c>
      <c r="C143" s="238"/>
      <c r="D143" s="238"/>
      <c r="E143" s="238"/>
      <c r="F143" s="238"/>
      <c r="G143" s="238"/>
      <c r="H143" s="238"/>
      <c r="I143" s="238"/>
      <c r="J143" s="238"/>
      <c r="K143" s="238"/>
    </row>
    <row r="144" spans="1:11" s="220" customFormat="1" x14ac:dyDescent="0.25">
      <c r="B144" s="237" t="s">
        <v>341</v>
      </c>
      <c r="C144" s="238"/>
      <c r="D144" s="238"/>
      <c r="E144" s="238"/>
      <c r="F144" s="238"/>
      <c r="G144" s="238"/>
      <c r="H144" s="238"/>
      <c r="I144" s="238"/>
      <c r="J144" s="238"/>
      <c r="K144" s="238"/>
    </row>
    <row r="145" spans="2:11" x14ac:dyDescent="0.25">
      <c r="B145" s="237" t="s">
        <v>334</v>
      </c>
      <c r="C145" s="238"/>
      <c r="D145" s="238"/>
      <c r="E145" s="238"/>
      <c r="F145" s="238"/>
      <c r="G145" s="238"/>
      <c r="H145" s="238"/>
      <c r="I145" s="238"/>
      <c r="J145" s="238"/>
      <c r="K145" s="238"/>
    </row>
    <row r="146" spans="2:11" x14ac:dyDescent="0.25">
      <c r="B146" s="237" t="s">
        <v>333</v>
      </c>
      <c r="C146" s="238"/>
      <c r="D146" s="238"/>
      <c r="E146" s="238"/>
      <c r="F146" s="238"/>
      <c r="G146" s="238"/>
      <c r="H146" s="238"/>
      <c r="I146" s="238"/>
      <c r="J146" s="238"/>
      <c r="K146" s="238"/>
    </row>
    <row r="147" spans="2:11" s="220" customFormat="1" x14ac:dyDescent="0.25">
      <c r="B147" s="237" t="s">
        <v>342</v>
      </c>
      <c r="C147" s="238"/>
      <c r="D147" s="238"/>
      <c r="E147" s="238"/>
      <c r="F147" s="238"/>
      <c r="G147" s="238"/>
      <c r="H147" s="238"/>
      <c r="I147" s="238"/>
      <c r="J147" s="238"/>
      <c r="K147" s="238"/>
    </row>
    <row r="148" spans="2:11" x14ac:dyDescent="0.25">
      <c r="B148" s="230"/>
      <c r="C148" s="232"/>
      <c r="D148" s="230"/>
      <c r="E148" s="230"/>
      <c r="F148" s="230"/>
      <c r="G148" s="230"/>
      <c r="H148" s="230"/>
      <c r="I148" s="230"/>
      <c r="J148" s="230"/>
      <c r="K148" s="230"/>
    </row>
    <row r="149" spans="2:11" x14ac:dyDescent="0.25">
      <c r="B149" s="230" t="s">
        <v>337</v>
      </c>
      <c r="C149" s="240"/>
      <c r="D149" s="239"/>
      <c r="E149" s="239"/>
      <c r="F149" s="239"/>
      <c r="G149" s="239"/>
      <c r="H149" s="239"/>
      <c r="I149" s="239"/>
      <c r="J149" s="239"/>
      <c r="K149" s="239"/>
    </row>
    <row r="150" spans="2:11" x14ac:dyDescent="0.25">
      <c r="B150" s="239" t="s">
        <v>319</v>
      </c>
      <c r="C150" s="241"/>
      <c r="D150" s="242"/>
      <c r="E150" s="242"/>
      <c r="F150" s="242"/>
      <c r="G150" s="239"/>
      <c r="H150" s="239"/>
      <c r="I150" s="239"/>
      <c r="J150" s="239"/>
      <c r="K150" s="239"/>
    </row>
    <row r="151" spans="2:11" x14ac:dyDescent="0.25">
      <c r="B151" s="239" t="s">
        <v>320</v>
      </c>
      <c r="C151" s="239"/>
      <c r="D151" s="239"/>
      <c r="E151" s="239"/>
      <c r="F151" s="239"/>
      <c r="G151" s="239"/>
      <c r="H151" s="239"/>
      <c r="I151" s="239"/>
      <c r="J151" s="239"/>
      <c r="K151" s="239"/>
    </row>
    <row r="156" spans="2:11" x14ac:dyDescent="0.25">
      <c r="D156" s="220"/>
    </row>
    <row r="157" spans="2:11" x14ac:dyDescent="0.25">
      <c r="D157" s="220"/>
    </row>
  </sheetData>
  <sheetProtection password="EF32" sheet="1" objects="1" scenarios="1"/>
  <mergeCells count="21">
    <mergeCell ref="A1:K1"/>
    <mergeCell ref="A2:K2"/>
    <mergeCell ref="A3:K3"/>
    <mergeCell ref="B16:K18"/>
    <mergeCell ref="B22:K23"/>
    <mergeCell ref="A5:K5"/>
    <mergeCell ref="B8:K8"/>
    <mergeCell ref="B10:K10"/>
    <mergeCell ref="B12:K12"/>
    <mergeCell ref="C30:K31"/>
    <mergeCell ref="C47:K49"/>
    <mergeCell ref="C50:K52"/>
    <mergeCell ref="C27:K28"/>
    <mergeCell ref="D58:K58"/>
    <mergeCell ref="C35:K35"/>
    <mergeCell ref="D59:K59"/>
    <mergeCell ref="C61:K66"/>
    <mergeCell ref="C68:K69"/>
    <mergeCell ref="B78:K80"/>
    <mergeCell ref="C54:K55"/>
    <mergeCell ref="D57:K57"/>
  </mergeCells>
  <printOptions horizontalCentered="1"/>
  <pageMargins left="0.7" right="0.7" top="0.75" bottom="0.75" header="0.3" footer="0.3"/>
  <pageSetup orientation="portrait" r:id="rId1"/>
  <headerFooter>
    <oddFooter>&amp;C&amp;P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90" zoomScaleNormal="90" workbookViewId="0">
      <selection activeCell="C12" sqref="C12:G12"/>
    </sheetView>
  </sheetViews>
  <sheetFormatPr defaultRowHeight="15" x14ac:dyDescent="0.25"/>
  <cols>
    <col min="1" max="1" width="5.140625" customWidth="1"/>
    <col min="2" max="2" width="37" customWidth="1"/>
    <col min="3" max="3" width="9.85546875" bestFit="1" customWidth="1"/>
  </cols>
  <sheetData>
    <row r="1" spans="1:11" s="290" customFormat="1" ht="18.75" x14ac:dyDescent="0.3">
      <c r="A1" s="298" t="s">
        <v>43</v>
      </c>
      <c r="B1" s="298"/>
      <c r="C1" s="298"/>
      <c r="D1" s="298"/>
      <c r="E1" s="298"/>
      <c r="F1" s="298"/>
      <c r="G1" s="298"/>
      <c r="H1" s="298"/>
      <c r="I1" s="298"/>
      <c r="J1" s="298"/>
      <c r="K1" s="298"/>
    </row>
    <row r="2" spans="1:11" s="290" customFormat="1" ht="18.75" x14ac:dyDescent="0.3">
      <c r="A2" s="298" t="s">
        <v>325</v>
      </c>
      <c r="B2" s="298"/>
      <c r="C2" s="298"/>
      <c r="D2" s="298"/>
      <c r="E2" s="298"/>
      <c r="F2" s="298"/>
      <c r="G2" s="298"/>
      <c r="H2" s="298"/>
      <c r="I2" s="298"/>
      <c r="J2" s="298"/>
      <c r="K2" s="298"/>
    </row>
    <row r="3" spans="1:11" s="290" customFormat="1" ht="18.75" x14ac:dyDescent="0.3">
      <c r="A3" s="298" t="s">
        <v>0</v>
      </c>
      <c r="B3" s="298"/>
      <c r="C3" s="298"/>
      <c r="D3" s="298"/>
      <c r="E3" s="298"/>
      <c r="F3" s="298"/>
      <c r="G3" s="298"/>
      <c r="H3" s="298"/>
      <c r="I3" s="298"/>
      <c r="J3" s="298"/>
      <c r="K3" s="298"/>
    </row>
    <row r="4" spans="1:11" s="290" customFormat="1" ht="18.75" x14ac:dyDescent="0.3">
      <c r="A4" s="221" t="s">
        <v>183</v>
      </c>
      <c r="B4" s="221"/>
      <c r="C4" s="221"/>
      <c r="D4" s="221"/>
      <c r="E4" s="221"/>
      <c r="F4" s="221"/>
      <c r="G4" s="221"/>
      <c r="H4" s="221"/>
      <c r="I4" s="221"/>
      <c r="J4" s="291"/>
      <c r="K4" s="291"/>
    </row>
    <row r="5" spans="1:11" s="290" customFormat="1" ht="18.75" x14ac:dyDescent="0.3">
      <c r="A5" s="299" t="str">
        <f>'2. MOE_Input_Sheet'!I18</f>
        <v>2012-13</v>
      </c>
      <c r="B5" s="299"/>
      <c r="C5" s="299"/>
      <c r="D5" s="299"/>
      <c r="E5" s="299"/>
      <c r="F5" s="299"/>
      <c r="G5" s="299"/>
      <c r="H5" s="299"/>
      <c r="I5" s="299"/>
      <c r="J5" s="299"/>
      <c r="K5" s="299"/>
    </row>
    <row r="6" spans="1:11" ht="15.75" x14ac:dyDescent="0.25">
      <c r="A6" s="56"/>
      <c r="B6" s="51"/>
      <c r="C6" s="51"/>
      <c r="D6" s="51"/>
      <c r="E6" s="51"/>
      <c r="F6" s="51"/>
      <c r="G6" s="51"/>
      <c r="H6" s="51"/>
      <c r="I6" s="51"/>
      <c r="J6" s="57"/>
      <c r="K6" s="57"/>
    </row>
    <row r="7" spans="1:11" ht="15.75" x14ac:dyDescent="0.25">
      <c r="A7" s="56"/>
      <c r="B7" s="51"/>
      <c r="C7" s="51"/>
      <c r="D7" s="51"/>
      <c r="E7" s="51"/>
      <c r="F7" s="51"/>
      <c r="G7" s="51"/>
      <c r="H7" s="51"/>
      <c r="I7" s="51"/>
      <c r="J7" s="57"/>
      <c r="K7" s="57"/>
    </row>
    <row r="8" spans="1:11" ht="15.75" x14ac:dyDescent="0.25">
      <c r="A8" s="56"/>
      <c r="B8" s="51"/>
      <c r="C8" s="51"/>
      <c r="D8" s="51"/>
      <c r="E8" s="51"/>
      <c r="F8" s="51"/>
      <c r="G8" s="51"/>
      <c r="H8" s="51"/>
      <c r="I8" s="51"/>
      <c r="J8" s="57"/>
      <c r="K8" s="57"/>
    </row>
    <row r="9" spans="1:11" ht="15.75" x14ac:dyDescent="0.25">
      <c r="A9" s="56"/>
      <c r="B9" s="51"/>
      <c r="C9" s="51"/>
      <c r="D9" s="51"/>
      <c r="E9" s="51"/>
      <c r="F9" s="51"/>
      <c r="G9" s="51"/>
      <c r="H9" s="51"/>
      <c r="I9" s="51"/>
      <c r="J9" s="57"/>
      <c r="K9" s="57"/>
    </row>
    <row r="10" spans="1:11" x14ac:dyDescent="0.25">
      <c r="A10" s="249" t="s">
        <v>44</v>
      </c>
      <c r="B10" s="230"/>
      <c r="C10" s="251" t="str">
        <f>'2. MOE_Input_Sheet'!C7</f>
        <v/>
      </c>
      <c r="D10" s="252"/>
      <c r="E10" s="230"/>
      <c r="F10" s="230"/>
      <c r="G10" s="230"/>
      <c r="H10" s="51"/>
      <c r="I10" s="51"/>
      <c r="J10" s="57"/>
      <c r="K10" s="57"/>
    </row>
    <row r="11" spans="1:11" x14ac:dyDescent="0.25">
      <c r="A11" s="249"/>
      <c r="B11" s="250"/>
      <c r="C11" s="250"/>
      <c r="D11" s="250"/>
      <c r="E11" s="250"/>
      <c r="F11" s="250"/>
      <c r="G11" s="250"/>
      <c r="H11" s="51"/>
      <c r="I11" s="51"/>
      <c r="J11" s="57"/>
      <c r="K11" s="57"/>
    </row>
    <row r="12" spans="1:11" x14ac:dyDescent="0.25">
      <c r="A12" s="249" t="s">
        <v>45</v>
      </c>
      <c r="B12" s="249"/>
      <c r="C12" s="311" t="str">
        <f>'2. MOE_Input_Sheet'!C10:G10</f>
        <v>None</v>
      </c>
      <c r="D12" s="312"/>
      <c r="E12" s="312"/>
      <c r="F12" s="312"/>
      <c r="G12" s="313"/>
      <c r="H12" s="51"/>
      <c r="I12" s="51"/>
      <c r="J12" s="57"/>
      <c r="K12" s="57"/>
    </row>
    <row r="13" spans="1:11" ht="15.75" x14ac:dyDescent="0.25">
      <c r="A13" s="52"/>
      <c r="B13" s="52"/>
      <c r="C13" s="58"/>
      <c r="D13" s="58"/>
      <c r="E13" s="58"/>
      <c r="F13" s="58"/>
      <c r="G13" s="58"/>
      <c r="H13" s="51"/>
      <c r="I13" s="51"/>
      <c r="J13" s="57"/>
      <c r="K13" s="57"/>
    </row>
    <row r="14" spans="1:11" ht="15.75" x14ac:dyDescent="0.25">
      <c r="A14" s="52"/>
      <c r="B14" s="52"/>
      <c r="C14" s="53"/>
      <c r="D14" s="53"/>
      <c r="E14" s="53"/>
      <c r="F14" s="53"/>
      <c r="G14" s="53"/>
      <c r="H14" s="51"/>
      <c r="I14" s="51"/>
      <c r="J14" s="57"/>
      <c r="K14" s="57"/>
    </row>
    <row r="15" spans="1:11" ht="15.75" x14ac:dyDescent="0.25">
      <c r="A15" s="52"/>
      <c r="B15" s="52"/>
      <c r="C15" s="53"/>
      <c r="D15" s="53"/>
      <c r="E15" s="53"/>
      <c r="F15" s="53"/>
      <c r="G15" s="53"/>
      <c r="H15" s="51"/>
      <c r="I15" s="51"/>
      <c r="J15" s="57"/>
      <c r="K15" s="57"/>
    </row>
    <row r="16" spans="1:11" ht="15.75" x14ac:dyDescent="0.25">
      <c r="A16" s="52"/>
      <c r="B16" s="52"/>
      <c r="C16" s="53"/>
      <c r="D16" s="53"/>
      <c r="E16" s="53"/>
      <c r="F16" s="53"/>
      <c r="G16" s="53"/>
      <c r="H16" s="51"/>
      <c r="I16" s="51"/>
      <c r="J16" s="57"/>
      <c r="K16" s="57"/>
    </row>
    <row r="17" spans="1:10" ht="15" customHeight="1" x14ac:dyDescent="0.25">
      <c r="B17" s="302" t="s">
        <v>261</v>
      </c>
      <c r="C17" s="303"/>
      <c r="D17" s="303"/>
      <c r="E17" s="303"/>
      <c r="F17" s="303"/>
      <c r="G17" s="303"/>
      <c r="H17" s="303"/>
      <c r="I17" s="303"/>
      <c r="J17" s="304"/>
    </row>
    <row r="18" spans="1:10" ht="15" customHeight="1" x14ac:dyDescent="0.25">
      <c r="B18" s="305"/>
      <c r="C18" s="306"/>
      <c r="D18" s="306"/>
      <c r="E18" s="306"/>
      <c r="F18" s="306"/>
      <c r="G18" s="306"/>
      <c r="H18" s="306"/>
      <c r="I18" s="306"/>
      <c r="J18" s="307"/>
    </row>
    <row r="19" spans="1:10" x14ac:dyDescent="0.25">
      <c r="B19" s="305"/>
      <c r="C19" s="306"/>
      <c r="D19" s="306"/>
      <c r="E19" s="306"/>
      <c r="F19" s="306"/>
      <c r="G19" s="306"/>
      <c r="H19" s="306"/>
      <c r="I19" s="306"/>
      <c r="J19" s="307"/>
    </row>
    <row r="20" spans="1:10" x14ac:dyDescent="0.25">
      <c r="B20" s="308"/>
      <c r="C20" s="309"/>
      <c r="D20" s="309"/>
      <c r="E20" s="309"/>
      <c r="F20" s="309"/>
      <c r="G20" s="309"/>
      <c r="H20" s="309"/>
      <c r="I20" s="309"/>
      <c r="J20" s="310"/>
    </row>
    <row r="21" spans="1:10" x14ac:dyDescent="0.25">
      <c r="B21" s="59"/>
      <c r="C21" s="59"/>
      <c r="D21" s="59"/>
      <c r="E21" s="59"/>
      <c r="F21" s="59"/>
      <c r="G21" s="59"/>
      <c r="H21" s="59"/>
      <c r="I21" s="59"/>
      <c r="J21" s="59"/>
    </row>
    <row r="22" spans="1:10" x14ac:dyDescent="0.25">
      <c r="B22" s="59"/>
      <c r="C22" s="59"/>
      <c r="D22" s="59"/>
      <c r="E22" s="59"/>
      <c r="F22" s="59"/>
      <c r="G22" s="59"/>
      <c r="H22" s="59"/>
      <c r="I22" s="59"/>
      <c r="J22" s="59"/>
    </row>
    <row r="25" spans="1:10" x14ac:dyDescent="0.25">
      <c r="A25" s="48" t="s">
        <v>184</v>
      </c>
      <c r="C25" s="301"/>
      <c r="D25" s="301"/>
      <c r="E25" s="301"/>
      <c r="F25" s="301"/>
      <c r="G25" s="301"/>
      <c r="H25" t="s">
        <v>185</v>
      </c>
      <c r="I25" s="301"/>
      <c r="J25" s="301"/>
    </row>
    <row r="26" spans="1:10" x14ac:dyDescent="0.25">
      <c r="A26" s="48"/>
    </row>
    <row r="27" spans="1:10" x14ac:dyDescent="0.25">
      <c r="A27" s="48"/>
    </row>
    <row r="28" spans="1:10" x14ac:dyDescent="0.25">
      <c r="A28" s="48" t="s">
        <v>186</v>
      </c>
      <c r="C28" s="301"/>
      <c r="D28" s="301"/>
      <c r="E28" s="301"/>
      <c r="F28" s="301"/>
      <c r="G28" s="301"/>
      <c r="H28" t="s">
        <v>185</v>
      </c>
      <c r="I28" s="301"/>
      <c r="J28" s="301"/>
    </row>
    <row r="29" spans="1:10" x14ac:dyDescent="0.25">
      <c r="A29" s="48"/>
    </row>
    <row r="30" spans="1:10" x14ac:dyDescent="0.25">
      <c r="A30" s="48"/>
    </row>
    <row r="31" spans="1:10" x14ac:dyDescent="0.25">
      <c r="A31" s="48" t="s">
        <v>210</v>
      </c>
      <c r="C31" s="301"/>
      <c r="D31" s="301"/>
      <c r="E31" s="301"/>
      <c r="F31" s="301"/>
      <c r="G31" s="301"/>
      <c r="H31" t="s">
        <v>185</v>
      </c>
      <c r="I31" s="301"/>
      <c r="J31" s="301"/>
    </row>
  </sheetData>
  <sheetProtection password="EF32" sheet="1" objects="1" scenarios="1"/>
  <mergeCells count="12">
    <mergeCell ref="C31:G31"/>
    <mergeCell ref="I31:J31"/>
    <mergeCell ref="B17:J20"/>
    <mergeCell ref="C12:G12"/>
    <mergeCell ref="A1:K1"/>
    <mergeCell ref="A2:K2"/>
    <mergeCell ref="A3:K3"/>
    <mergeCell ref="C25:G25"/>
    <mergeCell ref="I25:J25"/>
    <mergeCell ref="C28:G28"/>
    <mergeCell ref="I28:J28"/>
    <mergeCell ref="A5:K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78"/>
  <sheetViews>
    <sheetView topLeftCell="A13" zoomScaleNormal="100" workbookViewId="0">
      <selection activeCell="J23" sqref="J23"/>
    </sheetView>
  </sheetViews>
  <sheetFormatPr defaultRowHeight="15" x14ac:dyDescent="0.25"/>
  <cols>
    <col min="1" max="1" width="42.5703125" customWidth="1"/>
    <col min="2" max="2" width="10.7109375" customWidth="1"/>
    <col min="3" max="3" width="11.85546875" customWidth="1"/>
    <col min="4" max="4" width="6" customWidth="1"/>
    <col min="5" max="5" width="11.42578125" customWidth="1"/>
    <col min="6" max="6" width="7.42578125" customWidth="1"/>
    <col min="7" max="7" width="19" bestFit="1" customWidth="1"/>
    <col min="8" max="8" width="16.85546875" bestFit="1" customWidth="1"/>
    <col min="9" max="9" width="17.85546875" bestFit="1" customWidth="1"/>
    <col min="10" max="10" width="16.85546875" bestFit="1" customWidth="1"/>
  </cols>
  <sheetData>
    <row r="1" spans="1:16" s="290" customFormat="1" ht="18.75" x14ac:dyDescent="0.3">
      <c r="A1" s="317" t="s">
        <v>43</v>
      </c>
      <c r="B1" s="317"/>
      <c r="C1" s="317"/>
      <c r="D1" s="317"/>
      <c r="E1" s="317"/>
      <c r="F1" s="317"/>
      <c r="G1" s="317"/>
      <c r="H1" s="317"/>
      <c r="I1" s="317"/>
      <c r="J1" s="317"/>
      <c r="K1" s="317"/>
    </row>
    <row r="2" spans="1:16" s="290" customFormat="1" ht="18.75" x14ac:dyDescent="0.3">
      <c r="A2" s="317" t="s">
        <v>325</v>
      </c>
      <c r="B2" s="317"/>
      <c r="C2" s="317"/>
      <c r="D2" s="317"/>
      <c r="E2" s="317"/>
      <c r="F2" s="317"/>
      <c r="G2" s="317"/>
      <c r="H2" s="317"/>
      <c r="I2" s="317"/>
      <c r="J2" s="317"/>
      <c r="K2" s="317"/>
    </row>
    <row r="3" spans="1:16" s="290" customFormat="1" ht="18.75" x14ac:dyDescent="0.3">
      <c r="A3" s="317" t="s">
        <v>0</v>
      </c>
      <c r="B3" s="317"/>
      <c r="C3" s="317"/>
      <c r="D3" s="317"/>
      <c r="E3" s="317"/>
      <c r="F3" s="317"/>
      <c r="G3" s="317"/>
      <c r="H3" s="317"/>
      <c r="I3" s="317"/>
      <c r="J3" s="317"/>
      <c r="K3" s="317"/>
    </row>
    <row r="4" spans="1:16" s="290" customFormat="1" ht="18.75" x14ac:dyDescent="0.3">
      <c r="A4" s="317" t="str">
        <f>I18</f>
        <v>2012-13</v>
      </c>
      <c r="B4" s="317"/>
      <c r="C4" s="317"/>
      <c r="D4" s="317"/>
      <c r="E4" s="317"/>
      <c r="F4" s="317"/>
      <c r="G4" s="317"/>
      <c r="H4" s="317"/>
      <c r="I4" s="317"/>
      <c r="J4" s="317"/>
      <c r="K4" s="317"/>
    </row>
    <row r="5" spans="1:16" x14ac:dyDescent="0.25">
      <c r="A5" s="19"/>
      <c r="B5" s="19"/>
      <c r="C5" s="64"/>
      <c r="D5" s="64"/>
      <c r="E5" s="64"/>
      <c r="F5" s="64"/>
      <c r="G5" s="64"/>
      <c r="H5" s="64"/>
      <c r="I5" s="64"/>
      <c r="J5" s="64"/>
      <c r="K5" s="64"/>
      <c r="P5" s="46" t="s">
        <v>48</v>
      </c>
    </row>
    <row r="6" spans="1:16" x14ac:dyDescent="0.25">
      <c r="A6" s="63"/>
      <c r="B6" s="63"/>
      <c r="C6" s="63"/>
      <c r="D6" s="63"/>
      <c r="E6" s="19"/>
      <c r="F6" s="19"/>
      <c r="G6" s="19"/>
      <c r="H6" s="19"/>
      <c r="I6" s="19"/>
      <c r="J6" s="19"/>
      <c r="K6" s="19"/>
      <c r="P6" s="46" t="s">
        <v>50</v>
      </c>
    </row>
    <row r="7" spans="1:16" x14ac:dyDescent="0.25">
      <c r="A7" s="253" t="s">
        <v>44</v>
      </c>
      <c r="B7" s="189"/>
      <c r="C7" s="254" t="str">
        <f>IF(C10&lt;&gt;"None",VLOOKUP(C10,AC18:AD74,2,FALSE),"")</f>
        <v/>
      </c>
      <c r="D7" s="255"/>
      <c r="E7" s="189"/>
      <c r="F7" s="189"/>
      <c r="G7" s="189"/>
      <c r="H7" s="19"/>
      <c r="I7" s="19"/>
      <c r="J7" s="19"/>
      <c r="K7" s="19"/>
    </row>
    <row r="8" spans="1:16" ht="15.75" x14ac:dyDescent="0.25">
      <c r="A8" s="253"/>
      <c r="B8" s="255"/>
      <c r="C8" s="189"/>
      <c r="D8" s="255"/>
      <c r="E8" s="253"/>
      <c r="F8" s="253"/>
      <c r="G8" s="256"/>
      <c r="H8" s="65"/>
      <c r="I8" s="65"/>
      <c r="J8" s="65"/>
      <c r="K8" s="65"/>
    </row>
    <row r="9" spans="1:16" ht="15.75" x14ac:dyDescent="0.25">
      <c r="A9" s="253" t="s">
        <v>181</v>
      </c>
      <c r="B9" s="186"/>
      <c r="C9" s="186"/>
      <c r="D9" s="186"/>
      <c r="E9" s="186"/>
      <c r="F9" s="186"/>
      <c r="G9" s="186"/>
      <c r="H9" s="65"/>
      <c r="I9" s="65"/>
      <c r="J9" s="65"/>
      <c r="K9" s="65"/>
    </row>
    <row r="10" spans="1:16" x14ac:dyDescent="0.25">
      <c r="A10" s="253" t="s">
        <v>45</v>
      </c>
      <c r="B10" s="253"/>
      <c r="C10" s="318" t="s">
        <v>182</v>
      </c>
      <c r="D10" s="319"/>
      <c r="E10" s="319"/>
      <c r="F10" s="319"/>
      <c r="G10" s="320"/>
      <c r="H10" s="19"/>
      <c r="I10" s="66"/>
      <c r="J10" s="66"/>
      <c r="K10" s="66"/>
    </row>
    <row r="11" spans="1:16" x14ac:dyDescent="0.25">
      <c r="A11" s="67"/>
      <c r="B11" s="68"/>
      <c r="C11" s="68"/>
      <c r="D11" s="69"/>
      <c r="E11" s="67"/>
      <c r="F11" s="67"/>
      <c r="G11" s="68"/>
      <c r="H11" s="66"/>
      <c r="I11" s="66"/>
      <c r="J11" s="66"/>
      <c r="K11" s="66"/>
    </row>
    <row r="12" spans="1:16" x14ac:dyDescent="0.25">
      <c r="A12" s="67"/>
      <c r="B12" s="68"/>
      <c r="C12" s="70"/>
      <c r="D12" s="69"/>
      <c r="E12" s="67"/>
      <c r="F12" s="67"/>
      <c r="G12" s="71"/>
      <c r="H12" s="72"/>
      <c r="I12" s="72"/>
      <c r="J12" s="72"/>
      <c r="K12" s="72"/>
    </row>
    <row r="13" spans="1:16" ht="18" x14ac:dyDescent="0.25">
      <c r="A13" s="253" t="s">
        <v>57</v>
      </c>
      <c r="B13" s="257"/>
      <c r="C13" s="258"/>
      <c r="D13" s="255"/>
      <c r="E13" s="73"/>
      <c r="F13" s="67"/>
      <c r="G13" s="71"/>
      <c r="H13" s="72"/>
      <c r="I13" s="72"/>
      <c r="J13" s="72"/>
      <c r="K13" s="72"/>
    </row>
    <row r="14" spans="1:16" x14ac:dyDescent="0.25">
      <c r="A14" s="63"/>
      <c r="B14" s="63"/>
      <c r="C14" s="63"/>
      <c r="D14" s="63"/>
      <c r="E14" s="63"/>
      <c r="F14" s="63"/>
      <c r="G14" s="63"/>
      <c r="H14" s="63"/>
      <c r="I14" s="63"/>
      <c r="J14" s="63"/>
      <c r="K14" s="63"/>
    </row>
    <row r="15" spans="1:16" ht="15.75" thickBot="1" x14ac:dyDescent="0.3">
      <c r="A15" s="63"/>
      <c r="B15" s="63"/>
      <c r="C15" s="63"/>
      <c r="D15" s="63"/>
      <c r="E15" s="63"/>
      <c r="F15" s="63"/>
      <c r="G15" s="63"/>
      <c r="H15" s="63"/>
      <c r="I15" s="63"/>
      <c r="J15" s="63"/>
      <c r="K15" s="63"/>
    </row>
    <row r="16" spans="1:16" x14ac:dyDescent="0.25">
      <c r="A16" s="260"/>
      <c r="B16" s="261"/>
      <c r="C16" s="261"/>
      <c r="D16" s="261"/>
      <c r="E16" s="261"/>
      <c r="F16" s="261"/>
      <c r="G16" s="262" t="s">
        <v>1</v>
      </c>
      <c r="H16" s="263"/>
      <c r="I16" s="262" t="s">
        <v>13</v>
      </c>
      <c r="J16" s="264"/>
      <c r="K16" s="19"/>
    </row>
    <row r="17" spans="1:30" x14ac:dyDescent="0.25">
      <c r="A17" s="265"/>
      <c r="B17" s="195"/>
      <c r="C17" s="195"/>
      <c r="D17" s="195"/>
      <c r="E17" s="195"/>
      <c r="F17" s="195"/>
      <c r="G17" s="255" t="s">
        <v>2</v>
      </c>
      <c r="H17" s="196"/>
      <c r="I17" s="255" t="s">
        <v>2</v>
      </c>
      <c r="J17" s="266"/>
      <c r="K17" s="19"/>
    </row>
    <row r="18" spans="1:30" ht="15.75" x14ac:dyDescent="0.25">
      <c r="A18" s="259" t="s">
        <v>322</v>
      </c>
      <c r="B18" s="195"/>
      <c r="C18" s="195"/>
      <c r="D18" s="195"/>
      <c r="E18" s="195"/>
      <c r="F18" s="195"/>
      <c r="G18" s="267" t="s">
        <v>215</v>
      </c>
      <c r="H18" s="195"/>
      <c r="I18" s="267" t="s">
        <v>339</v>
      </c>
      <c r="J18" s="266"/>
      <c r="K18" s="19"/>
      <c r="AC18" s="46" t="s">
        <v>182</v>
      </c>
      <c r="AD18" s="46"/>
    </row>
    <row r="19" spans="1:30" x14ac:dyDescent="0.25">
      <c r="A19" s="268"/>
      <c r="B19" s="195"/>
      <c r="C19" s="195"/>
      <c r="D19" s="195"/>
      <c r="E19" s="195"/>
      <c r="F19" s="195"/>
      <c r="G19" s="269"/>
      <c r="H19" s="195"/>
      <c r="I19" s="195"/>
      <c r="J19" s="266"/>
      <c r="K19" s="19"/>
      <c r="AC19" s="46" t="s">
        <v>206</v>
      </c>
      <c r="AD19" s="46">
        <v>99999</v>
      </c>
    </row>
    <row r="20" spans="1:30" x14ac:dyDescent="0.25">
      <c r="A20" s="270" t="s">
        <v>3</v>
      </c>
      <c r="B20" s="195"/>
      <c r="C20" s="195"/>
      <c r="D20" s="196"/>
      <c r="E20" s="195"/>
      <c r="F20" s="195"/>
      <c r="G20" s="271"/>
      <c r="H20" s="272"/>
      <c r="I20" s="271"/>
      <c r="J20" s="273"/>
      <c r="K20" s="19"/>
      <c r="AC20" s="46" t="s">
        <v>70</v>
      </c>
      <c r="AD20" s="46" t="s">
        <v>69</v>
      </c>
    </row>
    <row r="21" spans="1:30" x14ac:dyDescent="0.25">
      <c r="A21" s="270" t="s">
        <v>338</v>
      </c>
      <c r="B21" s="195"/>
      <c r="C21" s="195"/>
      <c r="D21" s="196"/>
      <c r="E21" s="195"/>
      <c r="F21" s="195"/>
      <c r="G21" s="271"/>
      <c r="H21" s="272"/>
      <c r="I21" s="271"/>
      <c r="J21" s="273"/>
      <c r="K21" s="19"/>
      <c r="AC21" s="46" t="s">
        <v>72</v>
      </c>
      <c r="AD21" s="46" t="s">
        <v>71</v>
      </c>
    </row>
    <row r="22" spans="1:30" x14ac:dyDescent="0.25">
      <c r="A22" s="270" t="s">
        <v>4</v>
      </c>
      <c r="B22" s="195"/>
      <c r="C22" s="195"/>
      <c r="D22" s="196"/>
      <c r="E22" s="195"/>
      <c r="F22" s="195"/>
      <c r="G22" s="274">
        <f>SUM(G20:G21)</f>
        <v>0</v>
      </c>
      <c r="H22" s="272"/>
      <c r="I22" s="274">
        <f>SUM(I20:I21)</f>
        <v>0</v>
      </c>
      <c r="J22" s="273"/>
      <c r="K22" s="19"/>
      <c r="AC22" s="46" t="s">
        <v>74</v>
      </c>
      <c r="AD22" s="46" t="s">
        <v>73</v>
      </c>
    </row>
    <row r="23" spans="1:30" x14ac:dyDescent="0.25">
      <c r="A23" s="270"/>
      <c r="B23" s="195"/>
      <c r="C23" s="195"/>
      <c r="D23" s="196"/>
      <c r="E23" s="195"/>
      <c r="F23" s="195"/>
      <c r="G23" s="274"/>
      <c r="H23" s="272"/>
      <c r="I23" s="274"/>
      <c r="J23" s="273"/>
      <c r="K23" s="19"/>
      <c r="AC23" s="46" t="s">
        <v>76</v>
      </c>
      <c r="AD23" s="46" t="s">
        <v>75</v>
      </c>
    </row>
    <row r="24" spans="1:30" x14ac:dyDescent="0.25">
      <c r="A24" s="270" t="s">
        <v>5</v>
      </c>
      <c r="B24" s="195"/>
      <c r="C24" s="195"/>
      <c r="D24" s="196"/>
      <c r="E24" s="195"/>
      <c r="F24" s="195"/>
      <c r="G24" s="271">
        <v>0</v>
      </c>
      <c r="H24" s="272"/>
      <c r="I24" s="271">
        <v>0</v>
      </c>
      <c r="J24" s="273"/>
      <c r="K24" s="19"/>
      <c r="AC24" s="46" t="s">
        <v>78</v>
      </c>
      <c r="AD24" s="46" t="s">
        <v>77</v>
      </c>
    </row>
    <row r="25" spans="1:30" x14ac:dyDescent="0.25">
      <c r="A25" s="270"/>
      <c r="B25" s="195"/>
      <c r="C25" s="195"/>
      <c r="D25" s="195"/>
      <c r="E25" s="195"/>
      <c r="F25" s="195"/>
      <c r="G25" s="272"/>
      <c r="H25" s="272"/>
      <c r="I25" s="272"/>
      <c r="J25" s="273"/>
      <c r="K25" s="19"/>
      <c r="AC25" s="46" t="s">
        <v>80</v>
      </c>
      <c r="AD25" s="46" t="s">
        <v>79</v>
      </c>
    </row>
    <row r="26" spans="1:30" x14ac:dyDescent="0.25">
      <c r="A26" s="270" t="s">
        <v>42</v>
      </c>
      <c r="B26" s="195"/>
      <c r="C26" s="195"/>
      <c r="D26" s="195"/>
      <c r="E26" s="195"/>
      <c r="F26" s="195"/>
      <c r="G26" s="275"/>
      <c r="H26" s="272"/>
      <c r="I26" s="271"/>
      <c r="J26" s="276"/>
      <c r="K26" s="19"/>
      <c r="AC26" s="46" t="s">
        <v>82</v>
      </c>
      <c r="AD26" s="46" t="s">
        <v>81</v>
      </c>
    </row>
    <row r="27" spans="1:30" x14ac:dyDescent="0.25">
      <c r="A27" s="270"/>
      <c r="B27" s="195"/>
      <c r="C27" s="195"/>
      <c r="D27" s="195"/>
      <c r="E27" s="195"/>
      <c r="F27" s="195"/>
      <c r="G27" s="277"/>
      <c r="H27" s="277"/>
      <c r="I27" s="278"/>
      <c r="J27" s="276"/>
      <c r="K27" s="19"/>
      <c r="AC27" s="46" t="s">
        <v>84</v>
      </c>
      <c r="AD27" s="46" t="s">
        <v>83</v>
      </c>
    </row>
    <row r="28" spans="1:30" x14ac:dyDescent="0.25">
      <c r="A28" s="270" t="s">
        <v>59</v>
      </c>
      <c r="B28" s="195"/>
      <c r="C28" s="195"/>
      <c r="D28" s="195"/>
      <c r="E28" s="195"/>
      <c r="F28" s="195"/>
      <c r="G28" s="279"/>
      <c r="H28" s="277"/>
      <c r="I28" s="279"/>
      <c r="J28" s="273"/>
      <c r="K28" s="19"/>
      <c r="AC28" s="46" t="s">
        <v>86</v>
      </c>
      <c r="AD28" s="46" t="s">
        <v>85</v>
      </c>
    </row>
    <row r="29" spans="1:30" x14ac:dyDescent="0.25">
      <c r="A29" s="270"/>
      <c r="B29" s="195"/>
      <c r="C29" s="195"/>
      <c r="D29" s="195"/>
      <c r="E29" s="195"/>
      <c r="F29" s="195"/>
      <c r="G29" s="280" t="s">
        <v>214</v>
      </c>
      <c r="H29" s="277"/>
      <c r="I29" s="280" t="s">
        <v>351</v>
      </c>
      <c r="J29" s="273"/>
      <c r="K29" s="19"/>
      <c r="AC29" s="46" t="s">
        <v>88</v>
      </c>
      <c r="AD29" s="46" t="s">
        <v>87</v>
      </c>
    </row>
    <row r="30" spans="1:30" s="49" customFormat="1" x14ac:dyDescent="0.25">
      <c r="A30" s="281" t="s">
        <v>221</v>
      </c>
      <c r="B30" s="282"/>
      <c r="C30" s="282"/>
      <c r="D30" s="282"/>
      <c r="E30" s="282"/>
      <c r="F30" s="282"/>
      <c r="G30" s="279"/>
      <c r="H30" s="278"/>
      <c r="I30" s="279"/>
      <c r="J30" s="283"/>
      <c r="K30" s="83"/>
      <c r="AC30" s="46" t="s">
        <v>90</v>
      </c>
      <c r="AD30" s="46" t="s">
        <v>89</v>
      </c>
    </row>
    <row r="31" spans="1:30" x14ac:dyDescent="0.25">
      <c r="A31" s="270"/>
      <c r="B31" s="195"/>
      <c r="C31" s="195"/>
      <c r="D31" s="195"/>
      <c r="E31" s="195"/>
      <c r="F31" s="195"/>
      <c r="G31" s="284"/>
      <c r="H31" s="277"/>
      <c r="I31" s="284"/>
      <c r="J31" s="273"/>
      <c r="K31" s="19"/>
      <c r="AC31" s="46" t="s">
        <v>92</v>
      </c>
      <c r="AD31" s="46" t="s">
        <v>91</v>
      </c>
    </row>
    <row r="32" spans="1:30" ht="15.75" thickBot="1" x14ac:dyDescent="0.3">
      <c r="A32" s="285"/>
      <c r="B32" s="286"/>
      <c r="C32" s="286"/>
      <c r="D32" s="286"/>
      <c r="E32" s="286"/>
      <c r="F32" s="286"/>
      <c r="G32" s="287"/>
      <c r="H32" s="287"/>
      <c r="I32" s="288"/>
      <c r="J32" s="289"/>
      <c r="K32" s="19"/>
      <c r="AC32" s="46" t="s">
        <v>94</v>
      </c>
      <c r="AD32" s="46" t="s">
        <v>93</v>
      </c>
    </row>
    <row r="33" spans="1:30" x14ac:dyDescent="0.25">
      <c r="A33" s="5"/>
      <c r="B33" s="5"/>
      <c r="C33" s="5"/>
      <c r="D33" s="5"/>
      <c r="E33" s="5"/>
      <c r="F33" s="5"/>
      <c r="G33" s="6"/>
      <c r="H33" s="6"/>
      <c r="I33" s="7"/>
      <c r="J33" s="6"/>
      <c r="K33" s="19"/>
      <c r="AC33" s="46" t="s">
        <v>96</v>
      </c>
      <c r="AD33" s="46" t="s">
        <v>95</v>
      </c>
    </row>
    <row r="34" spans="1:30" ht="15.75" thickBot="1" x14ac:dyDescent="0.3">
      <c r="A34" s="5"/>
      <c r="B34" s="5"/>
      <c r="C34" s="5"/>
      <c r="D34" s="5"/>
      <c r="E34" s="5"/>
      <c r="F34" s="5"/>
      <c r="G34" s="6"/>
      <c r="H34" s="6"/>
      <c r="I34" s="6"/>
      <c r="J34" s="19"/>
      <c r="K34" s="19"/>
      <c r="AC34" s="46" t="s">
        <v>98</v>
      </c>
      <c r="AD34" s="46" t="s">
        <v>97</v>
      </c>
    </row>
    <row r="35" spans="1:30" x14ac:dyDescent="0.25">
      <c r="A35" s="74"/>
      <c r="B35" s="75"/>
      <c r="C35" s="75"/>
      <c r="D35" s="75"/>
      <c r="E35" s="75"/>
      <c r="F35" s="75"/>
      <c r="G35" s="87"/>
      <c r="H35" s="87"/>
      <c r="I35" s="87"/>
      <c r="J35" s="88"/>
      <c r="K35" s="19"/>
      <c r="AC35" s="46" t="s">
        <v>100</v>
      </c>
      <c r="AD35" s="46" t="s">
        <v>99</v>
      </c>
    </row>
    <row r="36" spans="1:30" ht="15.75" x14ac:dyDescent="0.25">
      <c r="A36" s="78" t="s">
        <v>6</v>
      </c>
      <c r="B36" s="5"/>
      <c r="C36" s="5"/>
      <c r="D36" s="5"/>
      <c r="E36" s="5"/>
      <c r="F36" s="5"/>
      <c r="G36" s="69" t="s">
        <v>2</v>
      </c>
      <c r="H36" s="69"/>
      <c r="I36" s="69" t="s">
        <v>224</v>
      </c>
      <c r="J36" s="77"/>
      <c r="K36" s="19"/>
      <c r="AC36" s="46" t="s">
        <v>102</v>
      </c>
      <c r="AD36" s="46" t="s">
        <v>101</v>
      </c>
    </row>
    <row r="37" spans="1:30" x14ac:dyDescent="0.25">
      <c r="A37" s="79" t="s">
        <v>7</v>
      </c>
      <c r="B37" s="5"/>
      <c r="C37" s="5"/>
      <c r="D37" s="5"/>
      <c r="E37" s="69" t="s">
        <v>23</v>
      </c>
      <c r="F37" s="5"/>
      <c r="G37" s="69" t="s">
        <v>8</v>
      </c>
      <c r="H37" s="69"/>
      <c r="I37" s="69" t="s">
        <v>223</v>
      </c>
      <c r="J37" s="77"/>
      <c r="K37" s="19"/>
      <c r="AC37" s="46" t="s">
        <v>104</v>
      </c>
      <c r="AD37" s="46" t="s">
        <v>103</v>
      </c>
    </row>
    <row r="38" spans="1:30" x14ac:dyDescent="0.25">
      <c r="A38" s="79"/>
      <c r="B38" s="5"/>
      <c r="C38" s="5"/>
      <c r="D38" s="5"/>
      <c r="E38" s="5"/>
      <c r="F38" s="5"/>
      <c r="G38" s="69"/>
      <c r="H38" s="69"/>
      <c r="I38" s="69"/>
      <c r="J38" s="77"/>
      <c r="K38" s="19"/>
      <c r="AC38" s="46" t="s">
        <v>106</v>
      </c>
      <c r="AD38" s="46" t="s">
        <v>105</v>
      </c>
    </row>
    <row r="39" spans="1:30" x14ac:dyDescent="0.25">
      <c r="A39" s="80" t="s">
        <v>49</v>
      </c>
      <c r="B39" s="5"/>
      <c r="C39" s="5"/>
      <c r="D39" s="5"/>
      <c r="E39" s="34">
        <f>IF(G39='3. Calculations_Sheet'!L25,'3. Calculations_Sheet'!A25,IF(G39='3. Calculations_Sheet'!L28,'3. Calculations_Sheet'!A28,""))</f>
        <v>1</v>
      </c>
      <c r="F39" s="5"/>
      <c r="G39" s="89">
        <f>MAX('3. Calculations_Sheet'!L25:L28)</f>
        <v>0</v>
      </c>
      <c r="H39" s="6"/>
      <c r="I39" s="90" t="str">
        <f>IF(G39&gt;=0,"Pass","Continue")</f>
        <v>Pass</v>
      </c>
      <c r="J39" s="81"/>
      <c r="K39" s="19"/>
      <c r="AC39" s="46" t="s">
        <v>108</v>
      </c>
      <c r="AD39" s="46" t="s">
        <v>107</v>
      </c>
    </row>
    <row r="40" spans="1:30" x14ac:dyDescent="0.25">
      <c r="A40" s="80"/>
      <c r="B40" s="5"/>
      <c r="C40" s="5"/>
      <c r="D40" s="5"/>
      <c r="E40" s="34"/>
      <c r="F40" s="5"/>
      <c r="G40" s="6"/>
      <c r="H40" s="6"/>
      <c r="I40" s="6"/>
      <c r="J40" s="81"/>
      <c r="K40" s="19"/>
      <c r="AC40" s="46" t="s">
        <v>110</v>
      </c>
      <c r="AD40" s="46" t="s">
        <v>109</v>
      </c>
    </row>
    <row r="41" spans="1:30" x14ac:dyDescent="0.25">
      <c r="A41" s="80" t="s">
        <v>216</v>
      </c>
      <c r="B41" s="5"/>
      <c r="C41" s="5"/>
      <c r="D41" s="5"/>
      <c r="E41" s="34" t="str">
        <f>IF(G41='3. Calculations_Sheet'!P33,'3. Calculations_Sheet'!A33,IF(G41='3. Calculations_Sheet'!P37,'3. Calculations_Sheet'!A37,""))</f>
        <v/>
      </c>
      <c r="F41" s="91"/>
      <c r="G41" s="92">
        <f>MAX('3. Calculations_Sheet'!P33:P37)</f>
        <v>0</v>
      </c>
      <c r="H41" s="6"/>
      <c r="I41" s="90" t="str">
        <f>IF(G41&gt;=0,"Pass","Continue")</f>
        <v>Pass</v>
      </c>
      <c r="J41" s="81"/>
      <c r="K41" s="19"/>
      <c r="M41" s="43"/>
      <c r="AC41" s="46" t="s">
        <v>112</v>
      </c>
      <c r="AD41" s="46" t="s">
        <v>111</v>
      </c>
    </row>
    <row r="42" spans="1:30" x14ac:dyDescent="0.25">
      <c r="A42" s="80"/>
      <c r="B42" s="5"/>
      <c r="C42" s="5"/>
      <c r="D42" s="5"/>
      <c r="E42" s="34"/>
      <c r="F42" s="5"/>
      <c r="G42" s="6"/>
      <c r="H42" s="6"/>
      <c r="I42" s="6"/>
      <c r="J42" s="82"/>
      <c r="K42" s="19"/>
      <c r="M42" s="44"/>
      <c r="AC42" s="46" t="s">
        <v>114</v>
      </c>
      <c r="AD42" s="46" t="s">
        <v>113</v>
      </c>
    </row>
    <row r="43" spans="1:30" x14ac:dyDescent="0.25">
      <c r="A43" s="80" t="s">
        <v>217</v>
      </c>
      <c r="B43" s="5"/>
      <c r="C43" s="5"/>
      <c r="D43" s="5"/>
      <c r="E43" s="34" t="str">
        <f>IF(G43='3. Calculations_Sheet'!P41,'3. Calculations_Sheet'!A41,IF(G43='3. Calculations_Sheet'!P45,'3. Calculations_Sheet'!A45,""))</f>
        <v/>
      </c>
      <c r="F43" s="91"/>
      <c r="G43" s="92">
        <f>MAX('3. Calculations_Sheet'!P41:P45)</f>
        <v>0</v>
      </c>
      <c r="H43" s="42"/>
      <c r="I43" s="90" t="str">
        <f>IF(G43&gt;=0,"Pass","Continue")</f>
        <v>Pass</v>
      </c>
      <c r="J43" s="81"/>
      <c r="K43" s="19"/>
      <c r="M43" s="45"/>
      <c r="AC43" s="46" t="s">
        <v>116</v>
      </c>
      <c r="AD43" s="46" t="s">
        <v>115</v>
      </c>
    </row>
    <row r="44" spans="1:30" ht="15.75" thickBot="1" x14ac:dyDescent="0.3">
      <c r="A44" s="85"/>
      <c r="B44" s="86"/>
      <c r="C44" s="86"/>
      <c r="D44" s="86"/>
      <c r="E44" s="86"/>
      <c r="F44" s="86"/>
      <c r="G44" s="93"/>
      <c r="H44" s="94"/>
      <c r="I44" s="94"/>
      <c r="J44" s="95"/>
      <c r="K44" s="19"/>
      <c r="M44" s="44"/>
      <c r="AC44" s="46" t="s">
        <v>118</v>
      </c>
      <c r="AD44" s="46" t="s">
        <v>117</v>
      </c>
    </row>
    <row r="45" spans="1:30" x14ac:dyDescent="0.25">
      <c r="A45" s="5"/>
      <c r="B45" s="5"/>
      <c r="C45" s="5"/>
      <c r="D45" s="5"/>
      <c r="E45" s="5"/>
      <c r="F45" s="5"/>
      <c r="G45" s="5"/>
      <c r="H45" s="96"/>
      <c r="I45" s="42"/>
      <c r="J45" s="42"/>
      <c r="K45" s="41"/>
      <c r="N45" s="45"/>
      <c r="AC45" s="46" t="s">
        <v>120</v>
      </c>
      <c r="AD45" s="46" t="s">
        <v>119</v>
      </c>
    </row>
    <row r="46" spans="1:30" ht="15.75" thickBot="1" x14ac:dyDescent="0.3">
      <c r="A46" s="5"/>
      <c r="B46" s="5"/>
      <c r="C46" s="5"/>
      <c r="D46" s="5"/>
      <c r="E46" s="5"/>
      <c r="F46" s="5"/>
      <c r="G46" s="5"/>
      <c r="H46" s="96"/>
      <c r="I46" s="42"/>
      <c r="J46" s="42"/>
      <c r="K46" s="41"/>
      <c r="AC46" s="46" t="s">
        <v>122</v>
      </c>
      <c r="AD46" s="46" t="s">
        <v>121</v>
      </c>
    </row>
    <row r="47" spans="1:30" x14ac:dyDescent="0.25">
      <c r="A47" s="74"/>
      <c r="B47" s="75"/>
      <c r="C47" s="76" t="s">
        <v>9</v>
      </c>
      <c r="D47" s="75"/>
      <c r="E47" s="75"/>
      <c r="F47" s="75"/>
      <c r="G47" s="75"/>
      <c r="H47" s="97"/>
      <c r="I47" s="97"/>
      <c r="J47" s="88"/>
      <c r="K47" s="19"/>
      <c r="AC47" s="46" t="s">
        <v>124</v>
      </c>
      <c r="AD47" s="46" t="s">
        <v>123</v>
      </c>
    </row>
    <row r="48" spans="1:30" ht="15.75" x14ac:dyDescent="0.25">
      <c r="A48" s="78" t="s">
        <v>10</v>
      </c>
      <c r="B48" s="5"/>
      <c r="C48" s="34" t="s">
        <v>11</v>
      </c>
      <c r="D48" s="19"/>
      <c r="E48" s="91">
        <f>IF(G48=G39,E39,IF(G48=G41,E41,IF(G48=G43,E43,"")))</f>
        <v>1</v>
      </c>
      <c r="F48" s="91"/>
      <c r="G48" s="98">
        <f>IF(MAX(G39:G43)&gt;=0,0,MAX(G39:G43))</f>
        <v>0</v>
      </c>
      <c r="H48" s="19"/>
      <c r="I48" s="99" t="str">
        <f>IF(G48&gt;=0,"Pass","Continue")</f>
        <v>Pass</v>
      </c>
      <c r="J48" s="81"/>
      <c r="K48" s="19"/>
      <c r="AC48" s="46" t="s">
        <v>126</v>
      </c>
      <c r="AD48" s="46" t="s">
        <v>125</v>
      </c>
    </row>
    <row r="49" spans="1:30" ht="15.75" x14ac:dyDescent="0.25">
      <c r="A49" s="78"/>
      <c r="B49" s="5"/>
      <c r="C49" s="34"/>
      <c r="D49" s="19"/>
      <c r="E49" s="91"/>
      <c r="F49" s="91"/>
      <c r="G49" s="100"/>
      <c r="H49" s="19"/>
      <c r="I49" s="42"/>
      <c r="J49" s="81"/>
      <c r="K49" s="19"/>
      <c r="AC49" s="46" t="s">
        <v>128</v>
      </c>
      <c r="AD49" s="46" t="s">
        <v>127</v>
      </c>
    </row>
    <row r="50" spans="1:30" ht="15.75" x14ac:dyDescent="0.25">
      <c r="A50" s="78" t="s">
        <v>205</v>
      </c>
      <c r="B50" s="5"/>
      <c r="C50" s="34"/>
      <c r="D50" s="19"/>
      <c r="E50" s="91"/>
      <c r="F50" s="91"/>
      <c r="G50" s="98">
        <f>'4. Exceptions'!E44</f>
        <v>0</v>
      </c>
      <c r="H50" s="19"/>
      <c r="I50" s="99" t="str">
        <f>IF(G50&gt;=0,"Pass", "Fail")</f>
        <v>Pass</v>
      </c>
      <c r="J50" s="81"/>
      <c r="K50" s="19"/>
      <c r="AC50" s="46"/>
      <c r="AD50" s="46"/>
    </row>
    <row r="51" spans="1:30" ht="15.75" x14ac:dyDescent="0.25">
      <c r="A51" s="78"/>
      <c r="B51" s="5"/>
      <c r="C51" s="34"/>
      <c r="D51" s="19"/>
      <c r="E51" s="91"/>
      <c r="F51" s="91"/>
      <c r="G51" s="100"/>
      <c r="H51" s="19"/>
      <c r="I51" s="42"/>
      <c r="J51" s="81"/>
      <c r="K51" s="19"/>
      <c r="AC51" s="46"/>
      <c r="AD51" s="46"/>
    </row>
    <row r="52" spans="1:30" ht="57.75" customHeight="1" thickBot="1" x14ac:dyDescent="0.3">
      <c r="A52" s="314" t="s">
        <v>222</v>
      </c>
      <c r="B52" s="315"/>
      <c r="C52" s="315"/>
      <c r="D52" s="315"/>
      <c r="E52" s="315"/>
      <c r="F52" s="315"/>
      <c r="G52" s="315"/>
      <c r="H52" s="315"/>
      <c r="I52" s="315"/>
      <c r="J52" s="316"/>
      <c r="K52" s="19"/>
      <c r="AC52" s="46"/>
      <c r="AD52" s="46"/>
    </row>
    <row r="53" spans="1:30" x14ac:dyDescent="0.25">
      <c r="A53" s="101"/>
      <c r="B53" s="62"/>
      <c r="C53" s="62"/>
      <c r="D53" s="62"/>
      <c r="E53" s="62"/>
      <c r="F53" s="62"/>
      <c r="G53" s="62"/>
      <c r="H53" s="62"/>
      <c r="I53" s="62"/>
      <c r="J53" s="62"/>
      <c r="K53" s="62"/>
      <c r="AC53" s="46" t="s">
        <v>130</v>
      </c>
      <c r="AD53" s="46" t="s">
        <v>129</v>
      </c>
    </row>
    <row r="54" spans="1:30" x14ac:dyDescent="0.25">
      <c r="A54" s="15"/>
      <c r="B54" s="15"/>
      <c r="C54" s="15"/>
      <c r="D54" s="15"/>
      <c r="E54" s="102" t="s">
        <v>12</v>
      </c>
      <c r="F54" s="15"/>
      <c r="G54" s="103"/>
      <c r="H54" s="104">
        <f ca="1">TODAY()</f>
        <v>41806</v>
      </c>
      <c r="I54" s="41"/>
      <c r="J54" s="41"/>
      <c r="K54" s="105"/>
      <c r="AC54" s="46" t="s">
        <v>132</v>
      </c>
      <c r="AD54" s="46" t="s">
        <v>131</v>
      </c>
    </row>
    <row r="55" spans="1:30" x14ac:dyDescent="0.25">
      <c r="A55" s="5"/>
      <c r="B55" s="5"/>
      <c r="C55" s="5"/>
      <c r="D55" s="5"/>
      <c r="E55" s="5"/>
      <c r="F55" s="5"/>
      <c r="G55" s="5"/>
      <c r="H55" s="41"/>
      <c r="I55" s="41"/>
      <c r="J55" s="41"/>
      <c r="K55" s="6"/>
      <c r="AC55" s="46" t="s">
        <v>134</v>
      </c>
      <c r="AD55" s="46" t="s">
        <v>133</v>
      </c>
    </row>
    <row r="56" spans="1:30" x14ac:dyDescent="0.25">
      <c r="A56" s="10"/>
      <c r="B56" s="10"/>
      <c r="C56" s="9"/>
      <c r="D56" s="4"/>
      <c r="I56" s="4"/>
      <c r="J56" s="9"/>
      <c r="K56" s="8"/>
      <c r="AC56" s="46" t="s">
        <v>136</v>
      </c>
      <c r="AD56" s="46" t="s">
        <v>135</v>
      </c>
    </row>
    <row r="57" spans="1:30" x14ac:dyDescent="0.25">
      <c r="AC57" s="46" t="s">
        <v>138</v>
      </c>
      <c r="AD57" s="46" t="s">
        <v>137</v>
      </c>
    </row>
    <row r="58" spans="1:30" x14ac:dyDescent="0.25">
      <c r="AC58" s="46" t="s">
        <v>140</v>
      </c>
      <c r="AD58" s="46" t="s">
        <v>139</v>
      </c>
    </row>
    <row r="59" spans="1:30" x14ac:dyDescent="0.25">
      <c r="AC59" s="46" t="s">
        <v>142</v>
      </c>
      <c r="AD59" s="46" t="s">
        <v>141</v>
      </c>
    </row>
    <row r="60" spans="1:30" x14ac:dyDescent="0.25">
      <c r="AC60" s="46" t="s">
        <v>144</v>
      </c>
      <c r="AD60" s="46" t="s">
        <v>143</v>
      </c>
    </row>
    <row r="61" spans="1:30" x14ac:dyDescent="0.25">
      <c r="AC61" s="46" t="s">
        <v>146</v>
      </c>
      <c r="AD61" s="46" t="s">
        <v>145</v>
      </c>
    </row>
    <row r="62" spans="1:30" x14ac:dyDescent="0.25">
      <c r="AC62" s="46" t="s">
        <v>148</v>
      </c>
      <c r="AD62" s="46" t="s">
        <v>147</v>
      </c>
    </row>
    <row r="63" spans="1:30" x14ac:dyDescent="0.25">
      <c r="AC63" s="46" t="s">
        <v>150</v>
      </c>
      <c r="AD63" s="46" t="s">
        <v>149</v>
      </c>
    </row>
    <row r="64" spans="1:30" x14ac:dyDescent="0.25">
      <c r="AC64" s="46" t="s">
        <v>152</v>
      </c>
      <c r="AD64" s="46" t="s">
        <v>151</v>
      </c>
    </row>
    <row r="65" spans="29:30" x14ac:dyDescent="0.25">
      <c r="AC65" s="46" t="s">
        <v>154</v>
      </c>
      <c r="AD65" s="46" t="s">
        <v>153</v>
      </c>
    </row>
    <row r="66" spans="29:30" x14ac:dyDescent="0.25">
      <c r="AC66" s="46" t="s">
        <v>156</v>
      </c>
      <c r="AD66" s="46" t="s">
        <v>155</v>
      </c>
    </row>
    <row r="67" spans="29:30" x14ac:dyDescent="0.25">
      <c r="AC67" s="46" t="s">
        <v>158</v>
      </c>
      <c r="AD67" s="46" t="s">
        <v>157</v>
      </c>
    </row>
    <row r="68" spans="29:30" x14ac:dyDescent="0.25">
      <c r="AC68" s="46" t="s">
        <v>160</v>
      </c>
      <c r="AD68" s="46" t="s">
        <v>159</v>
      </c>
    </row>
    <row r="69" spans="29:30" x14ac:dyDescent="0.25">
      <c r="AC69" s="46" t="s">
        <v>162</v>
      </c>
      <c r="AD69" s="46" t="s">
        <v>161</v>
      </c>
    </row>
    <row r="70" spans="29:30" x14ac:dyDescent="0.25">
      <c r="AC70" s="46" t="s">
        <v>164</v>
      </c>
      <c r="AD70" s="46" t="s">
        <v>163</v>
      </c>
    </row>
    <row r="71" spans="29:30" x14ac:dyDescent="0.25">
      <c r="AC71" s="46" t="s">
        <v>166</v>
      </c>
      <c r="AD71" s="46" t="s">
        <v>165</v>
      </c>
    </row>
    <row r="72" spans="29:30" x14ac:dyDescent="0.25">
      <c r="AC72" s="46" t="s">
        <v>168</v>
      </c>
      <c r="AD72" s="46" t="s">
        <v>167</v>
      </c>
    </row>
    <row r="73" spans="29:30" x14ac:dyDescent="0.25">
      <c r="AC73" s="46" t="s">
        <v>170</v>
      </c>
      <c r="AD73" s="46" t="s">
        <v>169</v>
      </c>
    </row>
    <row r="74" spans="29:30" x14ac:dyDescent="0.25">
      <c r="AC74" s="46" t="s">
        <v>172</v>
      </c>
      <c r="AD74" s="46" t="s">
        <v>171</v>
      </c>
    </row>
    <row r="75" spans="29:30" x14ac:dyDescent="0.25">
      <c r="AC75" s="46" t="s">
        <v>174</v>
      </c>
      <c r="AD75" s="46" t="s">
        <v>173</v>
      </c>
    </row>
    <row r="76" spans="29:30" x14ac:dyDescent="0.25">
      <c r="AC76" s="46" t="s">
        <v>176</v>
      </c>
      <c r="AD76" s="46" t="s">
        <v>175</v>
      </c>
    </row>
    <row r="77" spans="29:30" x14ac:dyDescent="0.25">
      <c r="AC77" s="46" t="s">
        <v>178</v>
      </c>
      <c r="AD77" s="46" t="s">
        <v>177</v>
      </c>
    </row>
    <row r="78" spans="29:30" x14ac:dyDescent="0.25">
      <c r="AC78" s="46" t="s">
        <v>180</v>
      </c>
      <c r="AD78" s="46" t="s">
        <v>179</v>
      </c>
    </row>
  </sheetData>
  <mergeCells count="6">
    <mergeCell ref="A52:J52"/>
    <mergeCell ref="A1:K1"/>
    <mergeCell ref="A2:K2"/>
    <mergeCell ref="A3:K3"/>
    <mergeCell ref="C10:G10"/>
    <mergeCell ref="A4:K4"/>
  </mergeCells>
  <dataValidations count="3">
    <dataValidation type="list" allowBlank="1" showInputMessage="1" showErrorMessage="1" sqref="E13">
      <formula1>$P$4:$P$6</formula1>
    </dataValidation>
    <dataValidation type="list" allowBlank="1" showInputMessage="1" showErrorMessage="1" sqref="G8 I10:K11 H11">
      <formula1>$AD$20:$AD$78</formula1>
    </dataValidation>
    <dataValidation type="list" allowBlank="1" showInputMessage="1" showErrorMessage="1" sqref="C10:G10">
      <formula1>$AC$18:$AC$78</formula1>
    </dataValidation>
  </dataValidations>
  <pageMargins left="0.7" right="0.7" top="0.75" bottom="0.75" header="0.3" footer="0.3"/>
  <pageSetup scale="5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51"/>
  <sheetViews>
    <sheetView zoomScale="90" zoomScaleNormal="90" workbookViewId="0">
      <selection activeCell="H13" sqref="H13"/>
    </sheetView>
  </sheetViews>
  <sheetFormatPr defaultRowHeight="15" x14ac:dyDescent="0.25"/>
  <cols>
    <col min="1" max="1" width="4.7109375" bestFit="1" customWidth="1"/>
    <col min="2" max="2" width="30.7109375" customWidth="1"/>
    <col min="7" max="7" width="10.28515625" hidden="1" customWidth="1"/>
    <col min="8" max="8" width="16.85546875" bestFit="1" customWidth="1"/>
    <col min="9" max="9" width="5.140625" customWidth="1"/>
    <col min="10" max="10" width="16.85546875" bestFit="1" customWidth="1"/>
    <col min="12" max="12" width="19.42578125" customWidth="1"/>
    <col min="13" max="13" width="0.7109375" customWidth="1"/>
    <col min="14" max="14" width="16.85546875" customWidth="1"/>
    <col min="16" max="16" width="19.85546875" customWidth="1"/>
  </cols>
  <sheetData>
    <row r="2" spans="1:17" x14ac:dyDescent="0.25">
      <c r="B2" s="19"/>
      <c r="C2" s="19"/>
      <c r="D2" s="19"/>
      <c r="E2" s="19"/>
      <c r="F2" s="19"/>
      <c r="G2" s="19"/>
      <c r="H2" s="19"/>
      <c r="I2" s="19"/>
      <c r="J2" s="19"/>
      <c r="K2" s="19"/>
      <c r="L2" s="19"/>
      <c r="M2" s="19"/>
      <c r="N2" s="19"/>
      <c r="O2" s="19"/>
      <c r="P2" s="19"/>
      <c r="Q2" s="19"/>
    </row>
    <row r="3" spans="1:17" x14ac:dyDescent="0.25">
      <c r="B3" s="154" t="s">
        <v>225</v>
      </c>
      <c r="C3" s="171" t="str">
        <f>'2. MOE_Input_Sheet'!I18</f>
        <v>2012-13</v>
      </c>
      <c r="D3" s="24"/>
      <c r="E3" s="24"/>
      <c r="F3" s="106"/>
      <c r="G3" s="19"/>
      <c r="H3" s="19"/>
      <c r="I3" s="19"/>
      <c r="J3" s="19"/>
      <c r="K3" s="19"/>
      <c r="L3" s="19"/>
      <c r="M3" s="19"/>
      <c r="N3" s="19"/>
      <c r="O3" s="19"/>
      <c r="P3" s="19"/>
      <c r="Q3" s="19"/>
    </row>
    <row r="4" spans="1:17" x14ac:dyDescent="0.25">
      <c r="B4" s="155"/>
      <c r="C4" s="172"/>
      <c r="D4" s="26"/>
      <c r="E4" s="26"/>
      <c r="F4" s="50"/>
      <c r="G4" s="19"/>
      <c r="H4" s="19"/>
      <c r="I4" s="19"/>
      <c r="J4" s="19"/>
      <c r="K4" s="19"/>
      <c r="L4" s="19"/>
      <c r="M4" s="19"/>
      <c r="N4" s="19"/>
      <c r="O4" s="19"/>
      <c r="P4" s="19"/>
      <c r="Q4" s="19"/>
    </row>
    <row r="5" spans="1:17" x14ac:dyDescent="0.25">
      <c r="B5" s="156" t="s">
        <v>66</v>
      </c>
      <c r="C5" s="173" t="str">
        <f>'2. MOE_Input_Sheet'!C7</f>
        <v/>
      </c>
      <c r="D5" s="26"/>
      <c r="E5" s="26"/>
      <c r="F5" s="50"/>
      <c r="G5" s="19"/>
      <c r="H5" s="19"/>
      <c r="I5" s="19"/>
      <c r="J5" s="19"/>
      <c r="K5" s="19"/>
      <c r="L5" s="19"/>
      <c r="M5" s="19"/>
      <c r="N5" s="19"/>
      <c r="O5" s="19"/>
      <c r="P5" s="19"/>
      <c r="Q5" s="19"/>
    </row>
    <row r="6" spans="1:17" x14ac:dyDescent="0.25">
      <c r="A6" s="11"/>
      <c r="B6" s="54"/>
      <c r="C6" s="34"/>
      <c r="D6" s="26"/>
      <c r="E6" s="107"/>
      <c r="F6" s="108"/>
      <c r="G6" s="109"/>
      <c r="H6" s="109"/>
      <c r="I6" s="110"/>
      <c r="J6" s="109"/>
      <c r="K6" s="111"/>
      <c r="L6" s="109"/>
      <c r="M6" s="109"/>
      <c r="N6" s="109"/>
      <c r="O6" s="109"/>
      <c r="P6" s="109"/>
      <c r="Q6" s="109"/>
    </row>
    <row r="7" spans="1:17" x14ac:dyDescent="0.25">
      <c r="A7" s="11"/>
      <c r="B7" s="112" t="s">
        <v>67</v>
      </c>
      <c r="C7" s="113" t="str">
        <f>'2. MOE_Input_Sheet'!C10</f>
        <v>None</v>
      </c>
      <c r="D7" s="114"/>
      <c r="E7" s="115"/>
      <c r="F7" s="116"/>
      <c r="G7" s="109"/>
      <c r="H7" s="109"/>
      <c r="I7" s="110"/>
      <c r="J7" s="109"/>
      <c r="K7" s="111"/>
      <c r="L7" s="109"/>
      <c r="M7" s="109"/>
      <c r="N7" s="109"/>
      <c r="O7" s="109"/>
      <c r="P7" s="109"/>
      <c r="Q7" s="109"/>
    </row>
    <row r="8" spans="1:17" x14ac:dyDescent="0.25">
      <c r="A8" s="11"/>
      <c r="B8" s="19"/>
      <c r="C8" s="19"/>
      <c r="D8" s="16"/>
      <c r="E8" s="111"/>
      <c r="F8" s="109"/>
      <c r="G8" s="109"/>
      <c r="H8" s="64" t="s">
        <v>1</v>
      </c>
      <c r="I8" s="66"/>
      <c r="J8" s="64" t="s">
        <v>13</v>
      </c>
      <c r="K8" s="117"/>
      <c r="L8" s="109"/>
      <c r="M8" s="118"/>
      <c r="N8" s="109"/>
      <c r="O8" s="109"/>
      <c r="P8" s="63"/>
      <c r="Q8" s="20"/>
    </row>
    <row r="9" spans="1:17" x14ac:dyDescent="0.25">
      <c r="A9" s="11"/>
      <c r="B9" s="15"/>
      <c r="C9" s="15"/>
      <c r="D9" s="15"/>
      <c r="E9" s="109"/>
      <c r="F9" s="109"/>
      <c r="G9" s="109"/>
      <c r="H9" s="64" t="s">
        <v>2</v>
      </c>
      <c r="I9" s="66"/>
      <c r="J9" s="64" t="s">
        <v>2</v>
      </c>
      <c r="K9" s="117"/>
      <c r="L9" s="109"/>
      <c r="M9" s="118"/>
      <c r="N9" s="109"/>
      <c r="O9" s="109"/>
      <c r="P9" s="109"/>
      <c r="Q9" s="20"/>
    </row>
    <row r="10" spans="1:17" x14ac:dyDescent="0.25">
      <c r="A10" s="11"/>
      <c r="B10" s="118"/>
      <c r="C10" s="15"/>
      <c r="D10" s="15"/>
      <c r="E10" s="109"/>
      <c r="F10" s="109"/>
      <c r="G10" s="109"/>
      <c r="H10" s="64" t="str">
        <f>'2. MOE_Input_Sheet'!G18</f>
        <v>2011-12</v>
      </c>
      <c r="I10" s="66"/>
      <c r="J10" s="64" t="str">
        <f>'2. MOE_Input_Sheet'!I18</f>
        <v>2012-13</v>
      </c>
      <c r="K10" s="117"/>
      <c r="L10" s="109"/>
      <c r="M10" s="118"/>
      <c r="N10" s="109"/>
      <c r="O10" s="109"/>
      <c r="P10" s="109"/>
      <c r="Q10" s="20"/>
    </row>
    <row r="11" spans="1:17" x14ac:dyDescent="0.25">
      <c r="A11" s="11"/>
      <c r="B11" s="118" t="s">
        <v>14</v>
      </c>
      <c r="C11" s="15"/>
      <c r="D11" s="15"/>
      <c r="E11" s="109"/>
      <c r="F11" s="109"/>
      <c r="G11" s="109"/>
      <c r="H11" s="119"/>
      <c r="I11" s="120"/>
      <c r="J11" s="121"/>
      <c r="K11" s="121"/>
      <c r="L11" s="109"/>
      <c r="M11" s="109"/>
      <c r="N11" s="109"/>
      <c r="O11" s="109"/>
      <c r="P11" s="109"/>
      <c r="Q11" s="20"/>
    </row>
    <row r="12" spans="1:17" x14ac:dyDescent="0.25">
      <c r="A12" s="11"/>
      <c r="B12" s="109"/>
      <c r="C12" s="109"/>
      <c r="D12" s="109"/>
      <c r="E12" s="109"/>
      <c r="F12" s="109"/>
      <c r="G12" s="109"/>
      <c r="H12" s="5"/>
      <c r="I12" s="36"/>
      <c r="J12" s="5"/>
      <c r="K12" s="36"/>
      <c r="L12" s="118" t="s">
        <v>15</v>
      </c>
      <c r="M12" s="5"/>
      <c r="N12" s="118" t="s">
        <v>16</v>
      </c>
      <c r="O12" s="15"/>
      <c r="P12" s="109"/>
      <c r="Q12" s="20"/>
    </row>
    <row r="13" spans="1:17" x14ac:dyDescent="0.25">
      <c r="A13" s="11"/>
      <c r="B13" s="15" t="s">
        <v>46</v>
      </c>
      <c r="C13" s="15"/>
      <c r="D13" s="15"/>
      <c r="E13" s="20"/>
      <c r="F13" s="109"/>
      <c r="G13" s="109"/>
      <c r="H13" s="22">
        <f>'2. MOE_Input_Sheet'!G22</f>
        <v>0</v>
      </c>
      <c r="I13" s="41"/>
      <c r="J13" s="22">
        <f>'2. MOE_Input_Sheet'!I22</f>
        <v>0</v>
      </c>
      <c r="K13" s="41"/>
      <c r="L13" s="122" t="str">
        <f>IF('2. MOE_Input_Sheet'!E13="Yes",IF('3. Calculations_Sheet'!J13-'3. Calculations_Sheet'!H13&gt;0,('3. Calculations_Sheet'!J13-'3. Calculations_Sheet'!H13)*0.5,"N/A"),"N/A")</f>
        <v>N/A</v>
      </c>
      <c r="M13" s="6"/>
      <c r="N13" s="22">
        <f>IF(L13="N/A",0,IF(J15&gt;=(J13*0.15),0,IF(L13&gt;=0,IF(L13-J15&gt;=0,IF(J15=0,(L13-J15),IF(L13-J15&gt;L17,L17,L13-J15)),0))))</f>
        <v>0</v>
      </c>
      <c r="O13" s="105"/>
      <c r="P13" s="109"/>
      <c r="Q13" s="20"/>
    </row>
    <row r="14" spans="1:17" x14ac:dyDescent="0.25">
      <c r="A14" s="11"/>
      <c r="B14" s="15"/>
      <c r="C14" s="15"/>
      <c r="D14" s="15"/>
      <c r="E14" s="20"/>
      <c r="F14" s="109"/>
      <c r="G14" s="109"/>
      <c r="H14" s="41"/>
      <c r="I14" s="41"/>
      <c r="J14" s="41"/>
      <c r="K14" s="41"/>
      <c r="L14" s="109"/>
      <c r="M14" s="41"/>
      <c r="N14" s="109"/>
      <c r="O14" s="105"/>
      <c r="P14" s="123"/>
      <c r="Q14" s="20"/>
    </row>
    <row r="15" spans="1:17" x14ac:dyDescent="0.25">
      <c r="A15" s="11"/>
      <c r="B15" s="15" t="str">
        <f>'2. MOE_Input_Sheet'!A24</f>
        <v>Coordinated Early Intervening Services</v>
      </c>
      <c r="C15" s="15"/>
      <c r="D15" s="124"/>
      <c r="E15" s="20"/>
      <c r="F15" s="109"/>
      <c r="G15" s="109"/>
      <c r="H15" s="22">
        <f>'2. MOE_Input_Sheet'!G24</f>
        <v>0</v>
      </c>
      <c r="I15" s="41"/>
      <c r="J15" s="22">
        <f>'2. MOE_Input_Sheet'!I24</f>
        <v>0</v>
      </c>
      <c r="K15" s="41"/>
      <c r="L15" s="22">
        <f>J13*0.15</f>
        <v>0</v>
      </c>
      <c r="M15" s="125" t="s">
        <v>17</v>
      </c>
      <c r="N15" s="126" t="s">
        <v>18</v>
      </c>
      <c r="O15" s="105"/>
      <c r="P15" s="109"/>
      <c r="Q15" s="109"/>
    </row>
    <row r="16" spans="1:17" x14ac:dyDescent="0.25">
      <c r="A16" s="11"/>
      <c r="B16" s="15"/>
      <c r="C16" s="15"/>
      <c r="D16" s="15"/>
      <c r="E16" s="109"/>
      <c r="F16" s="109"/>
      <c r="G16" s="109"/>
      <c r="H16" s="15"/>
      <c r="I16" s="36"/>
      <c r="J16" s="15"/>
      <c r="K16" s="16"/>
      <c r="L16" s="109"/>
      <c r="M16" s="15"/>
      <c r="N16" s="109"/>
      <c r="O16" s="105"/>
      <c r="P16" s="109"/>
      <c r="Q16" s="20"/>
    </row>
    <row r="17" spans="1:17" x14ac:dyDescent="0.25">
      <c r="A17" s="11"/>
      <c r="B17" s="127" t="s">
        <v>40</v>
      </c>
      <c r="C17" s="15"/>
      <c r="D17" s="15"/>
      <c r="E17" s="109"/>
      <c r="F17" s="109"/>
      <c r="G17" s="109"/>
      <c r="H17" s="22">
        <f>'2. MOE_Input_Sheet'!G26</f>
        <v>0</v>
      </c>
      <c r="I17" s="41"/>
      <c r="J17" s="22">
        <f>'2. MOE_Input_Sheet'!I26</f>
        <v>0</v>
      </c>
      <c r="K17" s="41"/>
      <c r="L17" s="128" t="e">
        <f>IF((J13*0.15)-J15&gt;L13,L13-J15,IF((L13-J15)&lt;0,0,(J13*0.15)-J15))</f>
        <v>#VALUE!</v>
      </c>
      <c r="M17" s="129"/>
      <c r="N17" s="130" t="s">
        <v>19</v>
      </c>
      <c r="O17" s="129"/>
      <c r="P17" s="129"/>
      <c r="Q17" s="20"/>
    </row>
    <row r="18" spans="1:17" x14ac:dyDescent="0.25">
      <c r="A18" s="11"/>
      <c r="B18" s="15"/>
      <c r="C18" s="15"/>
      <c r="D18" s="15"/>
      <c r="E18" s="109"/>
      <c r="F18" s="109"/>
      <c r="G18" s="109"/>
      <c r="H18" s="105"/>
      <c r="I18" s="41"/>
      <c r="J18" s="105"/>
      <c r="K18" s="123"/>
      <c r="L18" s="109"/>
      <c r="M18" s="105"/>
      <c r="N18" s="109"/>
      <c r="O18" s="105"/>
      <c r="P18" s="109"/>
      <c r="Q18" s="109"/>
    </row>
    <row r="19" spans="1:17" x14ac:dyDescent="0.25">
      <c r="A19" s="11"/>
      <c r="B19" s="127" t="s">
        <v>59</v>
      </c>
      <c r="C19" s="15"/>
      <c r="D19" s="15"/>
      <c r="E19" s="109"/>
      <c r="F19" s="109"/>
      <c r="G19" s="109"/>
      <c r="H19" s="22">
        <f>'2. MOE_Input_Sheet'!G28</f>
        <v>0</v>
      </c>
      <c r="I19" s="41"/>
      <c r="J19" s="22">
        <f>'2. MOE_Input_Sheet'!I28</f>
        <v>0</v>
      </c>
      <c r="K19" s="41"/>
      <c r="L19" s="23" t="str">
        <f>IF(OR(H19=0,J19=0),"Not Valid",(J19/H19)-1)</f>
        <v>Not Valid</v>
      </c>
      <c r="M19" s="105"/>
      <c r="N19" s="118" t="s">
        <v>20</v>
      </c>
      <c r="O19" s="105"/>
      <c r="P19" s="109"/>
      <c r="Q19" s="20"/>
    </row>
    <row r="20" spans="1:17" x14ac:dyDescent="0.25">
      <c r="A20" s="11"/>
      <c r="B20" s="15"/>
      <c r="C20" s="15"/>
      <c r="D20" s="15"/>
      <c r="E20" s="109"/>
      <c r="F20" s="109"/>
      <c r="G20" s="109"/>
      <c r="H20" s="6"/>
      <c r="I20" s="41"/>
      <c r="J20" s="41"/>
      <c r="K20" s="41"/>
      <c r="L20" s="105"/>
      <c r="M20" s="105"/>
      <c r="N20" s="131" t="s">
        <v>21</v>
      </c>
      <c r="O20" s="105"/>
      <c r="P20" s="109"/>
      <c r="Q20" s="20"/>
    </row>
    <row r="21" spans="1:17" x14ac:dyDescent="0.25">
      <c r="A21" s="11"/>
      <c r="B21" s="132" t="s">
        <v>58</v>
      </c>
      <c r="C21" s="15"/>
      <c r="D21" s="15"/>
      <c r="E21" s="109"/>
      <c r="F21" s="109"/>
      <c r="G21" s="109"/>
      <c r="H21" s="22">
        <f>'2. MOE_Input_Sheet'!G30</f>
        <v>0</v>
      </c>
      <c r="I21" s="133"/>
      <c r="J21" s="22">
        <f>'2. MOE_Input_Sheet'!I30</f>
        <v>0</v>
      </c>
      <c r="K21" s="133"/>
      <c r="L21" s="23" t="str">
        <f>IF(OR(H21=0,J21=0),"Not Valid",(J21/H21)-1)</f>
        <v>Not Valid</v>
      </c>
      <c r="M21" s="134"/>
      <c r="N21" s="109"/>
      <c r="O21" s="105"/>
      <c r="P21" s="109"/>
      <c r="Q21" s="20"/>
    </row>
    <row r="22" spans="1:17" x14ac:dyDescent="0.25">
      <c r="A22" s="10"/>
      <c r="B22" s="15"/>
      <c r="C22" s="15"/>
      <c r="D22" s="15"/>
      <c r="E22" s="15"/>
      <c r="F22" s="15"/>
      <c r="G22" s="15"/>
      <c r="H22" s="15"/>
      <c r="I22" s="36"/>
      <c r="J22" s="15"/>
      <c r="K22" s="16"/>
      <c r="L22" s="6"/>
      <c r="M22" s="6"/>
      <c r="N22" s="6"/>
      <c r="O22" s="105"/>
      <c r="P22" s="131" t="s">
        <v>22</v>
      </c>
      <c r="Q22" s="125"/>
    </row>
    <row r="23" spans="1:17" x14ac:dyDescent="0.25">
      <c r="A23" s="2" t="s">
        <v>23</v>
      </c>
      <c r="B23" s="34" t="s">
        <v>24</v>
      </c>
      <c r="C23" s="15"/>
      <c r="D23" s="15"/>
      <c r="E23" s="15"/>
      <c r="F23" s="15"/>
      <c r="G23" s="15"/>
      <c r="H23" s="64" t="s">
        <v>25</v>
      </c>
      <c r="I23" s="135"/>
      <c r="J23" s="64" t="s">
        <v>26</v>
      </c>
      <c r="K23" s="125"/>
      <c r="L23" s="322" t="s">
        <v>27</v>
      </c>
      <c r="M23" s="322"/>
      <c r="N23" s="322"/>
      <c r="O23" s="15"/>
      <c r="P23" s="118" t="s">
        <v>28</v>
      </c>
      <c r="Q23" s="118"/>
    </row>
    <row r="24" spans="1:17" x14ac:dyDescent="0.25">
      <c r="A24" s="10"/>
      <c r="B24" s="15"/>
      <c r="C24" s="109"/>
      <c r="D24" s="109"/>
      <c r="E24" s="109"/>
      <c r="F24" s="109"/>
      <c r="G24" s="109"/>
      <c r="H24" s="15"/>
      <c r="I24" s="36"/>
      <c r="J24" s="15"/>
      <c r="K24" s="16"/>
      <c r="L24" s="5"/>
      <c r="M24" s="107"/>
      <c r="N24" s="5"/>
      <c r="O24" s="109"/>
      <c r="P24" s="15"/>
      <c r="Q24" s="20"/>
    </row>
    <row r="25" spans="1:17" x14ac:dyDescent="0.25">
      <c r="A25" s="1">
        <v>1</v>
      </c>
      <c r="B25" s="15" t="s">
        <v>41</v>
      </c>
      <c r="C25" s="109"/>
      <c r="D25" s="109"/>
      <c r="E25" s="109"/>
      <c r="F25" s="109"/>
      <c r="G25" s="109"/>
      <c r="H25" s="22">
        <f>SUM(H17:H18)</f>
        <v>0</v>
      </c>
      <c r="I25" s="41"/>
      <c r="J25" s="22">
        <f>SUM(J17:J18)</f>
        <v>0</v>
      </c>
      <c r="K25" s="123"/>
      <c r="L25" s="22">
        <f>J17-H17</f>
        <v>0</v>
      </c>
      <c r="M25" s="136"/>
      <c r="N25" s="126" t="str">
        <f>IF(L25&gt;=0,"Pass","Continue")</f>
        <v>Pass</v>
      </c>
      <c r="O25" s="136"/>
      <c r="P25" s="22">
        <f>L25</f>
        <v>0</v>
      </c>
      <c r="Q25" s="20"/>
    </row>
    <row r="26" spans="1:17" x14ac:dyDescent="0.25">
      <c r="A26" s="13"/>
      <c r="B26" s="16"/>
      <c r="C26" s="111"/>
      <c r="D26" s="111"/>
      <c r="E26" s="111"/>
      <c r="F26" s="111"/>
      <c r="G26" s="111"/>
      <c r="H26" s="123"/>
      <c r="I26" s="41"/>
      <c r="J26" s="123"/>
      <c r="K26" s="123"/>
      <c r="L26" s="41"/>
      <c r="M26" s="137"/>
      <c r="N26" s="125"/>
      <c r="O26" s="137"/>
      <c r="P26" s="123"/>
      <c r="Q26" s="20"/>
    </row>
    <row r="27" spans="1:17" x14ac:dyDescent="0.25">
      <c r="A27" s="3"/>
      <c r="B27" s="5"/>
      <c r="C27" s="107"/>
      <c r="D27" s="107"/>
      <c r="E27" s="107"/>
      <c r="F27" s="107"/>
      <c r="G27" s="107"/>
      <c r="H27" s="5"/>
      <c r="I27" s="36"/>
      <c r="J27" s="5"/>
      <c r="K27" s="36"/>
      <c r="L27" s="6"/>
      <c r="M27" s="138"/>
      <c r="N27" s="6"/>
      <c r="O27" s="136"/>
      <c r="P27" s="123"/>
      <c r="Q27" s="20"/>
    </row>
    <row r="28" spans="1:17" x14ac:dyDescent="0.25">
      <c r="A28" s="3">
        <v>2</v>
      </c>
      <c r="B28" s="15" t="s">
        <v>47</v>
      </c>
      <c r="C28" s="107"/>
      <c r="D28" s="107"/>
      <c r="E28" s="107"/>
      <c r="F28" s="107"/>
      <c r="G28" s="107"/>
      <c r="H28" s="22">
        <f>H17</f>
        <v>0</v>
      </c>
      <c r="I28" s="41"/>
      <c r="J28" s="22">
        <f>J17+N13</f>
        <v>0</v>
      </c>
      <c r="K28" s="41"/>
      <c r="L28" s="22">
        <f>(J17+N13)-H17</f>
        <v>0</v>
      </c>
      <c r="M28" s="138"/>
      <c r="N28" s="126" t="str">
        <f>IF(L28&gt;=0,"Pass","Continue")</f>
        <v>Pass</v>
      </c>
      <c r="O28" s="136"/>
      <c r="P28" s="22">
        <f>L28</f>
        <v>0</v>
      </c>
      <c r="Q28" s="20"/>
    </row>
    <row r="29" spans="1:17" x14ac:dyDescent="0.25">
      <c r="A29" s="3"/>
      <c r="B29" s="15"/>
      <c r="C29" s="5"/>
      <c r="D29" s="5"/>
      <c r="E29" s="5"/>
      <c r="F29" s="5"/>
      <c r="G29" s="5"/>
      <c r="H29" s="5"/>
      <c r="I29" s="36"/>
      <c r="J29" s="5"/>
      <c r="K29" s="36"/>
      <c r="L29" s="41"/>
      <c r="M29" s="41"/>
      <c r="N29" s="125"/>
      <c r="O29" s="105"/>
      <c r="P29" s="118" t="s">
        <v>22</v>
      </c>
      <c r="Q29" s="20"/>
    </row>
    <row r="30" spans="1:17" x14ac:dyDescent="0.25">
      <c r="A30" s="3"/>
      <c r="B30" s="118" t="s">
        <v>29</v>
      </c>
      <c r="C30" s="5"/>
      <c r="D30" s="5"/>
      <c r="E30" s="5"/>
      <c r="F30" s="5"/>
      <c r="G30" s="5"/>
      <c r="H30" s="69" t="s">
        <v>25</v>
      </c>
      <c r="I30" s="135"/>
      <c r="J30" s="69" t="s">
        <v>26</v>
      </c>
      <c r="K30" s="135"/>
      <c r="L30" s="321" t="s">
        <v>27</v>
      </c>
      <c r="M30" s="321"/>
      <c r="N30" s="321"/>
      <c r="O30" s="105"/>
      <c r="P30" s="131" t="s">
        <v>28</v>
      </c>
      <c r="Q30" s="20"/>
    </row>
    <row r="31" spans="1:17" x14ac:dyDescent="0.25">
      <c r="A31" s="12"/>
      <c r="B31" s="16"/>
      <c r="C31" s="110"/>
      <c r="D31" s="110"/>
      <c r="E31" s="110"/>
      <c r="F31" s="110"/>
      <c r="G31" s="110"/>
      <c r="H31" s="84"/>
      <c r="I31" s="84"/>
      <c r="J31" s="84"/>
      <c r="K31" s="84"/>
      <c r="L31" s="133"/>
      <c r="M31" s="139"/>
      <c r="N31" s="125"/>
      <c r="O31" s="137"/>
      <c r="P31" s="123"/>
      <c r="Q31" s="140"/>
    </row>
    <row r="32" spans="1:17" x14ac:dyDescent="0.25">
      <c r="A32" s="3"/>
      <c r="B32" s="5"/>
      <c r="C32" s="107"/>
      <c r="D32" s="107"/>
      <c r="E32" s="107"/>
      <c r="F32" s="107"/>
      <c r="G32" s="107"/>
      <c r="H32" s="5"/>
      <c r="I32" s="36"/>
      <c r="J32" s="5"/>
      <c r="K32" s="36"/>
      <c r="L32" s="6"/>
      <c r="M32" s="138"/>
      <c r="N32" s="6"/>
      <c r="O32" s="136"/>
      <c r="P32" s="15"/>
      <c r="Q32" s="20"/>
    </row>
    <row r="33" spans="1:17" x14ac:dyDescent="0.25">
      <c r="A33" s="3">
        <v>3</v>
      </c>
      <c r="B33" s="15" t="s">
        <v>213</v>
      </c>
      <c r="C33" s="107"/>
      <c r="D33" s="107"/>
      <c r="E33" s="107"/>
      <c r="F33" s="107"/>
      <c r="G33" s="107"/>
      <c r="H33" s="141" t="str">
        <f>IF(OR(H19=0,J19=0),"Not Valid",H25/H19)</f>
        <v>Not Valid</v>
      </c>
      <c r="I33" s="84"/>
      <c r="J33" s="141" t="str">
        <f>IF(OR(H19=0,J19=0),"Not Valid",J25/J19)</f>
        <v>Not Valid</v>
      </c>
      <c r="K33" s="84"/>
      <c r="L33" s="142">
        <f>IF(OR(H19=0,J19=0),-0.001,J33-H33)</f>
        <v>-1E-3</v>
      </c>
      <c r="M33" s="138"/>
      <c r="N33" s="126" t="str">
        <f>IF(L33&gt;=0,"Pass","Continue")</f>
        <v>Continue</v>
      </c>
      <c r="O33" s="136"/>
      <c r="P33" s="22" t="str">
        <f>IF(OR(H$19=0,J$19=0),"",IF(J$19=0,"",L33*J$19))</f>
        <v/>
      </c>
      <c r="Q33" s="20"/>
    </row>
    <row r="34" spans="1:17" x14ac:dyDescent="0.25">
      <c r="A34" s="3"/>
      <c r="B34" s="15"/>
      <c r="C34" s="107"/>
      <c r="D34" s="107"/>
      <c r="E34" s="107"/>
      <c r="F34" s="107"/>
      <c r="G34" s="107"/>
      <c r="H34" s="84"/>
      <c r="I34" s="84"/>
      <c r="J34" s="84"/>
      <c r="K34" s="84"/>
      <c r="L34" s="133"/>
      <c r="M34" s="139"/>
      <c r="N34" s="125"/>
      <c r="O34" s="137"/>
      <c r="P34" s="123"/>
      <c r="Q34" s="20"/>
    </row>
    <row r="35" spans="1:17" x14ac:dyDescent="0.25">
      <c r="A35" s="12"/>
      <c r="B35" s="16"/>
      <c r="C35" s="110"/>
      <c r="D35" s="110"/>
      <c r="E35" s="110"/>
      <c r="F35" s="110"/>
      <c r="G35" s="110"/>
      <c r="H35" s="84"/>
      <c r="I35" s="84"/>
      <c r="J35" s="84"/>
      <c r="K35" s="84"/>
      <c r="L35" s="133"/>
      <c r="M35" s="139"/>
      <c r="N35" s="125"/>
      <c r="O35" s="137"/>
      <c r="P35" s="123"/>
      <c r="Q35" s="140"/>
    </row>
    <row r="36" spans="1:17" x14ac:dyDescent="0.25">
      <c r="A36" s="3"/>
      <c r="B36" s="5"/>
      <c r="C36" s="107"/>
      <c r="D36" s="107"/>
      <c r="E36" s="107"/>
      <c r="F36" s="107"/>
      <c r="G36" s="107"/>
      <c r="H36" s="143"/>
      <c r="I36" s="84"/>
      <c r="J36" s="143"/>
      <c r="K36" s="84"/>
      <c r="L36" s="133"/>
      <c r="M36" s="138"/>
      <c r="N36" s="6"/>
      <c r="O36" s="136"/>
      <c r="P36" s="15"/>
      <c r="Q36" s="20"/>
    </row>
    <row r="37" spans="1:17" x14ac:dyDescent="0.25">
      <c r="A37" s="3">
        <v>4</v>
      </c>
      <c r="B37" s="15" t="s">
        <v>218</v>
      </c>
      <c r="C37" s="107"/>
      <c r="D37" s="107"/>
      <c r="E37" s="107"/>
      <c r="F37" s="107"/>
      <c r="G37" s="107"/>
      <c r="H37" s="141" t="str">
        <f>IF(OR(H19=0,J19=0),"Not Valid",H28/H19)</f>
        <v>Not Valid</v>
      </c>
      <c r="I37" s="84"/>
      <c r="J37" s="141" t="str">
        <f>IF(OR(H19=0,J19=0),"Not Valid",J28/J19)</f>
        <v>Not Valid</v>
      </c>
      <c r="K37" s="84"/>
      <c r="L37" s="142">
        <f>IF(OR(H19=0,J19=0),-0.001,J37-H37)</f>
        <v>-1E-3</v>
      </c>
      <c r="M37" s="138"/>
      <c r="N37" s="126" t="str">
        <f>IF(L37&gt;=0,"Pass","Continue")</f>
        <v>Continue</v>
      </c>
      <c r="O37" s="136"/>
      <c r="P37" s="22" t="str">
        <f>IF(OR(H$19=0,J$19=0),"",IF(J$19=0,"",L37*J$19))</f>
        <v/>
      </c>
      <c r="Q37" s="140"/>
    </row>
    <row r="38" spans="1:17" x14ac:dyDescent="0.25">
      <c r="A38" s="3"/>
      <c r="B38" s="15"/>
      <c r="C38" s="107"/>
      <c r="D38" s="107"/>
      <c r="E38" s="107"/>
      <c r="F38" s="107"/>
      <c r="G38" s="107"/>
      <c r="H38" s="84"/>
      <c r="I38" s="84"/>
      <c r="J38" s="84"/>
      <c r="K38" s="84"/>
      <c r="L38" s="133"/>
      <c r="M38" s="139"/>
      <c r="N38" s="125"/>
      <c r="O38" s="137"/>
      <c r="P38" s="123"/>
      <c r="Q38" s="20"/>
    </row>
    <row r="39" spans="1:17" x14ac:dyDescent="0.25">
      <c r="A39" s="12"/>
      <c r="B39" s="16"/>
      <c r="C39" s="110"/>
      <c r="D39" s="110"/>
      <c r="E39" s="110"/>
      <c r="F39" s="110"/>
      <c r="G39" s="110"/>
      <c r="H39" s="84"/>
      <c r="I39" s="84"/>
      <c r="J39" s="84"/>
      <c r="K39" s="84"/>
      <c r="L39" s="133"/>
      <c r="M39" s="139"/>
      <c r="N39" s="125"/>
      <c r="O39" s="137"/>
      <c r="P39" s="123"/>
      <c r="Q39" s="140"/>
    </row>
    <row r="40" spans="1:17" x14ac:dyDescent="0.25">
      <c r="A40" s="3"/>
      <c r="B40" s="5"/>
      <c r="C40" s="109"/>
      <c r="D40" s="109"/>
      <c r="E40" s="109"/>
      <c r="F40" s="109"/>
      <c r="G40" s="109"/>
      <c r="H40" s="144"/>
      <c r="I40" s="84"/>
      <c r="J40" s="144"/>
      <c r="K40" s="145"/>
      <c r="L40" s="133"/>
      <c r="M40" s="136"/>
      <c r="N40" s="105"/>
      <c r="O40" s="136"/>
      <c r="P40" s="15"/>
      <c r="Q40" s="20"/>
    </row>
    <row r="41" spans="1:17" x14ac:dyDescent="0.25">
      <c r="A41" s="3">
        <v>5</v>
      </c>
      <c r="B41" s="15" t="s">
        <v>219</v>
      </c>
      <c r="C41" s="109"/>
      <c r="D41" s="109"/>
      <c r="E41" s="109"/>
      <c r="F41" s="109"/>
      <c r="G41" s="109"/>
      <c r="H41" s="141" t="str">
        <f>IF(OR(H21=0,J21=0),"Not Valid",H25/H21)</f>
        <v>Not Valid</v>
      </c>
      <c r="I41" s="84"/>
      <c r="J41" s="141" t="str">
        <f>IF(OR(H21=0,J21=0),"Not Valid",J25/J21)</f>
        <v>Not Valid</v>
      </c>
      <c r="K41" s="84"/>
      <c r="L41" s="142">
        <f>IF(OR(H21=0,J21=0),-0.001,J41-H41)</f>
        <v>-1E-3</v>
      </c>
      <c r="M41" s="138"/>
      <c r="N41" s="126" t="str">
        <f>IF(L41&gt;=0,"Pass","Continue")</f>
        <v>Continue</v>
      </c>
      <c r="O41" s="136"/>
      <c r="P41" s="22" t="str">
        <f>IF(OR(H$21=0,J$21=0),"",IF(J$21=0,"",L41*J$21))</f>
        <v/>
      </c>
      <c r="Q41" s="20"/>
    </row>
    <row r="42" spans="1:17" x14ac:dyDescent="0.25">
      <c r="A42" s="3"/>
      <c r="B42" s="15"/>
      <c r="C42" s="109"/>
      <c r="D42" s="109"/>
      <c r="E42" s="109"/>
      <c r="F42" s="109"/>
      <c r="G42" s="109"/>
      <c r="H42" s="143"/>
      <c r="I42" s="84"/>
      <c r="J42" s="143"/>
      <c r="K42" s="84"/>
      <c r="L42" s="133"/>
      <c r="M42" s="139"/>
      <c r="N42" s="125"/>
      <c r="O42" s="136"/>
      <c r="P42" s="15"/>
      <c r="Q42" s="20"/>
    </row>
    <row r="43" spans="1:17" x14ac:dyDescent="0.25">
      <c r="A43" s="12"/>
      <c r="B43" s="16"/>
      <c r="C43" s="110"/>
      <c r="D43" s="110"/>
      <c r="E43" s="110"/>
      <c r="F43" s="110"/>
      <c r="G43" s="110"/>
      <c r="H43" s="84"/>
      <c r="I43" s="84"/>
      <c r="J43" s="84"/>
      <c r="K43" s="84"/>
      <c r="L43" s="133"/>
      <c r="M43" s="139"/>
      <c r="N43" s="125"/>
      <c r="O43" s="137"/>
      <c r="P43" s="123"/>
      <c r="Q43" s="20"/>
    </row>
    <row r="44" spans="1:17" x14ac:dyDescent="0.25">
      <c r="A44" s="3"/>
      <c r="B44" s="15"/>
      <c r="C44" s="107"/>
      <c r="D44" s="107"/>
      <c r="E44" s="107"/>
      <c r="F44" s="107"/>
      <c r="G44" s="107"/>
      <c r="H44" s="84"/>
      <c r="I44" s="84"/>
      <c r="J44" s="84"/>
      <c r="K44" s="84"/>
      <c r="L44" s="133"/>
      <c r="M44" s="139"/>
      <c r="N44" s="125"/>
      <c r="O44" s="137"/>
      <c r="P44" s="123"/>
      <c r="Q44" s="20"/>
    </row>
    <row r="45" spans="1:17" x14ac:dyDescent="0.25">
      <c r="A45" s="3">
        <v>6</v>
      </c>
      <c r="B45" s="15" t="s">
        <v>220</v>
      </c>
      <c r="C45" s="107"/>
      <c r="D45" s="107"/>
      <c r="E45" s="107"/>
      <c r="F45" s="107"/>
      <c r="G45" s="107"/>
      <c r="H45" s="141" t="str">
        <f>IF(OR(H21=0,J21=0),"Not Valid",H28/H21)</f>
        <v>Not Valid</v>
      </c>
      <c r="I45" s="84"/>
      <c r="J45" s="141" t="str">
        <f>IF(OR(H21=0,J21=0),"Not Valid",J28/J21)</f>
        <v>Not Valid</v>
      </c>
      <c r="K45" s="84"/>
      <c r="L45" s="142">
        <f>IF(OR(H21=0,J21=0),-0.001,J45-H45)</f>
        <v>-1E-3</v>
      </c>
      <c r="M45" s="138"/>
      <c r="N45" s="126" t="str">
        <f>IF(L45&gt;=0,"Pass","Continue")</f>
        <v>Continue</v>
      </c>
      <c r="O45" s="136"/>
      <c r="P45" s="22" t="str">
        <f>IF(OR(H$21=0,J$21=0),"",IF(J$21=0,"",L45*J$21))</f>
        <v/>
      </c>
      <c r="Q45" s="20"/>
    </row>
    <row r="46" spans="1:17" x14ac:dyDescent="0.25">
      <c r="A46" s="14"/>
      <c r="B46" s="109"/>
      <c r="C46" s="109"/>
      <c r="D46" s="109"/>
      <c r="E46" s="109"/>
      <c r="F46" s="109"/>
      <c r="G46" s="109"/>
      <c r="H46" s="15"/>
      <c r="I46" s="36"/>
      <c r="J46" s="15"/>
      <c r="K46" s="16"/>
      <c r="L46" s="96"/>
      <c r="M46" s="146"/>
      <c r="N46" s="42"/>
      <c r="O46" s="136"/>
      <c r="P46" s="15"/>
      <c r="Q46" s="20"/>
    </row>
    <row r="47" spans="1:17" x14ac:dyDescent="0.25">
      <c r="A47" s="14"/>
      <c r="B47" s="109"/>
      <c r="C47" s="109"/>
      <c r="D47" s="109"/>
      <c r="E47" s="109"/>
      <c r="F47" s="109"/>
      <c r="G47" s="109"/>
      <c r="H47" s="15"/>
      <c r="I47" s="36"/>
      <c r="J47" s="15"/>
      <c r="K47" s="16"/>
      <c r="L47" s="41"/>
      <c r="M47" s="139"/>
      <c r="N47" s="41"/>
      <c r="O47" s="136"/>
      <c r="P47" s="105"/>
      <c r="Q47" s="20"/>
    </row>
    <row r="48" spans="1:17" ht="15.75" thickBot="1" x14ac:dyDescent="0.3">
      <c r="A48" s="14"/>
      <c r="B48" s="118" t="s">
        <v>30</v>
      </c>
      <c r="C48" s="15"/>
      <c r="D48" s="15"/>
      <c r="E48" s="15"/>
      <c r="F48" s="109"/>
      <c r="G48" s="109"/>
      <c r="H48" s="15"/>
      <c r="I48" s="36"/>
      <c r="J48" s="15"/>
      <c r="K48" s="16"/>
      <c r="L48" s="147">
        <f>IF(MAX(P25:P45)&gt;0,0,MAX(P25:P45))</f>
        <v>0</v>
      </c>
      <c r="M48" s="139"/>
      <c r="N48" s="125" t="str">
        <f>IF(L48&gt;=0,"Pass","Continue")</f>
        <v>Pass</v>
      </c>
      <c r="O48" s="136"/>
      <c r="P48" s="148">
        <f>MAX(P24:P47)</f>
        <v>0</v>
      </c>
      <c r="Q48" s="149" t="s">
        <v>31</v>
      </c>
    </row>
    <row r="49" spans="1:17" ht="15.75" thickTop="1" x14ac:dyDescent="0.25">
      <c r="A49" s="14"/>
      <c r="B49" s="109"/>
      <c r="C49" s="109"/>
      <c r="D49" s="109"/>
      <c r="E49" s="109"/>
      <c r="F49" s="109"/>
      <c r="G49" s="109"/>
      <c r="H49" s="109"/>
      <c r="I49" s="110"/>
      <c r="J49" s="109"/>
      <c r="K49" s="111"/>
      <c r="L49" s="139"/>
      <c r="M49" s="139"/>
      <c r="N49" s="139"/>
      <c r="O49" s="136"/>
      <c r="P49" s="22">
        <f>IF(L25&gt;=0,0,IF(L28&gt;=0,0,IF(P48&lt;=0,N13,IF(N13-P48&lt;=0,0,N13-P48))))</f>
        <v>0</v>
      </c>
      <c r="Q49" s="125" t="s">
        <v>16</v>
      </c>
    </row>
    <row r="50" spans="1:17" x14ac:dyDescent="0.25">
      <c r="A50" s="14"/>
      <c r="B50" s="109"/>
      <c r="C50" s="109"/>
      <c r="D50" s="109"/>
      <c r="E50" s="118" t="s">
        <v>32</v>
      </c>
      <c r="F50" s="118"/>
      <c r="G50" s="150">
        <f ca="1">+TODAY()</f>
        <v>41806</v>
      </c>
      <c r="H50" s="109"/>
      <c r="I50" s="110"/>
      <c r="J50" s="109"/>
      <c r="K50" s="111"/>
      <c r="L50" s="139"/>
      <c r="M50" s="139"/>
      <c r="N50" s="139"/>
      <c r="O50" s="136"/>
      <c r="P50" s="137"/>
      <c r="Q50" s="125" t="s">
        <v>11</v>
      </c>
    </row>
    <row r="51" spans="1:17" x14ac:dyDescent="0.25">
      <c r="A51" s="14"/>
      <c r="B51" s="109"/>
      <c r="C51" s="109"/>
      <c r="D51" s="109"/>
      <c r="E51" s="118" t="s">
        <v>33</v>
      </c>
      <c r="F51" s="109"/>
      <c r="G51" s="109"/>
      <c r="H51" s="109"/>
      <c r="I51" s="110"/>
      <c r="J51" s="109"/>
      <c r="K51" s="111"/>
      <c r="L51" s="151">
        <f>L48-P49</f>
        <v>0</v>
      </c>
      <c r="M51" s="139"/>
      <c r="N51" s="139"/>
      <c r="O51" s="136"/>
      <c r="P51" s="136"/>
      <c r="Q51" s="109"/>
    </row>
  </sheetData>
  <sheetProtection password="EF32" sheet="1" objects="1" scenarios="1"/>
  <mergeCells count="2">
    <mergeCell ref="L30:N30"/>
    <mergeCell ref="L23:N2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6"/>
  <sheetViews>
    <sheetView zoomScale="110" zoomScaleNormal="110" workbookViewId="0">
      <selection activeCell="C26" sqref="C26"/>
    </sheetView>
  </sheetViews>
  <sheetFormatPr defaultRowHeight="15" x14ac:dyDescent="0.25"/>
  <cols>
    <col min="1" max="1" width="51" style="19" customWidth="1"/>
    <col min="2" max="2" width="2.85546875" style="19" bestFit="1" customWidth="1"/>
    <col min="3" max="3" width="31.7109375" style="19" bestFit="1" customWidth="1"/>
    <col min="4" max="4" width="6.140625" style="19" bestFit="1" customWidth="1"/>
    <col min="5" max="5" width="15" style="19" bestFit="1" customWidth="1"/>
    <col min="6" max="16384" width="9.140625" style="19"/>
  </cols>
  <sheetData>
    <row r="1" spans="1:7" s="226" customFormat="1" ht="18.75" x14ac:dyDescent="0.3">
      <c r="A1" s="317" t="s">
        <v>43</v>
      </c>
      <c r="B1" s="317"/>
      <c r="C1" s="317"/>
      <c r="D1" s="317"/>
      <c r="E1" s="317"/>
      <c r="F1" s="292"/>
      <c r="G1" s="292"/>
    </row>
    <row r="2" spans="1:7" s="226" customFormat="1" ht="18.75" x14ac:dyDescent="0.3">
      <c r="A2" s="317" t="s">
        <v>325</v>
      </c>
      <c r="B2" s="317"/>
      <c r="C2" s="317"/>
      <c r="D2" s="317"/>
      <c r="E2" s="317"/>
      <c r="F2" s="292"/>
      <c r="G2" s="292"/>
    </row>
    <row r="3" spans="1:7" s="226" customFormat="1" ht="18.75" x14ac:dyDescent="0.3">
      <c r="A3" s="317" t="s">
        <v>0</v>
      </c>
      <c r="B3" s="317"/>
      <c r="C3" s="317"/>
      <c r="D3" s="317"/>
      <c r="E3" s="317"/>
      <c r="F3" s="292"/>
      <c r="G3" s="292"/>
    </row>
    <row r="4" spans="1:7" s="226" customFormat="1" ht="18.75" x14ac:dyDescent="0.3">
      <c r="A4" s="317" t="s">
        <v>329</v>
      </c>
      <c r="B4" s="317"/>
      <c r="C4" s="317"/>
      <c r="D4" s="317"/>
      <c r="E4" s="317"/>
      <c r="F4" s="293"/>
      <c r="G4" s="292"/>
    </row>
    <row r="5" spans="1:7" s="226" customFormat="1" ht="18.75" x14ac:dyDescent="0.3">
      <c r="A5" s="294"/>
      <c r="B5" s="294"/>
      <c r="C5" s="294"/>
      <c r="D5" s="294"/>
      <c r="E5" s="294"/>
      <c r="F5" s="293"/>
      <c r="G5" s="292"/>
    </row>
    <row r="6" spans="1:7" s="226" customFormat="1" ht="32.25" customHeight="1" x14ac:dyDescent="0.3">
      <c r="A6" s="325" t="s">
        <v>330</v>
      </c>
      <c r="B6" s="325"/>
      <c r="C6" s="325"/>
      <c r="D6" s="325"/>
      <c r="E6" s="325"/>
      <c r="F6" s="293"/>
      <c r="G6" s="292"/>
    </row>
    <row r="7" spans="1:7" ht="15.75" x14ac:dyDescent="0.25">
      <c r="A7" s="212"/>
      <c r="B7" s="212"/>
      <c r="C7" s="212"/>
      <c r="D7" s="212"/>
      <c r="E7" s="212"/>
      <c r="F7" s="15"/>
      <c r="G7" s="15"/>
    </row>
    <row r="8" spans="1:7" x14ac:dyDescent="0.25">
      <c r="A8" s="17"/>
      <c r="B8" s="17"/>
      <c r="C8" s="17"/>
      <c r="D8" s="17"/>
      <c r="E8" s="15"/>
      <c r="F8" s="15"/>
      <c r="G8" s="15"/>
    </row>
    <row r="9" spans="1:7" ht="15.75" x14ac:dyDescent="0.25">
      <c r="A9" s="205" t="s">
        <v>2</v>
      </c>
      <c r="B9" s="159"/>
      <c r="C9" s="208" t="str">
        <f>'2. MOE_Input_Sheet'!I18</f>
        <v>2012-13</v>
      </c>
      <c r="D9" s="17"/>
      <c r="E9" s="15"/>
      <c r="F9" s="15"/>
      <c r="G9" s="15"/>
    </row>
    <row r="10" spans="1:7" ht="15.75" x14ac:dyDescent="0.25">
      <c r="A10" s="187"/>
      <c r="B10" s="158"/>
      <c r="C10" s="209"/>
      <c r="D10" s="17"/>
      <c r="E10" s="15"/>
      <c r="F10" s="15"/>
      <c r="G10" s="15"/>
    </row>
    <row r="11" spans="1:7" ht="15.75" x14ac:dyDescent="0.25">
      <c r="A11" s="206" t="s">
        <v>60</v>
      </c>
      <c r="B11" s="157"/>
      <c r="C11" s="209" t="str">
        <f>'2. MOE_Input_Sheet'!C7</f>
        <v/>
      </c>
      <c r="D11" s="15"/>
      <c r="E11" s="15"/>
      <c r="F11" s="15"/>
      <c r="G11" s="15"/>
    </row>
    <row r="12" spans="1:7" ht="15.75" x14ac:dyDescent="0.25">
      <c r="A12" s="188"/>
      <c r="B12" s="55"/>
      <c r="C12" s="210"/>
    </row>
    <row r="13" spans="1:7" ht="15.75" x14ac:dyDescent="0.25">
      <c r="A13" s="207" t="s">
        <v>61</v>
      </c>
      <c r="B13" s="152"/>
      <c r="C13" s="211" t="str">
        <f>'2. MOE_Input_Sheet'!C10</f>
        <v>None</v>
      </c>
    </row>
    <row r="14" spans="1:7" x14ac:dyDescent="0.25">
      <c r="A14" s="17"/>
      <c r="B14" s="18"/>
      <c r="C14" s="5"/>
      <c r="E14" s="20"/>
    </row>
    <row r="15" spans="1:7" x14ac:dyDescent="0.25">
      <c r="A15" s="17"/>
      <c r="B15" s="18"/>
      <c r="C15" s="5"/>
    </row>
    <row r="16" spans="1:7" x14ac:dyDescent="0.25">
      <c r="A16" s="190" t="s">
        <v>327</v>
      </c>
      <c r="B16" s="191"/>
      <c r="C16" s="189"/>
      <c r="D16" s="192">
        <v>-0.35</v>
      </c>
      <c r="E16" s="214" t="str">
        <f>IF('2. MOE_Input_Sheet'!I48="Pass","Pass",'2. MOE_Input_Sheet'!G48)</f>
        <v>Pass</v>
      </c>
      <c r="F16" s="189"/>
    </row>
    <row r="17" spans="1:6" x14ac:dyDescent="0.25">
      <c r="A17" s="5"/>
      <c r="B17" s="5"/>
      <c r="C17" s="15"/>
      <c r="D17" s="23"/>
      <c r="E17" s="24"/>
    </row>
    <row r="18" spans="1:6" ht="15.75" thickBot="1" x14ac:dyDescent="0.3">
      <c r="A18" s="25"/>
      <c r="B18" s="26"/>
      <c r="C18" s="26"/>
      <c r="D18" s="26"/>
      <c r="E18" s="27"/>
    </row>
    <row r="19" spans="1:6" ht="16.5" thickTop="1" x14ac:dyDescent="0.25">
      <c r="A19" s="193" t="s">
        <v>34</v>
      </c>
      <c r="B19" s="28"/>
      <c r="C19" s="29"/>
      <c r="D19" s="30"/>
      <c r="E19" s="31"/>
      <c r="F19" s="213"/>
    </row>
    <row r="20" spans="1:6" ht="43.5" customHeight="1" x14ac:dyDescent="0.25">
      <c r="A20" s="323" t="s">
        <v>35</v>
      </c>
      <c r="B20" s="324"/>
      <c r="C20" s="324"/>
      <c r="D20" s="26"/>
      <c r="E20" s="32"/>
      <c r="F20" s="26"/>
    </row>
    <row r="21" spans="1:6" x14ac:dyDescent="0.25">
      <c r="A21" s="194"/>
      <c r="B21" s="195"/>
      <c r="C21" s="195"/>
      <c r="D21" s="26"/>
      <c r="E21" s="32"/>
      <c r="F21" s="26"/>
    </row>
    <row r="22" spans="1:6" x14ac:dyDescent="0.25">
      <c r="A22" s="33"/>
      <c r="B22" s="5"/>
      <c r="C22" s="5"/>
      <c r="D22" s="26"/>
      <c r="E22" s="32"/>
      <c r="F22" s="26"/>
    </row>
    <row r="23" spans="1:6" ht="15.75" x14ac:dyDescent="0.25">
      <c r="A23" s="197" t="s">
        <v>51</v>
      </c>
      <c r="B23" s="198"/>
      <c r="C23" s="199" t="s">
        <v>286</v>
      </c>
      <c r="D23" s="26"/>
      <c r="E23" s="32"/>
      <c r="F23" s="26"/>
    </row>
    <row r="24" spans="1:6" x14ac:dyDescent="0.25">
      <c r="A24" s="33"/>
      <c r="B24" s="5"/>
      <c r="C24" s="26"/>
      <c r="D24" s="26"/>
      <c r="E24" s="32"/>
      <c r="F24" s="26"/>
    </row>
    <row r="25" spans="1:6" ht="15.75" x14ac:dyDescent="0.25">
      <c r="A25" s="201" t="s">
        <v>239</v>
      </c>
      <c r="B25" s="5"/>
      <c r="C25" s="26"/>
      <c r="D25" s="26"/>
      <c r="E25" s="32"/>
      <c r="F25" s="26"/>
    </row>
    <row r="26" spans="1:6" ht="27" customHeight="1" x14ac:dyDescent="0.25">
      <c r="A26" s="200" t="s">
        <v>54</v>
      </c>
      <c r="B26" s="35" t="s">
        <v>36</v>
      </c>
      <c r="C26" s="216">
        <f>'5. Staff_Departures'!H115</f>
        <v>0</v>
      </c>
      <c r="D26" s="26"/>
      <c r="E26" s="32"/>
      <c r="F26" s="26"/>
    </row>
    <row r="27" spans="1:6" x14ac:dyDescent="0.25">
      <c r="A27" s="194"/>
      <c r="B27" s="35"/>
      <c r="C27" s="37"/>
      <c r="D27" s="26"/>
      <c r="E27" s="32"/>
      <c r="F27" s="26"/>
    </row>
    <row r="28" spans="1:6" x14ac:dyDescent="0.25">
      <c r="A28" s="194"/>
      <c r="B28" s="35"/>
      <c r="C28" s="37"/>
      <c r="D28" s="26"/>
      <c r="E28" s="32"/>
      <c r="F28" s="26"/>
    </row>
    <row r="29" spans="1:6" x14ac:dyDescent="0.25">
      <c r="A29" s="194"/>
      <c r="B29" s="35"/>
      <c r="C29" s="37"/>
      <c r="D29" s="26"/>
      <c r="E29" s="32"/>
      <c r="F29" s="26"/>
    </row>
    <row r="30" spans="1:6" ht="15.75" x14ac:dyDescent="0.25">
      <c r="A30" s="201" t="s">
        <v>241</v>
      </c>
      <c r="B30" s="35"/>
      <c r="C30" s="37"/>
      <c r="D30" s="26"/>
      <c r="E30" s="32"/>
      <c r="F30" s="26"/>
    </row>
    <row r="31" spans="1:6" ht="42.75" customHeight="1" x14ac:dyDescent="0.25">
      <c r="A31" s="200" t="s">
        <v>52</v>
      </c>
      <c r="B31" s="35" t="s">
        <v>37</v>
      </c>
      <c r="C31" s="217">
        <f>'6. HighCost_Students'!F114</f>
        <v>0</v>
      </c>
      <c r="D31" s="26"/>
      <c r="E31" s="32"/>
      <c r="F31" s="26"/>
    </row>
    <row r="32" spans="1:6" x14ac:dyDescent="0.25">
      <c r="A32" s="194"/>
      <c r="B32" s="26"/>
      <c r="C32" s="37"/>
      <c r="D32" s="26"/>
      <c r="E32" s="32"/>
      <c r="F32" s="26"/>
    </row>
    <row r="33" spans="1:6" x14ac:dyDescent="0.25">
      <c r="A33" s="194"/>
      <c r="B33" s="26"/>
      <c r="C33" s="37"/>
      <c r="D33" s="26"/>
      <c r="E33" s="32"/>
      <c r="F33" s="26"/>
    </row>
    <row r="34" spans="1:6" x14ac:dyDescent="0.25">
      <c r="A34" s="194"/>
      <c r="B34" s="26"/>
      <c r="C34" s="37"/>
      <c r="D34" s="26"/>
      <c r="E34" s="32"/>
      <c r="F34" s="26"/>
    </row>
    <row r="35" spans="1:6" ht="15.75" x14ac:dyDescent="0.25">
      <c r="A35" s="201" t="s">
        <v>287</v>
      </c>
      <c r="B35" s="26"/>
      <c r="C35" s="37"/>
      <c r="D35" s="26"/>
      <c r="E35" s="32"/>
      <c r="F35" s="26"/>
    </row>
    <row r="36" spans="1:6" ht="30" x14ac:dyDescent="0.25">
      <c r="A36" s="200" t="s">
        <v>53</v>
      </c>
      <c r="B36" s="35" t="s">
        <v>212</v>
      </c>
      <c r="C36" s="217">
        <f>'7. Termination_of_Exps'!G47</f>
        <v>0</v>
      </c>
      <c r="D36" s="26"/>
      <c r="E36" s="32"/>
      <c r="F36" s="26"/>
    </row>
    <row r="37" spans="1:6" x14ac:dyDescent="0.25">
      <c r="A37" s="194"/>
      <c r="B37" s="35"/>
      <c r="C37" s="5"/>
      <c r="D37" s="5"/>
      <c r="E37" s="32"/>
      <c r="F37" s="26"/>
    </row>
    <row r="38" spans="1:6" ht="11.25" customHeight="1" x14ac:dyDescent="0.25">
      <c r="A38" s="194"/>
      <c r="B38" s="5"/>
      <c r="C38" s="5"/>
      <c r="D38" s="5"/>
      <c r="E38" s="32"/>
      <c r="F38" s="26"/>
    </row>
    <row r="39" spans="1:6" ht="30" customHeight="1" thickBot="1" x14ac:dyDescent="0.3">
      <c r="A39" s="200" t="s">
        <v>38</v>
      </c>
      <c r="B39" s="36"/>
      <c r="C39" s="218">
        <f>SUM(C26:C36)</f>
        <v>0</v>
      </c>
      <c r="D39" s="26"/>
      <c r="E39" s="32"/>
      <c r="F39" s="26"/>
    </row>
    <row r="40" spans="1:6" ht="15.75" thickBot="1" x14ac:dyDescent="0.3">
      <c r="A40" s="38"/>
      <c r="B40" s="25"/>
      <c r="C40" s="25"/>
      <c r="D40" s="39"/>
      <c r="E40" s="204"/>
      <c r="F40" s="213"/>
    </row>
    <row r="41" spans="1:6" ht="15.75" thickTop="1" x14ac:dyDescent="0.25">
      <c r="A41" s="5"/>
      <c r="B41" s="5"/>
      <c r="C41" s="5"/>
      <c r="D41" s="36"/>
      <c r="E41" s="26"/>
    </row>
    <row r="42" spans="1:6" x14ac:dyDescent="0.25">
      <c r="A42" s="15"/>
      <c r="B42" s="21"/>
      <c r="C42" s="15"/>
      <c r="D42" s="36"/>
      <c r="E42" s="36"/>
    </row>
    <row r="43" spans="1:6" x14ac:dyDescent="0.25">
      <c r="A43" s="15"/>
      <c r="B43" s="15"/>
      <c r="C43" s="15"/>
      <c r="D43" s="36"/>
      <c r="E43" s="26"/>
    </row>
    <row r="44" spans="1:6" ht="15.75" thickBot="1" x14ac:dyDescent="0.3">
      <c r="A44" s="202" t="s">
        <v>39</v>
      </c>
      <c r="B44" s="21"/>
      <c r="C44" s="40"/>
      <c r="D44" s="41"/>
      <c r="E44" s="215">
        <f>IF($E16="Pass",0,E16+C39)</f>
        <v>0</v>
      </c>
      <c r="F44" s="42"/>
    </row>
    <row r="45" spans="1:6" ht="15.75" thickTop="1" x14ac:dyDescent="0.25">
      <c r="A45" s="15"/>
      <c r="B45" s="15"/>
      <c r="C45" s="15"/>
      <c r="D45" s="36"/>
      <c r="E45" s="203" t="str">
        <f>IF(E44&gt;=0,"Pass","Fail")</f>
        <v>Pass</v>
      </c>
    </row>
    <row r="46" spans="1:6" ht="32.25" customHeight="1" x14ac:dyDescent="0.25"/>
    <row r="55" spans="1:4" x14ac:dyDescent="0.25">
      <c r="A55" s="15"/>
      <c r="B55" s="15"/>
      <c r="C55" s="15"/>
      <c r="D55" s="15"/>
    </row>
    <row r="56" spans="1:4" x14ac:dyDescent="0.25">
      <c r="A56" s="15"/>
      <c r="B56" s="15"/>
      <c r="C56" s="15"/>
      <c r="D56" s="15"/>
    </row>
  </sheetData>
  <sheetProtection password="EF32" sheet="1" objects="1" scenarios="1"/>
  <mergeCells count="6">
    <mergeCell ref="A20:C20"/>
    <mergeCell ref="A1:E1"/>
    <mergeCell ref="A2:E2"/>
    <mergeCell ref="A4:E4"/>
    <mergeCell ref="A3:E3"/>
    <mergeCell ref="A6:E6"/>
  </mergeCells>
  <printOptions horizontalCentered="1"/>
  <pageMargins left="0.45" right="0.45" top="0.75" bottom="0.75" header="0.3" footer="0.3"/>
  <pageSetup scale="8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
  <sheetViews>
    <sheetView zoomScale="110" zoomScaleNormal="110" workbookViewId="0">
      <selection activeCell="B14" sqref="B14"/>
    </sheetView>
  </sheetViews>
  <sheetFormatPr defaultRowHeight="15" x14ac:dyDescent="0.25"/>
  <cols>
    <col min="1" max="1" width="4.85546875" customWidth="1"/>
    <col min="2" max="2" width="25.85546875" customWidth="1"/>
    <col min="3" max="3" width="18.42578125" bestFit="1" customWidth="1"/>
    <col min="4" max="4" width="16.28515625" customWidth="1"/>
    <col min="5" max="5" width="26" customWidth="1"/>
    <col min="6" max="6" width="25.85546875" customWidth="1"/>
    <col min="7" max="7" width="16.28515625" customWidth="1"/>
    <col min="8" max="8" width="15.28515625" customWidth="1"/>
  </cols>
  <sheetData>
    <row r="1" spans="1:8" s="290" customFormat="1" ht="18.75" x14ac:dyDescent="0.3">
      <c r="A1" s="299" t="s">
        <v>43</v>
      </c>
      <c r="B1" s="299"/>
      <c r="C1" s="299"/>
      <c r="D1" s="299"/>
      <c r="E1" s="299"/>
      <c r="F1" s="299"/>
      <c r="G1" s="299"/>
      <c r="H1" s="299"/>
    </row>
    <row r="2" spans="1:8" s="290" customFormat="1" ht="18.75" x14ac:dyDescent="0.3">
      <c r="A2" s="299" t="s">
        <v>325</v>
      </c>
      <c r="B2" s="299"/>
      <c r="C2" s="299"/>
      <c r="D2" s="299"/>
      <c r="E2" s="299"/>
      <c r="F2" s="299"/>
      <c r="G2" s="299"/>
      <c r="H2" s="299"/>
    </row>
    <row r="3" spans="1:8" s="290" customFormat="1" ht="18.75" x14ac:dyDescent="0.3">
      <c r="A3" s="299" t="s">
        <v>239</v>
      </c>
      <c r="B3" s="299"/>
      <c r="C3" s="299"/>
      <c r="D3" s="299"/>
      <c r="E3" s="299"/>
      <c r="F3" s="299"/>
      <c r="G3" s="299"/>
      <c r="H3" s="299"/>
    </row>
    <row r="4" spans="1:8" s="290" customFormat="1" ht="18.75" x14ac:dyDescent="0.3">
      <c r="A4" s="299" t="s">
        <v>211</v>
      </c>
      <c r="B4" s="299"/>
      <c r="C4" s="299"/>
      <c r="D4" s="299"/>
      <c r="E4" s="299"/>
      <c r="F4" s="299"/>
      <c r="G4" s="299"/>
      <c r="H4" s="299"/>
    </row>
    <row r="5" spans="1:8" s="290" customFormat="1" ht="18.75" x14ac:dyDescent="0.3">
      <c r="A5" s="299" t="str">
        <f>'2. MOE_Input_Sheet'!I18</f>
        <v>2012-13</v>
      </c>
      <c r="B5" s="299"/>
      <c r="C5" s="299"/>
      <c r="D5" s="299"/>
      <c r="E5" s="299"/>
      <c r="F5" s="299"/>
      <c r="G5" s="299"/>
      <c r="H5" s="299"/>
    </row>
    <row r="6" spans="1:8" x14ac:dyDescent="0.25">
      <c r="A6" s="183"/>
      <c r="B6" s="183"/>
      <c r="C6" s="183"/>
      <c r="D6" s="183"/>
      <c r="E6" s="183"/>
      <c r="F6" s="183"/>
      <c r="G6" s="183"/>
      <c r="H6" s="183"/>
    </row>
    <row r="7" spans="1:8" ht="66.75" customHeight="1" x14ac:dyDescent="0.25">
      <c r="A7" s="326" t="s">
        <v>285</v>
      </c>
      <c r="B7" s="326"/>
      <c r="C7" s="326"/>
      <c r="D7" s="326"/>
      <c r="E7" s="326"/>
      <c r="F7" s="326"/>
      <c r="G7" s="326"/>
      <c r="H7" s="326"/>
    </row>
    <row r="8" spans="1:8" x14ac:dyDescent="0.25">
      <c r="A8" s="183"/>
      <c r="B8" s="183"/>
      <c r="C8" s="183"/>
      <c r="D8" s="183"/>
      <c r="E8" s="183"/>
      <c r="F8" s="183"/>
      <c r="G8" s="183"/>
      <c r="H8" s="183"/>
    </row>
    <row r="9" spans="1:8" x14ac:dyDescent="0.25">
      <c r="A9" s="219"/>
      <c r="B9" s="51"/>
      <c r="C9" s="51"/>
      <c r="D9" s="51"/>
      <c r="E9" s="51"/>
      <c r="F9" s="51"/>
      <c r="G9" s="153" t="s">
        <v>235</v>
      </c>
    </row>
    <row r="10" spans="1:8" x14ac:dyDescent="0.25">
      <c r="D10" s="153" t="s">
        <v>240</v>
      </c>
      <c r="G10" s="153" t="s">
        <v>236</v>
      </c>
    </row>
    <row r="11" spans="1:8" x14ac:dyDescent="0.25">
      <c r="D11" s="153" t="s">
        <v>226</v>
      </c>
      <c r="F11" s="161" t="s">
        <v>231</v>
      </c>
      <c r="G11" s="164" t="s">
        <v>233</v>
      </c>
      <c r="H11" s="161" t="s">
        <v>227</v>
      </c>
    </row>
    <row r="12" spans="1:8" x14ac:dyDescent="0.25">
      <c r="B12" s="161" t="s">
        <v>231</v>
      </c>
      <c r="D12" s="153" t="s">
        <v>230</v>
      </c>
      <c r="F12" s="153" t="s">
        <v>233</v>
      </c>
      <c r="G12" s="163" t="s">
        <v>237</v>
      </c>
      <c r="H12" s="153" t="s">
        <v>228</v>
      </c>
    </row>
    <row r="13" spans="1:8" ht="15.75" thickBot="1" x14ac:dyDescent="0.3">
      <c r="A13" s="47" t="s">
        <v>23</v>
      </c>
      <c r="B13" s="47" t="s">
        <v>232</v>
      </c>
      <c r="C13" s="47" t="s">
        <v>62</v>
      </c>
      <c r="D13" s="47" t="s">
        <v>229</v>
      </c>
      <c r="E13" s="47" t="s">
        <v>63</v>
      </c>
      <c r="F13" s="47" t="s">
        <v>234</v>
      </c>
      <c r="G13" s="47" t="s">
        <v>238</v>
      </c>
      <c r="H13" s="160" t="s">
        <v>55</v>
      </c>
    </row>
    <row r="14" spans="1:8" x14ac:dyDescent="0.25">
      <c r="A14" s="19">
        <v>1</v>
      </c>
      <c r="B14" s="168"/>
      <c r="C14" s="168"/>
      <c r="D14" s="169"/>
      <c r="E14" s="170"/>
      <c r="F14" s="168"/>
      <c r="G14" s="169"/>
      <c r="H14" s="167">
        <f>D14-G14</f>
        <v>0</v>
      </c>
    </row>
    <row r="15" spans="1:8" x14ac:dyDescent="0.25">
      <c r="A15" s="19">
        <v>2</v>
      </c>
      <c r="B15" s="168"/>
      <c r="C15" s="168"/>
      <c r="D15" s="169"/>
      <c r="E15" s="170"/>
      <c r="F15" s="168"/>
      <c r="G15" s="169"/>
      <c r="H15" s="167">
        <f t="shared" ref="H15:H78" si="0">D15-G15</f>
        <v>0</v>
      </c>
    </row>
    <row r="16" spans="1:8" x14ac:dyDescent="0.25">
      <c r="A16" s="19">
        <v>3</v>
      </c>
      <c r="B16" s="168"/>
      <c r="C16" s="168"/>
      <c r="D16" s="169"/>
      <c r="E16" s="170"/>
      <c r="F16" s="168"/>
      <c r="G16" s="169"/>
      <c r="H16" s="167">
        <f t="shared" si="0"/>
        <v>0</v>
      </c>
    </row>
    <row r="17" spans="1:8" x14ac:dyDescent="0.25">
      <c r="A17" s="19">
        <v>4</v>
      </c>
      <c r="B17" s="168"/>
      <c r="C17" s="168"/>
      <c r="D17" s="169"/>
      <c r="E17" s="170"/>
      <c r="F17" s="168"/>
      <c r="G17" s="169"/>
      <c r="H17" s="167">
        <f t="shared" si="0"/>
        <v>0</v>
      </c>
    </row>
    <row r="18" spans="1:8" x14ac:dyDescent="0.25">
      <c r="A18" s="19">
        <v>5</v>
      </c>
      <c r="B18" s="168"/>
      <c r="C18" s="168"/>
      <c r="D18" s="169"/>
      <c r="E18" s="170"/>
      <c r="F18" s="168"/>
      <c r="G18" s="169"/>
      <c r="H18" s="167">
        <f t="shared" si="0"/>
        <v>0</v>
      </c>
    </row>
    <row r="19" spans="1:8" x14ac:dyDescent="0.25">
      <c r="A19" s="19">
        <v>6</v>
      </c>
      <c r="B19" s="168"/>
      <c r="C19" s="168"/>
      <c r="D19" s="169"/>
      <c r="E19" s="170"/>
      <c r="F19" s="168"/>
      <c r="G19" s="169"/>
      <c r="H19" s="167">
        <f t="shared" si="0"/>
        <v>0</v>
      </c>
    </row>
    <row r="20" spans="1:8" x14ac:dyDescent="0.25">
      <c r="A20" s="19">
        <v>7</v>
      </c>
      <c r="B20" s="168"/>
      <c r="C20" s="168"/>
      <c r="D20" s="169"/>
      <c r="E20" s="170"/>
      <c r="F20" s="168"/>
      <c r="G20" s="169"/>
      <c r="H20" s="167">
        <f t="shared" si="0"/>
        <v>0</v>
      </c>
    </row>
    <row r="21" spans="1:8" x14ac:dyDescent="0.25">
      <c r="A21" s="19">
        <v>8</v>
      </c>
      <c r="B21" s="168"/>
      <c r="C21" s="168"/>
      <c r="D21" s="169"/>
      <c r="E21" s="170"/>
      <c r="F21" s="168"/>
      <c r="G21" s="169"/>
      <c r="H21" s="167">
        <f t="shared" si="0"/>
        <v>0</v>
      </c>
    </row>
    <row r="22" spans="1:8" x14ac:dyDescent="0.25">
      <c r="A22" s="19">
        <v>9</v>
      </c>
      <c r="B22" s="168"/>
      <c r="C22" s="168"/>
      <c r="D22" s="169"/>
      <c r="E22" s="170"/>
      <c r="F22" s="168"/>
      <c r="G22" s="169"/>
      <c r="H22" s="167">
        <f t="shared" si="0"/>
        <v>0</v>
      </c>
    </row>
    <row r="23" spans="1:8" x14ac:dyDescent="0.25">
      <c r="A23" s="19">
        <v>10</v>
      </c>
      <c r="B23" s="168"/>
      <c r="C23" s="168"/>
      <c r="D23" s="169"/>
      <c r="E23" s="170"/>
      <c r="F23" s="168"/>
      <c r="G23" s="169"/>
      <c r="H23" s="167">
        <f t="shared" si="0"/>
        <v>0</v>
      </c>
    </row>
    <row r="24" spans="1:8" x14ac:dyDescent="0.25">
      <c r="A24" s="19">
        <v>11</v>
      </c>
      <c r="B24" s="168"/>
      <c r="C24" s="168"/>
      <c r="D24" s="169"/>
      <c r="E24" s="170"/>
      <c r="F24" s="168"/>
      <c r="G24" s="169"/>
      <c r="H24" s="167">
        <f t="shared" si="0"/>
        <v>0</v>
      </c>
    </row>
    <row r="25" spans="1:8" x14ac:dyDescent="0.25">
      <c r="A25" s="19">
        <v>12</v>
      </c>
      <c r="B25" s="168"/>
      <c r="C25" s="168"/>
      <c r="D25" s="169"/>
      <c r="E25" s="170"/>
      <c r="F25" s="168"/>
      <c r="G25" s="169"/>
      <c r="H25" s="167">
        <f t="shared" si="0"/>
        <v>0</v>
      </c>
    </row>
    <row r="26" spans="1:8" x14ac:dyDescent="0.25">
      <c r="A26" s="19">
        <v>13</v>
      </c>
      <c r="B26" s="168"/>
      <c r="C26" s="168"/>
      <c r="D26" s="169"/>
      <c r="E26" s="170"/>
      <c r="F26" s="168"/>
      <c r="G26" s="169"/>
      <c r="H26" s="167">
        <f t="shared" si="0"/>
        <v>0</v>
      </c>
    </row>
    <row r="27" spans="1:8" x14ac:dyDescent="0.25">
      <c r="A27" s="19">
        <v>14</v>
      </c>
      <c r="B27" s="168"/>
      <c r="C27" s="168"/>
      <c r="D27" s="169"/>
      <c r="E27" s="170"/>
      <c r="F27" s="168"/>
      <c r="G27" s="169"/>
      <c r="H27" s="167">
        <f t="shared" si="0"/>
        <v>0</v>
      </c>
    </row>
    <row r="28" spans="1:8" x14ac:dyDescent="0.25">
      <c r="A28" s="19">
        <v>15</v>
      </c>
      <c r="B28" s="168"/>
      <c r="C28" s="168"/>
      <c r="D28" s="169"/>
      <c r="E28" s="170"/>
      <c r="F28" s="168"/>
      <c r="G28" s="169"/>
      <c r="H28" s="167">
        <f t="shared" si="0"/>
        <v>0</v>
      </c>
    </row>
    <row r="29" spans="1:8" x14ac:dyDescent="0.25">
      <c r="A29" s="19">
        <v>16</v>
      </c>
      <c r="B29" s="168"/>
      <c r="C29" s="168"/>
      <c r="D29" s="169"/>
      <c r="E29" s="170"/>
      <c r="F29" s="168"/>
      <c r="G29" s="169"/>
      <c r="H29" s="167">
        <f t="shared" si="0"/>
        <v>0</v>
      </c>
    </row>
    <row r="30" spans="1:8" x14ac:dyDescent="0.25">
      <c r="A30" s="19">
        <v>17</v>
      </c>
      <c r="B30" s="168"/>
      <c r="C30" s="168"/>
      <c r="D30" s="169"/>
      <c r="E30" s="170"/>
      <c r="F30" s="168"/>
      <c r="G30" s="169"/>
      <c r="H30" s="167">
        <f t="shared" si="0"/>
        <v>0</v>
      </c>
    </row>
    <row r="31" spans="1:8" x14ac:dyDescent="0.25">
      <c r="A31" s="19">
        <v>18</v>
      </c>
      <c r="B31" s="168"/>
      <c r="C31" s="168"/>
      <c r="D31" s="169"/>
      <c r="E31" s="170"/>
      <c r="F31" s="168"/>
      <c r="G31" s="169"/>
      <c r="H31" s="167">
        <f t="shared" si="0"/>
        <v>0</v>
      </c>
    </row>
    <row r="32" spans="1:8" x14ac:dyDescent="0.25">
      <c r="A32" s="19">
        <v>19</v>
      </c>
      <c r="B32" s="168"/>
      <c r="C32" s="168"/>
      <c r="D32" s="169"/>
      <c r="E32" s="170"/>
      <c r="F32" s="168"/>
      <c r="G32" s="169"/>
      <c r="H32" s="167">
        <f t="shared" si="0"/>
        <v>0</v>
      </c>
    </row>
    <row r="33" spans="1:8" x14ac:dyDescent="0.25">
      <c r="A33" s="19">
        <v>20</v>
      </c>
      <c r="B33" s="168"/>
      <c r="C33" s="168"/>
      <c r="D33" s="169"/>
      <c r="E33" s="170"/>
      <c r="F33" s="168"/>
      <c r="G33" s="169"/>
      <c r="H33" s="167">
        <f t="shared" si="0"/>
        <v>0</v>
      </c>
    </row>
    <row r="34" spans="1:8" s="220" customFormat="1" x14ac:dyDescent="0.25">
      <c r="A34" s="19">
        <v>21</v>
      </c>
      <c r="B34" s="168"/>
      <c r="C34" s="168"/>
      <c r="D34" s="169"/>
      <c r="E34" s="170"/>
      <c r="F34" s="168"/>
      <c r="G34" s="169"/>
      <c r="H34" s="167">
        <f t="shared" si="0"/>
        <v>0</v>
      </c>
    </row>
    <row r="35" spans="1:8" s="220" customFormat="1" x14ac:dyDescent="0.25">
      <c r="A35" s="19">
        <v>22</v>
      </c>
      <c r="B35" s="168"/>
      <c r="C35" s="168"/>
      <c r="D35" s="169"/>
      <c r="E35" s="170"/>
      <c r="F35" s="168"/>
      <c r="G35" s="169"/>
      <c r="H35" s="167">
        <f t="shared" si="0"/>
        <v>0</v>
      </c>
    </row>
    <row r="36" spans="1:8" s="220" customFormat="1" x14ac:dyDescent="0.25">
      <c r="A36" s="19">
        <v>23</v>
      </c>
      <c r="B36" s="168"/>
      <c r="C36" s="168"/>
      <c r="D36" s="169"/>
      <c r="E36" s="170"/>
      <c r="F36" s="168"/>
      <c r="G36" s="169"/>
      <c r="H36" s="167">
        <f t="shared" si="0"/>
        <v>0</v>
      </c>
    </row>
    <row r="37" spans="1:8" s="220" customFormat="1" x14ac:dyDescent="0.25">
      <c r="A37" s="19">
        <v>24</v>
      </c>
      <c r="B37" s="168"/>
      <c r="C37" s="168"/>
      <c r="D37" s="169"/>
      <c r="E37" s="170"/>
      <c r="F37" s="168"/>
      <c r="G37" s="169"/>
      <c r="H37" s="167">
        <f t="shared" si="0"/>
        <v>0</v>
      </c>
    </row>
    <row r="38" spans="1:8" s="220" customFormat="1" x14ac:dyDescent="0.25">
      <c r="A38" s="19">
        <v>25</v>
      </c>
      <c r="B38" s="168"/>
      <c r="C38" s="168"/>
      <c r="D38" s="169"/>
      <c r="E38" s="170"/>
      <c r="F38" s="168"/>
      <c r="G38" s="169"/>
      <c r="H38" s="167">
        <f t="shared" si="0"/>
        <v>0</v>
      </c>
    </row>
    <row r="39" spans="1:8" s="220" customFormat="1" x14ac:dyDescent="0.25">
      <c r="A39" s="19">
        <v>26</v>
      </c>
      <c r="B39" s="168"/>
      <c r="C39" s="168"/>
      <c r="D39" s="169"/>
      <c r="E39" s="170"/>
      <c r="F39" s="168"/>
      <c r="G39" s="169"/>
      <c r="H39" s="167">
        <f t="shared" si="0"/>
        <v>0</v>
      </c>
    </row>
    <row r="40" spans="1:8" s="220" customFormat="1" x14ac:dyDescent="0.25">
      <c r="A40" s="19">
        <v>27</v>
      </c>
      <c r="B40" s="168"/>
      <c r="C40" s="168"/>
      <c r="D40" s="169"/>
      <c r="E40" s="170"/>
      <c r="F40" s="168"/>
      <c r="G40" s="169"/>
      <c r="H40" s="167">
        <f t="shared" si="0"/>
        <v>0</v>
      </c>
    </row>
    <row r="41" spans="1:8" s="220" customFormat="1" x14ac:dyDescent="0.25">
      <c r="A41" s="19">
        <v>28</v>
      </c>
      <c r="B41" s="168"/>
      <c r="C41" s="168"/>
      <c r="D41" s="169"/>
      <c r="E41" s="170"/>
      <c r="F41" s="168"/>
      <c r="G41" s="169"/>
      <c r="H41" s="167">
        <f t="shared" si="0"/>
        <v>0</v>
      </c>
    </row>
    <row r="42" spans="1:8" s="220" customFormat="1" x14ac:dyDescent="0.25">
      <c r="A42" s="19">
        <v>29</v>
      </c>
      <c r="B42" s="168"/>
      <c r="C42" s="168"/>
      <c r="D42" s="169"/>
      <c r="E42" s="170"/>
      <c r="F42" s="168"/>
      <c r="G42" s="169"/>
      <c r="H42" s="167">
        <f t="shared" si="0"/>
        <v>0</v>
      </c>
    </row>
    <row r="43" spans="1:8" s="220" customFormat="1" x14ac:dyDescent="0.25">
      <c r="A43" s="19">
        <v>30</v>
      </c>
      <c r="B43" s="168"/>
      <c r="C43" s="168"/>
      <c r="D43" s="169"/>
      <c r="E43" s="170"/>
      <c r="F43" s="168"/>
      <c r="G43" s="169"/>
      <c r="H43" s="167">
        <f t="shared" si="0"/>
        <v>0</v>
      </c>
    </row>
    <row r="44" spans="1:8" s="220" customFormat="1" x14ac:dyDescent="0.25">
      <c r="A44" s="19">
        <v>31</v>
      </c>
      <c r="B44" s="168"/>
      <c r="C44" s="168"/>
      <c r="D44" s="169"/>
      <c r="E44" s="170"/>
      <c r="F44" s="168"/>
      <c r="G44" s="169"/>
      <c r="H44" s="167">
        <f t="shared" si="0"/>
        <v>0</v>
      </c>
    </row>
    <row r="45" spans="1:8" s="220" customFormat="1" x14ac:dyDescent="0.25">
      <c r="A45" s="19">
        <v>32</v>
      </c>
      <c r="B45" s="168"/>
      <c r="C45" s="168"/>
      <c r="D45" s="169"/>
      <c r="E45" s="170"/>
      <c r="F45" s="168"/>
      <c r="G45" s="169"/>
      <c r="H45" s="167">
        <f t="shared" si="0"/>
        <v>0</v>
      </c>
    </row>
    <row r="46" spans="1:8" s="220" customFormat="1" x14ac:dyDescent="0.25">
      <c r="A46" s="19">
        <v>33</v>
      </c>
      <c r="B46" s="168"/>
      <c r="C46" s="168"/>
      <c r="D46" s="169"/>
      <c r="E46" s="170"/>
      <c r="F46" s="168"/>
      <c r="G46" s="169"/>
      <c r="H46" s="167">
        <f t="shared" si="0"/>
        <v>0</v>
      </c>
    </row>
    <row r="47" spans="1:8" s="220" customFormat="1" x14ac:dyDescent="0.25">
      <c r="A47" s="19">
        <v>34</v>
      </c>
      <c r="B47" s="168"/>
      <c r="C47" s="168"/>
      <c r="D47" s="169"/>
      <c r="E47" s="170"/>
      <c r="F47" s="168"/>
      <c r="G47" s="169"/>
      <c r="H47" s="167">
        <f t="shared" si="0"/>
        <v>0</v>
      </c>
    </row>
    <row r="48" spans="1:8" s="220" customFormat="1" x14ac:dyDescent="0.25">
      <c r="A48" s="19">
        <v>35</v>
      </c>
      <c r="B48" s="168"/>
      <c r="C48" s="168"/>
      <c r="D48" s="169"/>
      <c r="E48" s="170"/>
      <c r="F48" s="168"/>
      <c r="G48" s="169"/>
      <c r="H48" s="167">
        <f t="shared" si="0"/>
        <v>0</v>
      </c>
    </row>
    <row r="49" spans="1:8" s="220" customFormat="1" x14ac:dyDescent="0.25">
      <c r="A49" s="19">
        <v>36</v>
      </c>
      <c r="B49" s="168"/>
      <c r="C49" s="168"/>
      <c r="D49" s="169"/>
      <c r="E49" s="170"/>
      <c r="F49" s="168"/>
      <c r="G49" s="169"/>
      <c r="H49" s="167">
        <f t="shared" si="0"/>
        <v>0</v>
      </c>
    </row>
    <row r="50" spans="1:8" s="220" customFormat="1" x14ac:dyDescent="0.25">
      <c r="A50" s="19">
        <v>37</v>
      </c>
      <c r="B50" s="168"/>
      <c r="C50" s="168"/>
      <c r="D50" s="169"/>
      <c r="E50" s="170"/>
      <c r="F50" s="168"/>
      <c r="G50" s="169"/>
      <c r="H50" s="167">
        <f t="shared" si="0"/>
        <v>0</v>
      </c>
    </row>
    <row r="51" spans="1:8" s="220" customFormat="1" x14ac:dyDescent="0.25">
      <c r="A51" s="19">
        <v>38</v>
      </c>
      <c r="B51" s="168"/>
      <c r="C51" s="168"/>
      <c r="D51" s="169"/>
      <c r="E51" s="170"/>
      <c r="F51" s="168"/>
      <c r="G51" s="169"/>
      <c r="H51" s="167">
        <f t="shared" si="0"/>
        <v>0</v>
      </c>
    </row>
    <row r="52" spans="1:8" s="220" customFormat="1" x14ac:dyDescent="0.25">
      <c r="A52" s="19">
        <v>39</v>
      </c>
      <c r="B52" s="168"/>
      <c r="C52" s="168"/>
      <c r="D52" s="169"/>
      <c r="E52" s="170"/>
      <c r="F52" s="168"/>
      <c r="G52" s="169"/>
      <c r="H52" s="167">
        <f t="shared" si="0"/>
        <v>0</v>
      </c>
    </row>
    <row r="53" spans="1:8" s="220" customFormat="1" x14ac:dyDescent="0.25">
      <c r="A53" s="19">
        <v>40</v>
      </c>
      <c r="B53" s="168"/>
      <c r="C53" s="168"/>
      <c r="D53" s="169"/>
      <c r="E53" s="170"/>
      <c r="F53" s="168"/>
      <c r="G53" s="169"/>
      <c r="H53" s="167">
        <f t="shared" si="0"/>
        <v>0</v>
      </c>
    </row>
    <row r="54" spans="1:8" x14ac:dyDescent="0.25">
      <c r="A54" s="19">
        <v>41</v>
      </c>
      <c r="B54" s="168"/>
      <c r="C54" s="168"/>
      <c r="D54" s="169"/>
      <c r="E54" s="170"/>
      <c r="F54" s="168"/>
      <c r="G54" s="169"/>
      <c r="H54" s="167">
        <f t="shared" si="0"/>
        <v>0</v>
      </c>
    </row>
    <row r="55" spans="1:8" x14ac:dyDescent="0.25">
      <c r="A55" s="19">
        <v>42</v>
      </c>
      <c r="B55" s="168"/>
      <c r="C55" s="168"/>
      <c r="D55" s="169"/>
      <c r="E55" s="170"/>
      <c r="F55" s="168"/>
      <c r="G55" s="169"/>
      <c r="H55" s="167">
        <f t="shared" si="0"/>
        <v>0</v>
      </c>
    </row>
    <row r="56" spans="1:8" x14ac:dyDescent="0.25">
      <c r="A56" s="19">
        <v>43</v>
      </c>
      <c r="B56" s="168"/>
      <c r="C56" s="168"/>
      <c r="D56" s="169"/>
      <c r="E56" s="170"/>
      <c r="F56" s="168"/>
      <c r="G56" s="169"/>
      <c r="H56" s="167">
        <f t="shared" si="0"/>
        <v>0</v>
      </c>
    </row>
    <row r="57" spans="1:8" x14ac:dyDescent="0.25">
      <c r="A57" s="19">
        <v>44</v>
      </c>
      <c r="B57" s="168"/>
      <c r="C57" s="168"/>
      <c r="D57" s="169"/>
      <c r="E57" s="170"/>
      <c r="F57" s="168"/>
      <c r="G57" s="169"/>
      <c r="H57" s="167">
        <f t="shared" si="0"/>
        <v>0</v>
      </c>
    </row>
    <row r="58" spans="1:8" x14ac:dyDescent="0.25">
      <c r="A58" s="19">
        <v>45</v>
      </c>
      <c r="B58" s="168"/>
      <c r="C58" s="168"/>
      <c r="D58" s="169"/>
      <c r="E58" s="170"/>
      <c r="F58" s="168"/>
      <c r="G58" s="169"/>
      <c r="H58" s="167">
        <f t="shared" si="0"/>
        <v>0</v>
      </c>
    </row>
    <row r="59" spans="1:8" x14ac:dyDescent="0.25">
      <c r="A59" s="19">
        <v>46</v>
      </c>
      <c r="B59" s="168"/>
      <c r="C59" s="168"/>
      <c r="D59" s="169"/>
      <c r="E59" s="170"/>
      <c r="F59" s="168"/>
      <c r="G59" s="169"/>
      <c r="H59" s="167">
        <f t="shared" si="0"/>
        <v>0</v>
      </c>
    </row>
    <row r="60" spans="1:8" x14ac:dyDescent="0.25">
      <c r="A60" s="19">
        <v>47</v>
      </c>
      <c r="B60" s="168"/>
      <c r="C60" s="168"/>
      <c r="D60" s="169"/>
      <c r="E60" s="170"/>
      <c r="F60" s="168"/>
      <c r="G60" s="169"/>
      <c r="H60" s="167">
        <f t="shared" si="0"/>
        <v>0</v>
      </c>
    </row>
    <row r="61" spans="1:8" x14ac:dyDescent="0.25">
      <c r="A61" s="19">
        <v>48</v>
      </c>
      <c r="B61" s="168"/>
      <c r="C61" s="168"/>
      <c r="D61" s="169"/>
      <c r="E61" s="170"/>
      <c r="F61" s="168"/>
      <c r="G61" s="169"/>
      <c r="H61" s="167">
        <f t="shared" si="0"/>
        <v>0</v>
      </c>
    </row>
    <row r="62" spans="1:8" x14ac:dyDescent="0.25">
      <c r="A62" s="19">
        <v>49</v>
      </c>
      <c r="B62" s="168"/>
      <c r="C62" s="168"/>
      <c r="D62" s="169"/>
      <c r="E62" s="170"/>
      <c r="F62" s="168"/>
      <c r="G62" s="169"/>
      <c r="H62" s="167">
        <f t="shared" si="0"/>
        <v>0</v>
      </c>
    </row>
    <row r="63" spans="1:8" x14ac:dyDescent="0.25">
      <c r="A63" s="19">
        <v>50</v>
      </c>
      <c r="B63" s="168"/>
      <c r="C63" s="168"/>
      <c r="D63" s="169"/>
      <c r="E63" s="170"/>
      <c r="F63" s="168"/>
      <c r="G63" s="169"/>
      <c r="H63" s="167">
        <f t="shared" si="0"/>
        <v>0</v>
      </c>
    </row>
    <row r="64" spans="1:8" s="220" customFormat="1" x14ac:dyDescent="0.25">
      <c r="A64" s="19">
        <v>51</v>
      </c>
      <c r="B64" s="168"/>
      <c r="C64" s="168"/>
      <c r="D64" s="169"/>
      <c r="E64" s="170"/>
      <c r="F64" s="168"/>
      <c r="G64" s="169"/>
      <c r="H64" s="167">
        <f t="shared" si="0"/>
        <v>0</v>
      </c>
    </row>
    <row r="65" spans="1:8" s="220" customFormat="1" x14ac:dyDescent="0.25">
      <c r="A65" s="19">
        <v>52</v>
      </c>
      <c r="B65" s="168"/>
      <c r="C65" s="168"/>
      <c r="D65" s="169"/>
      <c r="E65" s="170"/>
      <c r="F65" s="168"/>
      <c r="G65" s="169"/>
      <c r="H65" s="167">
        <f t="shared" si="0"/>
        <v>0</v>
      </c>
    </row>
    <row r="66" spans="1:8" s="220" customFormat="1" x14ac:dyDescent="0.25">
      <c r="A66" s="19">
        <v>53</v>
      </c>
      <c r="B66" s="168"/>
      <c r="C66" s="168"/>
      <c r="D66" s="169"/>
      <c r="E66" s="170"/>
      <c r="F66" s="168"/>
      <c r="G66" s="169"/>
      <c r="H66" s="167">
        <f t="shared" si="0"/>
        <v>0</v>
      </c>
    </row>
    <row r="67" spans="1:8" s="220" customFormat="1" x14ac:dyDescent="0.25">
      <c r="A67" s="19">
        <v>54</v>
      </c>
      <c r="B67" s="168"/>
      <c r="C67" s="168"/>
      <c r="D67" s="169"/>
      <c r="E67" s="170"/>
      <c r="F67" s="168"/>
      <c r="G67" s="169"/>
      <c r="H67" s="167">
        <f t="shared" si="0"/>
        <v>0</v>
      </c>
    </row>
    <row r="68" spans="1:8" s="220" customFormat="1" x14ac:dyDescent="0.25">
      <c r="A68" s="19">
        <v>55</v>
      </c>
      <c r="B68" s="168"/>
      <c r="C68" s="168"/>
      <c r="D68" s="169"/>
      <c r="E68" s="170"/>
      <c r="F68" s="168"/>
      <c r="G68" s="169"/>
      <c r="H68" s="167">
        <f t="shared" si="0"/>
        <v>0</v>
      </c>
    </row>
    <row r="69" spans="1:8" s="220" customFormat="1" x14ac:dyDescent="0.25">
      <c r="A69" s="19">
        <v>56</v>
      </c>
      <c r="B69" s="168"/>
      <c r="C69" s="168"/>
      <c r="D69" s="169"/>
      <c r="E69" s="170"/>
      <c r="F69" s="168"/>
      <c r="G69" s="169"/>
      <c r="H69" s="167">
        <f t="shared" si="0"/>
        <v>0</v>
      </c>
    </row>
    <row r="70" spans="1:8" s="220" customFormat="1" x14ac:dyDescent="0.25">
      <c r="A70" s="19">
        <v>57</v>
      </c>
      <c r="B70" s="168"/>
      <c r="C70" s="168"/>
      <c r="D70" s="169"/>
      <c r="E70" s="170"/>
      <c r="F70" s="168"/>
      <c r="G70" s="169"/>
      <c r="H70" s="167">
        <f t="shared" si="0"/>
        <v>0</v>
      </c>
    </row>
    <row r="71" spans="1:8" s="220" customFormat="1" x14ac:dyDescent="0.25">
      <c r="A71" s="19">
        <v>58</v>
      </c>
      <c r="B71" s="168"/>
      <c r="C71" s="168"/>
      <c r="D71" s="169"/>
      <c r="E71" s="170"/>
      <c r="F71" s="168"/>
      <c r="G71" s="169"/>
      <c r="H71" s="167">
        <f t="shared" si="0"/>
        <v>0</v>
      </c>
    </row>
    <row r="72" spans="1:8" s="220" customFormat="1" x14ac:dyDescent="0.25">
      <c r="A72" s="19">
        <v>59</v>
      </c>
      <c r="B72" s="168"/>
      <c r="C72" s="168"/>
      <c r="D72" s="169"/>
      <c r="E72" s="170"/>
      <c r="F72" s="168"/>
      <c r="G72" s="169"/>
      <c r="H72" s="167">
        <f t="shared" si="0"/>
        <v>0</v>
      </c>
    </row>
    <row r="73" spans="1:8" s="220" customFormat="1" x14ac:dyDescent="0.25">
      <c r="A73" s="19">
        <v>60</v>
      </c>
      <c r="B73" s="168"/>
      <c r="C73" s="168"/>
      <c r="D73" s="169"/>
      <c r="E73" s="170"/>
      <c r="F73" s="168"/>
      <c r="G73" s="169"/>
      <c r="H73" s="167">
        <f t="shared" si="0"/>
        <v>0</v>
      </c>
    </row>
    <row r="74" spans="1:8" s="220" customFormat="1" x14ac:dyDescent="0.25">
      <c r="A74" s="19">
        <v>61</v>
      </c>
      <c r="B74" s="168"/>
      <c r="C74" s="168"/>
      <c r="D74" s="169"/>
      <c r="E74" s="170"/>
      <c r="F74" s="168"/>
      <c r="G74" s="169"/>
      <c r="H74" s="167">
        <f t="shared" si="0"/>
        <v>0</v>
      </c>
    </row>
    <row r="75" spans="1:8" s="220" customFormat="1" x14ac:dyDescent="0.25">
      <c r="A75" s="19">
        <v>62</v>
      </c>
      <c r="B75" s="168"/>
      <c r="C75" s="168"/>
      <c r="D75" s="169"/>
      <c r="E75" s="170"/>
      <c r="F75" s="168"/>
      <c r="G75" s="169"/>
      <c r="H75" s="167">
        <f t="shared" si="0"/>
        <v>0</v>
      </c>
    </row>
    <row r="76" spans="1:8" s="220" customFormat="1" x14ac:dyDescent="0.25">
      <c r="A76" s="19">
        <v>63</v>
      </c>
      <c r="B76" s="168"/>
      <c r="C76" s="168"/>
      <c r="D76" s="169"/>
      <c r="E76" s="170"/>
      <c r="F76" s="168"/>
      <c r="G76" s="169"/>
      <c r="H76" s="167">
        <f t="shared" si="0"/>
        <v>0</v>
      </c>
    </row>
    <row r="77" spans="1:8" s="220" customFormat="1" x14ac:dyDescent="0.25">
      <c r="A77" s="19">
        <v>64</v>
      </c>
      <c r="B77" s="168"/>
      <c r="C77" s="168"/>
      <c r="D77" s="169"/>
      <c r="E77" s="170"/>
      <c r="F77" s="168"/>
      <c r="G77" s="169"/>
      <c r="H77" s="167">
        <f t="shared" si="0"/>
        <v>0</v>
      </c>
    </row>
    <row r="78" spans="1:8" s="220" customFormat="1" x14ac:dyDescent="0.25">
      <c r="A78" s="19">
        <v>65</v>
      </c>
      <c r="B78" s="168"/>
      <c r="C78" s="168"/>
      <c r="D78" s="169"/>
      <c r="E78" s="170"/>
      <c r="F78" s="168"/>
      <c r="G78" s="169"/>
      <c r="H78" s="167">
        <f t="shared" si="0"/>
        <v>0</v>
      </c>
    </row>
    <row r="79" spans="1:8" s="220" customFormat="1" x14ac:dyDescent="0.25">
      <c r="A79" s="19">
        <v>66</v>
      </c>
      <c r="B79" s="168"/>
      <c r="C79" s="168"/>
      <c r="D79" s="169"/>
      <c r="E79" s="170"/>
      <c r="F79" s="168"/>
      <c r="G79" s="169"/>
      <c r="H79" s="167">
        <f t="shared" ref="H79:H113" si="1">D79-G79</f>
        <v>0</v>
      </c>
    </row>
    <row r="80" spans="1:8" s="220" customFormat="1" x14ac:dyDescent="0.25">
      <c r="A80" s="19">
        <v>67</v>
      </c>
      <c r="B80" s="168"/>
      <c r="C80" s="168"/>
      <c r="D80" s="169"/>
      <c r="E80" s="170"/>
      <c r="F80" s="168"/>
      <c r="G80" s="169"/>
      <c r="H80" s="167">
        <f t="shared" si="1"/>
        <v>0</v>
      </c>
    </row>
    <row r="81" spans="1:8" s="220" customFormat="1" x14ac:dyDescent="0.25">
      <c r="A81" s="19">
        <v>68</v>
      </c>
      <c r="B81" s="168"/>
      <c r="C81" s="168"/>
      <c r="D81" s="169"/>
      <c r="E81" s="170"/>
      <c r="F81" s="168"/>
      <c r="G81" s="169"/>
      <c r="H81" s="167">
        <f t="shared" si="1"/>
        <v>0</v>
      </c>
    </row>
    <row r="82" spans="1:8" s="220" customFormat="1" x14ac:dyDescent="0.25">
      <c r="A82" s="19">
        <v>69</v>
      </c>
      <c r="B82" s="168"/>
      <c r="C82" s="168"/>
      <c r="D82" s="169"/>
      <c r="E82" s="170"/>
      <c r="F82" s="168"/>
      <c r="G82" s="169"/>
      <c r="H82" s="167">
        <f t="shared" si="1"/>
        <v>0</v>
      </c>
    </row>
    <row r="83" spans="1:8" s="220" customFormat="1" x14ac:dyDescent="0.25">
      <c r="A83" s="19">
        <v>70</v>
      </c>
      <c r="B83" s="168"/>
      <c r="C83" s="168"/>
      <c r="D83" s="169"/>
      <c r="E83" s="170"/>
      <c r="F83" s="168"/>
      <c r="G83" s="169"/>
      <c r="H83" s="167">
        <f t="shared" si="1"/>
        <v>0</v>
      </c>
    </row>
    <row r="84" spans="1:8" s="220" customFormat="1" x14ac:dyDescent="0.25">
      <c r="A84" s="19">
        <v>71</v>
      </c>
      <c r="B84" s="168"/>
      <c r="C84" s="168"/>
      <c r="D84" s="169"/>
      <c r="E84" s="170"/>
      <c r="F84" s="168"/>
      <c r="G84" s="169"/>
      <c r="H84" s="167">
        <f t="shared" si="1"/>
        <v>0</v>
      </c>
    </row>
    <row r="85" spans="1:8" s="220" customFormat="1" x14ac:dyDescent="0.25">
      <c r="A85" s="19">
        <v>72</v>
      </c>
      <c r="B85" s="168"/>
      <c r="C85" s="168"/>
      <c r="D85" s="169"/>
      <c r="E85" s="170"/>
      <c r="F85" s="168"/>
      <c r="G85" s="169"/>
      <c r="H85" s="167">
        <f t="shared" si="1"/>
        <v>0</v>
      </c>
    </row>
    <row r="86" spans="1:8" s="220" customFormat="1" x14ac:dyDescent="0.25">
      <c r="A86" s="19">
        <v>73</v>
      </c>
      <c r="B86" s="168"/>
      <c r="C86" s="168"/>
      <c r="D86" s="169"/>
      <c r="E86" s="170"/>
      <c r="F86" s="168"/>
      <c r="G86" s="169"/>
      <c r="H86" s="167">
        <f t="shared" si="1"/>
        <v>0</v>
      </c>
    </row>
    <row r="87" spans="1:8" s="220" customFormat="1" x14ac:dyDescent="0.25">
      <c r="A87" s="19">
        <v>74</v>
      </c>
      <c r="B87" s="168"/>
      <c r="C87" s="168"/>
      <c r="D87" s="169"/>
      <c r="E87" s="170"/>
      <c r="F87" s="168"/>
      <c r="G87" s="169"/>
      <c r="H87" s="167">
        <f t="shared" si="1"/>
        <v>0</v>
      </c>
    </row>
    <row r="88" spans="1:8" s="220" customFormat="1" x14ac:dyDescent="0.25">
      <c r="A88" s="19">
        <v>75</v>
      </c>
      <c r="B88" s="168"/>
      <c r="C88" s="168"/>
      <c r="D88" s="169"/>
      <c r="E88" s="170"/>
      <c r="F88" s="168"/>
      <c r="G88" s="169"/>
      <c r="H88" s="167">
        <f t="shared" si="1"/>
        <v>0</v>
      </c>
    </row>
    <row r="89" spans="1:8" s="220" customFormat="1" x14ac:dyDescent="0.25">
      <c r="A89" s="19">
        <v>76</v>
      </c>
      <c r="B89" s="168"/>
      <c r="C89" s="168"/>
      <c r="D89" s="169"/>
      <c r="E89" s="170"/>
      <c r="F89" s="168"/>
      <c r="G89" s="169"/>
      <c r="H89" s="167">
        <f t="shared" si="1"/>
        <v>0</v>
      </c>
    </row>
    <row r="90" spans="1:8" s="220" customFormat="1" x14ac:dyDescent="0.25">
      <c r="A90" s="19">
        <v>77</v>
      </c>
      <c r="B90" s="168"/>
      <c r="C90" s="168"/>
      <c r="D90" s="169"/>
      <c r="E90" s="170"/>
      <c r="F90" s="168"/>
      <c r="G90" s="169"/>
      <c r="H90" s="167">
        <f t="shared" si="1"/>
        <v>0</v>
      </c>
    </row>
    <row r="91" spans="1:8" s="220" customFormat="1" x14ac:dyDescent="0.25">
      <c r="A91" s="19">
        <v>78</v>
      </c>
      <c r="B91" s="168"/>
      <c r="C91" s="168"/>
      <c r="D91" s="169"/>
      <c r="E91" s="170"/>
      <c r="F91" s="168"/>
      <c r="G91" s="169"/>
      <c r="H91" s="167">
        <f t="shared" si="1"/>
        <v>0</v>
      </c>
    </row>
    <row r="92" spans="1:8" s="220" customFormat="1" x14ac:dyDescent="0.25">
      <c r="A92" s="19">
        <v>79</v>
      </c>
      <c r="B92" s="168"/>
      <c r="C92" s="168"/>
      <c r="D92" s="169"/>
      <c r="E92" s="170"/>
      <c r="F92" s="168"/>
      <c r="G92" s="169"/>
      <c r="H92" s="167">
        <f t="shared" si="1"/>
        <v>0</v>
      </c>
    </row>
    <row r="93" spans="1:8" s="220" customFormat="1" x14ac:dyDescent="0.25">
      <c r="A93" s="19">
        <v>80</v>
      </c>
      <c r="B93" s="168"/>
      <c r="C93" s="168"/>
      <c r="D93" s="169"/>
      <c r="E93" s="170"/>
      <c r="F93" s="168"/>
      <c r="G93" s="169"/>
      <c r="H93" s="167">
        <f t="shared" si="1"/>
        <v>0</v>
      </c>
    </row>
    <row r="94" spans="1:8" s="220" customFormat="1" x14ac:dyDescent="0.25">
      <c r="A94" s="19">
        <v>81</v>
      </c>
      <c r="B94" s="168"/>
      <c r="C94" s="168"/>
      <c r="D94" s="169"/>
      <c r="E94" s="170"/>
      <c r="F94" s="168"/>
      <c r="G94" s="169"/>
      <c r="H94" s="167">
        <f t="shared" si="1"/>
        <v>0</v>
      </c>
    </row>
    <row r="95" spans="1:8" s="220" customFormat="1" x14ac:dyDescent="0.25">
      <c r="A95" s="19">
        <v>82</v>
      </c>
      <c r="B95" s="168"/>
      <c r="C95" s="168"/>
      <c r="D95" s="169"/>
      <c r="E95" s="170"/>
      <c r="F95" s="168"/>
      <c r="G95" s="169"/>
      <c r="H95" s="167">
        <f t="shared" si="1"/>
        <v>0</v>
      </c>
    </row>
    <row r="96" spans="1:8" s="220" customFormat="1" x14ac:dyDescent="0.25">
      <c r="A96" s="19">
        <v>83</v>
      </c>
      <c r="B96" s="168"/>
      <c r="C96" s="168"/>
      <c r="D96" s="169"/>
      <c r="E96" s="170"/>
      <c r="F96" s="168"/>
      <c r="G96" s="169"/>
      <c r="H96" s="167">
        <f t="shared" si="1"/>
        <v>0</v>
      </c>
    </row>
    <row r="97" spans="1:8" s="220" customFormat="1" x14ac:dyDescent="0.25">
      <c r="A97" s="19">
        <v>84</v>
      </c>
      <c r="B97" s="168"/>
      <c r="C97" s="168"/>
      <c r="D97" s="169"/>
      <c r="E97" s="170"/>
      <c r="F97" s="168"/>
      <c r="G97" s="169"/>
      <c r="H97" s="167">
        <f t="shared" si="1"/>
        <v>0</v>
      </c>
    </row>
    <row r="98" spans="1:8" s="220" customFormat="1" x14ac:dyDescent="0.25">
      <c r="A98" s="19">
        <v>85</v>
      </c>
      <c r="B98" s="168"/>
      <c r="C98" s="168"/>
      <c r="D98" s="169"/>
      <c r="E98" s="170"/>
      <c r="F98" s="168"/>
      <c r="G98" s="169"/>
      <c r="H98" s="167">
        <f t="shared" si="1"/>
        <v>0</v>
      </c>
    </row>
    <row r="99" spans="1:8" s="220" customFormat="1" x14ac:dyDescent="0.25">
      <c r="A99" s="19">
        <v>86</v>
      </c>
      <c r="B99" s="168"/>
      <c r="C99" s="168"/>
      <c r="D99" s="169"/>
      <c r="E99" s="170"/>
      <c r="F99" s="168"/>
      <c r="G99" s="169"/>
      <c r="H99" s="167">
        <f t="shared" si="1"/>
        <v>0</v>
      </c>
    </row>
    <row r="100" spans="1:8" s="220" customFormat="1" x14ac:dyDescent="0.25">
      <c r="A100" s="19">
        <v>87</v>
      </c>
      <c r="B100" s="168"/>
      <c r="C100" s="168"/>
      <c r="D100" s="169"/>
      <c r="E100" s="170"/>
      <c r="F100" s="168"/>
      <c r="G100" s="169"/>
      <c r="H100" s="167">
        <f t="shared" si="1"/>
        <v>0</v>
      </c>
    </row>
    <row r="101" spans="1:8" s="220" customFormat="1" x14ac:dyDescent="0.25">
      <c r="A101" s="19">
        <v>88</v>
      </c>
      <c r="B101" s="168"/>
      <c r="C101" s="168"/>
      <c r="D101" s="169"/>
      <c r="E101" s="170"/>
      <c r="F101" s="168"/>
      <c r="G101" s="169"/>
      <c r="H101" s="167">
        <f t="shared" si="1"/>
        <v>0</v>
      </c>
    </row>
    <row r="102" spans="1:8" s="220" customFormat="1" x14ac:dyDescent="0.25">
      <c r="A102" s="19">
        <v>89</v>
      </c>
      <c r="B102" s="168"/>
      <c r="C102" s="168"/>
      <c r="D102" s="169"/>
      <c r="E102" s="170"/>
      <c r="F102" s="168"/>
      <c r="G102" s="169"/>
      <c r="H102" s="167">
        <f t="shared" si="1"/>
        <v>0</v>
      </c>
    </row>
    <row r="103" spans="1:8" s="220" customFormat="1" x14ac:dyDescent="0.25">
      <c r="A103" s="19">
        <v>90</v>
      </c>
      <c r="B103" s="168"/>
      <c r="C103" s="168"/>
      <c r="D103" s="169"/>
      <c r="E103" s="170"/>
      <c r="F103" s="168"/>
      <c r="G103" s="169"/>
      <c r="H103" s="167">
        <f t="shared" si="1"/>
        <v>0</v>
      </c>
    </row>
    <row r="104" spans="1:8" s="220" customFormat="1" x14ac:dyDescent="0.25">
      <c r="A104" s="19">
        <v>91</v>
      </c>
      <c r="B104" s="168"/>
      <c r="C104" s="168"/>
      <c r="D104" s="169"/>
      <c r="E104" s="170"/>
      <c r="F104" s="168"/>
      <c r="G104" s="169"/>
      <c r="H104" s="167">
        <f t="shared" si="1"/>
        <v>0</v>
      </c>
    </row>
    <row r="105" spans="1:8" s="220" customFormat="1" x14ac:dyDescent="0.25">
      <c r="A105" s="19">
        <v>92</v>
      </c>
      <c r="B105" s="168"/>
      <c r="C105" s="168"/>
      <c r="D105" s="169"/>
      <c r="E105" s="170"/>
      <c r="F105" s="168"/>
      <c r="G105" s="169"/>
      <c r="H105" s="167">
        <f t="shared" si="1"/>
        <v>0</v>
      </c>
    </row>
    <row r="106" spans="1:8" s="220" customFormat="1" x14ac:dyDescent="0.25">
      <c r="A106" s="19">
        <v>93</v>
      </c>
      <c r="B106" s="168"/>
      <c r="C106" s="168"/>
      <c r="D106" s="169"/>
      <c r="E106" s="170"/>
      <c r="F106" s="168"/>
      <c r="G106" s="169"/>
      <c r="H106" s="167">
        <f t="shared" si="1"/>
        <v>0</v>
      </c>
    </row>
    <row r="107" spans="1:8" s="220" customFormat="1" x14ac:dyDescent="0.25">
      <c r="A107" s="19">
        <v>94</v>
      </c>
      <c r="B107" s="168"/>
      <c r="C107" s="168"/>
      <c r="D107" s="169"/>
      <c r="E107" s="170"/>
      <c r="F107" s="168"/>
      <c r="G107" s="169"/>
      <c r="H107" s="167">
        <f t="shared" si="1"/>
        <v>0</v>
      </c>
    </row>
    <row r="108" spans="1:8" s="220" customFormat="1" x14ac:dyDescent="0.25">
      <c r="A108" s="19">
        <v>95</v>
      </c>
      <c r="B108" s="168"/>
      <c r="C108" s="168"/>
      <c r="D108" s="169"/>
      <c r="E108" s="170"/>
      <c r="F108" s="168"/>
      <c r="G108" s="169"/>
      <c r="H108" s="167">
        <f t="shared" si="1"/>
        <v>0</v>
      </c>
    </row>
    <row r="109" spans="1:8" s="220" customFormat="1" x14ac:dyDescent="0.25">
      <c r="A109" s="19">
        <v>96</v>
      </c>
      <c r="B109" s="168"/>
      <c r="C109" s="168"/>
      <c r="D109" s="169"/>
      <c r="E109" s="170"/>
      <c r="F109" s="168"/>
      <c r="G109" s="169"/>
      <c r="H109" s="167">
        <f t="shared" si="1"/>
        <v>0</v>
      </c>
    </row>
    <row r="110" spans="1:8" s="220" customFormat="1" x14ac:dyDescent="0.25">
      <c r="A110" s="19">
        <v>97</v>
      </c>
      <c r="B110" s="168"/>
      <c r="C110" s="168"/>
      <c r="D110" s="169"/>
      <c r="E110" s="170"/>
      <c r="F110" s="168"/>
      <c r="G110" s="169"/>
      <c r="H110" s="167">
        <f t="shared" si="1"/>
        <v>0</v>
      </c>
    </row>
    <row r="111" spans="1:8" s="220" customFormat="1" x14ac:dyDescent="0.25">
      <c r="A111" s="19">
        <v>98</v>
      </c>
      <c r="B111" s="168"/>
      <c r="C111" s="168"/>
      <c r="D111" s="169"/>
      <c r="E111" s="170"/>
      <c r="F111" s="168"/>
      <c r="G111" s="169"/>
      <c r="H111" s="167">
        <f t="shared" si="1"/>
        <v>0</v>
      </c>
    </row>
    <row r="112" spans="1:8" s="220" customFormat="1" x14ac:dyDescent="0.25">
      <c r="A112" s="19">
        <v>99</v>
      </c>
      <c r="B112" s="168"/>
      <c r="C112" s="168"/>
      <c r="D112" s="169"/>
      <c r="E112" s="170"/>
      <c r="F112" s="168"/>
      <c r="G112" s="169"/>
      <c r="H112" s="167">
        <f t="shared" si="1"/>
        <v>0</v>
      </c>
    </row>
    <row r="113" spans="1:8" s="220" customFormat="1" x14ac:dyDescent="0.25">
      <c r="A113" s="19">
        <v>100</v>
      </c>
      <c r="B113" s="168"/>
      <c r="C113" s="168"/>
      <c r="D113" s="169"/>
      <c r="E113" s="170"/>
      <c r="F113" s="168"/>
      <c r="G113" s="169"/>
      <c r="H113" s="167">
        <f t="shared" si="1"/>
        <v>0</v>
      </c>
    </row>
    <row r="114" spans="1:8" ht="15.75" thickBot="1" x14ac:dyDescent="0.3"/>
    <row r="115" spans="1:8" ht="15.75" thickBot="1" x14ac:dyDescent="0.3">
      <c r="F115" t="s">
        <v>56</v>
      </c>
      <c r="H115" s="166">
        <f>SUM(H14:H113)</f>
        <v>0</v>
      </c>
    </row>
  </sheetData>
  <sheetProtection password="EF32" sheet="1" objects="1" scenarios="1" insertRows="0"/>
  <mergeCells count="6">
    <mergeCell ref="A7:H7"/>
    <mergeCell ref="A1:H1"/>
    <mergeCell ref="A2:H2"/>
    <mergeCell ref="A4:H4"/>
    <mergeCell ref="A5:H5"/>
    <mergeCell ref="A3:H3"/>
  </mergeCells>
  <printOptions horizontalCentered="1"/>
  <pageMargins left="0.35" right="0.35" top="0.5" bottom="0.5" header="0.3" footer="0.3"/>
  <pageSetup scale="6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14"/>
  <sheetViews>
    <sheetView zoomScale="110" zoomScaleNormal="110" workbookViewId="0">
      <selection activeCell="B13" sqref="B13"/>
    </sheetView>
  </sheetViews>
  <sheetFormatPr defaultRowHeight="15" x14ac:dyDescent="0.25"/>
  <cols>
    <col min="1" max="1" width="6.42578125" customWidth="1"/>
    <col min="2" max="2" width="20.28515625" customWidth="1"/>
    <col min="3" max="3" width="41.140625" customWidth="1"/>
    <col min="4" max="4" width="13.140625" customWidth="1"/>
    <col min="5" max="5" width="12.7109375" customWidth="1"/>
    <col min="6" max="6" width="14.140625" customWidth="1"/>
  </cols>
  <sheetData>
    <row r="1" spans="1:6" s="290" customFormat="1" ht="18.75" x14ac:dyDescent="0.3">
      <c r="A1" s="299" t="s">
        <v>43</v>
      </c>
      <c r="B1" s="299"/>
      <c r="C1" s="299"/>
      <c r="D1" s="299"/>
      <c r="E1" s="299"/>
      <c r="F1" s="299"/>
    </row>
    <row r="2" spans="1:6" s="290" customFormat="1" ht="18.75" x14ac:dyDescent="0.3">
      <c r="A2" s="299" t="s">
        <v>325</v>
      </c>
      <c r="B2" s="299"/>
      <c r="C2" s="299"/>
      <c r="D2" s="299"/>
      <c r="E2" s="299"/>
      <c r="F2" s="299"/>
    </row>
    <row r="3" spans="1:6" s="290" customFormat="1" ht="18.75" x14ac:dyDescent="0.3">
      <c r="A3" s="328" t="s">
        <v>241</v>
      </c>
      <c r="B3" s="328"/>
      <c r="C3" s="328"/>
      <c r="D3" s="328"/>
      <c r="E3" s="328"/>
      <c r="F3" s="328"/>
    </row>
    <row r="4" spans="1:6" s="290" customFormat="1" ht="18.75" x14ac:dyDescent="0.3">
      <c r="A4" s="299" t="s">
        <v>242</v>
      </c>
      <c r="B4" s="299"/>
      <c r="C4" s="299"/>
      <c r="D4" s="299"/>
      <c r="E4" s="299"/>
      <c r="F4" s="299"/>
    </row>
    <row r="5" spans="1:6" s="290" customFormat="1" ht="18.75" x14ac:dyDescent="0.3">
      <c r="A5" s="299" t="str">
        <f>'2. MOE_Input_Sheet'!I18</f>
        <v>2012-13</v>
      </c>
      <c r="B5" s="299"/>
      <c r="C5" s="299"/>
      <c r="D5" s="299"/>
      <c r="E5" s="299"/>
      <c r="F5" s="299"/>
    </row>
    <row r="6" spans="1:6" x14ac:dyDescent="0.25">
      <c r="A6" s="51"/>
      <c r="B6" s="51"/>
      <c r="C6" s="51"/>
      <c r="D6" s="51"/>
    </row>
    <row r="7" spans="1:6" ht="79.5" customHeight="1" x14ac:dyDescent="0.25">
      <c r="A7" s="327" t="s">
        <v>284</v>
      </c>
      <c r="B7" s="327"/>
      <c r="C7" s="327"/>
      <c r="D7" s="327"/>
      <c r="E7" s="327"/>
      <c r="F7" s="327"/>
    </row>
    <row r="8" spans="1:6" ht="15" customHeight="1" x14ac:dyDescent="0.25">
      <c r="A8" s="177"/>
      <c r="B8" s="177"/>
      <c r="C8" s="177"/>
      <c r="D8" s="177"/>
      <c r="E8" s="177"/>
      <c r="F8" s="177"/>
    </row>
    <row r="9" spans="1:6" x14ac:dyDescent="0.25">
      <c r="D9" s="161" t="s">
        <v>22</v>
      </c>
      <c r="E9" s="161" t="s">
        <v>248</v>
      </c>
    </row>
    <row r="10" spans="1:6" x14ac:dyDescent="0.25">
      <c r="D10" s="161" t="s">
        <v>247</v>
      </c>
      <c r="E10" s="161" t="s">
        <v>249</v>
      </c>
      <c r="F10" s="161" t="s">
        <v>246</v>
      </c>
    </row>
    <row r="11" spans="1:6" x14ac:dyDescent="0.25">
      <c r="D11" s="161" t="s">
        <v>243</v>
      </c>
      <c r="E11" s="174" t="s">
        <v>244</v>
      </c>
      <c r="F11" s="161" t="s">
        <v>228</v>
      </c>
    </row>
    <row r="12" spans="1:6" ht="15.75" thickBot="1" x14ac:dyDescent="0.3">
      <c r="A12" s="47" t="s">
        <v>23</v>
      </c>
      <c r="B12" s="47" t="s">
        <v>64</v>
      </c>
      <c r="C12" s="47" t="s">
        <v>65</v>
      </c>
      <c r="D12" s="47" t="s">
        <v>55</v>
      </c>
      <c r="E12" s="160" t="s">
        <v>245</v>
      </c>
      <c r="F12" s="160" t="s">
        <v>55</v>
      </c>
    </row>
    <row r="13" spans="1:6" x14ac:dyDescent="0.25">
      <c r="A13" s="220">
        <v>1</v>
      </c>
      <c r="B13" s="168"/>
      <c r="C13" s="168"/>
      <c r="D13" s="169"/>
      <c r="E13" s="175">
        <v>7250</v>
      </c>
      <c r="F13" s="165" t="str">
        <f>IF(D13-E13&gt;0,D13-E13,"")</f>
        <v/>
      </c>
    </row>
    <row r="14" spans="1:6" x14ac:dyDescent="0.25">
      <c r="A14" s="220">
        <v>2</v>
      </c>
      <c r="B14" s="168"/>
      <c r="C14" s="168"/>
      <c r="D14" s="169"/>
      <c r="E14" s="175">
        <v>7250</v>
      </c>
      <c r="F14" s="165" t="str">
        <f t="shared" ref="F14:F77" si="0">IF(D14-E14&gt;0,D14-E14,"")</f>
        <v/>
      </c>
    </row>
    <row r="15" spans="1:6" x14ac:dyDescent="0.25">
      <c r="A15" s="220">
        <v>3</v>
      </c>
      <c r="B15" s="168"/>
      <c r="C15" s="168"/>
      <c r="D15" s="169"/>
      <c r="E15" s="175">
        <v>7250</v>
      </c>
      <c r="F15" s="165" t="str">
        <f t="shared" si="0"/>
        <v/>
      </c>
    </row>
    <row r="16" spans="1:6" x14ac:dyDescent="0.25">
      <c r="A16" s="220">
        <v>4</v>
      </c>
      <c r="B16" s="168"/>
      <c r="C16" s="168"/>
      <c r="D16" s="169"/>
      <c r="E16" s="175">
        <v>7250</v>
      </c>
      <c r="F16" s="165" t="str">
        <f t="shared" si="0"/>
        <v/>
      </c>
    </row>
    <row r="17" spans="1:6" x14ac:dyDescent="0.25">
      <c r="A17" s="220">
        <v>5</v>
      </c>
      <c r="B17" s="168"/>
      <c r="C17" s="168"/>
      <c r="D17" s="169"/>
      <c r="E17" s="175">
        <v>7250</v>
      </c>
      <c r="F17" s="165" t="str">
        <f t="shared" si="0"/>
        <v/>
      </c>
    </row>
    <row r="18" spans="1:6" x14ac:dyDescent="0.25">
      <c r="A18" s="220">
        <v>6</v>
      </c>
      <c r="B18" s="168"/>
      <c r="C18" s="168"/>
      <c r="D18" s="169"/>
      <c r="E18" s="175">
        <v>7250</v>
      </c>
      <c r="F18" s="165" t="str">
        <f t="shared" si="0"/>
        <v/>
      </c>
    </row>
    <row r="19" spans="1:6" x14ac:dyDescent="0.25">
      <c r="A19" s="220">
        <v>7</v>
      </c>
      <c r="B19" s="168"/>
      <c r="C19" s="168"/>
      <c r="D19" s="169"/>
      <c r="E19" s="175">
        <v>7250</v>
      </c>
      <c r="F19" s="165" t="str">
        <f t="shared" si="0"/>
        <v/>
      </c>
    </row>
    <row r="20" spans="1:6" x14ac:dyDescent="0.25">
      <c r="A20" s="220">
        <v>8</v>
      </c>
      <c r="B20" s="168"/>
      <c r="C20" s="168"/>
      <c r="D20" s="169"/>
      <c r="E20" s="175">
        <v>7250</v>
      </c>
      <c r="F20" s="165" t="str">
        <f t="shared" si="0"/>
        <v/>
      </c>
    </row>
    <row r="21" spans="1:6" x14ac:dyDescent="0.25">
      <c r="A21" s="220">
        <v>9</v>
      </c>
      <c r="B21" s="168"/>
      <c r="C21" s="168"/>
      <c r="D21" s="169"/>
      <c r="E21" s="175">
        <v>7250</v>
      </c>
      <c r="F21" s="165" t="str">
        <f t="shared" si="0"/>
        <v/>
      </c>
    </row>
    <row r="22" spans="1:6" x14ac:dyDescent="0.25">
      <c r="A22" s="220">
        <v>10</v>
      </c>
      <c r="B22" s="168"/>
      <c r="C22" s="168"/>
      <c r="D22" s="169"/>
      <c r="E22" s="175">
        <v>7250</v>
      </c>
      <c r="F22" s="165" t="str">
        <f t="shared" si="0"/>
        <v/>
      </c>
    </row>
    <row r="23" spans="1:6" x14ac:dyDescent="0.25">
      <c r="A23" s="220">
        <v>11</v>
      </c>
      <c r="B23" s="168"/>
      <c r="C23" s="168"/>
      <c r="D23" s="169"/>
      <c r="E23" s="175">
        <v>7250</v>
      </c>
      <c r="F23" s="165" t="str">
        <f t="shared" si="0"/>
        <v/>
      </c>
    </row>
    <row r="24" spans="1:6" x14ac:dyDescent="0.25">
      <c r="A24" s="220">
        <v>12</v>
      </c>
      <c r="B24" s="168"/>
      <c r="C24" s="168"/>
      <c r="D24" s="169"/>
      <c r="E24" s="175">
        <v>7250</v>
      </c>
      <c r="F24" s="165" t="str">
        <f t="shared" si="0"/>
        <v/>
      </c>
    </row>
    <row r="25" spans="1:6" x14ac:dyDescent="0.25">
      <c r="A25" s="220">
        <v>13</v>
      </c>
      <c r="B25" s="168"/>
      <c r="C25" s="168"/>
      <c r="D25" s="169"/>
      <c r="E25" s="175">
        <v>7250</v>
      </c>
      <c r="F25" s="165" t="str">
        <f t="shared" si="0"/>
        <v/>
      </c>
    </row>
    <row r="26" spans="1:6" x14ac:dyDescent="0.25">
      <c r="A26" s="220">
        <v>14</v>
      </c>
      <c r="B26" s="168"/>
      <c r="C26" s="168"/>
      <c r="D26" s="169"/>
      <c r="E26" s="175">
        <v>7250</v>
      </c>
      <c r="F26" s="165" t="str">
        <f t="shared" si="0"/>
        <v/>
      </c>
    </row>
    <row r="27" spans="1:6" x14ac:dyDescent="0.25">
      <c r="A27" s="220">
        <v>15</v>
      </c>
      <c r="B27" s="168"/>
      <c r="C27" s="168"/>
      <c r="D27" s="169"/>
      <c r="E27" s="175">
        <v>7250</v>
      </c>
      <c r="F27" s="165" t="str">
        <f t="shared" si="0"/>
        <v/>
      </c>
    </row>
    <row r="28" spans="1:6" x14ac:dyDescent="0.25">
      <c r="A28" s="220">
        <v>16</v>
      </c>
      <c r="B28" s="168"/>
      <c r="C28" s="168"/>
      <c r="D28" s="169"/>
      <c r="E28" s="175">
        <v>7250</v>
      </c>
      <c r="F28" s="165" t="str">
        <f t="shared" si="0"/>
        <v/>
      </c>
    </row>
    <row r="29" spans="1:6" x14ac:dyDescent="0.25">
      <c r="A29" s="220">
        <v>17</v>
      </c>
      <c r="B29" s="168"/>
      <c r="C29" s="168"/>
      <c r="D29" s="169"/>
      <c r="E29" s="175">
        <v>7250</v>
      </c>
      <c r="F29" s="165" t="str">
        <f t="shared" si="0"/>
        <v/>
      </c>
    </row>
    <row r="30" spans="1:6" x14ac:dyDescent="0.25">
      <c r="A30" s="220">
        <v>18</v>
      </c>
      <c r="B30" s="168"/>
      <c r="C30" s="168"/>
      <c r="D30" s="169"/>
      <c r="E30" s="175">
        <v>7250</v>
      </c>
      <c r="F30" s="165" t="str">
        <f t="shared" si="0"/>
        <v/>
      </c>
    </row>
    <row r="31" spans="1:6" x14ac:dyDescent="0.25">
      <c r="A31" s="220">
        <v>19</v>
      </c>
      <c r="B31" s="168"/>
      <c r="C31" s="168"/>
      <c r="D31" s="169"/>
      <c r="E31" s="175">
        <v>7250</v>
      </c>
      <c r="F31" s="165" t="str">
        <f t="shared" si="0"/>
        <v/>
      </c>
    </row>
    <row r="32" spans="1:6" x14ac:dyDescent="0.25">
      <c r="A32" s="220">
        <v>20</v>
      </c>
      <c r="B32" s="168"/>
      <c r="C32" s="168"/>
      <c r="D32" s="169"/>
      <c r="E32" s="175">
        <v>7250</v>
      </c>
      <c r="F32" s="165" t="str">
        <f t="shared" si="0"/>
        <v/>
      </c>
    </row>
    <row r="33" spans="1:6" x14ac:dyDescent="0.25">
      <c r="A33" s="220">
        <v>21</v>
      </c>
      <c r="B33" s="168"/>
      <c r="C33" s="168"/>
      <c r="D33" s="169"/>
      <c r="E33" s="175">
        <v>7250</v>
      </c>
      <c r="F33" s="165" t="str">
        <f t="shared" si="0"/>
        <v/>
      </c>
    </row>
    <row r="34" spans="1:6" x14ac:dyDescent="0.25">
      <c r="A34" s="220">
        <v>22</v>
      </c>
      <c r="B34" s="168"/>
      <c r="C34" s="168"/>
      <c r="D34" s="169"/>
      <c r="E34" s="175">
        <v>7250</v>
      </c>
      <c r="F34" s="165" t="str">
        <f t="shared" si="0"/>
        <v/>
      </c>
    </row>
    <row r="35" spans="1:6" x14ac:dyDescent="0.25">
      <c r="A35" s="220">
        <v>23</v>
      </c>
      <c r="B35" s="168"/>
      <c r="C35" s="168"/>
      <c r="D35" s="169"/>
      <c r="E35" s="175">
        <v>7250</v>
      </c>
      <c r="F35" s="165" t="str">
        <f t="shared" si="0"/>
        <v/>
      </c>
    </row>
    <row r="36" spans="1:6" x14ac:dyDescent="0.25">
      <c r="A36" s="220">
        <v>24</v>
      </c>
      <c r="B36" s="168"/>
      <c r="C36" s="168"/>
      <c r="D36" s="169"/>
      <c r="E36" s="175">
        <v>7250</v>
      </c>
      <c r="F36" s="165" t="str">
        <f t="shared" si="0"/>
        <v/>
      </c>
    </row>
    <row r="37" spans="1:6" x14ac:dyDescent="0.25">
      <c r="A37" s="220">
        <v>25</v>
      </c>
      <c r="B37" s="168"/>
      <c r="C37" s="168"/>
      <c r="D37" s="169"/>
      <c r="E37" s="175">
        <v>7250</v>
      </c>
      <c r="F37" s="165" t="str">
        <f t="shared" si="0"/>
        <v/>
      </c>
    </row>
    <row r="38" spans="1:6" x14ac:dyDescent="0.25">
      <c r="A38" s="220">
        <v>26</v>
      </c>
      <c r="B38" s="168"/>
      <c r="C38" s="168"/>
      <c r="D38" s="169"/>
      <c r="E38" s="175">
        <v>7250</v>
      </c>
      <c r="F38" s="165" t="str">
        <f t="shared" si="0"/>
        <v/>
      </c>
    </row>
    <row r="39" spans="1:6" x14ac:dyDescent="0.25">
      <c r="A39" s="220">
        <v>27</v>
      </c>
      <c r="B39" s="168"/>
      <c r="C39" s="168"/>
      <c r="D39" s="169"/>
      <c r="E39" s="175">
        <v>7250</v>
      </c>
      <c r="F39" s="165" t="str">
        <f t="shared" si="0"/>
        <v/>
      </c>
    </row>
    <row r="40" spans="1:6" x14ac:dyDescent="0.25">
      <c r="A40" s="220">
        <v>28</v>
      </c>
      <c r="B40" s="168"/>
      <c r="C40" s="168"/>
      <c r="D40" s="169"/>
      <c r="E40" s="175">
        <v>7250</v>
      </c>
      <c r="F40" s="165" t="str">
        <f t="shared" si="0"/>
        <v/>
      </c>
    </row>
    <row r="41" spans="1:6" x14ac:dyDescent="0.25">
      <c r="A41" s="220">
        <v>29</v>
      </c>
      <c r="B41" s="168"/>
      <c r="C41" s="168"/>
      <c r="D41" s="169"/>
      <c r="E41" s="175">
        <v>7250</v>
      </c>
      <c r="F41" s="165" t="str">
        <f t="shared" si="0"/>
        <v/>
      </c>
    </row>
    <row r="42" spans="1:6" x14ac:dyDescent="0.25">
      <c r="A42" s="220">
        <v>30</v>
      </c>
      <c r="B42" s="168"/>
      <c r="C42" s="168"/>
      <c r="D42" s="169"/>
      <c r="E42" s="175">
        <v>7250</v>
      </c>
      <c r="F42" s="165" t="str">
        <f t="shared" si="0"/>
        <v/>
      </c>
    </row>
    <row r="43" spans="1:6" x14ac:dyDescent="0.25">
      <c r="A43" s="220">
        <v>31</v>
      </c>
      <c r="B43" s="168"/>
      <c r="C43" s="168"/>
      <c r="D43" s="169"/>
      <c r="E43" s="175">
        <v>7250</v>
      </c>
      <c r="F43" s="165" t="str">
        <f t="shared" si="0"/>
        <v/>
      </c>
    </row>
    <row r="44" spans="1:6" x14ac:dyDescent="0.25">
      <c r="A44" s="220">
        <v>32</v>
      </c>
      <c r="B44" s="168"/>
      <c r="C44" s="168"/>
      <c r="D44" s="169"/>
      <c r="E44" s="175">
        <v>7250</v>
      </c>
      <c r="F44" s="165" t="str">
        <f t="shared" si="0"/>
        <v/>
      </c>
    </row>
    <row r="45" spans="1:6" x14ac:dyDescent="0.25">
      <c r="A45" s="220">
        <v>33</v>
      </c>
      <c r="B45" s="168"/>
      <c r="C45" s="168"/>
      <c r="D45" s="169"/>
      <c r="E45" s="175">
        <v>7250</v>
      </c>
      <c r="F45" s="165" t="str">
        <f t="shared" si="0"/>
        <v/>
      </c>
    </row>
    <row r="46" spans="1:6" x14ac:dyDescent="0.25">
      <c r="A46" s="220">
        <v>34</v>
      </c>
      <c r="B46" s="168"/>
      <c r="C46" s="168"/>
      <c r="D46" s="169"/>
      <c r="E46" s="175">
        <v>7250</v>
      </c>
      <c r="F46" s="165" t="str">
        <f t="shared" si="0"/>
        <v/>
      </c>
    </row>
    <row r="47" spans="1:6" x14ac:dyDescent="0.25">
      <c r="A47" s="220">
        <v>35</v>
      </c>
      <c r="B47" s="168"/>
      <c r="C47" s="168"/>
      <c r="D47" s="169"/>
      <c r="E47" s="175">
        <v>7250</v>
      </c>
      <c r="F47" s="165" t="str">
        <f t="shared" si="0"/>
        <v/>
      </c>
    </row>
    <row r="48" spans="1:6" x14ac:dyDescent="0.25">
      <c r="A48" s="220">
        <v>36</v>
      </c>
      <c r="B48" s="168"/>
      <c r="C48" s="168"/>
      <c r="D48" s="169"/>
      <c r="E48" s="175">
        <v>7250</v>
      </c>
      <c r="F48" s="165" t="str">
        <f t="shared" si="0"/>
        <v/>
      </c>
    </row>
    <row r="49" spans="1:6" x14ac:dyDescent="0.25">
      <c r="A49" s="220">
        <v>37</v>
      </c>
      <c r="B49" s="168"/>
      <c r="C49" s="168"/>
      <c r="D49" s="169"/>
      <c r="E49" s="175">
        <v>7250</v>
      </c>
      <c r="F49" s="165" t="str">
        <f t="shared" si="0"/>
        <v/>
      </c>
    </row>
    <row r="50" spans="1:6" x14ac:dyDescent="0.25">
      <c r="A50" s="220">
        <v>38</v>
      </c>
      <c r="B50" s="168"/>
      <c r="C50" s="168"/>
      <c r="D50" s="169"/>
      <c r="E50" s="175">
        <v>7250</v>
      </c>
      <c r="F50" s="165" t="str">
        <f t="shared" si="0"/>
        <v/>
      </c>
    </row>
    <row r="51" spans="1:6" x14ac:dyDescent="0.25">
      <c r="A51" s="220">
        <v>39</v>
      </c>
      <c r="B51" s="168"/>
      <c r="C51" s="168"/>
      <c r="D51" s="169"/>
      <c r="E51" s="175">
        <v>7250</v>
      </c>
      <c r="F51" s="165" t="str">
        <f t="shared" si="0"/>
        <v/>
      </c>
    </row>
    <row r="52" spans="1:6" x14ac:dyDescent="0.25">
      <c r="A52" s="220">
        <v>40</v>
      </c>
      <c r="B52" s="168"/>
      <c r="C52" s="168"/>
      <c r="D52" s="169"/>
      <c r="E52" s="175">
        <v>7250</v>
      </c>
      <c r="F52" s="165" t="str">
        <f t="shared" si="0"/>
        <v/>
      </c>
    </row>
    <row r="53" spans="1:6" x14ac:dyDescent="0.25">
      <c r="A53" s="220">
        <v>41</v>
      </c>
      <c r="B53" s="168"/>
      <c r="C53" s="168"/>
      <c r="D53" s="169"/>
      <c r="E53" s="175">
        <v>7250</v>
      </c>
      <c r="F53" s="165" t="str">
        <f t="shared" si="0"/>
        <v/>
      </c>
    </row>
    <row r="54" spans="1:6" x14ac:dyDescent="0.25">
      <c r="A54" s="220">
        <v>42</v>
      </c>
      <c r="B54" s="168"/>
      <c r="C54" s="168"/>
      <c r="D54" s="169"/>
      <c r="E54" s="175">
        <v>7250</v>
      </c>
      <c r="F54" s="165" t="str">
        <f t="shared" si="0"/>
        <v/>
      </c>
    </row>
    <row r="55" spans="1:6" x14ac:dyDescent="0.25">
      <c r="A55" s="220">
        <v>43</v>
      </c>
      <c r="B55" s="168"/>
      <c r="C55" s="168"/>
      <c r="D55" s="169"/>
      <c r="E55" s="175">
        <v>7250</v>
      </c>
      <c r="F55" s="165" t="str">
        <f t="shared" si="0"/>
        <v/>
      </c>
    </row>
    <row r="56" spans="1:6" x14ac:dyDescent="0.25">
      <c r="A56" s="220">
        <v>44</v>
      </c>
      <c r="B56" s="168"/>
      <c r="C56" s="168"/>
      <c r="D56" s="169"/>
      <c r="E56" s="175">
        <v>7250</v>
      </c>
      <c r="F56" s="165" t="str">
        <f t="shared" si="0"/>
        <v/>
      </c>
    </row>
    <row r="57" spans="1:6" x14ac:dyDescent="0.25">
      <c r="A57" s="220">
        <v>45</v>
      </c>
      <c r="B57" s="168"/>
      <c r="C57" s="168"/>
      <c r="D57" s="169"/>
      <c r="E57" s="175">
        <v>7250</v>
      </c>
      <c r="F57" s="165" t="str">
        <f t="shared" si="0"/>
        <v/>
      </c>
    </row>
    <row r="58" spans="1:6" x14ac:dyDescent="0.25">
      <c r="A58" s="220">
        <v>46</v>
      </c>
      <c r="B58" s="168"/>
      <c r="C58" s="168"/>
      <c r="D58" s="169"/>
      <c r="E58" s="175">
        <v>7250</v>
      </c>
      <c r="F58" s="165" t="str">
        <f t="shared" si="0"/>
        <v/>
      </c>
    </row>
    <row r="59" spans="1:6" x14ac:dyDescent="0.25">
      <c r="A59" s="220">
        <v>47</v>
      </c>
      <c r="B59" s="168"/>
      <c r="C59" s="168"/>
      <c r="D59" s="169"/>
      <c r="E59" s="175">
        <v>7250</v>
      </c>
      <c r="F59" s="165" t="str">
        <f t="shared" si="0"/>
        <v/>
      </c>
    </row>
    <row r="60" spans="1:6" x14ac:dyDescent="0.25">
      <c r="A60" s="220">
        <v>48</v>
      </c>
      <c r="B60" s="168"/>
      <c r="C60" s="168"/>
      <c r="D60" s="169"/>
      <c r="E60" s="175">
        <v>7250</v>
      </c>
      <c r="F60" s="165" t="str">
        <f t="shared" si="0"/>
        <v/>
      </c>
    </row>
    <row r="61" spans="1:6" x14ac:dyDescent="0.25">
      <c r="A61" s="220">
        <v>49</v>
      </c>
      <c r="B61" s="168"/>
      <c r="C61" s="168"/>
      <c r="D61" s="169"/>
      <c r="E61" s="175">
        <v>7250</v>
      </c>
      <c r="F61" s="165" t="str">
        <f t="shared" si="0"/>
        <v/>
      </c>
    </row>
    <row r="62" spans="1:6" x14ac:dyDescent="0.25">
      <c r="A62" s="220">
        <v>50</v>
      </c>
      <c r="B62" s="168"/>
      <c r="C62" s="168"/>
      <c r="D62" s="169"/>
      <c r="E62" s="175">
        <v>7250</v>
      </c>
      <c r="F62" s="165" t="str">
        <f t="shared" si="0"/>
        <v/>
      </c>
    </row>
    <row r="63" spans="1:6" x14ac:dyDescent="0.25">
      <c r="A63" s="220">
        <v>51</v>
      </c>
      <c r="B63" s="168"/>
      <c r="C63" s="168"/>
      <c r="D63" s="169"/>
      <c r="E63" s="175">
        <v>7250</v>
      </c>
      <c r="F63" s="165" t="str">
        <f t="shared" si="0"/>
        <v/>
      </c>
    </row>
    <row r="64" spans="1:6" x14ac:dyDescent="0.25">
      <c r="A64" s="220">
        <v>52</v>
      </c>
      <c r="B64" s="168"/>
      <c r="C64" s="168"/>
      <c r="D64" s="169"/>
      <c r="E64" s="175">
        <v>7250</v>
      </c>
      <c r="F64" s="165" t="str">
        <f t="shared" si="0"/>
        <v/>
      </c>
    </row>
    <row r="65" spans="1:6" x14ac:dyDescent="0.25">
      <c r="A65" s="220">
        <v>53</v>
      </c>
      <c r="B65" s="168"/>
      <c r="C65" s="168"/>
      <c r="D65" s="169"/>
      <c r="E65" s="175">
        <v>7250</v>
      </c>
      <c r="F65" s="165" t="str">
        <f t="shared" si="0"/>
        <v/>
      </c>
    </row>
    <row r="66" spans="1:6" x14ac:dyDescent="0.25">
      <c r="A66" s="220">
        <v>54</v>
      </c>
      <c r="B66" s="168"/>
      <c r="C66" s="168"/>
      <c r="D66" s="169"/>
      <c r="E66" s="175">
        <v>7250</v>
      </c>
      <c r="F66" s="165" t="str">
        <f t="shared" si="0"/>
        <v/>
      </c>
    </row>
    <row r="67" spans="1:6" x14ac:dyDescent="0.25">
      <c r="A67" s="220">
        <v>55</v>
      </c>
      <c r="B67" s="168"/>
      <c r="C67" s="168"/>
      <c r="D67" s="169"/>
      <c r="E67" s="175">
        <v>7250</v>
      </c>
      <c r="F67" s="165" t="str">
        <f t="shared" si="0"/>
        <v/>
      </c>
    </row>
    <row r="68" spans="1:6" x14ac:dyDescent="0.25">
      <c r="A68" s="220">
        <v>56</v>
      </c>
      <c r="B68" s="168"/>
      <c r="C68" s="168"/>
      <c r="D68" s="169"/>
      <c r="E68" s="175">
        <v>7250</v>
      </c>
      <c r="F68" s="165" t="str">
        <f t="shared" si="0"/>
        <v/>
      </c>
    </row>
    <row r="69" spans="1:6" x14ac:dyDescent="0.25">
      <c r="A69" s="220">
        <v>57</v>
      </c>
      <c r="B69" s="168"/>
      <c r="C69" s="168"/>
      <c r="D69" s="169"/>
      <c r="E69" s="175">
        <v>7250</v>
      </c>
      <c r="F69" s="165" t="str">
        <f t="shared" si="0"/>
        <v/>
      </c>
    </row>
    <row r="70" spans="1:6" x14ac:dyDescent="0.25">
      <c r="A70" s="220">
        <v>58</v>
      </c>
      <c r="B70" s="168"/>
      <c r="C70" s="168"/>
      <c r="D70" s="169"/>
      <c r="E70" s="175">
        <v>7250</v>
      </c>
      <c r="F70" s="165" t="str">
        <f t="shared" si="0"/>
        <v/>
      </c>
    </row>
    <row r="71" spans="1:6" x14ac:dyDescent="0.25">
      <c r="A71" s="220">
        <v>59</v>
      </c>
      <c r="B71" s="168"/>
      <c r="C71" s="168"/>
      <c r="D71" s="169"/>
      <c r="E71" s="175">
        <v>7250</v>
      </c>
      <c r="F71" s="165" t="str">
        <f t="shared" si="0"/>
        <v/>
      </c>
    </row>
    <row r="72" spans="1:6" x14ac:dyDescent="0.25">
      <c r="A72" s="220">
        <v>60</v>
      </c>
      <c r="B72" s="168"/>
      <c r="C72" s="168"/>
      <c r="D72" s="169"/>
      <c r="E72" s="175">
        <v>7250</v>
      </c>
      <c r="F72" s="165" t="str">
        <f t="shared" si="0"/>
        <v/>
      </c>
    </row>
    <row r="73" spans="1:6" x14ac:dyDescent="0.25">
      <c r="A73" s="220">
        <v>61</v>
      </c>
      <c r="B73" s="168"/>
      <c r="C73" s="168"/>
      <c r="D73" s="169"/>
      <c r="E73" s="175">
        <v>7250</v>
      </c>
      <c r="F73" s="165" t="str">
        <f t="shared" si="0"/>
        <v/>
      </c>
    </row>
    <row r="74" spans="1:6" x14ac:dyDescent="0.25">
      <c r="A74" s="220">
        <v>62</v>
      </c>
      <c r="B74" s="168"/>
      <c r="C74" s="168"/>
      <c r="D74" s="169"/>
      <c r="E74" s="175">
        <v>7250</v>
      </c>
      <c r="F74" s="165" t="str">
        <f t="shared" si="0"/>
        <v/>
      </c>
    </row>
    <row r="75" spans="1:6" x14ac:dyDescent="0.25">
      <c r="A75" s="220">
        <v>63</v>
      </c>
      <c r="B75" s="168"/>
      <c r="C75" s="168"/>
      <c r="D75" s="169"/>
      <c r="E75" s="175">
        <v>7250</v>
      </c>
      <c r="F75" s="165" t="str">
        <f t="shared" si="0"/>
        <v/>
      </c>
    </row>
    <row r="76" spans="1:6" x14ac:dyDescent="0.25">
      <c r="A76" s="220">
        <v>64</v>
      </c>
      <c r="B76" s="168"/>
      <c r="C76" s="168"/>
      <c r="D76" s="169"/>
      <c r="E76" s="175">
        <v>7250</v>
      </c>
      <c r="F76" s="165" t="str">
        <f t="shared" si="0"/>
        <v/>
      </c>
    </row>
    <row r="77" spans="1:6" x14ac:dyDescent="0.25">
      <c r="A77" s="220">
        <v>65</v>
      </c>
      <c r="B77" s="168"/>
      <c r="C77" s="168"/>
      <c r="D77" s="169"/>
      <c r="E77" s="175">
        <v>7250</v>
      </c>
      <c r="F77" s="165" t="str">
        <f t="shared" si="0"/>
        <v/>
      </c>
    </row>
    <row r="78" spans="1:6" x14ac:dyDescent="0.25">
      <c r="A78" s="220">
        <v>66</v>
      </c>
      <c r="B78" s="168"/>
      <c r="C78" s="168"/>
      <c r="D78" s="169"/>
      <c r="E78" s="175">
        <v>7250</v>
      </c>
      <c r="F78" s="165" t="str">
        <f t="shared" ref="F78:F112" si="1">IF(D78-E78&gt;0,D78-E78,"")</f>
        <v/>
      </c>
    </row>
    <row r="79" spans="1:6" x14ac:dyDescent="0.25">
      <c r="A79" s="220">
        <v>67</v>
      </c>
      <c r="B79" s="168"/>
      <c r="C79" s="168"/>
      <c r="D79" s="169"/>
      <c r="E79" s="175">
        <v>7250</v>
      </c>
      <c r="F79" s="165" t="str">
        <f t="shared" si="1"/>
        <v/>
      </c>
    </row>
    <row r="80" spans="1:6" x14ac:dyDescent="0.25">
      <c r="A80" s="220">
        <v>68</v>
      </c>
      <c r="B80" s="168"/>
      <c r="C80" s="168"/>
      <c r="D80" s="169"/>
      <c r="E80" s="175">
        <v>7250</v>
      </c>
      <c r="F80" s="165" t="str">
        <f t="shared" si="1"/>
        <v/>
      </c>
    </row>
    <row r="81" spans="1:6" x14ac:dyDescent="0.25">
      <c r="A81" s="220">
        <v>69</v>
      </c>
      <c r="B81" s="168"/>
      <c r="C81" s="168"/>
      <c r="D81" s="169"/>
      <c r="E81" s="175">
        <v>7250</v>
      </c>
      <c r="F81" s="165" t="str">
        <f t="shared" si="1"/>
        <v/>
      </c>
    </row>
    <row r="82" spans="1:6" x14ac:dyDescent="0.25">
      <c r="A82" s="220">
        <v>70</v>
      </c>
      <c r="B82" s="168"/>
      <c r="C82" s="168"/>
      <c r="D82" s="169"/>
      <c r="E82" s="175">
        <v>7250</v>
      </c>
      <c r="F82" s="165" t="str">
        <f t="shared" si="1"/>
        <v/>
      </c>
    </row>
    <row r="83" spans="1:6" x14ac:dyDescent="0.25">
      <c r="A83" s="220">
        <v>71</v>
      </c>
      <c r="B83" s="168"/>
      <c r="C83" s="168"/>
      <c r="D83" s="169"/>
      <c r="E83" s="175">
        <v>7250</v>
      </c>
      <c r="F83" s="165" t="str">
        <f t="shared" si="1"/>
        <v/>
      </c>
    </row>
    <row r="84" spans="1:6" x14ac:dyDescent="0.25">
      <c r="A84" s="220">
        <v>72</v>
      </c>
      <c r="B84" s="168"/>
      <c r="C84" s="168"/>
      <c r="D84" s="169"/>
      <c r="E84" s="175">
        <v>7250</v>
      </c>
      <c r="F84" s="165" t="str">
        <f t="shared" si="1"/>
        <v/>
      </c>
    </row>
    <row r="85" spans="1:6" x14ac:dyDescent="0.25">
      <c r="A85" s="220">
        <v>73</v>
      </c>
      <c r="B85" s="168"/>
      <c r="C85" s="168"/>
      <c r="D85" s="169"/>
      <c r="E85" s="175">
        <v>7250</v>
      </c>
      <c r="F85" s="165" t="str">
        <f t="shared" si="1"/>
        <v/>
      </c>
    </row>
    <row r="86" spans="1:6" x14ac:dyDescent="0.25">
      <c r="A86" s="220">
        <v>74</v>
      </c>
      <c r="B86" s="168"/>
      <c r="C86" s="168"/>
      <c r="D86" s="169"/>
      <c r="E86" s="175">
        <v>7250</v>
      </c>
      <c r="F86" s="165" t="str">
        <f t="shared" si="1"/>
        <v/>
      </c>
    </row>
    <row r="87" spans="1:6" x14ac:dyDescent="0.25">
      <c r="A87" s="220">
        <v>75</v>
      </c>
      <c r="B87" s="168"/>
      <c r="C87" s="168"/>
      <c r="D87" s="169"/>
      <c r="E87" s="175">
        <v>7250</v>
      </c>
      <c r="F87" s="165" t="str">
        <f t="shared" si="1"/>
        <v/>
      </c>
    </row>
    <row r="88" spans="1:6" x14ac:dyDescent="0.25">
      <c r="A88" s="220">
        <v>76</v>
      </c>
      <c r="B88" s="168"/>
      <c r="C88" s="168"/>
      <c r="D88" s="169"/>
      <c r="E88" s="175">
        <v>7250</v>
      </c>
      <c r="F88" s="165" t="str">
        <f t="shared" si="1"/>
        <v/>
      </c>
    </row>
    <row r="89" spans="1:6" x14ac:dyDescent="0.25">
      <c r="A89" s="220">
        <v>77</v>
      </c>
      <c r="B89" s="168"/>
      <c r="C89" s="168"/>
      <c r="D89" s="169"/>
      <c r="E89" s="175">
        <v>7250</v>
      </c>
      <c r="F89" s="165" t="str">
        <f t="shared" si="1"/>
        <v/>
      </c>
    </row>
    <row r="90" spans="1:6" x14ac:dyDescent="0.25">
      <c r="A90" s="220">
        <v>78</v>
      </c>
      <c r="B90" s="168"/>
      <c r="C90" s="168"/>
      <c r="D90" s="169"/>
      <c r="E90" s="175">
        <v>7250</v>
      </c>
      <c r="F90" s="165" t="str">
        <f t="shared" si="1"/>
        <v/>
      </c>
    </row>
    <row r="91" spans="1:6" x14ac:dyDescent="0.25">
      <c r="A91" s="220">
        <v>79</v>
      </c>
      <c r="B91" s="168"/>
      <c r="C91" s="168"/>
      <c r="D91" s="169"/>
      <c r="E91" s="175">
        <v>7250</v>
      </c>
      <c r="F91" s="165" t="str">
        <f t="shared" si="1"/>
        <v/>
      </c>
    </row>
    <row r="92" spans="1:6" x14ac:dyDescent="0.25">
      <c r="A92" s="220">
        <v>80</v>
      </c>
      <c r="B92" s="168"/>
      <c r="C92" s="168"/>
      <c r="D92" s="169"/>
      <c r="E92" s="175">
        <v>7250</v>
      </c>
      <c r="F92" s="165" t="str">
        <f t="shared" si="1"/>
        <v/>
      </c>
    </row>
    <row r="93" spans="1:6" x14ac:dyDescent="0.25">
      <c r="A93" s="220">
        <v>81</v>
      </c>
      <c r="B93" s="168"/>
      <c r="C93" s="168"/>
      <c r="D93" s="169"/>
      <c r="E93" s="175">
        <v>7250</v>
      </c>
      <c r="F93" s="165" t="str">
        <f t="shared" si="1"/>
        <v/>
      </c>
    </row>
    <row r="94" spans="1:6" x14ac:dyDescent="0.25">
      <c r="A94" s="220">
        <v>82</v>
      </c>
      <c r="B94" s="168"/>
      <c r="C94" s="168"/>
      <c r="D94" s="169"/>
      <c r="E94" s="175">
        <v>7250</v>
      </c>
      <c r="F94" s="165" t="str">
        <f t="shared" si="1"/>
        <v/>
      </c>
    </row>
    <row r="95" spans="1:6" x14ac:dyDescent="0.25">
      <c r="A95" s="220">
        <v>83</v>
      </c>
      <c r="B95" s="168"/>
      <c r="C95" s="168"/>
      <c r="D95" s="169"/>
      <c r="E95" s="175">
        <v>7250</v>
      </c>
      <c r="F95" s="165" t="str">
        <f t="shared" si="1"/>
        <v/>
      </c>
    </row>
    <row r="96" spans="1:6" x14ac:dyDescent="0.25">
      <c r="A96" s="220">
        <v>84</v>
      </c>
      <c r="B96" s="168"/>
      <c r="C96" s="168"/>
      <c r="D96" s="169"/>
      <c r="E96" s="175">
        <v>7250</v>
      </c>
      <c r="F96" s="165" t="str">
        <f t="shared" si="1"/>
        <v/>
      </c>
    </row>
    <row r="97" spans="1:6" x14ac:dyDescent="0.25">
      <c r="A97" s="220">
        <v>85</v>
      </c>
      <c r="B97" s="168"/>
      <c r="C97" s="168"/>
      <c r="D97" s="169"/>
      <c r="E97" s="175">
        <v>7250</v>
      </c>
      <c r="F97" s="165" t="str">
        <f t="shared" si="1"/>
        <v/>
      </c>
    </row>
    <row r="98" spans="1:6" x14ac:dyDescent="0.25">
      <c r="A98" s="220">
        <v>86</v>
      </c>
      <c r="B98" s="168"/>
      <c r="C98" s="168"/>
      <c r="D98" s="169"/>
      <c r="E98" s="175">
        <v>7250</v>
      </c>
      <c r="F98" s="165" t="str">
        <f t="shared" si="1"/>
        <v/>
      </c>
    </row>
    <row r="99" spans="1:6" x14ac:dyDescent="0.25">
      <c r="A99" s="220">
        <v>87</v>
      </c>
      <c r="B99" s="168"/>
      <c r="C99" s="168"/>
      <c r="D99" s="169"/>
      <c r="E99" s="175">
        <v>7250</v>
      </c>
      <c r="F99" s="165" t="str">
        <f t="shared" si="1"/>
        <v/>
      </c>
    </row>
    <row r="100" spans="1:6" x14ac:dyDescent="0.25">
      <c r="A100" s="220">
        <v>88</v>
      </c>
      <c r="B100" s="168"/>
      <c r="C100" s="168"/>
      <c r="D100" s="169"/>
      <c r="E100" s="175">
        <v>7250</v>
      </c>
      <c r="F100" s="165" t="str">
        <f t="shared" si="1"/>
        <v/>
      </c>
    </row>
    <row r="101" spans="1:6" x14ac:dyDescent="0.25">
      <c r="A101" s="220">
        <v>89</v>
      </c>
      <c r="B101" s="168"/>
      <c r="C101" s="168"/>
      <c r="D101" s="169"/>
      <c r="E101" s="175">
        <v>7250</v>
      </c>
      <c r="F101" s="165" t="str">
        <f t="shared" si="1"/>
        <v/>
      </c>
    </row>
    <row r="102" spans="1:6" x14ac:dyDescent="0.25">
      <c r="A102" s="220">
        <v>90</v>
      </c>
      <c r="B102" s="168"/>
      <c r="C102" s="168"/>
      <c r="D102" s="169"/>
      <c r="E102" s="175">
        <v>7250</v>
      </c>
      <c r="F102" s="165" t="str">
        <f t="shared" si="1"/>
        <v/>
      </c>
    </row>
    <row r="103" spans="1:6" x14ac:dyDescent="0.25">
      <c r="A103" s="220">
        <v>91</v>
      </c>
      <c r="B103" s="168"/>
      <c r="C103" s="168"/>
      <c r="D103" s="169"/>
      <c r="E103" s="175">
        <v>7250</v>
      </c>
      <c r="F103" s="165" t="str">
        <f t="shared" si="1"/>
        <v/>
      </c>
    </row>
    <row r="104" spans="1:6" x14ac:dyDescent="0.25">
      <c r="A104" s="220">
        <v>92</v>
      </c>
      <c r="B104" s="168"/>
      <c r="C104" s="168"/>
      <c r="D104" s="169"/>
      <c r="E104" s="175">
        <v>7250</v>
      </c>
      <c r="F104" s="165" t="str">
        <f t="shared" si="1"/>
        <v/>
      </c>
    </row>
    <row r="105" spans="1:6" x14ac:dyDescent="0.25">
      <c r="A105" s="220">
        <v>93</v>
      </c>
      <c r="B105" s="168"/>
      <c r="C105" s="168"/>
      <c r="D105" s="169"/>
      <c r="E105" s="175">
        <v>7250</v>
      </c>
      <c r="F105" s="165" t="str">
        <f t="shared" si="1"/>
        <v/>
      </c>
    </row>
    <row r="106" spans="1:6" x14ac:dyDescent="0.25">
      <c r="A106" s="220">
        <v>94</v>
      </c>
      <c r="B106" s="168"/>
      <c r="C106" s="168"/>
      <c r="D106" s="169"/>
      <c r="E106" s="175">
        <v>7250</v>
      </c>
      <c r="F106" s="165" t="str">
        <f t="shared" si="1"/>
        <v/>
      </c>
    </row>
    <row r="107" spans="1:6" x14ac:dyDescent="0.25">
      <c r="A107" s="220">
        <v>95</v>
      </c>
      <c r="B107" s="168"/>
      <c r="C107" s="168"/>
      <c r="D107" s="169"/>
      <c r="E107" s="175">
        <v>7250</v>
      </c>
      <c r="F107" s="165" t="str">
        <f t="shared" si="1"/>
        <v/>
      </c>
    </row>
    <row r="108" spans="1:6" x14ac:dyDescent="0.25">
      <c r="A108" s="220">
        <v>96</v>
      </c>
      <c r="B108" s="168"/>
      <c r="C108" s="168"/>
      <c r="D108" s="169"/>
      <c r="E108" s="175">
        <v>7250</v>
      </c>
      <c r="F108" s="165" t="str">
        <f t="shared" si="1"/>
        <v/>
      </c>
    </row>
    <row r="109" spans="1:6" x14ac:dyDescent="0.25">
      <c r="A109" s="220">
        <v>97</v>
      </c>
      <c r="B109" s="168"/>
      <c r="C109" s="168"/>
      <c r="D109" s="169"/>
      <c r="E109" s="175">
        <v>7250</v>
      </c>
      <c r="F109" s="165" t="str">
        <f t="shared" si="1"/>
        <v/>
      </c>
    </row>
    <row r="110" spans="1:6" x14ac:dyDescent="0.25">
      <c r="A110" s="220">
        <v>98</v>
      </c>
      <c r="B110" s="168"/>
      <c r="C110" s="168"/>
      <c r="D110" s="169"/>
      <c r="E110" s="175">
        <v>7250</v>
      </c>
      <c r="F110" s="165" t="str">
        <f t="shared" si="1"/>
        <v/>
      </c>
    </row>
    <row r="111" spans="1:6" x14ac:dyDescent="0.25">
      <c r="A111" s="220">
        <v>99</v>
      </c>
      <c r="B111" s="168"/>
      <c r="C111" s="168"/>
      <c r="D111" s="169"/>
      <c r="E111" s="175">
        <v>7250</v>
      </c>
      <c r="F111" s="165" t="str">
        <f t="shared" si="1"/>
        <v/>
      </c>
    </row>
    <row r="112" spans="1:6" x14ac:dyDescent="0.25">
      <c r="A112" s="220">
        <v>100</v>
      </c>
      <c r="B112" s="168"/>
      <c r="C112" s="168"/>
      <c r="D112" s="169"/>
      <c r="E112" s="175">
        <v>7250</v>
      </c>
      <c r="F112" s="165" t="str">
        <f t="shared" si="1"/>
        <v/>
      </c>
    </row>
    <row r="113" spans="4:6" ht="15.75" thickBot="1" x14ac:dyDescent="0.3"/>
    <row r="114" spans="4:6" ht="15.75" thickBot="1" x14ac:dyDescent="0.3">
      <c r="D114" t="s">
        <v>56</v>
      </c>
      <c r="F114" s="176">
        <f>SUM(F13:F113)</f>
        <v>0</v>
      </c>
    </row>
  </sheetData>
  <sheetProtection password="EF32" sheet="1" objects="1" scenarios="1"/>
  <mergeCells count="6">
    <mergeCell ref="A7:F7"/>
    <mergeCell ref="A1:F1"/>
    <mergeCell ref="A2:F2"/>
    <mergeCell ref="A3:F3"/>
    <mergeCell ref="A4:F4"/>
    <mergeCell ref="A5:F5"/>
  </mergeCells>
  <printOptions horizontalCentered="1"/>
  <pageMargins left="0.45" right="0.45" top="0.75" bottom="0.5" header="0.3" footer="0.3"/>
  <pageSetup scale="8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zoomScale="110" zoomScaleNormal="110" workbookViewId="0">
      <selection activeCell="G47" sqref="G47"/>
    </sheetView>
  </sheetViews>
  <sheetFormatPr defaultRowHeight="15" x14ac:dyDescent="0.25"/>
  <cols>
    <col min="1" max="1" width="5.28515625" customWidth="1"/>
    <col min="2" max="2" width="12.28515625" customWidth="1"/>
    <col min="3" max="3" width="11.85546875" customWidth="1"/>
    <col min="4" max="4" width="34" customWidth="1"/>
    <col min="5" max="5" width="12.42578125" customWidth="1"/>
    <col min="6" max="6" width="24.28515625" customWidth="1"/>
    <col min="7" max="7" width="15" customWidth="1"/>
  </cols>
  <sheetData>
    <row r="1" spans="1:7" s="290" customFormat="1" ht="18.75" x14ac:dyDescent="0.3">
      <c r="A1" s="299" t="s">
        <v>43</v>
      </c>
      <c r="B1" s="299"/>
      <c r="C1" s="299"/>
      <c r="D1" s="299"/>
      <c r="E1" s="299"/>
      <c r="F1" s="299"/>
      <c r="G1" s="299"/>
    </row>
    <row r="2" spans="1:7" s="290" customFormat="1" ht="18.75" x14ac:dyDescent="0.3">
      <c r="A2" s="299" t="s">
        <v>328</v>
      </c>
      <c r="B2" s="299"/>
      <c r="C2" s="299"/>
      <c r="D2" s="299"/>
      <c r="E2" s="299"/>
      <c r="F2" s="299"/>
      <c r="G2" s="299"/>
    </row>
    <row r="3" spans="1:7" s="290" customFormat="1" ht="18.75" x14ac:dyDescent="0.3">
      <c r="A3" s="299" t="s">
        <v>323</v>
      </c>
      <c r="B3" s="299"/>
      <c r="C3" s="299"/>
      <c r="D3" s="299"/>
      <c r="E3" s="299"/>
      <c r="F3" s="299"/>
      <c r="G3" s="299"/>
    </row>
    <row r="4" spans="1:7" s="290" customFormat="1" ht="18.75" x14ac:dyDescent="0.3">
      <c r="A4" s="299" t="s">
        <v>260</v>
      </c>
      <c r="B4" s="299"/>
      <c r="C4" s="299"/>
      <c r="D4" s="299"/>
      <c r="E4" s="299"/>
      <c r="F4" s="299"/>
      <c r="G4" s="299"/>
    </row>
    <row r="5" spans="1:7" s="290" customFormat="1" ht="18.75" x14ac:dyDescent="0.3">
      <c r="A5" s="299" t="str">
        <f>'2. MOE_Input_Sheet'!I18</f>
        <v>2012-13</v>
      </c>
      <c r="B5" s="299"/>
      <c r="C5" s="299"/>
      <c r="D5" s="299"/>
      <c r="E5" s="299"/>
      <c r="F5" s="299"/>
      <c r="G5" s="299"/>
    </row>
    <row r="6" spans="1:7" x14ac:dyDescent="0.25">
      <c r="A6" s="51"/>
      <c r="B6" s="51"/>
      <c r="C6" s="51"/>
      <c r="D6" s="51"/>
      <c r="E6" s="51"/>
      <c r="F6" s="51"/>
      <c r="G6" s="51"/>
    </row>
    <row r="7" spans="1:7" ht="93" customHeight="1" x14ac:dyDescent="0.25">
      <c r="A7" s="327" t="s">
        <v>335</v>
      </c>
      <c r="B7" s="327"/>
      <c r="C7" s="327"/>
      <c r="D7" s="327"/>
      <c r="E7" s="327"/>
      <c r="F7" s="327"/>
      <c r="G7" s="327"/>
    </row>
    <row r="8" spans="1:7" s="220" customFormat="1" ht="17.25" customHeight="1" x14ac:dyDescent="0.25">
      <c r="A8" s="184"/>
      <c r="B8" s="184"/>
      <c r="C8" s="184"/>
      <c r="D8" s="184"/>
      <c r="E8" s="184"/>
      <c r="F8" s="184"/>
      <c r="G8" s="184"/>
    </row>
    <row r="9" spans="1:7" ht="15" customHeight="1" x14ac:dyDescent="0.25">
      <c r="A9" s="177"/>
      <c r="B9" s="185" t="s">
        <v>259</v>
      </c>
      <c r="C9" s="295"/>
      <c r="D9" s="177"/>
      <c r="E9" s="177"/>
      <c r="F9" s="177"/>
      <c r="G9" s="177"/>
    </row>
    <row r="10" spans="1:7" ht="15" customHeight="1" x14ac:dyDescent="0.25">
      <c r="A10" s="177"/>
      <c r="B10" s="183" t="s">
        <v>281</v>
      </c>
      <c r="C10" s="183" t="s">
        <v>259</v>
      </c>
      <c r="D10" s="177"/>
      <c r="E10" s="177"/>
      <c r="F10" s="177"/>
      <c r="G10" s="177"/>
    </row>
    <row r="11" spans="1:7" ht="15" customHeight="1" x14ac:dyDescent="0.25">
      <c r="B11" s="183" t="s">
        <v>279</v>
      </c>
      <c r="C11" s="183" t="s">
        <v>349</v>
      </c>
      <c r="E11" s="51"/>
      <c r="F11" s="51"/>
      <c r="G11" s="51" t="s">
        <v>251</v>
      </c>
    </row>
    <row r="12" spans="1:7" ht="15" customHeight="1" x14ac:dyDescent="0.25">
      <c r="A12" s="51"/>
      <c r="B12" s="183" t="s">
        <v>283</v>
      </c>
      <c r="C12" s="183" t="s">
        <v>279</v>
      </c>
      <c r="D12" s="51"/>
      <c r="E12" s="51"/>
      <c r="F12" s="51"/>
      <c r="G12" s="162" t="s">
        <v>252</v>
      </c>
    </row>
    <row r="13" spans="1:7" ht="15" customHeight="1" x14ac:dyDescent="0.25">
      <c r="B13" s="183" t="s">
        <v>282</v>
      </c>
      <c r="C13" s="183" t="s">
        <v>280</v>
      </c>
      <c r="F13" s="162" t="s">
        <v>253</v>
      </c>
      <c r="G13" s="163" t="s">
        <v>215</v>
      </c>
    </row>
    <row r="14" spans="1:7" ht="15" customHeight="1" x14ac:dyDescent="0.25">
      <c r="B14" s="183" t="s">
        <v>347</v>
      </c>
      <c r="C14" s="163" t="s">
        <v>350</v>
      </c>
      <c r="F14" s="162" t="s">
        <v>254</v>
      </c>
      <c r="G14" s="162" t="s">
        <v>257</v>
      </c>
    </row>
    <row r="15" spans="1:7" ht="15" customHeight="1" thickBot="1" x14ac:dyDescent="0.3">
      <c r="A15" s="47" t="s">
        <v>23</v>
      </c>
      <c r="B15" s="47" t="s">
        <v>348</v>
      </c>
      <c r="C15" s="160" t="s">
        <v>256</v>
      </c>
      <c r="D15" s="47" t="s">
        <v>68</v>
      </c>
      <c r="E15" s="47" t="s">
        <v>250</v>
      </c>
      <c r="F15" s="47" t="s">
        <v>255</v>
      </c>
      <c r="G15" s="160" t="s">
        <v>258</v>
      </c>
    </row>
    <row r="16" spans="1:7" x14ac:dyDescent="0.25">
      <c r="A16">
        <v>1</v>
      </c>
      <c r="B16" s="170"/>
      <c r="C16" s="170"/>
      <c r="D16" s="170"/>
      <c r="E16" s="170"/>
      <c r="F16" s="170"/>
      <c r="G16" s="169"/>
    </row>
    <row r="17" spans="1:7" x14ac:dyDescent="0.25">
      <c r="A17">
        <v>2</v>
      </c>
      <c r="B17" s="170"/>
      <c r="C17" s="170"/>
      <c r="D17" s="170"/>
      <c r="E17" s="170"/>
      <c r="F17" s="170"/>
      <c r="G17" s="169"/>
    </row>
    <row r="18" spans="1:7" x14ac:dyDescent="0.25">
      <c r="A18">
        <v>3</v>
      </c>
      <c r="B18" s="170"/>
      <c r="C18" s="170"/>
      <c r="D18" s="170"/>
      <c r="E18" s="170"/>
      <c r="F18" s="170"/>
      <c r="G18" s="169"/>
    </row>
    <row r="19" spans="1:7" x14ac:dyDescent="0.25">
      <c r="A19">
        <v>4</v>
      </c>
      <c r="B19" s="170"/>
      <c r="C19" s="170"/>
      <c r="D19" s="170"/>
      <c r="E19" s="170"/>
      <c r="F19" s="170"/>
      <c r="G19" s="169"/>
    </row>
    <row r="20" spans="1:7" x14ac:dyDescent="0.25">
      <c r="A20">
        <v>5</v>
      </c>
      <c r="B20" s="170"/>
      <c r="C20" s="170"/>
      <c r="D20" s="170"/>
      <c r="E20" s="170"/>
      <c r="F20" s="170"/>
      <c r="G20" s="169"/>
    </row>
    <row r="21" spans="1:7" x14ac:dyDescent="0.25">
      <c r="A21">
        <v>6</v>
      </c>
      <c r="B21" s="170"/>
      <c r="C21" s="170"/>
      <c r="D21" s="170"/>
      <c r="E21" s="170"/>
      <c r="F21" s="170"/>
      <c r="G21" s="169"/>
    </row>
    <row r="22" spans="1:7" x14ac:dyDescent="0.25">
      <c r="A22">
        <v>7</v>
      </c>
      <c r="B22" s="170"/>
      <c r="C22" s="170"/>
      <c r="D22" s="170"/>
      <c r="E22" s="170"/>
      <c r="F22" s="170"/>
      <c r="G22" s="169"/>
    </row>
    <row r="23" spans="1:7" x14ac:dyDescent="0.25">
      <c r="A23">
        <v>8</v>
      </c>
      <c r="B23" s="170"/>
      <c r="C23" s="170"/>
      <c r="D23" s="170"/>
      <c r="E23" s="170"/>
      <c r="F23" s="170"/>
      <c r="G23" s="169"/>
    </row>
    <row r="24" spans="1:7" x14ac:dyDescent="0.25">
      <c r="A24">
        <v>9</v>
      </c>
      <c r="B24" s="170"/>
      <c r="C24" s="170"/>
      <c r="D24" s="170"/>
      <c r="E24" s="170"/>
      <c r="F24" s="170"/>
      <c r="G24" s="169"/>
    </row>
    <row r="25" spans="1:7" x14ac:dyDescent="0.25">
      <c r="A25">
        <v>10</v>
      </c>
      <c r="B25" s="170"/>
      <c r="C25" s="170"/>
      <c r="D25" s="170"/>
      <c r="E25" s="170"/>
      <c r="F25" s="170"/>
      <c r="G25" s="169"/>
    </row>
    <row r="26" spans="1:7" x14ac:dyDescent="0.25">
      <c r="A26">
        <v>11</v>
      </c>
      <c r="B26" s="170"/>
      <c r="C26" s="170"/>
      <c r="D26" s="170"/>
      <c r="E26" s="170"/>
      <c r="F26" s="170"/>
      <c r="G26" s="169"/>
    </row>
    <row r="27" spans="1:7" x14ac:dyDescent="0.25">
      <c r="A27">
        <v>12</v>
      </c>
      <c r="B27" s="170"/>
      <c r="C27" s="170"/>
      <c r="D27" s="170"/>
      <c r="E27" s="170"/>
      <c r="F27" s="170"/>
      <c r="G27" s="169"/>
    </row>
    <row r="28" spans="1:7" x14ac:dyDescent="0.25">
      <c r="A28">
        <v>13</v>
      </c>
      <c r="B28" s="170"/>
      <c r="C28" s="170"/>
      <c r="D28" s="170"/>
      <c r="E28" s="170"/>
      <c r="F28" s="170"/>
      <c r="G28" s="169"/>
    </row>
    <row r="29" spans="1:7" x14ac:dyDescent="0.25">
      <c r="A29">
        <v>14</v>
      </c>
      <c r="B29" s="170"/>
      <c r="C29" s="170"/>
      <c r="D29" s="170"/>
      <c r="E29" s="170"/>
      <c r="F29" s="170"/>
      <c r="G29" s="169"/>
    </row>
    <row r="30" spans="1:7" x14ac:dyDescent="0.25">
      <c r="A30">
        <v>15</v>
      </c>
      <c r="B30" s="170"/>
      <c r="C30" s="170"/>
      <c r="D30" s="170"/>
      <c r="E30" s="170"/>
      <c r="F30" s="170"/>
      <c r="G30" s="169"/>
    </row>
    <row r="31" spans="1:7" x14ac:dyDescent="0.25">
      <c r="A31">
        <v>16</v>
      </c>
      <c r="B31" s="170"/>
      <c r="C31" s="170"/>
      <c r="D31" s="170"/>
      <c r="E31" s="170"/>
      <c r="F31" s="170"/>
      <c r="G31" s="169"/>
    </row>
    <row r="32" spans="1:7" x14ac:dyDescent="0.25">
      <c r="A32">
        <v>17</v>
      </c>
      <c r="B32" s="170"/>
      <c r="C32" s="170"/>
      <c r="D32" s="170"/>
      <c r="E32" s="170"/>
      <c r="F32" s="170"/>
      <c r="G32" s="169"/>
    </row>
    <row r="33" spans="1:7" x14ac:dyDescent="0.25">
      <c r="A33">
        <v>18</v>
      </c>
      <c r="B33" s="170"/>
      <c r="C33" s="170"/>
      <c r="D33" s="170"/>
      <c r="E33" s="170"/>
      <c r="F33" s="170"/>
      <c r="G33" s="169"/>
    </row>
    <row r="34" spans="1:7" x14ac:dyDescent="0.25">
      <c r="A34">
        <v>19</v>
      </c>
      <c r="B34" s="170"/>
      <c r="C34" s="170"/>
      <c r="D34" s="170"/>
      <c r="E34" s="170"/>
      <c r="F34" s="170"/>
      <c r="G34" s="169"/>
    </row>
    <row r="35" spans="1:7" x14ac:dyDescent="0.25">
      <c r="A35">
        <v>20</v>
      </c>
      <c r="B35" s="170"/>
      <c r="C35" s="170"/>
      <c r="D35" s="170"/>
      <c r="E35" s="170"/>
      <c r="F35" s="170"/>
      <c r="G35" s="169"/>
    </row>
    <row r="36" spans="1:7" x14ac:dyDescent="0.25">
      <c r="A36">
        <v>21</v>
      </c>
      <c r="B36" s="170"/>
      <c r="C36" s="170"/>
      <c r="D36" s="170"/>
      <c r="E36" s="170"/>
      <c r="F36" s="170"/>
      <c r="G36" s="169"/>
    </row>
    <row r="37" spans="1:7" x14ac:dyDescent="0.25">
      <c r="A37">
        <v>22</v>
      </c>
      <c r="B37" s="170"/>
      <c r="C37" s="170"/>
      <c r="D37" s="170"/>
      <c r="E37" s="170"/>
      <c r="F37" s="170"/>
      <c r="G37" s="169"/>
    </row>
    <row r="38" spans="1:7" x14ac:dyDescent="0.25">
      <c r="A38">
        <v>23</v>
      </c>
      <c r="B38" s="170"/>
      <c r="C38" s="170"/>
      <c r="D38" s="170"/>
      <c r="E38" s="170"/>
      <c r="F38" s="170"/>
      <c r="G38" s="169"/>
    </row>
    <row r="39" spans="1:7" x14ac:dyDescent="0.25">
      <c r="A39">
        <v>24</v>
      </c>
      <c r="B39" s="170"/>
      <c r="C39" s="170"/>
      <c r="D39" s="170"/>
      <c r="E39" s="170"/>
      <c r="F39" s="170"/>
      <c r="G39" s="169"/>
    </row>
    <row r="40" spans="1:7" x14ac:dyDescent="0.25">
      <c r="A40">
        <v>25</v>
      </c>
      <c r="B40" s="170"/>
      <c r="C40" s="170"/>
      <c r="D40" s="170"/>
      <c r="E40" s="170"/>
      <c r="F40" s="170"/>
      <c r="G40" s="169"/>
    </row>
    <row r="41" spans="1:7" x14ac:dyDescent="0.25">
      <c r="A41">
        <v>26</v>
      </c>
      <c r="B41" s="170"/>
      <c r="C41" s="170"/>
      <c r="D41" s="170"/>
      <c r="E41" s="170"/>
      <c r="F41" s="170"/>
      <c r="G41" s="169"/>
    </row>
    <row r="42" spans="1:7" x14ac:dyDescent="0.25">
      <c r="A42">
        <v>27</v>
      </c>
      <c r="B42" s="170"/>
      <c r="C42" s="170"/>
      <c r="D42" s="170"/>
      <c r="E42" s="170"/>
      <c r="F42" s="170"/>
      <c r="G42" s="169"/>
    </row>
    <row r="43" spans="1:7" x14ac:dyDescent="0.25">
      <c r="A43">
        <v>28</v>
      </c>
      <c r="B43" s="170"/>
      <c r="C43" s="170"/>
      <c r="D43" s="170"/>
      <c r="E43" s="170"/>
      <c r="F43" s="170"/>
      <c r="G43" s="169"/>
    </row>
    <row r="44" spans="1:7" x14ac:dyDescent="0.25">
      <c r="A44">
        <v>29</v>
      </c>
      <c r="B44" s="170"/>
      <c r="C44" s="170"/>
      <c r="D44" s="170"/>
      <c r="E44" s="170"/>
      <c r="F44" s="170"/>
      <c r="G44" s="169"/>
    </row>
    <row r="45" spans="1:7" x14ac:dyDescent="0.25">
      <c r="A45">
        <v>30</v>
      </c>
      <c r="B45" s="170"/>
      <c r="C45" s="170"/>
      <c r="D45" s="170"/>
      <c r="E45" s="170"/>
      <c r="F45" s="170"/>
      <c r="G45" s="169"/>
    </row>
    <row r="46" spans="1:7" x14ac:dyDescent="0.25">
      <c r="G46" s="178"/>
    </row>
    <row r="47" spans="1:7" x14ac:dyDescent="0.25">
      <c r="F47" t="s">
        <v>56</v>
      </c>
      <c r="G47" s="179">
        <f>SUM(G46:G46)</f>
        <v>0</v>
      </c>
    </row>
  </sheetData>
  <mergeCells count="6">
    <mergeCell ref="A7:G7"/>
    <mergeCell ref="A1:G1"/>
    <mergeCell ref="A2:G2"/>
    <mergeCell ref="A3:G3"/>
    <mergeCell ref="A4:G4"/>
    <mergeCell ref="A5:G5"/>
  </mergeCells>
  <printOptions horizontalCentered="1"/>
  <pageMargins left="0.26" right="0.24" top="0.5" bottom="0.5" header="0.3" footer="0.3"/>
  <pageSetup scale="8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Instructions</vt:lpstr>
      <vt:lpstr>1. Signature_Page</vt:lpstr>
      <vt:lpstr>2. MOE_Input_Sheet</vt:lpstr>
      <vt:lpstr>3. Calculations_Sheet</vt:lpstr>
      <vt:lpstr>4. Exceptions</vt:lpstr>
      <vt:lpstr>5. Staff_Departures</vt:lpstr>
      <vt:lpstr>6. HighCost_Students</vt:lpstr>
      <vt:lpstr>7. Termination_of_Exps</vt:lpstr>
      <vt:lpstr>'2. MOE_Input_Sheet'!Print_Area</vt:lpstr>
      <vt:lpstr>'4. Exceptions'!Print_Area</vt:lpstr>
      <vt:lpstr>'5. Staff_Departures'!Print_Area</vt:lpstr>
      <vt:lpstr>'7. Termination_of_Exps'!Print_Area</vt:lpstr>
      <vt:lpstr>'7. Termination_of_Exps'!Print_Titles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blanford_j</dc:creator>
  <cp:lastModifiedBy>Graham, Vicki</cp:lastModifiedBy>
  <cp:lastPrinted>2012-08-29T23:52:30Z</cp:lastPrinted>
  <dcterms:created xsi:type="dcterms:W3CDTF">2011-04-18T01:11:09Z</dcterms:created>
  <dcterms:modified xsi:type="dcterms:W3CDTF">2014-06-16T19:55:49Z</dcterms:modified>
</cp:coreProperties>
</file>