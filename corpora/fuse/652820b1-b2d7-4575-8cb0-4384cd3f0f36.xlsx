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0" yWindow="312" windowWidth="17016" windowHeight="10980"/>
  </bookViews>
  <sheets>
    <sheet name="2014 Funding Round 1" sheetId="2" r:id="rId1"/>
  </sheets>
  <definedNames>
    <definedName name="_xlnm._FilterDatabase" localSheetId="0" hidden="1">'2014 Funding Round 1'!$B$6:$I$292</definedName>
    <definedName name="Z_012F964A_EDD4_4959_8DD2_B3AD9BEA5F76_.wvu.FilterData" localSheetId="0" hidden="1">'2014 Funding Round 1'!$B$6:$I$292</definedName>
    <definedName name="Z_0217808F_9357_43DD_BE63_FE35BA84FFB3_.wvu.FilterData" localSheetId="0" hidden="1">'2014 Funding Round 1'!$B$6:$I$292</definedName>
    <definedName name="Z_04FBD3CB_7A03_44D6_9F98_DD83BA2DE7D2_.wvu.FilterData" localSheetId="0" hidden="1">'2014 Funding Round 1'!$B$6:$I$292</definedName>
    <definedName name="Z_058E5264_A2F8_4EE0_A89C_706D65882526_.wvu.FilterData" localSheetId="0" hidden="1">'2014 Funding Round 1'!$B$6:$I$292</definedName>
    <definedName name="Z_05BC1A6B_AF75_43E7_98A1_940FF9C16D73_.wvu.Cols" localSheetId="0" hidden="1">'2014 Funding Round 1'!#REF!,'2014 Funding Round 1'!#REF!,'2014 Funding Round 1'!#REF!,'2014 Funding Round 1'!$E:$E,'2014 Funding Round 1'!#REF!,'2014 Funding Round 1'!#REF!</definedName>
    <definedName name="Z_05BC1A6B_AF75_43E7_98A1_940FF9C16D73_.wvu.FilterData" localSheetId="0" hidden="1">'2014 Funding Round 1'!$B$6:$I$292</definedName>
    <definedName name="Z_05BC1A6B_AF75_43E7_98A1_940FF9C16D73_.wvu.Rows" localSheetId="0" hidden="1">'2014 Funding Round 1'!#REF!</definedName>
    <definedName name="Z_07FAC490_8F7D_43FD_95BB_3D5B9164AE8E_.wvu.FilterData" localSheetId="0" hidden="1">'2014 Funding Round 1'!$B$6:$I$292</definedName>
    <definedName name="Z_08032C9D_FA58_42C8_811C_544F92A24F0D_.wvu.FilterData" localSheetId="0" hidden="1">'2014 Funding Round 1'!$B$6:$I$292</definedName>
    <definedName name="Z_0D61C5E7_DE31_437C_8B52_BD9BC193B037_.wvu.FilterData" localSheetId="0" hidden="1">'2014 Funding Round 1'!$B$6:$I$292</definedName>
    <definedName name="Z_12095F17_0A7D_4BDF_B026_EAAF45F93ED4_.wvu.FilterData" localSheetId="0" hidden="1">'2014 Funding Round 1'!$B$6:$I$292</definedName>
    <definedName name="Z_15212C65_BD41_4476_AC40_C12C072E2ABB_.wvu.FilterData" localSheetId="0" hidden="1">'2014 Funding Round 1'!$B$6:$I$292</definedName>
    <definedName name="Z_16418857_CFE8_46D5_AEF5_18E966882356_.wvu.FilterData" localSheetId="0" hidden="1">'2014 Funding Round 1'!$B$6:$I$292</definedName>
    <definedName name="Z_184D89A6_DC38_4999_838F_F277C5068C49_.wvu.FilterData" localSheetId="0" hidden="1">'2014 Funding Round 1'!$B$6:$I$292</definedName>
    <definedName name="Z_1A0847B1_9EC3_4D0E_BC3E_6D81323965E7_.wvu.FilterData" localSheetId="0" hidden="1">'2014 Funding Round 1'!$B$6:$I$292</definedName>
    <definedName name="Z_1AF3FFC6_A45B_43C6_80B9_64E55A1BAA2B_.wvu.FilterData" localSheetId="0" hidden="1">'2014 Funding Round 1'!$B$6:$I$292</definedName>
    <definedName name="Z_1B458B83_0320_4AA8_A83C_214DF130970D_.wvu.FilterData" localSheetId="0" hidden="1">'2014 Funding Round 1'!$B$6:$I$292</definedName>
    <definedName name="Z_1B91B563_1195_40E6_874A_7FBB5573AB18_.wvu.FilterData" localSheetId="0" hidden="1">'2014 Funding Round 1'!$B$6:$I$292</definedName>
    <definedName name="Z_1CF1E045_5532_435E_91DF_D8F8E67FD316_.wvu.FilterData" localSheetId="0" hidden="1">'2014 Funding Round 1'!$B$6:$I$292</definedName>
    <definedName name="Z_1D62C4B3_E7DC_4671_A1E8_975CC302E7AF_.wvu.FilterData" localSheetId="0" hidden="1">'2014 Funding Round 1'!$B$6:$I$292</definedName>
    <definedName name="Z_1E2AE246_5F6B_4EE2_9DBC_8409F3D89DC3_.wvu.FilterData" localSheetId="0" hidden="1">'2014 Funding Round 1'!$B$6:$I$292</definedName>
    <definedName name="Z_21085D66_2C20_429D_9D65_6FA62B385024_.wvu.FilterData" localSheetId="0" hidden="1">'2014 Funding Round 1'!$B$6:$I$292</definedName>
    <definedName name="Z_233622B4_4D0E_433E_AE64_9461C3B9B165_.wvu.FilterData" localSheetId="0" hidden="1">'2014 Funding Round 1'!$B$6:$I$292</definedName>
    <definedName name="Z_23EFEC5B_029E_4504_9EC7_F4221CC39909_.wvu.FilterData" localSheetId="0" hidden="1">'2014 Funding Round 1'!$B$6:$I$292</definedName>
    <definedName name="Z_25AD044F_2F4C_4828_B2FC_D85C6ADB5303_.wvu.FilterData" localSheetId="0" hidden="1">'2014 Funding Round 1'!$B$6:$I$292</definedName>
    <definedName name="Z_25C09801_B932_4214_ABC3_968E70AF2AA1_.wvu.FilterData" localSheetId="0" hidden="1">'2014 Funding Round 1'!$B$6:$I$292</definedName>
    <definedName name="Z_261D1CC5_3D20_410E_B4F2_FDA1D0E88A72_.wvu.FilterData" localSheetId="0" hidden="1">'2014 Funding Round 1'!$B$6:$I$292</definedName>
    <definedName name="Z_2700306D_1EE1_424B_89AC_BD152E99F720_.wvu.FilterData" localSheetId="0" hidden="1">'2014 Funding Round 1'!$B$6:$I$292</definedName>
    <definedName name="Z_28927275_C3FA_47E9_B349_054C70BE6346_.wvu.FilterData" localSheetId="0" hidden="1">'2014 Funding Round 1'!$B$6:$I$292</definedName>
    <definedName name="Z_2932D57B_D1CE_4ADB_A726_0EA6F55767C4_.wvu.FilterData" localSheetId="0" hidden="1">'2014 Funding Round 1'!$B$6:$I$292</definedName>
    <definedName name="Z_2AF5EF3A_E2DE_4A10_9667_AE7A945210A7_.wvu.FilterData" localSheetId="0" hidden="1">'2014 Funding Round 1'!$B$6:$I$292</definedName>
    <definedName name="Z_2B159C9F_A4A3_4E5C_A2B9_1845CA5A7D16_.wvu.FilterData" localSheetId="0" hidden="1">'2014 Funding Round 1'!$B$6:$I$292</definedName>
    <definedName name="Z_2C139DBF_598D_4849_AEFA_880517F6241D_.wvu.FilterData" localSheetId="0" hidden="1">'2014 Funding Round 1'!$B$6:$I$292</definedName>
    <definedName name="Z_2E51AA4F_80D5_43EF_BA8C_54403CF5326B_.wvu.FilterData" localSheetId="0" hidden="1">'2014 Funding Round 1'!$B$6:$I$292</definedName>
    <definedName name="Z_2E54A79E_A49A_4612_BB65_213AC21B0DBE_.wvu.FilterData" localSheetId="0" hidden="1">'2014 Funding Round 1'!$B$6:$I$292</definedName>
    <definedName name="Z_2E7FAE2E_BC41_4417_A34D_7772D7C48451_.wvu.FilterData" localSheetId="0" hidden="1">'2014 Funding Round 1'!$B$6:$I$292</definedName>
    <definedName name="Z_3260527F_EB16_44C8_B6B3_FCE62975D5C0_.wvu.FilterData" localSheetId="0" hidden="1">'2014 Funding Round 1'!$B$6:$I$292</definedName>
    <definedName name="Z_328EB183_30DC_47EC_ABC1_0DC8A2480AD0_.wvu.FilterData" localSheetId="0" hidden="1">'2014 Funding Round 1'!$B$6:$I$292</definedName>
    <definedName name="Z_32941B20_13A7_4648_B7D3_23917E4C262C_.wvu.FilterData" localSheetId="0" hidden="1">'2014 Funding Round 1'!$B$6:$I$292</definedName>
    <definedName name="Z_32E54E92_ADCB_4FCF_9CAB_F01EB7FB6E8F_.wvu.FilterData" localSheetId="0" hidden="1">'2014 Funding Round 1'!$B$6:$I$292</definedName>
    <definedName name="Z_33D78E48_492A_466F_A7A4_E017D5D7E93E_.wvu.FilterData" localSheetId="0" hidden="1">'2014 Funding Round 1'!$B$6:$I$292</definedName>
    <definedName name="Z_343D6993_EF9D_4327_93C6_31C2B383CE34_.wvu.FilterData" localSheetId="0" hidden="1">'2014 Funding Round 1'!$B$6:$I$292</definedName>
    <definedName name="Z_352CE9BC_C0EE_49EC_9D38_766F192D4EA4_.wvu.Cols" localSheetId="0" hidden="1">'2014 Funding Round 1'!#REF!</definedName>
    <definedName name="Z_352CE9BC_C0EE_49EC_9D38_766F192D4EA4_.wvu.FilterData" localSheetId="0" hidden="1">'2014 Funding Round 1'!$B$6:$I$292</definedName>
    <definedName name="Z_37113830_C0C2_420A_9FFF_EF255C72E50C_.wvu.FilterData" localSheetId="0" hidden="1">'2014 Funding Round 1'!$B$6:$I$292</definedName>
    <definedName name="Z_37113830_C0C2_420A_9FFF_EF255C72E50C_.wvu.PrintArea" localSheetId="0" hidden="1">'2014 Funding Round 1'!$B$6:$I$292</definedName>
    <definedName name="Z_37113830_C0C2_420A_9FFF_EF255C72E50C_.wvu.PrintTitles" localSheetId="0" hidden="1">'2014 Funding Round 1'!$6:$6</definedName>
    <definedName name="Z_374FC52C_3BA3_4876_BF90_4744D3E63E54_.wvu.FilterData" localSheetId="0" hidden="1">'2014 Funding Round 1'!$B$6:$I$292</definedName>
    <definedName name="Z_3CE6AFE5_9934_436B_8F0D_96B662725711_.wvu.FilterData" localSheetId="0" hidden="1">'2014 Funding Round 1'!$B$6:$I$292</definedName>
    <definedName name="Z_3D692268_819E_4E15_A311_0EA61AC282D1_.wvu.FilterData" localSheetId="0" hidden="1">'2014 Funding Round 1'!$B$6:$I$292</definedName>
    <definedName name="Z_3E98F298_CBD2_484B_9882_9B03C539B0D2_.wvu.FilterData" localSheetId="0" hidden="1">'2014 Funding Round 1'!$B$6:$I$292</definedName>
    <definedName name="Z_40EC3081_79C5_44BC_A70F_69862C4F9779_.wvu.FilterData" localSheetId="0" hidden="1">'2014 Funding Round 1'!$B$6:$I$292</definedName>
    <definedName name="Z_423E6341_72E7_463B_8E9B_D2A5A2C2EAF9_.wvu.FilterData" localSheetId="0" hidden="1">'2014 Funding Round 1'!$B$6:$I$292</definedName>
    <definedName name="Z_42CB9BA6_DB50_4FA1_AD32_6A9BEF2DB20B_.wvu.FilterData" localSheetId="0" hidden="1">'2014 Funding Round 1'!$B$6:$I$292</definedName>
    <definedName name="Z_42EDEE13_9C52_4A2C_A548_2BD6F96D9747_.wvu.FilterData" localSheetId="0" hidden="1">'2014 Funding Round 1'!$B$6:$I$292</definedName>
    <definedName name="Z_4312A95F_E1A1_4AB3_9C73_F09F1C7E9855_.wvu.FilterData" localSheetId="0" hidden="1">'2014 Funding Round 1'!$B$6:$I$292</definedName>
    <definedName name="Z_4460376E_B8CE_4282_8FEE_18A92704E0D6_.wvu.FilterData" localSheetId="0" hidden="1">'2014 Funding Round 1'!$B$6:$I$292</definedName>
    <definedName name="Z_4656EAAB_4FC2_4EF8_A8DC_563BF26907A2_.wvu.FilterData" localSheetId="0" hidden="1">'2014 Funding Round 1'!$B$6:$I$292</definedName>
    <definedName name="Z_48C96D86_4120_47F2_ACA8_D56D1A7CA53A_.wvu.FilterData" localSheetId="0" hidden="1">'2014 Funding Round 1'!$B$6:$I$292</definedName>
    <definedName name="Z_4AB5F089_CCCC_4C61_B49A_85E782A90450_.wvu.FilterData" localSheetId="0" hidden="1">'2014 Funding Round 1'!$B$6:$I$292</definedName>
    <definedName name="Z_500F4680_69B0_41E1_AE7E_7A251C1E5EF1_.wvu.FilterData" localSheetId="0" hidden="1">'2014 Funding Round 1'!$B$6:$I$292</definedName>
    <definedName name="Z_50891600_7F9C_4279_894F_23D4C910C3AA_.wvu.Cols" localSheetId="0" hidden="1">'2014 Funding Round 1'!#REF!</definedName>
    <definedName name="Z_50891600_7F9C_4279_894F_23D4C910C3AA_.wvu.FilterData" localSheetId="0" hidden="1">'2014 Funding Round 1'!$B$6:$I$292</definedName>
    <definedName name="Z_50891600_7F9C_4279_894F_23D4C910C3AA_.wvu.PrintArea" localSheetId="0" hidden="1">'2014 Funding Round 1'!$B$6:$I$292</definedName>
    <definedName name="Z_50891600_7F9C_4279_894F_23D4C910C3AA_.wvu.PrintTitles" localSheetId="0" hidden="1">'2014 Funding Round 1'!$6:$6</definedName>
    <definedName name="Z_51AEA9D9_A74B_4E33_A926_41303A93AABF_.wvu.FilterData" localSheetId="0" hidden="1">'2014 Funding Round 1'!$B$6:$I$292</definedName>
    <definedName name="Z_52A8CEB8_01D7_474B_9635_5C249C456384_.wvu.FilterData" localSheetId="0" hidden="1">'2014 Funding Round 1'!$B$6:$I$292</definedName>
    <definedName name="Z_52E6FB52_ED4D_45BD_9504_324DDEBBD654_.wvu.FilterData" localSheetId="0" hidden="1">'2014 Funding Round 1'!$B$6:$I$292</definedName>
    <definedName name="Z_5466D710_AE47_47BD_A018_4F71D0EC60F9_.wvu.FilterData" localSheetId="0" hidden="1">'2014 Funding Round 1'!$B$6:$I$292</definedName>
    <definedName name="Z_5560DE40_2398_407A_9249_50121ABDF1BE_.wvu.FilterData" localSheetId="0" hidden="1">'2014 Funding Round 1'!$B$6:$I$292</definedName>
    <definedName name="Z_565F24BF_335B_4B3A_A0B8_F7DAA2AA1DA0_.wvu.FilterData" localSheetId="0" hidden="1">'2014 Funding Round 1'!$B$6:$I$292</definedName>
    <definedName name="Z_571B3DFC_A912_41CD_9A31_CC3971B44486_.wvu.FilterData" localSheetId="0" hidden="1">'2014 Funding Round 1'!$B$6:$I$292</definedName>
    <definedName name="Z_57F81163_4F57_4342_A536_A1AE3F3345F0_.wvu.FilterData" localSheetId="0" hidden="1">'2014 Funding Round 1'!$B$6:$I$292</definedName>
    <definedName name="Z_584708CB_1C4F_4B49_BD7A_FA6EE9ACE8AF_.wvu.FilterData" localSheetId="0" hidden="1">'2014 Funding Round 1'!$B$6:$I$292</definedName>
    <definedName name="Z_619B39E4_C3B6_42B5_ACB8_C3086C41BECA_.wvu.FilterData" localSheetId="0" hidden="1">'2014 Funding Round 1'!$B$6:$I$292</definedName>
    <definedName name="Z_619BF1C2_C11B_4357_A7CD_82D85F75222E_.wvu.FilterData" localSheetId="0" hidden="1">'2014 Funding Round 1'!$B$6:$I$292</definedName>
    <definedName name="Z_621173F8_52ED_48F0_8FFD_4E42D5C5B63A_.wvu.FilterData" localSheetId="0" hidden="1">'2014 Funding Round 1'!$B$6:$I$292</definedName>
    <definedName name="Z_6584E931_E06D_418A_85A6_B49B267C69CC_.wvu.FilterData" localSheetId="0" hidden="1">'2014 Funding Round 1'!$B$6:$I$292</definedName>
    <definedName name="Z_685EE83B_2A39_4E3C_B3A2_84EDAF91E37D_.wvu.FilterData" localSheetId="0" hidden="1">'2014 Funding Round 1'!$B$6:$I$292</definedName>
    <definedName name="Z_6A8EF057_4EAB_4753_A4E6_0FF4F1608215_.wvu.FilterData" localSheetId="0" hidden="1">'2014 Funding Round 1'!$B$6:$I$292</definedName>
    <definedName name="Z_703A42D7_F0B0_4093_B255_5161AA28E8DD_.wvu.FilterData" localSheetId="0" hidden="1">'2014 Funding Round 1'!$B$6:$I$292</definedName>
    <definedName name="Z_7340A5A9_37C3_431D_927A_0126B1C96CA9_.wvu.FilterData" localSheetId="0" hidden="1">'2014 Funding Round 1'!$B$6:$I$292</definedName>
    <definedName name="Z_73BB13D1_8BF3_4DD7_BCD6_0FD63EB0B6ED_.wvu.FilterData" localSheetId="0" hidden="1">'2014 Funding Round 1'!$B$6:$I$292</definedName>
    <definedName name="Z_7491988D_626C_4604_9AFD_5AC5C7476097_.wvu.FilterData" localSheetId="0" hidden="1">'2014 Funding Round 1'!$B$6:$I$292</definedName>
    <definedName name="Z_74C9D047_89A3_48DD_B2BA_0197AE825ABF_.wvu.FilterData" localSheetId="0" hidden="1">'2014 Funding Round 1'!$B$6:$I$292</definedName>
    <definedName name="Z_753C8A6E_A2F7_4385_9CDC_D70879644B22_.wvu.FilterData" localSheetId="0" hidden="1">'2014 Funding Round 1'!$B$6:$I$292</definedName>
    <definedName name="Z_75AD45B5_78D8_4A95_9436_50EE21F6E6BF_.wvu.Cols" localSheetId="0" hidden="1">'2014 Funding Round 1'!#REF!,'2014 Funding Round 1'!#REF!</definedName>
    <definedName name="Z_75AD45B5_78D8_4A95_9436_50EE21F6E6BF_.wvu.FilterData" localSheetId="0" hidden="1">'2014 Funding Round 1'!$B$6:$I$292</definedName>
    <definedName name="Z_75AD45B5_78D8_4A95_9436_50EE21F6E6BF_.wvu.Rows" localSheetId="0" hidden="1">'2014 Funding Round 1'!#REF!</definedName>
    <definedName name="Z_762BB0FC_A4F9_4830_8546_309FCC7F26D9_.wvu.FilterData" localSheetId="0" hidden="1">'2014 Funding Round 1'!$B$6:$I$292</definedName>
    <definedName name="Z_7A3AE7AB_793D_4B5F_B344_79D69B32E3E1_.wvu.FilterData" localSheetId="0" hidden="1">'2014 Funding Round 1'!$B$6:$I$292</definedName>
    <definedName name="Z_7B7F755F_DBEB_4977_A48A_63BB614DBBD5_.wvu.FilterData" localSheetId="0" hidden="1">'2014 Funding Round 1'!$B$6:$I$292</definedName>
    <definedName name="Z_7F0C993D_707E_4379_94D5_223C81A1C11A_.wvu.FilterData" localSheetId="0" hidden="1">'2014 Funding Round 1'!$B$6:$I$292</definedName>
    <definedName name="Z_8086C33E_4599_433A_A93A_5F5688796735_.wvu.FilterData" localSheetId="0" hidden="1">'2014 Funding Round 1'!$B$6:$I$292</definedName>
    <definedName name="Z_83D7F815_DAB7_4B24_BA1C_4E53D1B20417_.wvu.FilterData" localSheetId="0" hidden="1">'2014 Funding Round 1'!$B$6:$I$292</definedName>
    <definedName name="Z_83E7EACF_0EEA_405A_8BA3_4170B22A6561_.wvu.FilterData" localSheetId="0" hidden="1">'2014 Funding Round 1'!$B$6:$I$292</definedName>
    <definedName name="Z_840BA857_6800_4A82_951B_97B6FE370F06_.wvu.FilterData" localSheetId="0" hidden="1">'2014 Funding Round 1'!$B$6:$I$292</definedName>
    <definedName name="Z_858589A7_DF3B_4119_88CC_AB9B1103CF4F_.wvu.FilterData" localSheetId="0" hidden="1">'2014 Funding Round 1'!$B$6:$I$292</definedName>
    <definedName name="Z_85928AF6_1039_48F4_B98B_19C599056FC4_.wvu.FilterData" localSheetId="0" hidden="1">'2014 Funding Round 1'!$B$6:$I$292</definedName>
    <definedName name="Z_85928AF6_1039_48F4_B98B_19C599056FC4_.wvu.PrintArea" localSheetId="0" hidden="1">'2014 Funding Round 1'!$B$6:$I$292</definedName>
    <definedName name="Z_85928AF6_1039_48F4_B98B_19C599056FC4_.wvu.PrintTitles" localSheetId="0" hidden="1">'2014 Funding Round 1'!$6:$6</definedName>
    <definedName name="Z_8650ACC8_D510_49FA_A9E3_13BA3F49D487_.wvu.FilterData" localSheetId="0" hidden="1">'2014 Funding Round 1'!$B$6:$I$292</definedName>
    <definedName name="Z_870C14A9_88E0_448F_B1D1_DCEFD8B6C416_.wvu.FilterData" localSheetId="0" hidden="1">'2014 Funding Round 1'!$B$6:$I$292</definedName>
    <definedName name="Z_880A2D54_4554_4382_9D50_C03705DC5244_.wvu.FilterData" localSheetId="0" hidden="1">'2014 Funding Round 1'!$B$6:$I$292</definedName>
    <definedName name="Z_90655D74_0057_4619_ABDF_A22D14C98859_.wvu.FilterData" localSheetId="0" hidden="1">'2014 Funding Round 1'!$B$6:$I$292</definedName>
    <definedName name="Z_91746C5D_2AD9_4993_B9DF_58466B5B479B_.wvu.FilterData" localSheetId="0" hidden="1">'2014 Funding Round 1'!$B$6:$I$292</definedName>
    <definedName name="Z_91CF1BEB_511A_44E4_BF00_38A65D44330B_.wvu.FilterData" localSheetId="0" hidden="1">'2014 Funding Round 1'!$B$6:$I$292</definedName>
    <definedName name="Z_920C272D_8688_415D_82D5_4770931E2AE7_.wvu.FilterData" localSheetId="0" hidden="1">'2014 Funding Round 1'!$B$6:$I$292</definedName>
    <definedName name="Z_9474F499_58F4_4614_A0EB_E479EEB4C978_.wvu.FilterData" localSheetId="0" hidden="1">'2014 Funding Round 1'!$B$6:$I$292</definedName>
    <definedName name="Z_95A79810_7768_4D22_B380_7A99A7FD060D_.wvu.FilterData" localSheetId="0" hidden="1">'2014 Funding Round 1'!$B$6:$I$292</definedName>
    <definedName name="Z_96492223_3B08_48F2_B31F_6CE00C29A3C3_.wvu.FilterData" localSheetId="0" hidden="1">'2014 Funding Round 1'!$B$6:$I$292</definedName>
    <definedName name="Z_97FCA39E_0BDE_424F_9883_1E4919E29A2D_.wvu.FilterData" localSheetId="0" hidden="1">'2014 Funding Round 1'!$B$6:$I$292</definedName>
    <definedName name="Z_9A651B91_6F7E_4D69_B6F4_571A1F7F8FE1_.wvu.FilterData" localSheetId="0" hidden="1">'2014 Funding Round 1'!$B$6:$I$292</definedName>
    <definedName name="Z_9FE50F5E_86EE_41D9_9DD5_0D83CC8C7329_.wvu.FilterData" localSheetId="0" hidden="1">'2014 Funding Round 1'!$B$6:$I$292</definedName>
    <definedName name="Z_A1BED700_0269_4EA8_95F9_50AACBEFD3E9_.wvu.FilterData" localSheetId="0" hidden="1">'2014 Funding Round 1'!$B$6:$I$292</definedName>
    <definedName name="Z_A25E420B_C29C_46BC_8CA7_C94805785362_.wvu.FilterData" localSheetId="0" hidden="1">'2014 Funding Round 1'!$B$6:$I$292</definedName>
    <definedName name="Z_A2951760_67B8_417B_A775_A7182796CC83_.wvu.Cols" localSheetId="0" hidden="1">'2014 Funding Round 1'!$G:$G</definedName>
    <definedName name="Z_A2951760_67B8_417B_A775_A7182796CC83_.wvu.FilterData" localSheetId="0" hidden="1">'2014 Funding Round 1'!$B$6:$I$292</definedName>
    <definedName name="Z_A2951760_67B8_417B_A775_A7182796CC83_.wvu.PrintArea" localSheetId="0" hidden="1">'2014 Funding Round 1'!$B$6:$I$292</definedName>
    <definedName name="Z_A2951760_67B8_417B_A775_A7182796CC83_.wvu.PrintTitles" localSheetId="0" hidden="1">'2014 Funding Round 1'!$6:$6</definedName>
    <definedName name="Z_A2B5A80F_8F50_4561_878C_D81FC29E7E15_.wvu.FilterData" localSheetId="0" hidden="1">'2014 Funding Round 1'!$B$6:$I$292</definedName>
    <definedName name="Z_A392875E_DD32_4DB5_8DC4_067ED2164D7B_.wvu.FilterData" localSheetId="0" hidden="1">'2014 Funding Round 1'!$B$6:$I$6</definedName>
    <definedName name="Z_A5849E8D_546A_4486_ADF4_BB1C671F0C23_.wvu.FilterData" localSheetId="0" hidden="1">'2014 Funding Round 1'!$B$6:$I$292</definedName>
    <definedName name="Z_A6624E1A_9FD7_4E77_880C_6FFF7AA59FBF_.wvu.FilterData" localSheetId="0" hidden="1">'2014 Funding Round 1'!$B$6:$I$292</definedName>
    <definedName name="Z_A7A4C97F_7814_43D5_8A53_0F357F7EAD86_.wvu.FilterData" localSheetId="0" hidden="1">'2014 Funding Round 1'!$B$6:$I$292</definedName>
    <definedName name="Z_A926FBC7_FFB8_4EDC_B032_CE38B4E0BF00_.wvu.FilterData" localSheetId="0" hidden="1">'2014 Funding Round 1'!$B$6:$I$292</definedName>
    <definedName name="Z_AA67994F_0BC3_41ED_838A_51C090CF22AB_.wvu.FilterData" localSheetId="0" hidden="1">'2014 Funding Round 1'!$B$6:$I$292</definedName>
    <definedName name="Z_AAF59838_787B_4A6E_AC83_BB4B579B8735_.wvu.FilterData" localSheetId="0" hidden="1">'2014 Funding Round 1'!$B$6:$I$292</definedName>
    <definedName name="Z_AD19689F_C291_4398_B462_077E167FC3A2_.wvu.FilterData" localSheetId="0" hidden="1">'2014 Funding Round 1'!$B$6:$I$292</definedName>
    <definedName name="Z_AD8E694C_85F6_4D03_A450_68CC29C24448_.wvu.FilterData" localSheetId="0" hidden="1">'2014 Funding Round 1'!$B$6:$I$292</definedName>
    <definedName name="Z_ADF7CB9A_51B2_4CF7_89FA_8653ACDC0FC7_.wvu.FilterData" localSheetId="0" hidden="1">'2014 Funding Round 1'!$B$6:$I$292</definedName>
    <definedName name="Z_AE61297F_1737_44C9_A784_DB9817F6ED57_.wvu.FilterData" localSheetId="0" hidden="1">'2014 Funding Round 1'!$B$6:$I$292</definedName>
    <definedName name="Z_B0087B7A_BDF0_41F0_AAEB_9F4310C97556_.wvu.FilterData" localSheetId="0" hidden="1">'2014 Funding Round 1'!$B$6:$I$292</definedName>
    <definedName name="Z_B27D9519_62FB_4AC5_9293_E716D468EE8D_.wvu.FilterData" localSheetId="0" hidden="1">'2014 Funding Round 1'!$B$6:$I$292</definedName>
    <definedName name="Z_B4492DCC_2B1C_4ADD_A7F6_B607E859733E_.wvu.FilterData" localSheetId="0" hidden="1">'2014 Funding Round 1'!$B$6:$I$292</definedName>
    <definedName name="Z_B4E8A01A_766C_48D0_B9C8_95A4C9AFC11B_.wvu.FilterData" localSheetId="0" hidden="1">'2014 Funding Round 1'!$B$6:$I$292</definedName>
    <definedName name="Z_B7C091FD_80C5_4166_9AB1_3D0E34D223F2_.wvu.FilterData" localSheetId="0" hidden="1">'2014 Funding Round 1'!$B$6:$I$292</definedName>
    <definedName name="Z_B882725B_B823_4959_9563_83DDF9D185BD_.wvu.FilterData" localSheetId="0" hidden="1">'2014 Funding Round 1'!$B$6:$I$292</definedName>
    <definedName name="Z_B8C3B138_94A5_4572_B1AF_EF0AF3F209D4_.wvu.FilterData" localSheetId="0" hidden="1">'2014 Funding Round 1'!$B$6:$I$292</definedName>
    <definedName name="Z_C2AF15A0_4127_4747_A47F_6F3CE3F5FA7D_.wvu.FilterData" localSheetId="0" hidden="1">'2014 Funding Round 1'!$B$6:$I$292</definedName>
    <definedName name="Z_C396161F_416A_4736_8771_C63868CAE58B_.wvu.FilterData" localSheetId="0" hidden="1">'2014 Funding Round 1'!$B$6:$I$292</definedName>
    <definedName name="Z_C51A5B2B_0238_429A_9CF6_D5E298379387_.wvu.FilterData" localSheetId="0" hidden="1">'2014 Funding Round 1'!$B$6:$I$292</definedName>
    <definedName name="Z_C69A6975_B29C_46B8_944A_CA987964405C_.wvu.FilterData" localSheetId="0" hidden="1">'2014 Funding Round 1'!$B$6:$I$292</definedName>
    <definedName name="Z_C69F38BD_8D36_4897_BD07_6005AFFC5AC8_.wvu.FilterData" localSheetId="0" hidden="1">'2014 Funding Round 1'!$B$6:$I$292</definedName>
    <definedName name="Z_C6B76348_8C7F_451A_A0E1_8CF4AC192F5D_.wvu.FilterData" localSheetId="0" hidden="1">'2014 Funding Round 1'!$B$6:$I$292</definedName>
    <definedName name="Z_C9393E33_B700_4484_B004_5AB4376BC670_.wvu.FilterData" localSheetId="0" hidden="1">'2014 Funding Round 1'!$B$6:$I$292</definedName>
    <definedName name="Z_CDCF67CA_FDF0_4C31_A1D6_BA8D778A000F_.wvu.FilterData" localSheetId="0" hidden="1">'2014 Funding Round 1'!$B$6:$I$292</definedName>
    <definedName name="Z_CE1AA310_A0CA_4AC1_B635_631F3FFB6CD8_.wvu.FilterData" localSheetId="0" hidden="1">'2014 Funding Round 1'!$B$6:$I$292</definedName>
    <definedName name="Z_D1519DC5_EC3A_4086_ACFB_EBE71983838C_.wvu.FilterData" localSheetId="0" hidden="1">'2014 Funding Round 1'!$B$6:$I$292</definedName>
    <definedName name="Z_D1B6C485_FCAF_40CC_BDD3_C966DF891D36_.wvu.FilterData" localSheetId="0" hidden="1">'2014 Funding Round 1'!$B$6:$I$292</definedName>
    <definedName name="Z_D272EFA4_5240_4FB5_AB38_BD94D4539F8A_.wvu.FilterData" localSheetId="0" hidden="1">'2014 Funding Round 1'!$B$6:$I$292</definedName>
    <definedName name="Z_D28316A5_E6D0_4C46_A8FB_DCEFCB40CC41_.wvu.FilterData" localSheetId="0" hidden="1">'2014 Funding Round 1'!$B$6:$I$292</definedName>
    <definedName name="Z_D39697F0_6446_4A55_83D9_8B4CBCEDAB12_.wvu.FilterData" localSheetId="0" hidden="1">'2014 Funding Round 1'!$B$6:$I$292</definedName>
    <definedName name="Z_D6B43796_DC4E_42FA_BD4C_6345F7ACA1FA_.wvu.FilterData" localSheetId="0" hidden="1">'2014 Funding Round 1'!$B$6:$I$292</definedName>
    <definedName name="Z_D6BF9017_E9A6_47BD_A875_78C1D46C5BE9_.wvu.FilterData" localSheetId="0" hidden="1">'2014 Funding Round 1'!$B$6:$I$292</definedName>
    <definedName name="Z_D8E16878_1C8E_4E5F_BB60_B650C80C7A65_.wvu.FilterData" localSheetId="0" hidden="1">'2014 Funding Round 1'!$B$6:$I$292</definedName>
    <definedName name="Z_D9487C36_BC00_4495_810D_A0E08442A8B4_.wvu.FilterData" localSheetId="0" hidden="1">'2014 Funding Round 1'!$B$6:$I$292</definedName>
    <definedName name="Z_D9487C36_BC00_4495_810D_A0E08442A8B4_.wvu.PrintArea" localSheetId="0" hidden="1">'2014 Funding Round 1'!$B$6:$I$292</definedName>
    <definedName name="Z_D9487C36_BC00_4495_810D_A0E08442A8B4_.wvu.PrintTitles" localSheetId="0" hidden="1">'2014 Funding Round 1'!$6:$6</definedName>
    <definedName name="Z_D99D2035_64B9_4CED_8E0F_ADC3236CA934_.wvu.FilterData" localSheetId="0" hidden="1">'2014 Funding Round 1'!$B$6:$I$292</definedName>
    <definedName name="Z_DA00D1A3_7124_47C7_BE53_638F0B79F3D5_.wvu.FilterData" localSheetId="0" hidden="1">'2014 Funding Round 1'!$B$6:$I$292</definedName>
    <definedName name="Z_DA9BA63F_CF6A_4F28_8110_DCEC3B1EB5FB_.wvu.FilterData" localSheetId="0" hidden="1">'2014 Funding Round 1'!$B$6:$I$292</definedName>
    <definedName name="Z_DAAE047B_E770_4464_81CB_A8AB6EB19AB2_.wvu.FilterData" localSheetId="0" hidden="1">'2014 Funding Round 1'!$B$6:$I$292</definedName>
    <definedName name="Z_DE73439D_747F_48E9_BB13_F70F7EFFB7FC_.wvu.FilterData" localSheetId="0" hidden="1">'2014 Funding Round 1'!$B$6:$I$292</definedName>
    <definedName name="Z_E02C38AE_F78C_41BD_B774_1ECC9102AEA1_.wvu.FilterData" localSheetId="0" hidden="1">'2014 Funding Round 1'!$B$6:$I$292</definedName>
    <definedName name="Z_E539F8B9_F6EC_41F3_82D5_6FA09C998ED5_.wvu.FilterData" localSheetId="0" hidden="1">'2014 Funding Round 1'!$B$6:$I$292</definedName>
    <definedName name="Z_E58A5BEA_856D_4A9D_821D_20239633E1F5_.wvu.FilterData" localSheetId="0" hidden="1">'2014 Funding Round 1'!$B$6:$I$292</definedName>
    <definedName name="Z_E5BB7D7E_2F66_41CD_AB18_EC787C3A5A97_.wvu.FilterData" localSheetId="0" hidden="1">'2014 Funding Round 1'!$B$6:$I$292</definedName>
    <definedName name="Z_E6BB9F9B_676C_45AC_85EA_3199A0048892_.wvu.FilterData" localSheetId="0" hidden="1">'2014 Funding Round 1'!$B$6:$I$292</definedName>
    <definedName name="Z_E7811FCE_BDEE_48A6_9261_C58107B44349_.wvu.FilterData" localSheetId="0" hidden="1">'2014 Funding Round 1'!$B$6:$I$292</definedName>
    <definedName name="Z_E7AC9527_11FA_431B_B02D_09689C6B1DFC_.wvu.FilterData" localSheetId="0" hidden="1">'2014 Funding Round 1'!$B$6:$I$292</definedName>
    <definedName name="Z_E7E2064E_2456_47A8_B14B_DA95D99084A6_.wvu.FilterData" localSheetId="0" hidden="1">'2014 Funding Round 1'!$B$6:$I$292</definedName>
    <definedName name="Z_EB12E8C0_ED48_455E_863D_8713A8D33ECA_.wvu.FilterData" localSheetId="0" hidden="1">'2014 Funding Round 1'!$B$6:$I$292</definedName>
    <definedName name="Z_ECA49D30_4FB2_4042_805A_5C30929E7355_.wvu.FilterData" localSheetId="0" hidden="1">'2014 Funding Round 1'!$B$6:$I$292</definedName>
    <definedName name="Z_ECF0D373_D9FD_477B_8685_9CED8CC5BAA6_.wvu.FilterData" localSheetId="0" hidden="1">'2014 Funding Round 1'!$B$6:$I$292</definedName>
    <definedName name="Z_EEE012F0_4882_41A4_A016_85E4757354B3_.wvu.FilterData" localSheetId="0" hidden="1">'2014 Funding Round 1'!$B$6:$I$292</definedName>
    <definedName name="Z_F1D7FC6C_FDAD_4E3A_ADF9_CE3A252A8814_.wvu.FilterData" localSheetId="0" hidden="1">'2014 Funding Round 1'!$B$6:$I$292</definedName>
    <definedName name="Z_F25E3711_8031_40B7_845B_5C48C02D2D13_.wvu.FilterData" localSheetId="0" hidden="1">'2014 Funding Round 1'!$B$6:$I$292</definedName>
    <definedName name="Z_F28FA3BF_A270_4882_8CCF_FCB00F39C4C0_.wvu.FilterData" localSheetId="0" hidden="1">'2014 Funding Round 1'!$B$6:$I$292</definedName>
    <definedName name="Z_F49E0193_914B_448D_A338_749707730F62_.wvu.FilterData" localSheetId="0" hidden="1">'2014 Funding Round 1'!$B$6:$I$292</definedName>
    <definedName name="Z_F5FA0155_12E0_4845_BBEC_82BBD73FF0B7_.wvu.FilterData" localSheetId="0" hidden="1">'2014 Funding Round 1'!$B$6:$I$292</definedName>
    <definedName name="Z_F6BA9EDF_E4AF_49D3_9E40_65F8EE12C90A_.wvu.FilterData" localSheetId="0" hidden="1">'2014 Funding Round 1'!$B$6:$I$292</definedName>
    <definedName name="Z_F87C474D_1C2D_4EC1_A901_C29C9326C355_.wvu.FilterData" localSheetId="0" hidden="1">'2014 Funding Round 1'!$B$6:$I$292</definedName>
    <definedName name="Z_F8E36F2D_69D7_4B6C_A5B4_1AFE3C1B732C_.wvu.FilterData" localSheetId="0" hidden="1">'2014 Funding Round 1'!$B$6:$I$292</definedName>
    <definedName name="Z_FC5B4AAC_D019_4107_B10B_C5F575CF5429_.wvu.FilterData" localSheetId="0" hidden="1">'2014 Funding Round 1'!$B$6:$I$292</definedName>
  </definedNames>
  <calcPr calcId="145621"/>
</workbook>
</file>

<file path=xl/calcChain.xml><?xml version="1.0" encoding="utf-8"?>
<calcChain xmlns="http://schemas.openxmlformats.org/spreadsheetml/2006/main">
  <c r="G292" i="2" l="1"/>
  <c r="F292" i="2"/>
</calcChain>
</file>

<file path=xl/sharedStrings.xml><?xml version="1.0" encoding="utf-8"?>
<sst xmlns="http://schemas.openxmlformats.org/spreadsheetml/2006/main" count="1446" uniqueCount="1022">
  <si>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</si>
  <si>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</si>
  <si>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</si>
  <si>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</si>
  <si>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</si>
  <si>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</si>
  <si>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</si>
  <si>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</si>
  <si>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</si>
  <si>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</si>
  <si>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</si>
  <si>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</si>
  <si>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</si>
  <si>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</si>
  <si>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</si>
  <si>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</si>
  <si>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</si>
  <si>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</si>
  <si>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</si>
  <si>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</si>
  <si>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</si>
  <si>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</si>
  <si>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</si>
  <si>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</si>
  <si>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</si>
  <si>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</si>
  <si>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</si>
  <si>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</si>
  <si>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</si>
  <si>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</si>
  <si>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</si>
  <si>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</si>
  <si>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</si>
  <si>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</si>
  <si>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</si>
  <si>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</si>
  <si>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</si>
  <si>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</si>
  <si>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</si>
  <si>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</si>
  <si>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</si>
  <si>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</si>
  <si>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</si>
  <si>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</si>
  <si>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</si>
  <si>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</si>
  <si>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</si>
  <si>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</si>
  <si>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</si>
  <si>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</si>
  <si>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</si>
  <si>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</si>
  <si>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</si>
  <si>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</si>
  <si>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</si>
  <si>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</si>
  <si>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</si>
  <si>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</si>
  <si>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</si>
  <si>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</si>
  <si>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</si>
  <si>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</si>
  <si>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</si>
  <si>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</si>
  <si>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</si>
  <si>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</si>
  <si>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</si>
  <si>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</si>
  <si>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</si>
  <si>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</si>
  <si>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</si>
  <si>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</si>
  <si>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</si>
  <si>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</si>
  <si>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</si>
  <si>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</si>
  <si>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</si>
  <si>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</si>
  <si>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</si>
  <si>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</si>
  <si>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</si>
  <si>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r>
      <t xml:space="preserve">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</si>
  <si>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</si>
  <si>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</si>
  <si>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</si>
  <si>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</si>
  <si>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</si>
  <si>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</si>
  <si>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</si>
  <si>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</si>
  <si>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</si>
  <si>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</si>
  <si>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</si>
  <si>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</si>
  <si>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</si>
  <si>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</si>
  <si>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</si>
  <si>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</si>
  <si>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</si>
  <si>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</si>
  <si>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</si>
  <si>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</si>
  <si>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</si>
  <si>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</si>
  <si>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</si>
  <si>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</si>
  <si>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</si>
  <si>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</si>
  <si>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</si>
  <si>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</si>
  <si>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</si>
  <si>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</si>
  <si>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</si>
  <si>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</si>
  <si>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</si>
  <si>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</si>
  <si>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</si>
  <si>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</si>
  <si>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</si>
  <si>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</si>
  <si>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</si>
  <si>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</si>
  <si>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</si>
  <si>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</si>
  <si>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</si>
  <si>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</si>
  <si>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</si>
  <si>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</si>
  <si>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</si>
  <si>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</si>
  <si>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</si>
  <si>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</si>
  <si>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</si>
  <si>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</si>
  <si>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</si>
  <si>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</si>
  <si>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</si>
  <si>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</si>
  <si>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</si>
  <si>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</si>
  <si>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</si>
  <si>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</si>
  <si>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</si>
  <si>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</si>
  <si>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</si>
  <si>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</si>
  <si>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</si>
  <si>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</si>
  <si>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</si>
  <si>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</si>
  <si>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</si>
  <si>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</si>
  <si>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</si>
  <si>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</si>
  <si>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</si>
  <si>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</si>
  <si>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</si>
  <si>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</si>
  <si>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</si>
  <si>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</si>
  <si>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</si>
  <si>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</si>
  <si>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</si>
  <si>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</si>
  <si>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</si>
  <si>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</si>
  <si>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</si>
  <si>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</si>
  <si>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</si>
  <si>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Listing of Candidates and Selection Results for 2014 Round 1</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</si>
  <si>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</si>
  <si>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</si>
  <si>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</si>
  <si>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</si>
  <si>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</si>
  <si>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</si>
  <si>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</si>
  <si>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</si>
  <si>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</si>
  <si>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</si>
  <si>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</si>
  <si>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</si>
  <si>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</si>
  <si>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</si>
  <si>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</si>
  <si>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</si>
  <si>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</si>
  <si>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</si>
  <si>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</si>
  <si>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</si>
  <si>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</si>
  <si>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</si>
  <si>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</si>
  <si>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</si>
  <si>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</si>
  <si>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</si>
  <si>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</si>
  <si>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</si>
  <si>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</si>
  <si>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</si>
  <si>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</si>
  <si>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</si>
  <si>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</si>
  <si>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</si>
  <si>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</si>
  <si>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</si>
  <si>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</si>
  <si>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</si>
  <si>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</si>
  <si>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</si>
  <si>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</si>
  <si>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</si>
  <si>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</si>
  <si>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</si>
  <si>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</si>
  <si>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</si>
  <si>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</si>
  <si>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</si>
  <si>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</si>
  <si>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</si>
  <si>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</si>
  <si>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</si>
  <si>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</si>
  <si>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</si>
  <si>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</si>
  <si>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</si>
  <si>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</si>
  <si>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</si>
  <si>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</si>
  <si>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</si>
  <si>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</si>
  <si>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</si>
  <si>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</si>
  <si>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</si>
  <si>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</si>
  <si>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</si>
  <si>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</si>
  <si>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</si>
  <si>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</si>
  <si>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</si>
  <si>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</si>
  <si>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</si>
  <si>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</si>
  <si>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</si>
  <si>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</si>
  <si>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</si>
  <si>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</si>
  <si>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</si>
  <si>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</si>
  <si>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</si>
  <si>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</si>
  <si>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</si>
  <si>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</si>
  <si>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</si>
  <si>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</si>
  <si>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</si>
  <si>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</si>
  <si>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</si>
  <si>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</si>
  <si>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</si>
  <si>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</si>
  <si>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</si>
  <si>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</si>
  <si>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</si>
  <si>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</si>
  <si>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</si>
  <si>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</si>
  <si>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</si>
  <si>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</si>
  <si>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</si>
  <si>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</si>
  <si>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</si>
  <si>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</si>
  <si>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</si>
  <si>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</si>
  <si>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</si>
  <si>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</si>
  <si>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</si>
  <si>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</si>
  <si>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</si>
  <si>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</si>
  <si>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</si>
  <si>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</si>
  <si>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</si>
  <si>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</si>
  <si>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</si>
  <si>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</si>
  <si>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</si>
  <si>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</si>
  <si>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</si>
  <si>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</si>
  <si>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</si>
  <si>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</si>
  <si>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</si>
  <si>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</si>
  <si>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</si>
  <si>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</si>
  <si>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</si>
  <si>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</si>
  <si>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</si>
  <si>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</si>
  <si>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</si>
  <si>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</si>
  <si>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</si>
  <si>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</si>
  <si>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</si>
  <si>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</si>
  <si>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</si>
  <si>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</si>
  <si>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</si>
  <si>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</si>
  <si>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</si>
  <si>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</si>
  <si>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</si>
  <si>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</si>
  <si>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</si>
  <si>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</si>
  <si>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</si>
  <si>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</si>
  <si>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</si>
  <si>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</si>
  <si>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</si>
  <si>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</si>
  <si>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</si>
  <si>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</si>
  <si>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</si>
  <si>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</si>
  <si>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</si>
  <si>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</si>
  <si>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</si>
  <si>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</si>
  <si>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</si>
  <si>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</si>
  <si>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</si>
  <si>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</si>
  <si>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</si>
  <si>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</si>
  <si>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</si>
  <si>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</si>
  <si>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</si>
  <si>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</si>
  <si>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</si>
  <si>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</si>
  <si>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</si>
  <si>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</si>
  <si>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</si>
  <si>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</si>
  <si>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</si>
  <si>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</si>
  <si>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</si>
  <si>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CBR Laboratory Environmental Enhancement</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</si>
  <si>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</si>
  <si>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</si>
  <si>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</si>
  <si>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</si>
  <si>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</si>
  <si>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</si>
  <si>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</si>
  <si>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</si>
  <si>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</si>
  <si>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</si>
  <si>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</si>
  <si>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</si>
  <si>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</si>
  <si>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</si>
  <si>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</si>
  <si>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</si>
  <si>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</si>
  <si>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</si>
  <si>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</si>
  <si>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</si>
  <si>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</si>
  <si>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</si>
  <si>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</si>
  <si>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</si>
  <si>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</si>
  <si>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</si>
  <si>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</si>
  <si>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</si>
  <si>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</si>
  <si>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</si>
  <si>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</si>
  <si>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</si>
  <si>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</si>
  <si>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</si>
  <si>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</si>
  <si>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</si>
  <si>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</si>
  <si>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</si>
  <si>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</si>
  <si>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</si>
  <si>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</si>
  <si>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</si>
  <si>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</si>
  <si>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</si>
  <si>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</si>
  <si>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</si>
  <si>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</si>
  <si>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</si>
  <si>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</si>
  <si>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</si>
  <si>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</si>
  <si>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</si>
  <si>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</si>
  <si>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</si>
  <si>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</si>
  <si>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</si>
  <si>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</si>
  <si>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</si>
  <si>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</si>
  <si>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</si>
  <si>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</si>
  <si>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</si>
  <si>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</si>
  <si>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</si>
  <si>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</si>
  <si>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</si>
  <si>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</si>
  <si>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</si>
  <si>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</si>
  <si>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</si>
  <si>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</si>
  <si>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</si>
  <si>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</si>
  <si>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</si>
  <si>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</si>
  <si>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</si>
  <si>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</si>
  <si>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</si>
  <si>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</si>
  <si>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</si>
  <si>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</si>
  <si>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</si>
  <si>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</si>
  <si>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</si>
  <si>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</si>
  <si>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</si>
  <si>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</si>
  <si>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</si>
  <si>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</si>
  <si>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</si>
  <si>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</si>
  <si>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</si>
  <si>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</si>
  <si>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</si>
  <si>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</si>
  <si>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</si>
  <si>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</si>
  <si>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</si>
  <si>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</si>
  <si>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</si>
  <si>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</si>
  <si>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</si>
  <si>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</si>
  <si>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</si>
  <si>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</si>
  <si>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</si>
  <si>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</si>
  <si>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</si>
  <si>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</si>
  <si>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</si>
  <si>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</si>
  <si>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</si>
  <si>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</si>
  <si>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</si>
  <si>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</si>
  <si>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</si>
  <si>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</si>
  <si>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</si>
  <si>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</si>
  <si>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</si>
  <si>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</si>
  <si>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</si>
  <si>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</si>
  <si>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</si>
  <si>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</si>
  <si>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</si>
  <si>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</si>
  <si>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</si>
  <si>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</si>
  <si>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</si>
  <si>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</si>
  <si>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</si>
  <si>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</si>
  <si>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</si>
  <si>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</si>
  <si>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</si>
  <si>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</si>
  <si>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</si>
  <si>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</si>
  <si>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</si>
  <si>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</si>
  <si>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</si>
  <si>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</si>
  <si>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</si>
  <si>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</si>
  <si>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</si>
  <si>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</si>
  <si>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</si>
  <si>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</si>
  <si>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</si>
  <si>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</si>
  <si>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</si>
  <si>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</si>
  <si>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</si>
  <si>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</si>
  <si>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</si>
  <si>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</si>
  <si>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</si>
  <si>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</si>
  <si>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</si>
  <si>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</si>
  <si>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</si>
  <si>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</si>
  <si>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</si>
  <si>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</si>
  <si>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</si>
  <si>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</si>
  <si>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</si>
  <si>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</si>
  <si>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</si>
  <si>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</si>
  <si>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</si>
  <si>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</si>
  <si>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</si>
  <si>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</si>
  <si>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</si>
  <si>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</si>
  <si>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</si>
  <si>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</si>
  <si>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</si>
  <si>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</si>
  <si>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</si>
  <si>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</si>
  <si>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</si>
  <si>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</si>
  <si>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</si>
  <si>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</si>
  <si>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</si>
  <si>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</si>
  <si>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</si>
  <si>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</si>
  <si>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</si>
  <si>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</si>
  <si>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</si>
  <si>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</si>
  <si>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</si>
  <si>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</si>
  <si>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</si>
  <si>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</si>
  <si>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</si>
  <si>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</si>
  <si>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</si>
  <si>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</si>
  <si>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</si>
  <si>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</si>
  <si>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</si>
  <si>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</si>
  <si>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</si>
  <si>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</si>
  <si>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</si>
  <si>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</si>
  <si>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</si>
  <si>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</si>
  <si>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</si>
  <si>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</si>
  <si>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</si>
  <si>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</si>
  <si>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</si>
  <si>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</si>
  <si>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</si>
  <si>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</si>
  <si>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</si>
  <si>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</si>
  <si>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</si>
  <si>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</si>
  <si>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</si>
  <si>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</si>
  <si>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</si>
  <si>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</si>
  <si>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</si>
  <si>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</si>
  <si>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</si>
  <si>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</si>
  <si>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</si>
  <si>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</si>
  <si>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</si>
  <si>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</si>
  <si>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</si>
  <si>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</si>
  <si>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</si>
  <si>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</si>
  <si>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</si>
  <si>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</si>
  <si>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</si>
  <si>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</si>
  <si>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</si>
  <si>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</si>
  <si>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</si>
  <si>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</si>
  <si>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</si>
  <si>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</si>
  <si>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</si>
  <si>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</si>
  <si>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</si>
  <si>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</si>
  <si>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</si>
  <si>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</si>
  <si>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</si>
  <si>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</si>
  <si>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</si>
  <si>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</si>
  <si>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</si>
  <si>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</si>
  <si>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</si>
  <si>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</si>
  <si>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</si>
  <si>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</si>
  <si>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</si>
  <si>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</si>
  <si>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</si>
  <si>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</si>
  <si>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</si>
  <si>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</si>
  <si>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</si>
  <si>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</si>
  <si>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</si>
  <si>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</si>
  <si>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</si>
  <si>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</si>
  <si>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</si>
  <si>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</si>
  <si>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</si>
  <si>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</si>
  <si>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</si>
  <si>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</si>
  <si>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</si>
  <si>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</si>
  <si>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</si>
  <si>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</si>
  <si>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</si>
  <si>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</si>
  <si>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</si>
  <si>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</si>
  <si>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</si>
  <si>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</si>
  <si>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</si>
  <si>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</si>
  <si>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</si>
  <si>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</si>
  <si>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</si>
  <si>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</si>
  <si>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</si>
  <si>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</si>
  <si>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</si>
  <si>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</si>
  <si>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</si>
  <si>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</si>
  <si>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</si>
  <si>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</si>
  <si>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</si>
  <si>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</si>
  <si>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</si>
  <si>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</si>
  <si>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</si>
  <si>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</si>
  <si>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</si>
  <si>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</si>
  <si>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</si>
  <si>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</si>
  <si>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</si>
  <si>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</si>
  <si>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</si>
  <si>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</si>
  <si>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</si>
  <si>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</si>
  <si>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</si>
  <si>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</si>
  <si>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</si>
  <si>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</si>
  <si>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</si>
  <si>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</si>
  <si>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</si>
  <si>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</si>
  <si>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</si>
  <si>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</si>
  <si>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</si>
  <si>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</si>
  <si>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</si>
  <si>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</si>
  <si>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</si>
  <si>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</si>
  <si>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</si>
  <si>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</si>
  <si>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</si>
  <si>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</si>
  <si>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</si>
  <si>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</si>
  <si>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</si>
  <si>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</si>
  <si>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</si>
  <si>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</si>
  <si>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</si>
  <si>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</si>
  <si>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</si>
  <si>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</si>
  <si>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</si>
  <si>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</si>
  <si>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</si>
  <si>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</si>
  <si>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</si>
  <si>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</si>
  <si>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</si>
  <si>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</si>
  <si>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</si>
  <si>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</si>
  <si>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</si>
  <si>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</si>
  <si>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</si>
  <si>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</si>
  <si>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</si>
  <si>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</si>
  <si>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</si>
  <si>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</si>
  <si>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</si>
  <si>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</si>
  <si>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</si>
  <si>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</si>
  <si>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</si>
  <si>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</si>
  <si>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</si>
  <si>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</si>
  <si>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</si>
  <si>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</si>
  <si>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</si>
  <si>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</si>
  <si>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</si>
  <si>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</si>
  <si>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</si>
  <si>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</si>
  <si>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</si>
  <si>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</si>
  <si>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</si>
  <si>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</si>
  <si>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</si>
  <si>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</si>
  <si>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</si>
  <si>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</si>
  <si>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</si>
  <si>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</si>
  <si>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</si>
  <si>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</si>
  <si>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</si>
  <si>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</si>
  <si>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</si>
  <si>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</si>
  <si>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</si>
  <si>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</si>
  <si>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</si>
  <si>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</si>
  <si>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</si>
  <si>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</si>
  <si>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</si>
  <si>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</si>
  <si>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</si>
  <si>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</si>
  <si>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</si>
  <si>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</si>
  <si>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</si>
  <si>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</si>
  <si>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</si>
  <si>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</si>
  <si>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</si>
  <si>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</si>
  <si>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</si>
  <si>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</si>
  <si>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</si>
  <si>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</si>
  <si>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</si>
  <si>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</si>
  <si>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</si>
  <si>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</si>
  <si>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</si>
  <si>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</si>
  <si>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</si>
  <si>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</si>
  <si>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</si>
  <si>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</si>
  <si>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</si>
  <si>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</si>
  <si>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</si>
  <si>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</si>
  <si>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</si>
  <si>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</si>
  <si>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</si>
  <si>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</si>
  <si>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</si>
  <si>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</si>
  <si>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</si>
  <si>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</si>
  <si>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</si>
  <si>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</si>
  <si>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</si>
  <si>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</si>
  <si>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</si>
  <si>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</si>
  <si>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</si>
  <si>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</si>
  <si>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</si>
  <si>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</si>
  <si>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</si>
  <si>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</si>
  <si>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</si>
  <si>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</si>
  <si>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</si>
  <si>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</si>
  <si>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</si>
  <si>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</si>
  <si>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</si>
  <si>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</si>
  <si>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</si>
  <si>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</si>
  <si>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</si>
  <si>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</si>
  <si>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</si>
  <si>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</si>
  <si>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</si>
  <si>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</si>
  <si>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</si>
  <si>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</si>
  <si>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</si>
  <si>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</si>
  <si>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</si>
  <si>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</si>
  <si>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</si>
  <si>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</si>
  <si>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</si>
  <si>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</si>
  <si>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</si>
  <si>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</si>
  <si>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</si>
  <si>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</si>
  <si>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</si>
  <si>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</si>
  <si>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</si>
  <si>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</si>
  <si>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</si>
  <si>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</si>
  <si>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</si>
  <si>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</si>
  <si>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</si>
  <si>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</si>
  <si>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</si>
  <si>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</si>
  <si>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</si>
  <si>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</si>
  <si>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</si>
  <si>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</si>
  <si>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</si>
  <si>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</si>
  <si>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</si>
  <si>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</si>
  <si>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</si>
  <si>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</si>
  <si>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</si>
  <si>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</si>
  <si>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</si>
  <si>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</si>
  <si>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</si>
  <si>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</si>
  <si>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</si>
  <si>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</si>
  <si>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</si>
  <si>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</si>
  <si>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</si>
  <si>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</si>
  <si>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</si>
  <si>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</si>
  <si>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</si>
  <si>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</si>
  <si>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</si>
  <si>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</si>
  <si>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</si>
  <si>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</si>
  <si>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</si>
  <si>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</si>
  <si>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</si>
  <si>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</si>
  <si>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</si>
  <si>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</si>
  <si>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</si>
  <si>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</si>
  <si>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</si>
  <si>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</si>
  <si>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</si>
  <si>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</si>
  <si>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</si>
  <si>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</si>
  <si>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</si>
  <si>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</si>
  <si>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</si>
  <si>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</si>
  <si>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</si>
  <si>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</si>
  <si>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</si>
  <si>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</si>
  <si>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</si>
  <si>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</si>
  <si>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</si>
  <si>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</si>
  <si>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</si>
  <si>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</si>
  <si>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</si>
  <si>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</si>
  <si>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</si>
  <si>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</si>
  <si>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</si>
  <si>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</si>
  <si>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</si>
  <si>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</si>
  <si>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</si>
  <si>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</si>
  <si>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</si>
  <si>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</si>
  <si>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</si>
  <si>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</si>
  <si>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</si>
  <si>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</si>
  <si>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</si>
  <si>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</si>
  <si>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</si>
  <si>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</si>
  <si>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</si>
  <si>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</si>
  <si>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</si>
  <si>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</si>
  <si>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</si>
  <si>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</si>
  <si>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</si>
  <si>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</si>
  <si>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</si>
  <si>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</si>
  <si>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</si>
  <si>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</si>
  <si>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</si>
  <si>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</si>
  <si>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</si>
  <si>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</si>
  <si>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</si>
  <si>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</si>
  <si>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</si>
  <si>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</si>
  <si>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</si>
  <si>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</si>
  <si>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</si>
  <si>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</si>
  <si>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</si>
  <si>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</si>
  <si>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</si>
  <si>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</si>
  <si>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</si>
  <si>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</si>
  <si>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</si>
  <si>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</si>
  <si>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</si>
  <si>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</si>
  <si>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</si>
  <si>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</si>
  <si>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</si>
  <si>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</si>
  <si>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</si>
  <si>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</si>
  <si>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</si>
  <si>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</si>
  <si>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</si>
  <si>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</si>
  <si>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</si>
  <si>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</si>
  <si>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</si>
  <si>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</si>
  <si>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</si>
  <si>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</si>
  <si>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</si>
  <si>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</si>
  <si>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</si>
  <si>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</si>
  <si>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</si>
  <si>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</si>
  <si>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</si>
  <si>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</si>
  <si>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</si>
  <si>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</si>
  <si>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</si>
  <si>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</si>
  <si>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</si>
  <si>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</si>
  <si>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</si>
  <si>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</si>
  <si>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</si>
  <si>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</si>
  <si>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</si>
  <si>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</si>
  <si>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</si>
  <si>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</si>
  <si>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</si>
  <si>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</si>
  <si>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</si>
  <si>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</si>
  <si>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</si>
  <si>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</si>
  <si>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</si>
  <si>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</si>
  <si>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</si>
  <si>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</si>
  <si>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</si>
  <si>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</si>
  <si>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Press Release Ralated to Award</t>
  </si>
  <si>
    <t>7/22/14 Press Release</t>
  </si>
  <si>
    <t>7/14/14 Press Release</t>
  </si>
  <si>
    <t>7/24/ 14 Press Release</t>
  </si>
  <si>
    <t>7/29/14 Press Release</t>
  </si>
  <si>
    <t>7/31/14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</si>
</sst>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1"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s>
  <fills count="2">
    <fill>
      <patternFill patternType="none"/>
    </fill>
    <fill>
      <patternFill patternType="gray125"/>
    </fill>
  </fills>
  <borders count="7">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34">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pa.gov/Pages/NewsDetails.aspx?agency=Governors%20Office&amp;item=15819" TargetMode="External"/><Relationship Id="rId7" Type="http://schemas.openxmlformats.org/officeDocument/2006/relationships/hyperlink" Target="http://www.pa.gov/Pages/NewsDetails.aspx?agency=Governors%20Office&amp;item=15884" TargetMode="External"/><Relationship Id="rId2" Type="http://schemas.openxmlformats.org/officeDocument/2006/relationships/hyperlink" Target="http://www.pa.gov/Pages/NewsDetails.aspx?agency=Governors%20Office&amp;item=15825"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5" Type="http://schemas.openxmlformats.org/officeDocument/2006/relationships/hyperlink" Target="http://www.pa.gov/Pages/NewsDetails.aspx?agency=Governors%20Office&amp;item=15861" TargetMode="External"/><Relationship Id="rId4" Type="http://schemas.openxmlformats.org/officeDocument/2006/relationships/hyperlink" Target="http://www.pa.gov/Pages/NewsDetails.aspx?agency=Governors%20Office&amp;item=158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92"/>
  <sheetViews>
    <sheetView showGridLines="0" tabSelected="1" zoomScale="90" zoomScaleNormal="90" zoomScalePageLayoutView="70" workbookViewId="0">
      <pane ySplit="6" topLeftCell="A7" activePane="bottomLeft" state="frozen"/>
      <selection pane="bottomLeft" activeCell="B6" sqref="B6"/>
    </sheetView>
  </sheetViews>
  <sheetFormatPr defaultColWidth="9.109375" defaultRowHeight="15.6" x14ac:dyDescent="0.3"/>
  <cols>
    <col min="1" max="1" width="1.6640625" style="2" customWidth="1"/>
    <col min="2" max="2" width="44.44140625" style="2" customWidth="1"/>
    <col min="3" max="3" width="19.33203125" style="2" customWidth="1"/>
    <col min="4" max="4" width="15.109375" style="2" customWidth="1"/>
    <col min="5" max="5" width="16.44140625" style="2" customWidth="1"/>
    <col min="6" max="6" width="18.44140625" style="2" customWidth="1"/>
    <col min="7" max="7" width="18.44140625" style="9" customWidth="1"/>
    <col min="8" max="8" width="18.44140625" style="19" customWidth="1"/>
    <col min="9" max="9" width="72.109375" style="2" customWidth="1"/>
    <col min="10" max="16384" width="9.109375" style="2"/>
  </cols>
  <sheetData>
    <row r="1" spans="2:9" s="1" customFormat="1" ht="17.399999999999999" x14ac:dyDescent="0.3">
      <c r="B1" s="24" t="s">
        <v>0</v>
      </c>
      <c r="C1" s="24"/>
      <c r="D1" s="24"/>
      <c r="E1" s="24"/>
      <c r="F1" s="24"/>
      <c r="G1" s="24"/>
      <c r="H1" s="25"/>
      <c r="I1" s="24"/>
    </row>
    <row r="2" spans="2:9" s="1" customFormat="1" ht="27.6" x14ac:dyDescent="0.3">
      <c r="B2" s="26" t="s">
        <v>169</v>
      </c>
      <c r="C2" s="26"/>
      <c r="D2" s="26"/>
      <c r="E2" s="26"/>
      <c r="F2" s="26"/>
      <c r="G2" s="26"/>
      <c r="H2" s="27"/>
      <c r="I2" s="26"/>
    </row>
    <row r="3" spans="2:9" s="3" customFormat="1" ht="30" customHeight="1" x14ac:dyDescent="0.3">
      <c r="B3" s="28" t="s">
        <v>81</v>
      </c>
      <c r="C3" s="28"/>
      <c r="D3" s="28"/>
      <c r="E3" s="28"/>
      <c r="F3" s="28"/>
      <c r="G3" s="28"/>
      <c r="H3" s="29"/>
      <c r="I3" s="28"/>
    </row>
    <row r="4" spans="2:9" s="3" customFormat="1" x14ac:dyDescent="0.3">
      <c r="B4" s="30" t="s">
        <v>82</v>
      </c>
      <c r="C4" s="30"/>
      <c r="D4" s="30"/>
      <c r="E4" s="30"/>
      <c r="F4" s="30"/>
      <c r="G4" s="30"/>
      <c r="H4" s="31"/>
      <c r="I4" s="30"/>
    </row>
    <row r="5" spans="2:9" s="3" customFormat="1" x14ac:dyDescent="0.3">
      <c r="B5" s="32" t="s">
        <v>83</v>
      </c>
      <c r="C5" s="32"/>
      <c r="D5" s="32"/>
      <c r="E5" s="32"/>
      <c r="F5" s="32"/>
      <c r="G5" s="32"/>
      <c r="H5" s="33"/>
      <c r="I5" s="32"/>
    </row>
    <row r="6" spans="2:9" s="4" customFormat="1" ht="52.2" x14ac:dyDescent="0.3">
      <c r="B6" s="15" t="s">
        <v>84</v>
      </c>
      <c r="C6" s="15" t="s">
        <v>85</v>
      </c>
      <c r="D6" s="15" t="s">
        <v>1</v>
      </c>
      <c r="E6" s="15" t="s">
        <v>2</v>
      </c>
      <c r="F6" s="15" t="s">
        <v>3</v>
      </c>
      <c r="G6" s="16" t="s">
        <v>4</v>
      </c>
      <c r="H6" s="16" t="s">
        <v>1016</v>
      </c>
      <c r="I6" s="15" t="s">
        <v>5</v>
      </c>
    </row>
    <row r="7" spans="2:9" ht="62.4" x14ac:dyDescent="0.3">
      <c r="B7" s="5" t="s">
        <v>170</v>
      </c>
      <c r="C7" s="5" t="s">
        <v>53</v>
      </c>
      <c r="D7" s="7" t="s">
        <v>39</v>
      </c>
      <c r="E7" s="6" t="s">
        <v>53</v>
      </c>
      <c r="F7" s="10">
        <v>1000000</v>
      </c>
      <c r="G7" s="10">
        <v>0</v>
      </c>
      <c r="H7" s="20"/>
      <c r="I7" s="5" t="s">
        <v>171</v>
      </c>
    </row>
    <row r="8" spans="2:9" ht="93.6" x14ac:dyDescent="0.3">
      <c r="B8" s="5" t="s">
        <v>87</v>
      </c>
      <c r="C8" s="5" t="s">
        <v>88</v>
      </c>
      <c r="D8" s="7" t="s">
        <v>21</v>
      </c>
      <c r="E8" s="6" t="s">
        <v>25</v>
      </c>
      <c r="F8" s="10">
        <v>750000</v>
      </c>
      <c r="G8" s="10">
        <v>0</v>
      </c>
      <c r="H8" s="20"/>
      <c r="I8" s="5" t="s">
        <v>900</v>
      </c>
    </row>
    <row r="9" spans="2:9" ht="62.4" x14ac:dyDescent="0.3">
      <c r="B9" s="5" t="s">
        <v>95</v>
      </c>
      <c r="C9" s="5" t="s">
        <v>96</v>
      </c>
      <c r="D9" s="7" t="s">
        <v>70</v>
      </c>
      <c r="E9" s="6" t="s">
        <v>71</v>
      </c>
      <c r="F9" s="10">
        <v>3000000</v>
      </c>
      <c r="G9" s="10">
        <v>0</v>
      </c>
      <c r="H9" s="20"/>
      <c r="I9" s="5" t="s">
        <v>172</v>
      </c>
    </row>
    <row r="10" spans="2:9" ht="109.2" x14ac:dyDescent="0.3">
      <c r="B10" s="5" t="s">
        <v>60</v>
      </c>
      <c r="C10" s="5" t="s">
        <v>61</v>
      </c>
      <c r="D10" s="7" t="s">
        <v>26</v>
      </c>
      <c r="E10" s="6" t="s">
        <v>62</v>
      </c>
      <c r="F10" s="10">
        <v>2500000</v>
      </c>
      <c r="G10" s="10">
        <v>0</v>
      </c>
      <c r="H10" s="20"/>
      <c r="I10" s="5" t="s">
        <v>63</v>
      </c>
    </row>
    <row r="11" spans="2:9" ht="62.4" x14ac:dyDescent="0.3">
      <c r="B11" s="5" t="s">
        <v>30</v>
      </c>
      <c r="C11" s="5" t="s">
        <v>31</v>
      </c>
      <c r="D11" s="7" t="s">
        <v>21</v>
      </c>
      <c r="E11" s="6" t="s">
        <v>32</v>
      </c>
      <c r="F11" s="10">
        <v>15000000</v>
      </c>
      <c r="G11" s="10">
        <v>0</v>
      </c>
      <c r="H11" s="20"/>
      <c r="I11" s="5" t="s">
        <v>33</v>
      </c>
    </row>
    <row r="12" spans="2:9" ht="46.8" x14ac:dyDescent="0.3">
      <c r="B12" s="5" t="s">
        <v>173</v>
      </c>
      <c r="C12" s="5" t="s">
        <v>174</v>
      </c>
      <c r="D12" s="7" t="s">
        <v>51</v>
      </c>
      <c r="E12" s="6" t="s">
        <v>175</v>
      </c>
      <c r="F12" s="10">
        <v>1000000</v>
      </c>
      <c r="G12" s="10">
        <v>0</v>
      </c>
      <c r="H12" s="20"/>
      <c r="I12" s="5" t="s">
        <v>835</v>
      </c>
    </row>
    <row r="13" spans="2:9" ht="78" x14ac:dyDescent="0.3">
      <c r="B13" s="5" t="s">
        <v>134</v>
      </c>
      <c r="C13" s="5" t="s">
        <v>57</v>
      </c>
      <c r="D13" s="7" t="s">
        <v>56</v>
      </c>
      <c r="E13" s="6" t="s">
        <v>135</v>
      </c>
      <c r="F13" s="10">
        <v>2000000</v>
      </c>
      <c r="G13" s="10">
        <v>0</v>
      </c>
      <c r="H13" s="20"/>
      <c r="I13" s="5" t="s">
        <v>136</v>
      </c>
    </row>
    <row r="14" spans="2:9" ht="78" x14ac:dyDescent="0.3">
      <c r="B14" s="5" t="s">
        <v>176</v>
      </c>
      <c r="C14" s="5" t="s">
        <v>177</v>
      </c>
      <c r="D14" s="7" t="s">
        <v>178</v>
      </c>
      <c r="E14" s="6" t="s">
        <v>179</v>
      </c>
      <c r="F14" s="10">
        <v>2850000</v>
      </c>
      <c r="G14" s="10">
        <v>0</v>
      </c>
      <c r="H14" s="20"/>
      <c r="I14" s="5" t="s">
        <v>180</v>
      </c>
    </row>
    <row r="15" spans="2:9" ht="93.6" x14ac:dyDescent="0.3">
      <c r="B15" s="5" t="s">
        <v>181</v>
      </c>
      <c r="C15" s="5" t="s">
        <v>182</v>
      </c>
      <c r="D15" s="7" t="s">
        <v>70</v>
      </c>
      <c r="E15" s="6" t="s">
        <v>183</v>
      </c>
      <c r="F15" s="10">
        <v>3000000</v>
      </c>
      <c r="G15" s="10">
        <v>2000000</v>
      </c>
      <c r="H15" s="18" t="s">
        <v>1018</v>
      </c>
      <c r="I15" s="5" t="s">
        <v>184</v>
      </c>
    </row>
    <row r="16" spans="2:9" ht="93.6" x14ac:dyDescent="0.3">
      <c r="B16" s="5" t="s">
        <v>185</v>
      </c>
      <c r="C16" s="5" t="s">
        <v>186</v>
      </c>
      <c r="D16" s="7" t="s">
        <v>21</v>
      </c>
      <c r="E16" s="6" t="s">
        <v>187</v>
      </c>
      <c r="F16" s="10">
        <v>3000000</v>
      </c>
      <c r="G16" s="10">
        <v>0</v>
      </c>
      <c r="H16" s="20"/>
      <c r="I16" s="5" t="s">
        <v>188</v>
      </c>
    </row>
    <row r="17" spans="2:9" ht="62.4" x14ac:dyDescent="0.3">
      <c r="B17" s="5" t="s">
        <v>189</v>
      </c>
      <c r="C17" s="5" t="s">
        <v>190</v>
      </c>
      <c r="D17" s="7" t="s">
        <v>52</v>
      </c>
      <c r="E17" s="6" t="s">
        <v>191</v>
      </c>
      <c r="F17" s="10">
        <v>4000000</v>
      </c>
      <c r="G17" s="10">
        <v>0</v>
      </c>
      <c r="H17" s="20"/>
      <c r="I17" s="5" t="s">
        <v>192</v>
      </c>
    </row>
    <row r="18" spans="2:9" ht="46.8" x14ac:dyDescent="0.3">
      <c r="B18" s="5" t="s">
        <v>193</v>
      </c>
      <c r="C18" s="5" t="s">
        <v>194</v>
      </c>
      <c r="D18" s="7" t="s">
        <v>15</v>
      </c>
      <c r="E18" s="6" t="s">
        <v>14</v>
      </c>
      <c r="F18" s="10">
        <v>10000000</v>
      </c>
      <c r="G18" s="10">
        <v>0</v>
      </c>
      <c r="H18" s="20"/>
      <c r="I18" s="5" t="s">
        <v>836</v>
      </c>
    </row>
    <row r="19" spans="2:9" ht="62.4" x14ac:dyDescent="0.3">
      <c r="B19" s="5" t="s">
        <v>195</v>
      </c>
      <c r="C19" s="5" t="s">
        <v>196</v>
      </c>
      <c r="D19" s="7" t="s">
        <v>106</v>
      </c>
      <c r="E19" s="6" t="s">
        <v>197</v>
      </c>
      <c r="F19" s="10">
        <v>4000000</v>
      </c>
      <c r="G19" s="10">
        <v>0</v>
      </c>
      <c r="H19" s="20"/>
      <c r="I19" s="5" t="s">
        <v>198</v>
      </c>
    </row>
    <row r="20" spans="2:9" ht="62.4" x14ac:dyDescent="0.3">
      <c r="B20" s="5" t="s">
        <v>116</v>
      </c>
      <c r="C20" s="5" t="s">
        <v>199</v>
      </c>
      <c r="D20" s="7" t="s">
        <v>26</v>
      </c>
      <c r="E20" s="6" t="s">
        <v>117</v>
      </c>
      <c r="F20" s="10">
        <v>17500000</v>
      </c>
      <c r="G20" s="10">
        <v>0</v>
      </c>
      <c r="H20" s="20"/>
      <c r="I20" s="5" t="s">
        <v>837</v>
      </c>
    </row>
    <row r="21" spans="2:9" ht="62.4" x14ac:dyDescent="0.3">
      <c r="B21" s="5" t="s">
        <v>200</v>
      </c>
      <c r="C21" s="5" t="s">
        <v>118</v>
      </c>
      <c r="D21" s="7" t="s">
        <v>36</v>
      </c>
      <c r="E21" s="6" t="s">
        <v>201</v>
      </c>
      <c r="F21" s="10">
        <v>1000000</v>
      </c>
      <c r="G21" s="10">
        <v>0</v>
      </c>
      <c r="H21" s="20"/>
      <c r="I21" s="5" t="s">
        <v>202</v>
      </c>
    </row>
    <row r="22" spans="2:9" ht="93.6" x14ac:dyDescent="0.3">
      <c r="B22" s="5" t="s">
        <v>203</v>
      </c>
      <c r="C22" s="5" t="s">
        <v>204</v>
      </c>
      <c r="D22" s="7" t="s">
        <v>16</v>
      </c>
      <c r="E22" s="6" t="s">
        <v>205</v>
      </c>
      <c r="F22" s="10">
        <v>1000000</v>
      </c>
      <c r="G22" s="10"/>
      <c r="H22" s="20"/>
      <c r="I22" s="5" t="s">
        <v>206</v>
      </c>
    </row>
    <row r="23" spans="2:9" ht="62.4" x14ac:dyDescent="0.3">
      <c r="B23" s="5" t="s">
        <v>207</v>
      </c>
      <c r="C23" s="5" t="s">
        <v>208</v>
      </c>
      <c r="D23" s="7" t="s">
        <v>127</v>
      </c>
      <c r="E23" s="6" t="s">
        <v>128</v>
      </c>
      <c r="F23" s="10">
        <v>4000000</v>
      </c>
      <c r="G23" s="10">
        <v>0</v>
      </c>
      <c r="H23" s="20"/>
      <c r="I23" s="5" t="s">
        <v>838</v>
      </c>
    </row>
    <row r="24" spans="2:9" ht="124.8" x14ac:dyDescent="0.3">
      <c r="B24" s="5" t="s">
        <v>209</v>
      </c>
      <c r="C24" s="5" t="s">
        <v>210</v>
      </c>
      <c r="D24" s="7" t="s">
        <v>37</v>
      </c>
      <c r="E24" s="6" t="s">
        <v>129</v>
      </c>
      <c r="F24" s="10">
        <v>5000000</v>
      </c>
      <c r="G24" s="10">
        <v>0</v>
      </c>
      <c r="H24" s="20"/>
      <c r="I24" s="5" t="s">
        <v>211</v>
      </c>
    </row>
    <row r="25" spans="2:9" ht="78" x14ac:dyDescent="0.3">
      <c r="B25" s="5" t="s">
        <v>212</v>
      </c>
      <c r="C25" s="5" t="s">
        <v>213</v>
      </c>
      <c r="D25" s="7" t="s">
        <v>43</v>
      </c>
      <c r="E25" s="6" t="s">
        <v>214</v>
      </c>
      <c r="F25" s="10">
        <v>2500000</v>
      </c>
      <c r="G25" s="10">
        <v>0</v>
      </c>
      <c r="H25" s="20"/>
      <c r="I25" s="5" t="s">
        <v>215</v>
      </c>
    </row>
    <row r="26" spans="2:9" ht="62.4" x14ac:dyDescent="0.3">
      <c r="B26" s="5" t="s">
        <v>216</v>
      </c>
      <c r="C26" s="5" t="s">
        <v>64</v>
      </c>
      <c r="D26" s="7" t="s">
        <v>43</v>
      </c>
      <c r="E26" s="6" t="s">
        <v>65</v>
      </c>
      <c r="F26" s="10">
        <v>5500000</v>
      </c>
      <c r="G26" s="10">
        <v>0</v>
      </c>
      <c r="H26" s="20"/>
      <c r="I26" s="5" t="s">
        <v>217</v>
      </c>
    </row>
    <row r="27" spans="2:9" ht="78" x14ac:dyDescent="0.3">
      <c r="B27" s="5" t="s">
        <v>218</v>
      </c>
      <c r="C27" s="5" t="s">
        <v>219</v>
      </c>
      <c r="D27" s="7" t="s">
        <v>47</v>
      </c>
      <c r="E27" s="6" t="s">
        <v>219</v>
      </c>
      <c r="F27" s="10">
        <v>2500000</v>
      </c>
      <c r="G27" s="10">
        <v>0</v>
      </c>
      <c r="H27" s="20"/>
      <c r="I27" s="5" t="s">
        <v>220</v>
      </c>
    </row>
    <row r="28" spans="2:9" ht="62.4" x14ac:dyDescent="0.3">
      <c r="B28" s="5" t="s">
        <v>221</v>
      </c>
      <c r="C28" s="5" t="s">
        <v>222</v>
      </c>
      <c r="D28" s="7" t="s">
        <v>15</v>
      </c>
      <c r="E28" s="6" t="s">
        <v>14</v>
      </c>
      <c r="F28" s="10">
        <v>3000000</v>
      </c>
      <c r="G28" s="10">
        <v>0</v>
      </c>
      <c r="H28" s="20"/>
      <c r="I28" s="5" t="s">
        <v>839</v>
      </c>
    </row>
    <row r="29" spans="2:9" ht="46.8" x14ac:dyDescent="0.3">
      <c r="B29" s="5" t="s">
        <v>223</v>
      </c>
      <c r="C29" s="5" t="s">
        <v>224</v>
      </c>
      <c r="D29" s="7" t="s">
        <v>70</v>
      </c>
      <c r="E29" s="6" t="s">
        <v>225</v>
      </c>
      <c r="F29" s="10">
        <v>3000000</v>
      </c>
      <c r="G29" s="10">
        <v>0</v>
      </c>
      <c r="H29" s="20"/>
      <c r="I29" s="5" t="s">
        <v>226</v>
      </c>
    </row>
    <row r="30" spans="2:9" ht="93.6" x14ac:dyDescent="0.3">
      <c r="B30" s="5" t="s">
        <v>227</v>
      </c>
      <c r="C30" s="5" t="s">
        <v>228</v>
      </c>
      <c r="D30" s="7" t="s">
        <v>91</v>
      </c>
      <c r="E30" s="6" t="s">
        <v>229</v>
      </c>
      <c r="F30" s="10">
        <v>5000000</v>
      </c>
      <c r="G30" s="10">
        <v>0</v>
      </c>
      <c r="H30" s="20"/>
      <c r="I30" s="5" t="s">
        <v>230</v>
      </c>
    </row>
    <row r="31" spans="2:9" ht="31.2" x14ac:dyDescent="0.3">
      <c r="B31" s="5" t="s">
        <v>231</v>
      </c>
      <c r="C31" s="5" t="s">
        <v>232</v>
      </c>
      <c r="D31" s="7" t="s">
        <v>36</v>
      </c>
      <c r="E31" s="6" t="s">
        <v>232</v>
      </c>
      <c r="F31" s="10">
        <v>5000000</v>
      </c>
      <c r="G31" s="10">
        <v>0</v>
      </c>
      <c r="H31" s="20"/>
      <c r="I31" s="5" t="s">
        <v>233</v>
      </c>
    </row>
    <row r="32" spans="2:9" ht="93.6" x14ac:dyDescent="0.3">
      <c r="B32" s="5" t="s">
        <v>234</v>
      </c>
      <c r="C32" s="5" t="s">
        <v>108</v>
      </c>
      <c r="D32" s="7" t="s">
        <v>34</v>
      </c>
      <c r="E32" s="6" t="s">
        <v>35</v>
      </c>
      <c r="F32" s="10">
        <v>2500000</v>
      </c>
      <c r="G32" s="10">
        <v>0</v>
      </c>
      <c r="H32" s="20"/>
      <c r="I32" s="5" t="s">
        <v>109</v>
      </c>
    </row>
    <row r="33" spans="2:9" ht="93.6" x14ac:dyDescent="0.3">
      <c r="B33" s="5" t="s">
        <v>235</v>
      </c>
      <c r="C33" s="5" t="s">
        <v>236</v>
      </c>
      <c r="D33" s="7" t="s">
        <v>26</v>
      </c>
      <c r="E33" s="6" t="s">
        <v>237</v>
      </c>
      <c r="F33" s="10">
        <v>10000000</v>
      </c>
      <c r="G33" s="10">
        <v>0</v>
      </c>
      <c r="H33" s="20"/>
      <c r="I33" s="5" t="s">
        <v>238</v>
      </c>
    </row>
    <row r="34" spans="2:9" ht="46.8" x14ac:dyDescent="0.3">
      <c r="B34" s="5" t="s">
        <v>239</v>
      </c>
      <c r="C34" s="5" t="s">
        <v>240</v>
      </c>
      <c r="D34" s="7" t="s">
        <v>6</v>
      </c>
      <c r="E34" s="6" t="s">
        <v>7</v>
      </c>
      <c r="F34" s="10">
        <v>15000000</v>
      </c>
      <c r="G34" s="10">
        <v>0</v>
      </c>
      <c r="H34" s="20"/>
      <c r="I34" s="5" t="s">
        <v>840</v>
      </c>
    </row>
    <row r="35" spans="2:9" ht="46.8" x14ac:dyDescent="0.3">
      <c r="B35" s="5" t="s">
        <v>241</v>
      </c>
      <c r="C35" s="5" t="s">
        <v>240</v>
      </c>
      <c r="D35" s="7" t="s">
        <v>125</v>
      </c>
      <c r="E35" s="6" t="s">
        <v>242</v>
      </c>
      <c r="F35" s="10">
        <v>6000000</v>
      </c>
      <c r="G35" s="10">
        <v>3000000</v>
      </c>
      <c r="H35" s="18" t="s">
        <v>1019</v>
      </c>
      <c r="I35" s="5" t="s">
        <v>243</v>
      </c>
    </row>
    <row r="36" spans="2:9" ht="46.8" x14ac:dyDescent="0.3">
      <c r="B36" s="5" t="s">
        <v>244</v>
      </c>
      <c r="C36" s="5" t="s">
        <v>245</v>
      </c>
      <c r="D36" s="7" t="s">
        <v>52</v>
      </c>
      <c r="E36" s="6" t="s">
        <v>77</v>
      </c>
      <c r="F36" s="10">
        <v>1085162</v>
      </c>
      <c r="G36" s="10">
        <v>0</v>
      </c>
      <c r="H36" s="20"/>
      <c r="I36" s="5" t="s">
        <v>246</v>
      </c>
    </row>
    <row r="37" spans="2:9" ht="46.8" x14ac:dyDescent="0.3">
      <c r="B37" s="5" t="s">
        <v>247</v>
      </c>
      <c r="C37" s="5" t="s">
        <v>248</v>
      </c>
      <c r="D37" s="7" t="s">
        <v>52</v>
      </c>
      <c r="E37" s="6" t="s">
        <v>249</v>
      </c>
      <c r="F37" s="10">
        <v>5000000</v>
      </c>
      <c r="G37" s="10">
        <v>0</v>
      </c>
      <c r="H37" s="20"/>
      <c r="I37" s="5" t="s">
        <v>250</v>
      </c>
    </row>
    <row r="38" spans="2:9" ht="46.8" x14ac:dyDescent="0.3">
      <c r="B38" s="5" t="s">
        <v>251</v>
      </c>
      <c r="C38" s="5" t="s">
        <v>248</v>
      </c>
      <c r="D38" s="7" t="s">
        <v>52</v>
      </c>
      <c r="E38" s="6" t="s">
        <v>252</v>
      </c>
      <c r="F38" s="10">
        <v>5000000</v>
      </c>
      <c r="G38" s="10">
        <v>0</v>
      </c>
      <c r="H38" s="20"/>
      <c r="I38" s="5" t="s">
        <v>841</v>
      </c>
    </row>
    <row r="39" spans="2:9" ht="62.4" x14ac:dyDescent="0.3">
      <c r="B39" s="5" t="s">
        <v>253</v>
      </c>
      <c r="C39" s="5" t="s">
        <v>254</v>
      </c>
      <c r="D39" s="7" t="s">
        <v>43</v>
      </c>
      <c r="E39" s="6" t="s">
        <v>255</v>
      </c>
      <c r="F39" s="10">
        <v>1474905</v>
      </c>
      <c r="G39" s="10">
        <v>0</v>
      </c>
      <c r="H39" s="20"/>
      <c r="I39" s="5" t="s">
        <v>256</v>
      </c>
    </row>
    <row r="40" spans="2:9" ht="78" x14ac:dyDescent="0.3">
      <c r="B40" s="5" t="s">
        <v>257</v>
      </c>
      <c r="C40" s="5" t="s">
        <v>258</v>
      </c>
      <c r="D40" s="7" t="s">
        <v>36</v>
      </c>
      <c r="E40" s="6" t="s">
        <v>259</v>
      </c>
      <c r="F40" s="10">
        <v>500000</v>
      </c>
      <c r="G40" s="10">
        <v>0</v>
      </c>
      <c r="H40" s="20"/>
      <c r="I40" s="5" t="s">
        <v>260</v>
      </c>
    </row>
    <row r="41" spans="2:9" ht="31.2" x14ac:dyDescent="0.3">
      <c r="B41" s="5" t="s">
        <v>261</v>
      </c>
      <c r="C41" s="5" t="s">
        <v>262</v>
      </c>
      <c r="D41" s="7" t="s">
        <v>178</v>
      </c>
      <c r="E41" s="6" t="s">
        <v>48</v>
      </c>
      <c r="F41" s="10">
        <v>4647440</v>
      </c>
      <c r="G41" s="10">
        <v>0</v>
      </c>
      <c r="H41" s="20"/>
      <c r="I41" s="5" t="s">
        <v>263</v>
      </c>
    </row>
    <row r="42" spans="2:9" ht="62.4" x14ac:dyDescent="0.3">
      <c r="B42" s="5" t="s">
        <v>264</v>
      </c>
      <c r="C42" s="5" t="s">
        <v>265</v>
      </c>
      <c r="D42" s="7" t="s">
        <v>50</v>
      </c>
      <c r="E42" s="6" t="s">
        <v>266</v>
      </c>
      <c r="F42" s="10">
        <v>2500000</v>
      </c>
      <c r="G42" s="10">
        <v>0</v>
      </c>
      <c r="H42" s="20"/>
      <c r="I42" s="5" t="s">
        <v>842</v>
      </c>
    </row>
    <row r="43" spans="2:9" ht="31.2" x14ac:dyDescent="0.3">
      <c r="B43" s="5" t="s">
        <v>267</v>
      </c>
      <c r="C43" s="5" t="s">
        <v>105</v>
      </c>
      <c r="D43" s="7" t="s">
        <v>106</v>
      </c>
      <c r="E43" s="6" t="s">
        <v>105</v>
      </c>
      <c r="F43" s="10">
        <v>1268368</v>
      </c>
      <c r="G43" s="10">
        <v>0</v>
      </c>
      <c r="H43" s="20"/>
      <c r="I43" s="5" t="s">
        <v>843</v>
      </c>
    </row>
    <row r="44" spans="2:9" ht="78" x14ac:dyDescent="0.3">
      <c r="B44" s="5" t="s">
        <v>268</v>
      </c>
      <c r="C44" s="5" t="s">
        <v>269</v>
      </c>
      <c r="D44" s="7" t="s">
        <v>270</v>
      </c>
      <c r="E44" s="6" t="s">
        <v>271</v>
      </c>
      <c r="F44" s="10">
        <v>4800000</v>
      </c>
      <c r="G44" s="10">
        <v>0</v>
      </c>
      <c r="H44" s="20"/>
      <c r="I44" s="5" t="s">
        <v>272</v>
      </c>
    </row>
    <row r="45" spans="2:9" ht="46.8" x14ac:dyDescent="0.3">
      <c r="B45" s="5" t="s">
        <v>273</v>
      </c>
      <c r="C45" s="5" t="s">
        <v>274</v>
      </c>
      <c r="D45" s="7" t="s">
        <v>18</v>
      </c>
      <c r="E45" s="6" t="s">
        <v>275</v>
      </c>
      <c r="F45" s="10">
        <v>3000000</v>
      </c>
      <c r="G45" s="10">
        <v>0</v>
      </c>
      <c r="H45" s="20"/>
      <c r="I45" s="5" t="s">
        <v>276</v>
      </c>
    </row>
    <row r="46" spans="2:9" ht="78" x14ac:dyDescent="0.3">
      <c r="B46" s="5" t="s">
        <v>277</v>
      </c>
      <c r="C46" s="5" t="s">
        <v>278</v>
      </c>
      <c r="D46" s="7" t="s">
        <v>21</v>
      </c>
      <c r="E46" s="6" t="s">
        <v>279</v>
      </c>
      <c r="F46" s="10">
        <v>2250000</v>
      </c>
      <c r="G46" s="10">
        <v>0</v>
      </c>
      <c r="H46" s="20"/>
      <c r="I46" s="5" t="s">
        <v>844</v>
      </c>
    </row>
    <row r="47" spans="2:9" ht="31.2" x14ac:dyDescent="0.3">
      <c r="B47" s="5" t="s">
        <v>280</v>
      </c>
      <c r="C47" s="5" t="s">
        <v>281</v>
      </c>
      <c r="D47" s="7" t="s">
        <v>21</v>
      </c>
      <c r="E47" s="6" t="s">
        <v>282</v>
      </c>
      <c r="F47" s="10">
        <v>2500000</v>
      </c>
      <c r="G47" s="10">
        <v>0</v>
      </c>
      <c r="H47" s="20"/>
      <c r="I47" s="5" t="s">
        <v>283</v>
      </c>
    </row>
    <row r="48" spans="2:9" ht="78" x14ac:dyDescent="0.3">
      <c r="B48" s="5" t="s">
        <v>284</v>
      </c>
      <c r="C48" s="5" t="s">
        <v>46</v>
      </c>
      <c r="D48" s="7" t="s">
        <v>6</v>
      </c>
      <c r="E48" s="6" t="s">
        <v>7</v>
      </c>
      <c r="F48" s="10">
        <v>9075000</v>
      </c>
      <c r="G48" s="10">
        <v>0</v>
      </c>
      <c r="H48" s="20"/>
      <c r="I48" s="5" t="s">
        <v>155</v>
      </c>
    </row>
    <row r="49" spans="2:9" ht="46.8" x14ac:dyDescent="0.3">
      <c r="B49" s="5" t="s">
        <v>285</v>
      </c>
      <c r="C49" s="5" t="s">
        <v>286</v>
      </c>
      <c r="D49" s="7" t="s">
        <v>15</v>
      </c>
      <c r="E49" s="6" t="s">
        <v>14</v>
      </c>
      <c r="F49" s="10">
        <v>1000000</v>
      </c>
      <c r="G49" s="10">
        <v>0</v>
      </c>
      <c r="H49" s="20"/>
      <c r="I49" s="5" t="s">
        <v>287</v>
      </c>
    </row>
    <row r="50" spans="2:9" ht="78" x14ac:dyDescent="0.3">
      <c r="B50" s="5" t="s">
        <v>288</v>
      </c>
      <c r="C50" s="5" t="s">
        <v>289</v>
      </c>
      <c r="D50" s="7" t="s">
        <v>51</v>
      </c>
      <c r="E50" s="6" t="s">
        <v>107</v>
      </c>
      <c r="F50" s="10">
        <v>2137500</v>
      </c>
      <c r="G50" s="10">
        <v>0</v>
      </c>
      <c r="H50" s="20"/>
      <c r="I50" s="5" t="s">
        <v>290</v>
      </c>
    </row>
    <row r="51" spans="2:9" ht="109.2" x14ac:dyDescent="0.3">
      <c r="B51" s="5" t="s">
        <v>291</v>
      </c>
      <c r="C51" s="5" t="s">
        <v>146</v>
      </c>
      <c r="D51" s="7" t="s">
        <v>6</v>
      </c>
      <c r="E51" s="6" t="s">
        <v>7</v>
      </c>
      <c r="F51" s="10">
        <v>750000</v>
      </c>
      <c r="G51" s="10">
        <v>0</v>
      </c>
      <c r="H51" s="20"/>
      <c r="I51" s="5" t="s">
        <v>292</v>
      </c>
    </row>
    <row r="52" spans="2:9" ht="62.4" x14ac:dyDescent="0.3">
      <c r="B52" s="5" t="s">
        <v>158</v>
      </c>
      <c r="C52" s="5" t="s">
        <v>293</v>
      </c>
      <c r="D52" s="7" t="s">
        <v>6</v>
      </c>
      <c r="E52" s="6" t="s">
        <v>7</v>
      </c>
      <c r="F52" s="10">
        <v>2100000</v>
      </c>
      <c r="G52" s="10">
        <v>0</v>
      </c>
      <c r="H52" s="20"/>
      <c r="I52" s="5" t="s">
        <v>159</v>
      </c>
    </row>
    <row r="53" spans="2:9" ht="62.4" x14ac:dyDescent="0.3">
      <c r="B53" s="5" t="s">
        <v>294</v>
      </c>
      <c r="C53" s="5" t="s">
        <v>295</v>
      </c>
      <c r="D53" s="7" t="s">
        <v>8</v>
      </c>
      <c r="E53" s="6" t="s">
        <v>296</v>
      </c>
      <c r="F53" s="10">
        <v>10000000</v>
      </c>
      <c r="G53" s="10">
        <v>0</v>
      </c>
      <c r="H53" s="20"/>
      <c r="I53" s="5" t="s">
        <v>297</v>
      </c>
    </row>
    <row r="54" spans="2:9" ht="78" x14ac:dyDescent="0.3">
      <c r="B54" s="5" t="s">
        <v>298</v>
      </c>
      <c r="C54" s="5" t="s">
        <v>299</v>
      </c>
      <c r="D54" s="7" t="s">
        <v>113</v>
      </c>
      <c r="E54" s="6" t="s">
        <v>299</v>
      </c>
      <c r="F54" s="10">
        <v>3000000</v>
      </c>
      <c r="G54" s="10">
        <v>0</v>
      </c>
      <c r="H54" s="20"/>
      <c r="I54" s="5" t="s">
        <v>845</v>
      </c>
    </row>
    <row r="55" spans="2:9" ht="93.6" x14ac:dyDescent="0.3">
      <c r="B55" s="5" t="s">
        <v>300</v>
      </c>
      <c r="C55" s="5" t="s">
        <v>133</v>
      </c>
      <c r="D55" s="7" t="s">
        <v>23</v>
      </c>
      <c r="E55" s="6" t="s">
        <v>22</v>
      </c>
      <c r="F55" s="10">
        <v>2000000</v>
      </c>
      <c r="G55" s="10">
        <v>0</v>
      </c>
      <c r="H55" s="20"/>
      <c r="I55" s="5" t="s">
        <v>301</v>
      </c>
    </row>
    <row r="56" spans="2:9" ht="78" x14ac:dyDescent="0.3">
      <c r="B56" s="5" t="s">
        <v>302</v>
      </c>
      <c r="C56" s="5" t="s">
        <v>303</v>
      </c>
      <c r="D56" s="7" t="s">
        <v>26</v>
      </c>
      <c r="E56" s="6" t="s">
        <v>40</v>
      </c>
      <c r="F56" s="10">
        <v>1300000</v>
      </c>
      <c r="G56" s="10">
        <v>0</v>
      </c>
      <c r="H56" s="20"/>
      <c r="I56" s="5" t="s">
        <v>304</v>
      </c>
    </row>
    <row r="57" spans="2:9" ht="62.4" x14ac:dyDescent="0.3">
      <c r="B57" s="5" t="s">
        <v>305</v>
      </c>
      <c r="C57" s="5" t="s">
        <v>306</v>
      </c>
      <c r="D57" s="7" t="s">
        <v>8</v>
      </c>
      <c r="E57" s="6" t="s">
        <v>307</v>
      </c>
      <c r="F57" s="10">
        <v>10000000</v>
      </c>
      <c r="G57" s="10">
        <v>5000000</v>
      </c>
      <c r="H57" s="18" t="s">
        <v>1018</v>
      </c>
      <c r="I57" s="5" t="s">
        <v>308</v>
      </c>
    </row>
    <row r="58" spans="2:9" ht="46.8" x14ac:dyDescent="0.3">
      <c r="B58" s="5" t="s">
        <v>309</v>
      </c>
      <c r="C58" s="5" t="s">
        <v>310</v>
      </c>
      <c r="D58" s="7" t="s">
        <v>43</v>
      </c>
      <c r="E58" s="6" t="s">
        <v>311</v>
      </c>
      <c r="F58" s="10">
        <v>1500000</v>
      </c>
      <c r="G58" s="10">
        <v>0</v>
      </c>
      <c r="H58" s="20"/>
      <c r="I58" s="5" t="s">
        <v>312</v>
      </c>
    </row>
    <row r="59" spans="2:9" ht="78" x14ac:dyDescent="0.3">
      <c r="B59" s="5" t="s">
        <v>102</v>
      </c>
      <c r="C59" s="5" t="s">
        <v>103</v>
      </c>
      <c r="D59" s="7" t="s">
        <v>52</v>
      </c>
      <c r="E59" s="6" t="s">
        <v>77</v>
      </c>
      <c r="F59" s="10">
        <v>2376251</v>
      </c>
      <c r="G59" s="10">
        <v>0</v>
      </c>
      <c r="H59" s="20"/>
      <c r="I59" s="5" t="s">
        <v>104</v>
      </c>
    </row>
    <row r="60" spans="2:9" ht="93.6" x14ac:dyDescent="0.3">
      <c r="B60" s="5" t="s">
        <v>313</v>
      </c>
      <c r="C60" s="5" t="s">
        <v>314</v>
      </c>
      <c r="D60" s="7" t="s">
        <v>21</v>
      </c>
      <c r="E60" s="6" t="s">
        <v>315</v>
      </c>
      <c r="F60" s="10">
        <v>3000000</v>
      </c>
      <c r="G60" s="10">
        <v>0</v>
      </c>
      <c r="H60" s="20"/>
      <c r="I60" s="5" t="s">
        <v>89</v>
      </c>
    </row>
    <row r="61" spans="2:9" ht="78" x14ac:dyDescent="0.3">
      <c r="B61" s="5" t="s">
        <v>316</v>
      </c>
      <c r="C61" s="5" t="s">
        <v>317</v>
      </c>
      <c r="D61" s="7" t="s">
        <v>15</v>
      </c>
      <c r="E61" s="6" t="s">
        <v>318</v>
      </c>
      <c r="F61" s="10">
        <v>2000000</v>
      </c>
      <c r="G61" s="10">
        <v>0</v>
      </c>
      <c r="H61" s="20"/>
      <c r="I61" s="5" t="s">
        <v>846</v>
      </c>
    </row>
    <row r="62" spans="2:9" ht="46.8" x14ac:dyDescent="0.3">
      <c r="B62" s="5" t="s">
        <v>319</v>
      </c>
      <c r="C62" s="5" t="s">
        <v>320</v>
      </c>
      <c r="D62" s="7" t="s">
        <v>6</v>
      </c>
      <c r="E62" s="6" t="s">
        <v>7</v>
      </c>
      <c r="F62" s="10">
        <v>10000000</v>
      </c>
      <c r="G62" s="10">
        <v>0</v>
      </c>
      <c r="H62" s="20"/>
      <c r="I62" s="5" t="s">
        <v>321</v>
      </c>
    </row>
    <row r="63" spans="2:9" ht="62.4" x14ac:dyDescent="0.3">
      <c r="B63" s="5" t="s">
        <v>322</v>
      </c>
      <c r="C63" s="5" t="s">
        <v>57</v>
      </c>
      <c r="D63" s="7" t="s">
        <v>56</v>
      </c>
      <c r="E63" s="6" t="s">
        <v>323</v>
      </c>
      <c r="F63" s="10">
        <v>3000000</v>
      </c>
      <c r="G63" s="10">
        <v>0</v>
      </c>
      <c r="H63" s="20"/>
      <c r="I63" s="5" t="s">
        <v>324</v>
      </c>
    </row>
    <row r="64" spans="2:9" ht="46.8" x14ac:dyDescent="0.3">
      <c r="B64" s="5" t="s">
        <v>130</v>
      </c>
      <c r="C64" s="5" t="s">
        <v>131</v>
      </c>
      <c r="D64" s="7" t="s">
        <v>49</v>
      </c>
      <c r="E64" s="6" t="s">
        <v>132</v>
      </c>
      <c r="F64" s="10">
        <v>5000000</v>
      </c>
      <c r="G64" s="10">
        <v>0</v>
      </c>
      <c r="H64" s="20"/>
      <c r="I64" s="5" t="s">
        <v>325</v>
      </c>
    </row>
    <row r="65" spans="2:9" ht="78" x14ac:dyDescent="0.3">
      <c r="B65" s="5" t="s">
        <v>326</v>
      </c>
      <c r="C65" s="5" t="s">
        <v>327</v>
      </c>
      <c r="D65" s="7" t="s">
        <v>26</v>
      </c>
      <c r="E65" s="6" t="s">
        <v>328</v>
      </c>
      <c r="F65" s="10">
        <v>10000000</v>
      </c>
      <c r="G65" s="10">
        <v>0</v>
      </c>
      <c r="H65" s="20"/>
      <c r="I65" s="5" t="s">
        <v>847</v>
      </c>
    </row>
    <row r="66" spans="2:9" ht="93.6" x14ac:dyDescent="0.3">
      <c r="B66" s="5" t="s">
        <v>329</v>
      </c>
      <c r="C66" s="5" t="s">
        <v>330</v>
      </c>
      <c r="D66" s="7" t="s">
        <v>6</v>
      </c>
      <c r="E66" s="6" t="s">
        <v>7</v>
      </c>
      <c r="F66" s="10">
        <v>5000000</v>
      </c>
      <c r="G66" s="10">
        <v>0</v>
      </c>
      <c r="H66" s="20"/>
      <c r="I66" s="5" t="s">
        <v>331</v>
      </c>
    </row>
    <row r="67" spans="2:9" ht="62.4" x14ac:dyDescent="0.3">
      <c r="B67" s="5" t="s">
        <v>332</v>
      </c>
      <c r="C67" s="5" t="s">
        <v>333</v>
      </c>
      <c r="D67" s="7" t="s">
        <v>334</v>
      </c>
      <c r="E67" s="6" t="s">
        <v>335</v>
      </c>
      <c r="F67" s="10">
        <v>5000000</v>
      </c>
      <c r="G67" s="10">
        <v>0</v>
      </c>
      <c r="H67" s="20"/>
      <c r="I67" s="5" t="s">
        <v>336</v>
      </c>
    </row>
    <row r="68" spans="2:9" ht="46.8" x14ac:dyDescent="0.3">
      <c r="B68" s="5" t="s">
        <v>337</v>
      </c>
      <c r="C68" s="5" t="s">
        <v>338</v>
      </c>
      <c r="D68" s="7" t="s">
        <v>6</v>
      </c>
      <c r="E68" s="6" t="s">
        <v>7</v>
      </c>
      <c r="F68" s="10">
        <v>2177000</v>
      </c>
      <c r="G68" s="10">
        <v>0</v>
      </c>
      <c r="H68" s="20"/>
      <c r="I68" s="5" t="s">
        <v>339</v>
      </c>
    </row>
    <row r="69" spans="2:9" ht="46.8" x14ac:dyDescent="0.3">
      <c r="B69" s="5" t="s">
        <v>340</v>
      </c>
      <c r="C69" s="5" t="s">
        <v>341</v>
      </c>
      <c r="D69" s="7" t="s">
        <v>6</v>
      </c>
      <c r="E69" s="6" t="s">
        <v>7</v>
      </c>
      <c r="F69" s="10">
        <v>2000000</v>
      </c>
      <c r="G69" s="10">
        <v>0</v>
      </c>
      <c r="H69" s="20"/>
      <c r="I69" s="5" t="s">
        <v>342</v>
      </c>
    </row>
    <row r="70" spans="2:9" ht="46.8" x14ac:dyDescent="0.3">
      <c r="B70" s="5" t="s">
        <v>343</v>
      </c>
      <c r="C70" s="5" t="s">
        <v>344</v>
      </c>
      <c r="D70" s="7" t="s">
        <v>6</v>
      </c>
      <c r="E70" s="6" t="s">
        <v>7</v>
      </c>
      <c r="F70" s="10">
        <v>5000000</v>
      </c>
      <c r="G70" s="10">
        <v>0</v>
      </c>
      <c r="H70" s="20"/>
      <c r="I70" s="5" t="s">
        <v>345</v>
      </c>
    </row>
    <row r="71" spans="2:9" ht="46.8" x14ac:dyDescent="0.3">
      <c r="B71" s="5" t="s">
        <v>346</v>
      </c>
      <c r="C71" s="5" t="s">
        <v>347</v>
      </c>
      <c r="D71" s="7" t="s">
        <v>6</v>
      </c>
      <c r="E71" s="6" t="s">
        <v>7</v>
      </c>
      <c r="F71" s="10">
        <v>7000000</v>
      </c>
      <c r="G71" s="10">
        <v>0</v>
      </c>
      <c r="H71" s="20"/>
      <c r="I71" s="5" t="s">
        <v>348</v>
      </c>
    </row>
    <row r="72" spans="2:9" ht="93.6" x14ac:dyDescent="0.3">
      <c r="B72" s="5" t="s">
        <v>148</v>
      </c>
      <c r="C72" s="5" t="s">
        <v>349</v>
      </c>
      <c r="D72" s="7" t="s">
        <v>6</v>
      </c>
      <c r="E72" s="6" t="s">
        <v>7</v>
      </c>
      <c r="F72" s="10">
        <v>2500000</v>
      </c>
      <c r="G72" s="10">
        <v>0</v>
      </c>
      <c r="H72" s="20"/>
      <c r="I72" s="5" t="s">
        <v>848</v>
      </c>
    </row>
    <row r="73" spans="2:9" ht="46.8" x14ac:dyDescent="0.3">
      <c r="B73" s="5" t="s">
        <v>350</v>
      </c>
      <c r="C73" s="5" t="s">
        <v>150</v>
      </c>
      <c r="D73" s="7" t="s">
        <v>6</v>
      </c>
      <c r="E73" s="6" t="s">
        <v>7</v>
      </c>
      <c r="F73" s="10">
        <v>2067525</v>
      </c>
      <c r="G73" s="10">
        <v>0</v>
      </c>
      <c r="H73" s="20"/>
      <c r="I73" s="5" t="s">
        <v>351</v>
      </c>
    </row>
    <row r="74" spans="2:9" ht="46.8" x14ac:dyDescent="0.3">
      <c r="B74" s="5" t="s">
        <v>352</v>
      </c>
      <c r="C74" s="5" t="s">
        <v>353</v>
      </c>
      <c r="D74" s="7" t="s">
        <v>6</v>
      </c>
      <c r="E74" s="6" t="s">
        <v>7</v>
      </c>
      <c r="F74" s="10">
        <v>5000000</v>
      </c>
      <c r="G74" s="10">
        <v>0</v>
      </c>
      <c r="H74" s="20"/>
      <c r="I74" s="5" t="s">
        <v>354</v>
      </c>
    </row>
    <row r="75" spans="2:9" ht="46.8" x14ac:dyDescent="0.3">
      <c r="B75" s="5" t="s">
        <v>355</v>
      </c>
      <c r="C75" s="5" t="s">
        <v>356</v>
      </c>
      <c r="D75" s="7" t="s">
        <v>6</v>
      </c>
      <c r="E75" s="6" t="s">
        <v>7</v>
      </c>
      <c r="F75" s="10">
        <v>5000000</v>
      </c>
      <c r="G75" s="10">
        <v>0</v>
      </c>
      <c r="H75" s="20"/>
      <c r="I75" s="5" t="s">
        <v>357</v>
      </c>
    </row>
    <row r="76" spans="2:9" ht="46.8" x14ac:dyDescent="0.3">
      <c r="B76" s="5" t="s">
        <v>358</v>
      </c>
      <c r="C76" s="5" t="s">
        <v>358</v>
      </c>
      <c r="D76" s="7" t="s">
        <v>6</v>
      </c>
      <c r="E76" s="6" t="s">
        <v>7</v>
      </c>
      <c r="F76" s="10">
        <v>2000000</v>
      </c>
      <c r="G76" s="10">
        <v>0</v>
      </c>
      <c r="H76" s="20"/>
      <c r="I76" s="5" t="s">
        <v>359</v>
      </c>
    </row>
    <row r="77" spans="2:9" ht="31.2" x14ac:dyDescent="0.3">
      <c r="B77" s="5" t="s">
        <v>360</v>
      </c>
      <c r="C77" s="5" t="s">
        <v>361</v>
      </c>
      <c r="D77" s="7" t="s">
        <v>6</v>
      </c>
      <c r="E77" s="6" t="s">
        <v>7</v>
      </c>
      <c r="F77" s="10">
        <v>5000000</v>
      </c>
      <c r="G77" s="10">
        <v>0</v>
      </c>
      <c r="H77" s="20"/>
      <c r="I77" s="5" t="s">
        <v>362</v>
      </c>
    </row>
    <row r="78" spans="2:9" ht="62.4" x14ac:dyDescent="0.3">
      <c r="B78" s="5" t="s">
        <v>363</v>
      </c>
      <c r="C78" s="5" t="s">
        <v>364</v>
      </c>
      <c r="D78" s="7" t="s">
        <v>6</v>
      </c>
      <c r="E78" s="6" t="s">
        <v>7</v>
      </c>
      <c r="F78" s="10">
        <v>25000000</v>
      </c>
      <c r="G78" s="10">
        <v>0</v>
      </c>
      <c r="H78" s="20"/>
      <c r="I78" s="5" t="s">
        <v>365</v>
      </c>
    </row>
    <row r="79" spans="2:9" ht="46.8" x14ac:dyDescent="0.3">
      <c r="B79" s="5" t="s">
        <v>366</v>
      </c>
      <c r="C79" s="5" t="s">
        <v>849</v>
      </c>
      <c r="D79" s="7" t="s">
        <v>6</v>
      </c>
      <c r="E79" s="6" t="s">
        <v>7</v>
      </c>
      <c r="F79" s="10">
        <v>1480000</v>
      </c>
      <c r="G79" s="10">
        <v>0</v>
      </c>
      <c r="H79" s="20"/>
      <c r="I79" s="5" t="s">
        <v>850</v>
      </c>
    </row>
    <row r="80" spans="2:9" ht="78" x14ac:dyDescent="0.3">
      <c r="B80" s="5" t="s">
        <v>367</v>
      </c>
      <c r="C80" s="5" t="s">
        <v>152</v>
      </c>
      <c r="D80" s="7" t="s">
        <v>6</v>
      </c>
      <c r="E80" s="6" t="s">
        <v>7</v>
      </c>
      <c r="F80" s="10">
        <v>1500000</v>
      </c>
      <c r="G80" s="10">
        <v>0</v>
      </c>
      <c r="H80" s="20"/>
      <c r="I80" s="5" t="s">
        <v>368</v>
      </c>
    </row>
    <row r="81" spans="2:9" ht="31.2" x14ac:dyDescent="0.3">
      <c r="B81" s="5" t="s">
        <v>369</v>
      </c>
      <c r="C81" s="5" t="s">
        <v>45</v>
      </c>
      <c r="D81" s="7" t="s">
        <v>6</v>
      </c>
      <c r="E81" s="6" t="s">
        <v>7</v>
      </c>
      <c r="F81" s="10">
        <v>5000000</v>
      </c>
      <c r="G81" s="10">
        <v>0</v>
      </c>
      <c r="H81" s="20"/>
      <c r="I81" s="5" t="s">
        <v>370</v>
      </c>
    </row>
    <row r="82" spans="2:9" ht="78" x14ac:dyDescent="0.3">
      <c r="B82" s="5" t="s">
        <v>371</v>
      </c>
      <c r="C82" s="5" t="s">
        <v>372</v>
      </c>
      <c r="D82" s="7" t="s">
        <v>6</v>
      </c>
      <c r="E82" s="6" t="s">
        <v>7</v>
      </c>
      <c r="F82" s="10">
        <v>2000000</v>
      </c>
      <c r="G82" s="10">
        <v>0</v>
      </c>
      <c r="H82" s="20"/>
      <c r="I82" s="5" t="s">
        <v>373</v>
      </c>
    </row>
    <row r="83" spans="2:9" ht="31.2" x14ac:dyDescent="0.3">
      <c r="B83" s="5" t="s">
        <v>374</v>
      </c>
      <c r="C83" s="5" t="s">
        <v>375</v>
      </c>
      <c r="D83" s="7" t="s">
        <v>6</v>
      </c>
      <c r="E83" s="6" t="s">
        <v>7</v>
      </c>
      <c r="F83" s="10">
        <v>760627</v>
      </c>
      <c r="G83" s="10">
        <v>0</v>
      </c>
      <c r="H83" s="20"/>
      <c r="I83" s="5" t="s">
        <v>376</v>
      </c>
    </row>
    <row r="84" spans="2:9" ht="93.6" x14ac:dyDescent="0.3">
      <c r="B84" s="5" t="s">
        <v>377</v>
      </c>
      <c r="C84" s="5" t="s">
        <v>851</v>
      </c>
      <c r="D84" s="7" t="s">
        <v>6</v>
      </c>
      <c r="E84" s="6" t="s">
        <v>7</v>
      </c>
      <c r="F84" s="10">
        <v>2944789</v>
      </c>
      <c r="G84" s="10">
        <v>0</v>
      </c>
      <c r="H84" s="20"/>
      <c r="I84" s="5" t="s">
        <v>378</v>
      </c>
    </row>
    <row r="85" spans="2:9" ht="78" x14ac:dyDescent="0.3">
      <c r="B85" s="5" t="s">
        <v>379</v>
      </c>
      <c r="C85" s="5" t="s">
        <v>380</v>
      </c>
      <c r="D85" s="7" t="s">
        <v>9</v>
      </c>
      <c r="E85" s="6" t="s">
        <v>381</v>
      </c>
      <c r="F85" s="10">
        <v>5000000</v>
      </c>
      <c r="G85" s="10">
        <v>0</v>
      </c>
      <c r="H85" s="20"/>
      <c r="I85" s="5" t="s">
        <v>852</v>
      </c>
    </row>
    <row r="86" spans="2:9" ht="78" x14ac:dyDescent="0.3">
      <c r="B86" s="5" t="s">
        <v>382</v>
      </c>
      <c r="C86" s="5" t="s">
        <v>383</v>
      </c>
      <c r="D86" s="7" t="s">
        <v>34</v>
      </c>
      <c r="E86" s="6" t="s">
        <v>35</v>
      </c>
      <c r="F86" s="10">
        <v>10000000</v>
      </c>
      <c r="G86" s="10">
        <v>0</v>
      </c>
      <c r="H86" s="20"/>
      <c r="I86" s="5" t="s">
        <v>384</v>
      </c>
    </row>
    <row r="87" spans="2:9" ht="62.4" x14ac:dyDescent="0.3">
      <c r="B87" s="5" t="s">
        <v>385</v>
      </c>
      <c r="C87" s="5" t="s">
        <v>386</v>
      </c>
      <c r="D87" s="7" t="s">
        <v>47</v>
      </c>
      <c r="E87" s="6" t="s">
        <v>387</v>
      </c>
      <c r="F87" s="10">
        <v>2000000</v>
      </c>
      <c r="G87" s="10">
        <v>0</v>
      </c>
      <c r="H87" s="20"/>
      <c r="I87" s="5" t="s">
        <v>853</v>
      </c>
    </row>
    <row r="88" spans="2:9" ht="93.6" x14ac:dyDescent="0.3">
      <c r="B88" s="5" t="s">
        <v>388</v>
      </c>
      <c r="C88" s="5" t="s">
        <v>389</v>
      </c>
      <c r="D88" s="7" t="s">
        <v>6</v>
      </c>
      <c r="E88" s="6" t="s">
        <v>7</v>
      </c>
      <c r="F88" s="10">
        <v>5000000</v>
      </c>
      <c r="G88" s="10">
        <v>0</v>
      </c>
      <c r="H88" s="20"/>
      <c r="I88" s="5" t="s">
        <v>390</v>
      </c>
    </row>
    <row r="89" spans="2:9" ht="46.8" x14ac:dyDescent="0.3">
      <c r="B89" s="5" t="s">
        <v>391</v>
      </c>
      <c r="C89" s="5" t="s">
        <v>161</v>
      </c>
      <c r="D89" s="7" t="s">
        <v>6</v>
      </c>
      <c r="E89" s="6" t="s">
        <v>7</v>
      </c>
      <c r="F89" s="10">
        <v>2700000</v>
      </c>
      <c r="G89" s="10">
        <v>0</v>
      </c>
      <c r="H89" s="20"/>
      <c r="I89" s="5" t="s">
        <v>392</v>
      </c>
    </row>
    <row r="90" spans="2:9" ht="78" x14ac:dyDescent="0.3">
      <c r="B90" s="5" t="s">
        <v>393</v>
      </c>
      <c r="C90" s="5" t="s">
        <v>7</v>
      </c>
      <c r="D90" s="7" t="s">
        <v>6</v>
      </c>
      <c r="E90" s="6" t="s">
        <v>7</v>
      </c>
      <c r="F90" s="10">
        <v>3000000</v>
      </c>
      <c r="G90" s="10">
        <v>0</v>
      </c>
      <c r="H90" s="20"/>
      <c r="I90" s="5" t="s">
        <v>394</v>
      </c>
    </row>
    <row r="91" spans="2:9" ht="78" x14ac:dyDescent="0.3">
      <c r="B91" s="5" t="s">
        <v>395</v>
      </c>
      <c r="C91" s="5" t="s">
        <v>396</v>
      </c>
      <c r="D91" s="7" t="s">
        <v>21</v>
      </c>
      <c r="E91" s="6" t="s">
        <v>25</v>
      </c>
      <c r="F91" s="10">
        <v>2198178</v>
      </c>
      <c r="G91" s="10">
        <v>0</v>
      </c>
      <c r="H91" s="20"/>
      <c r="I91" s="5" t="s">
        <v>397</v>
      </c>
    </row>
    <row r="92" spans="2:9" ht="78" x14ac:dyDescent="0.3">
      <c r="B92" s="5" t="s">
        <v>398</v>
      </c>
      <c r="C92" s="5" t="s">
        <v>399</v>
      </c>
      <c r="D92" s="7" t="s">
        <v>21</v>
      </c>
      <c r="E92" s="6" t="s">
        <v>25</v>
      </c>
      <c r="F92" s="10">
        <v>4500000</v>
      </c>
      <c r="G92" s="10">
        <v>0</v>
      </c>
      <c r="H92" s="20"/>
      <c r="I92" s="5" t="s">
        <v>400</v>
      </c>
    </row>
    <row r="93" spans="2:9" ht="46.8" x14ac:dyDescent="0.3">
      <c r="B93" s="5" t="s">
        <v>401</v>
      </c>
      <c r="C93" s="5" t="s">
        <v>402</v>
      </c>
      <c r="D93" s="7" t="s">
        <v>21</v>
      </c>
      <c r="E93" s="6" t="s">
        <v>25</v>
      </c>
      <c r="F93" s="10">
        <v>3000000</v>
      </c>
      <c r="G93" s="10">
        <v>0</v>
      </c>
      <c r="H93" s="20"/>
      <c r="I93" s="5" t="s">
        <v>854</v>
      </c>
    </row>
    <row r="94" spans="2:9" ht="31.2" x14ac:dyDescent="0.3">
      <c r="B94" s="5" t="s">
        <v>403</v>
      </c>
      <c r="C94" s="5" t="s">
        <v>404</v>
      </c>
      <c r="D94" s="7" t="s">
        <v>21</v>
      </c>
      <c r="E94" s="6" t="s">
        <v>25</v>
      </c>
      <c r="F94" s="10">
        <v>10000000</v>
      </c>
      <c r="G94" s="10">
        <v>0</v>
      </c>
      <c r="H94" s="20"/>
      <c r="I94" s="5" t="s">
        <v>405</v>
      </c>
    </row>
    <row r="95" spans="2:9" ht="93.6" x14ac:dyDescent="0.3">
      <c r="B95" s="5" t="s">
        <v>406</v>
      </c>
      <c r="C95" s="5" t="s">
        <v>407</v>
      </c>
      <c r="D95" s="7" t="s">
        <v>21</v>
      </c>
      <c r="E95" s="6" t="s">
        <v>25</v>
      </c>
      <c r="F95" s="10">
        <v>2500000</v>
      </c>
      <c r="G95" s="10">
        <v>1500000</v>
      </c>
      <c r="H95" s="18" t="s">
        <v>1020</v>
      </c>
      <c r="I95" s="5" t="s">
        <v>855</v>
      </c>
    </row>
    <row r="96" spans="2:9" ht="31.2" x14ac:dyDescent="0.3">
      <c r="B96" s="5" t="s">
        <v>408</v>
      </c>
      <c r="C96" s="5" t="s">
        <v>409</v>
      </c>
      <c r="D96" s="7" t="s">
        <v>21</v>
      </c>
      <c r="E96" s="6" t="s">
        <v>25</v>
      </c>
      <c r="F96" s="10">
        <v>1500000</v>
      </c>
      <c r="G96" s="10">
        <v>0</v>
      </c>
      <c r="H96" s="20"/>
      <c r="I96" s="5" t="s">
        <v>410</v>
      </c>
    </row>
    <row r="97" spans="2:9" ht="78" x14ac:dyDescent="0.3">
      <c r="B97" s="5" t="s">
        <v>411</v>
      </c>
      <c r="C97" s="5" t="s">
        <v>412</v>
      </c>
      <c r="D97" s="7" t="s">
        <v>21</v>
      </c>
      <c r="E97" s="6" t="s">
        <v>25</v>
      </c>
      <c r="F97" s="10">
        <v>2667510</v>
      </c>
      <c r="G97" s="10">
        <v>0</v>
      </c>
      <c r="H97" s="20"/>
      <c r="I97" s="5" t="s">
        <v>413</v>
      </c>
    </row>
    <row r="98" spans="2:9" ht="46.8" x14ac:dyDescent="0.3">
      <c r="B98" s="5" t="s">
        <v>414</v>
      </c>
      <c r="C98" s="5" t="s">
        <v>415</v>
      </c>
      <c r="D98" s="7" t="s">
        <v>21</v>
      </c>
      <c r="E98" s="6" t="s">
        <v>415</v>
      </c>
      <c r="F98" s="10">
        <v>5000000</v>
      </c>
      <c r="G98" s="10">
        <v>0</v>
      </c>
      <c r="H98" s="20"/>
      <c r="I98" s="5" t="s">
        <v>416</v>
      </c>
    </row>
    <row r="99" spans="2:9" ht="62.4" x14ac:dyDescent="0.3">
      <c r="B99" s="5" t="s">
        <v>417</v>
      </c>
      <c r="C99" s="5" t="s">
        <v>153</v>
      </c>
      <c r="D99" s="7" t="s">
        <v>6</v>
      </c>
      <c r="E99" s="6" t="s">
        <v>7</v>
      </c>
      <c r="F99" s="10">
        <v>2500000</v>
      </c>
      <c r="G99" s="10">
        <v>0</v>
      </c>
      <c r="H99" s="20"/>
      <c r="I99" s="5" t="s">
        <v>418</v>
      </c>
    </row>
    <row r="100" spans="2:9" ht="78" x14ac:dyDescent="0.3">
      <c r="B100" s="5" t="s">
        <v>419</v>
      </c>
      <c r="C100" s="5" t="s">
        <v>420</v>
      </c>
      <c r="D100" s="7" t="s">
        <v>26</v>
      </c>
      <c r="E100" s="6" t="s">
        <v>40</v>
      </c>
      <c r="F100" s="10">
        <v>5000000</v>
      </c>
      <c r="G100" s="10">
        <v>0</v>
      </c>
      <c r="H100" s="20"/>
      <c r="I100" s="5" t="s">
        <v>421</v>
      </c>
    </row>
    <row r="101" spans="2:9" ht="62.4" x14ac:dyDescent="0.3">
      <c r="B101" s="5" t="s">
        <v>422</v>
      </c>
      <c r="C101" s="5" t="s">
        <v>423</v>
      </c>
      <c r="D101" s="7" t="s">
        <v>51</v>
      </c>
      <c r="E101" s="6" t="s">
        <v>424</v>
      </c>
      <c r="F101" s="10">
        <v>5000000</v>
      </c>
      <c r="G101" s="10">
        <v>0</v>
      </c>
      <c r="H101" s="20"/>
      <c r="I101" s="5" t="s">
        <v>425</v>
      </c>
    </row>
    <row r="102" spans="2:9" ht="62.4" x14ac:dyDescent="0.3">
      <c r="B102" s="5" t="s">
        <v>11</v>
      </c>
      <c r="C102" s="5" t="s">
        <v>12</v>
      </c>
      <c r="D102" s="7" t="s">
        <v>8</v>
      </c>
      <c r="E102" s="6" t="s">
        <v>13</v>
      </c>
      <c r="F102" s="10">
        <v>3560000</v>
      </c>
      <c r="G102" s="10">
        <v>0</v>
      </c>
      <c r="H102" s="20"/>
      <c r="I102" s="5" t="s">
        <v>856</v>
      </c>
    </row>
    <row r="103" spans="2:9" ht="93.6" x14ac:dyDescent="0.3">
      <c r="B103" s="5" t="s">
        <v>426</v>
      </c>
      <c r="C103" s="5" t="s">
        <v>427</v>
      </c>
      <c r="D103" s="7" t="s">
        <v>37</v>
      </c>
      <c r="E103" s="6" t="s">
        <v>129</v>
      </c>
      <c r="F103" s="10">
        <v>5000000</v>
      </c>
      <c r="G103" s="10">
        <v>0</v>
      </c>
      <c r="H103" s="20"/>
      <c r="I103" s="5" t="s">
        <v>428</v>
      </c>
    </row>
    <row r="104" spans="2:9" ht="78" x14ac:dyDescent="0.3">
      <c r="B104" s="5" t="s">
        <v>429</v>
      </c>
      <c r="C104" s="5" t="s">
        <v>430</v>
      </c>
      <c r="D104" s="7" t="s">
        <v>21</v>
      </c>
      <c r="E104" s="6" t="s">
        <v>25</v>
      </c>
      <c r="F104" s="10">
        <v>3640000</v>
      </c>
      <c r="G104" s="10">
        <v>0</v>
      </c>
      <c r="H104" s="20"/>
      <c r="I104" s="5" t="s">
        <v>431</v>
      </c>
    </row>
    <row r="105" spans="2:9" ht="62.4" x14ac:dyDescent="0.3">
      <c r="B105" s="5" t="s">
        <v>432</v>
      </c>
      <c r="C105" s="5" t="s">
        <v>433</v>
      </c>
      <c r="D105" s="7" t="s">
        <v>21</v>
      </c>
      <c r="E105" s="6" t="s">
        <v>25</v>
      </c>
      <c r="F105" s="10">
        <v>2500000</v>
      </c>
      <c r="G105" s="10">
        <v>0</v>
      </c>
      <c r="H105" s="20"/>
      <c r="I105" s="5" t="s">
        <v>434</v>
      </c>
    </row>
    <row r="106" spans="2:9" ht="78" x14ac:dyDescent="0.3">
      <c r="B106" s="5" t="s">
        <v>435</v>
      </c>
      <c r="C106" s="5" t="s">
        <v>160</v>
      </c>
      <c r="D106" s="7" t="s">
        <v>6</v>
      </c>
      <c r="E106" s="6" t="s">
        <v>7</v>
      </c>
      <c r="F106" s="10">
        <v>750000</v>
      </c>
      <c r="G106" s="10">
        <v>0</v>
      </c>
      <c r="H106" s="20"/>
      <c r="I106" s="5" t="s">
        <v>857</v>
      </c>
    </row>
    <row r="107" spans="2:9" ht="46.8" x14ac:dyDescent="0.3">
      <c r="B107" s="5" t="s">
        <v>436</v>
      </c>
      <c r="C107" s="5" t="s">
        <v>437</v>
      </c>
      <c r="D107" s="7" t="s">
        <v>21</v>
      </c>
      <c r="E107" s="6" t="s">
        <v>25</v>
      </c>
      <c r="F107" s="10">
        <v>750000</v>
      </c>
      <c r="G107" s="10">
        <v>0</v>
      </c>
      <c r="H107" s="20"/>
      <c r="I107" s="5" t="s">
        <v>438</v>
      </c>
    </row>
    <row r="108" spans="2:9" ht="46.8" x14ac:dyDescent="0.3">
      <c r="B108" s="5" t="s">
        <v>439</v>
      </c>
      <c r="C108" s="5" t="s">
        <v>440</v>
      </c>
      <c r="D108" s="7" t="s">
        <v>21</v>
      </c>
      <c r="E108" s="6" t="s">
        <v>25</v>
      </c>
      <c r="F108" s="10">
        <v>4000000</v>
      </c>
      <c r="G108" s="10">
        <v>0</v>
      </c>
      <c r="H108" s="20"/>
      <c r="I108" s="5" t="s">
        <v>899</v>
      </c>
    </row>
    <row r="109" spans="2:9" ht="46.8" x14ac:dyDescent="0.3">
      <c r="B109" s="5" t="s">
        <v>441</v>
      </c>
      <c r="C109" s="5" t="s">
        <v>442</v>
      </c>
      <c r="D109" s="7" t="s">
        <v>70</v>
      </c>
      <c r="E109" s="6" t="s">
        <v>443</v>
      </c>
      <c r="F109" s="10">
        <v>2000000</v>
      </c>
      <c r="G109" s="10">
        <v>0</v>
      </c>
      <c r="H109" s="20"/>
      <c r="I109" s="5" t="s">
        <v>444</v>
      </c>
    </row>
    <row r="110" spans="2:9" ht="46.8" x14ac:dyDescent="0.3">
      <c r="B110" s="5" t="s">
        <v>445</v>
      </c>
      <c r="C110" s="5" t="s">
        <v>119</v>
      </c>
      <c r="D110" s="7" t="s">
        <v>26</v>
      </c>
      <c r="E110" s="6" t="s">
        <v>119</v>
      </c>
      <c r="F110" s="10">
        <v>3000000</v>
      </c>
      <c r="G110" s="10">
        <v>0</v>
      </c>
      <c r="H110" s="20"/>
      <c r="I110" s="5" t="s">
        <v>446</v>
      </c>
    </row>
    <row r="111" spans="2:9" ht="62.4" x14ac:dyDescent="0.3">
      <c r="B111" s="5" t="s">
        <v>447</v>
      </c>
      <c r="C111" s="5" t="s">
        <v>448</v>
      </c>
      <c r="D111" s="7" t="s">
        <v>6</v>
      </c>
      <c r="E111" s="6" t="s">
        <v>7</v>
      </c>
      <c r="F111" s="10">
        <v>5000000</v>
      </c>
      <c r="G111" s="10">
        <v>0</v>
      </c>
      <c r="H111" s="20"/>
      <c r="I111" s="5" t="s">
        <v>858</v>
      </c>
    </row>
    <row r="112" spans="2:9" ht="62.4" x14ac:dyDescent="0.3">
      <c r="B112" s="5" t="s">
        <v>449</v>
      </c>
      <c r="C112" s="5" t="s">
        <v>450</v>
      </c>
      <c r="D112" s="7" t="s">
        <v>21</v>
      </c>
      <c r="E112" s="6" t="s">
        <v>25</v>
      </c>
      <c r="F112" s="10">
        <v>12000000</v>
      </c>
      <c r="G112" s="10">
        <v>0</v>
      </c>
      <c r="H112" s="20"/>
      <c r="I112" s="5" t="s">
        <v>451</v>
      </c>
    </row>
    <row r="113" spans="2:9" ht="31.2" x14ac:dyDescent="0.3">
      <c r="B113" s="5" t="s">
        <v>452</v>
      </c>
      <c r="C113" s="5" t="s">
        <v>453</v>
      </c>
      <c r="D113" s="7" t="s">
        <v>6</v>
      </c>
      <c r="E113" s="6" t="s">
        <v>7</v>
      </c>
      <c r="F113" s="10">
        <v>2000000</v>
      </c>
      <c r="G113" s="10">
        <v>0</v>
      </c>
      <c r="H113" s="20"/>
      <c r="I113" s="5" t="s">
        <v>859</v>
      </c>
    </row>
    <row r="114" spans="2:9" ht="93.6" x14ac:dyDescent="0.3">
      <c r="B114" s="5" t="s">
        <v>454</v>
      </c>
      <c r="C114" s="5" t="s">
        <v>455</v>
      </c>
      <c r="D114" s="7" t="s">
        <v>21</v>
      </c>
      <c r="E114" s="6" t="s">
        <v>25</v>
      </c>
      <c r="F114" s="10">
        <v>2000000</v>
      </c>
      <c r="G114" s="10">
        <v>0</v>
      </c>
      <c r="H114" s="20"/>
      <c r="I114" s="5" t="s">
        <v>456</v>
      </c>
    </row>
    <row r="115" spans="2:9" ht="93.6" x14ac:dyDescent="0.3">
      <c r="B115" s="5" t="s">
        <v>101</v>
      </c>
      <c r="C115" s="5" t="s">
        <v>457</v>
      </c>
      <c r="D115" s="7" t="s">
        <v>18</v>
      </c>
      <c r="E115" s="6" t="s">
        <v>457</v>
      </c>
      <c r="F115" s="10">
        <v>4900000</v>
      </c>
      <c r="G115" s="10">
        <v>0</v>
      </c>
      <c r="H115" s="20"/>
      <c r="I115" s="5" t="s">
        <v>860</v>
      </c>
    </row>
    <row r="116" spans="2:9" ht="62.4" x14ac:dyDescent="0.3">
      <c r="B116" s="5" t="s">
        <v>458</v>
      </c>
      <c r="C116" s="5" t="s">
        <v>138</v>
      </c>
      <c r="D116" s="7" t="s">
        <v>36</v>
      </c>
      <c r="E116" s="6" t="s">
        <v>459</v>
      </c>
      <c r="F116" s="10">
        <v>2500000</v>
      </c>
      <c r="G116" s="10">
        <v>0</v>
      </c>
      <c r="H116" s="20"/>
      <c r="I116" s="5" t="s">
        <v>139</v>
      </c>
    </row>
    <row r="117" spans="2:9" ht="62.4" x14ac:dyDescent="0.3">
      <c r="B117" s="5" t="s">
        <v>460</v>
      </c>
      <c r="C117" s="5" t="s">
        <v>461</v>
      </c>
      <c r="D117" s="7" t="s">
        <v>56</v>
      </c>
      <c r="E117" s="6" t="s">
        <v>462</v>
      </c>
      <c r="F117" s="10">
        <v>1000000</v>
      </c>
      <c r="G117" s="10">
        <v>0</v>
      </c>
      <c r="H117" s="20"/>
      <c r="I117" s="5" t="s">
        <v>861</v>
      </c>
    </row>
    <row r="118" spans="2:9" ht="46.8" x14ac:dyDescent="0.3">
      <c r="B118" s="5" t="s">
        <v>463</v>
      </c>
      <c r="C118" s="5" t="s">
        <v>464</v>
      </c>
      <c r="D118" s="7" t="s">
        <v>52</v>
      </c>
      <c r="E118" s="6" t="s">
        <v>465</v>
      </c>
      <c r="F118" s="10">
        <v>1900000</v>
      </c>
      <c r="G118" s="10">
        <v>1000000</v>
      </c>
      <c r="H118" s="18" t="s">
        <v>1018</v>
      </c>
      <c r="I118" s="5" t="s">
        <v>466</v>
      </c>
    </row>
    <row r="119" spans="2:9" ht="93.6" x14ac:dyDescent="0.3">
      <c r="B119" s="5" t="s">
        <v>467</v>
      </c>
      <c r="C119" s="5" t="s">
        <v>54</v>
      </c>
      <c r="D119" s="7" t="s">
        <v>6</v>
      </c>
      <c r="E119" s="6" t="s">
        <v>7</v>
      </c>
      <c r="F119" s="10">
        <v>1300000</v>
      </c>
      <c r="G119" s="10">
        <v>0</v>
      </c>
      <c r="H119" s="20"/>
      <c r="I119" s="5" t="s">
        <v>468</v>
      </c>
    </row>
    <row r="120" spans="2:9" ht="46.8" x14ac:dyDescent="0.3">
      <c r="B120" s="5" t="s">
        <v>469</v>
      </c>
      <c r="C120" s="5" t="s">
        <v>470</v>
      </c>
      <c r="D120" s="7" t="s">
        <v>6</v>
      </c>
      <c r="E120" s="6" t="s">
        <v>7</v>
      </c>
      <c r="F120" s="10">
        <v>2000000</v>
      </c>
      <c r="G120" s="10">
        <v>0</v>
      </c>
      <c r="H120" s="20"/>
      <c r="I120" s="5" t="s">
        <v>471</v>
      </c>
    </row>
    <row r="121" spans="2:9" ht="93.6" x14ac:dyDescent="0.3">
      <c r="B121" s="5" t="s">
        <v>472</v>
      </c>
      <c r="C121" s="5" t="s">
        <v>473</v>
      </c>
      <c r="D121" s="7" t="s">
        <v>19</v>
      </c>
      <c r="E121" s="6" t="s">
        <v>474</v>
      </c>
      <c r="F121" s="10">
        <v>1029000</v>
      </c>
      <c r="G121" s="10">
        <v>0</v>
      </c>
      <c r="H121" s="20"/>
      <c r="I121" s="5" t="s">
        <v>475</v>
      </c>
    </row>
    <row r="122" spans="2:9" ht="62.4" x14ac:dyDescent="0.3">
      <c r="B122" s="5" t="s">
        <v>476</v>
      </c>
      <c r="C122" s="5" t="s">
        <v>477</v>
      </c>
      <c r="D122" s="7" t="s">
        <v>19</v>
      </c>
      <c r="E122" s="6" t="s">
        <v>166</v>
      </c>
      <c r="F122" s="10">
        <v>1000000</v>
      </c>
      <c r="G122" s="10">
        <v>0</v>
      </c>
      <c r="H122" s="20"/>
      <c r="I122" s="5" t="s">
        <v>478</v>
      </c>
    </row>
    <row r="123" spans="2:9" ht="93.6" x14ac:dyDescent="0.3">
      <c r="B123" s="5" t="s">
        <v>479</v>
      </c>
      <c r="C123" s="5" t="s">
        <v>162</v>
      </c>
      <c r="D123" s="7" t="s">
        <v>6</v>
      </c>
      <c r="E123" s="6" t="s">
        <v>7</v>
      </c>
      <c r="F123" s="10">
        <v>6400000</v>
      </c>
      <c r="G123" s="10">
        <v>0</v>
      </c>
      <c r="H123" s="20"/>
      <c r="I123" s="5" t="s">
        <v>480</v>
      </c>
    </row>
    <row r="124" spans="2:9" ht="62.4" x14ac:dyDescent="0.3">
      <c r="B124" s="5" t="s">
        <v>92</v>
      </c>
      <c r="C124" s="5" t="s">
        <v>93</v>
      </c>
      <c r="D124" s="7" t="s">
        <v>91</v>
      </c>
      <c r="E124" s="6" t="s">
        <v>94</v>
      </c>
      <c r="F124" s="10">
        <v>750000</v>
      </c>
      <c r="G124" s="10">
        <v>0</v>
      </c>
      <c r="H124" s="20"/>
      <c r="I124" s="5" t="s">
        <v>481</v>
      </c>
    </row>
    <row r="125" spans="2:9" ht="46.8" x14ac:dyDescent="0.3">
      <c r="B125" s="5" t="s">
        <v>482</v>
      </c>
      <c r="C125" s="5" t="s">
        <v>483</v>
      </c>
      <c r="D125" s="7" t="s">
        <v>28</v>
      </c>
      <c r="E125" s="6" t="s">
        <v>29</v>
      </c>
      <c r="F125" s="10">
        <v>2000000</v>
      </c>
      <c r="G125" s="10">
        <v>0</v>
      </c>
      <c r="H125" s="20"/>
      <c r="I125" s="5" t="s">
        <v>484</v>
      </c>
    </row>
    <row r="126" spans="2:9" ht="46.8" x14ac:dyDescent="0.3">
      <c r="B126" s="5" t="s">
        <v>485</v>
      </c>
      <c r="C126" s="5" t="s">
        <v>486</v>
      </c>
      <c r="D126" s="7" t="s">
        <v>487</v>
      </c>
      <c r="E126" s="6" t="s">
        <v>488</v>
      </c>
      <c r="F126" s="10">
        <v>4000000</v>
      </c>
      <c r="G126" s="10">
        <v>0</v>
      </c>
      <c r="H126" s="20"/>
      <c r="I126" s="5" t="s">
        <v>489</v>
      </c>
    </row>
    <row r="127" spans="2:9" ht="93.6" x14ac:dyDescent="0.3">
      <c r="B127" s="5" t="s">
        <v>490</v>
      </c>
      <c r="C127" s="5" t="s">
        <v>491</v>
      </c>
      <c r="D127" s="7" t="s">
        <v>21</v>
      </c>
      <c r="E127" s="6" t="s">
        <v>25</v>
      </c>
      <c r="F127" s="10">
        <v>2484120</v>
      </c>
      <c r="G127" s="10">
        <v>0</v>
      </c>
      <c r="H127" s="20"/>
      <c r="I127" s="5" t="s">
        <v>492</v>
      </c>
    </row>
    <row r="128" spans="2:9" ht="62.4" x14ac:dyDescent="0.3">
      <c r="B128" s="5" t="s">
        <v>493</v>
      </c>
      <c r="C128" s="5" t="s">
        <v>494</v>
      </c>
      <c r="D128" s="7" t="s">
        <v>6</v>
      </c>
      <c r="E128" s="6" t="s">
        <v>7</v>
      </c>
      <c r="F128" s="10">
        <v>500000</v>
      </c>
      <c r="G128" s="10">
        <v>0</v>
      </c>
      <c r="H128" s="20"/>
      <c r="I128" s="5" t="s">
        <v>495</v>
      </c>
    </row>
    <row r="129" spans="2:9" ht="78" x14ac:dyDescent="0.3">
      <c r="B129" s="5" t="s">
        <v>496</v>
      </c>
      <c r="C129" s="5" t="s">
        <v>497</v>
      </c>
      <c r="D129" s="7" t="s">
        <v>6</v>
      </c>
      <c r="E129" s="6" t="s">
        <v>7</v>
      </c>
      <c r="F129" s="10">
        <v>4000000</v>
      </c>
      <c r="G129" s="10">
        <v>0</v>
      </c>
      <c r="H129" s="20"/>
      <c r="I129" s="5" t="s">
        <v>498</v>
      </c>
    </row>
    <row r="130" spans="2:9" ht="62.4" x14ac:dyDescent="0.3">
      <c r="B130" s="5" t="s">
        <v>499</v>
      </c>
      <c r="C130" s="5" t="s">
        <v>500</v>
      </c>
      <c r="D130" s="7" t="s">
        <v>21</v>
      </c>
      <c r="E130" s="6" t="s">
        <v>25</v>
      </c>
      <c r="F130" s="10">
        <v>4500000</v>
      </c>
      <c r="G130" s="10">
        <v>0</v>
      </c>
      <c r="H130" s="20"/>
      <c r="I130" s="5" t="s">
        <v>501</v>
      </c>
    </row>
    <row r="131" spans="2:9" ht="93.6" x14ac:dyDescent="0.3">
      <c r="B131" s="5" t="s">
        <v>502</v>
      </c>
      <c r="C131" s="5" t="s">
        <v>20</v>
      </c>
      <c r="D131" s="7" t="s">
        <v>21</v>
      </c>
      <c r="E131" s="6" t="s">
        <v>25</v>
      </c>
      <c r="F131" s="10">
        <v>5000000</v>
      </c>
      <c r="G131" s="10">
        <v>0</v>
      </c>
      <c r="H131" s="20"/>
      <c r="I131" s="5" t="s">
        <v>862</v>
      </c>
    </row>
    <row r="132" spans="2:9" ht="46.8" x14ac:dyDescent="0.3">
      <c r="B132" s="5" t="s">
        <v>503</v>
      </c>
      <c r="C132" s="5" t="s">
        <v>504</v>
      </c>
      <c r="D132" s="7" t="s">
        <v>18</v>
      </c>
      <c r="E132" s="6" t="s">
        <v>505</v>
      </c>
      <c r="F132" s="10">
        <v>2000000</v>
      </c>
      <c r="G132" s="10">
        <v>0</v>
      </c>
      <c r="H132" s="20"/>
      <c r="I132" s="5" t="s">
        <v>506</v>
      </c>
    </row>
    <row r="133" spans="2:9" ht="78" x14ac:dyDescent="0.3">
      <c r="B133" s="5" t="s">
        <v>507</v>
      </c>
      <c r="C133" s="5" t="s">
        <v>508</v>
      </c>
      <c r="D133" s="7" t="s">
        <v>6</v>
      </c>
      <c r="E133" s="6" t="s">
        <v>7</v>
      </c>
      <c r="F133" s="10">
        <v>8000000</v>
      </c>
      <c r="G133" s="10">
        <v>0</v>
      </c>
      <c r="H133" s="20"/>
      <c r="I133" s="5" t="s">
        <v>509</v>
      </c>
    </row>
    <row r="134" spans="2:9" ht="93.6" x14ac:dyDescent="0.3">
      <c r="B134" s="5" t="s">
        <v>510</v>
      </c>
      <c r="C134" s="5" t="s">
        <v>162</v>
      </c>
      <c r="D134" s="7" t="s">
        <v>6</v>
      </c>
      <c r="E134" s="6" t="s">
        <v>7</v>
      </c>
      <c r="F134" s="10">
        <v>17820000</v>
      </c>
      <c r="G134" s="10">
        <v>0</v>
      </c>
      <c r="H134" s="20"/>
      <c r="I134" s="5" t="s">
        <v>511</v>
      </c>
    </row>
    <row r="135" spans="2:9" ht="46.8" x14ac:dyDescent="0.3">
      <c r="B135" s="5" t="s">
        <v>512</v>
      </c>
      <c r="C135" s="5" t="s">
        <v>513</v>
      </c>
      <c r="D135" s="7" t="s">
        <v>21</v>
      </c>
      <c r="E135" s="6" t="s">
        <v>514</v>
      </c>
      <c r="F135" s="10">
        <v>5000000</v>
      </c>
      <c r="G135" s="10">
        <v>0</v>
      </c>
      <c r="H135" s="20"/>
      <c r="I135" s="5" t="s">
        <v>863</v>
      </c>
    </row>
    <row r="136" spans="2:9" ht="93.6" x14ac:dyDescent="0.3">
      <c r="B136" s="5" t="s">
        <v>515</v>
      </c>
      <c r="C136" s="5" t="s">
        <v>78</v>
      </c>
      <c r="D136" s="7" t="s">
        <v>79</v>
      </c>
      <c r="E136" s="6" t="s">
        <v>78</v>
      </c>
      <c r="F136" s="10">
        <v>1500000</v>
      </c>
      <c r="G136" s="10">
        <v>0</v>
      </c>
      <c r="H136" s="20"/>
      <c r="I136" s="5" t="s">
        <v>864</v>
      </c>
    </row>
    <row r="137" spans="2:9" ht="78" x14ac:dyDescent="0.3">
      <c r="B137" s="5" t="s">
        <v>516</v>
      </c>
      <c r="C137" s="5" t="s">
        <v>517</v>
      </c>
      <c r="D137" s="7" t="s">
        <v>21</v>
      </c>
      <c r="E137" s="6" t="s">
        <v>25</v>
      </c>
      <c r="F137" s="10">
        <v>5000000</v>
      </c>
      <c r="G137" s="10">
        <v>0</v>
      </c>
      <c r="H137" s="20"/>
      <c r="I137" s="5" t="s">
        <v>518</v>
      </c>
    </row>
    <row r="138" spans="2:9" ht="62.4" x14ac:dyDescent="0.3">
      <c r="B138" s="5" t="s">
        <v>519</v>
      </c>
      <c r="C138" s="5" t="s">
        <v>69</v>
      </c>
      <c r="D138" s="7" t="s">
        <v>6</v>
      </c>
      <c r="E138" s="6" t="s">
        <v>7</v>
      </c>
      <c r="F138" s="10">
        <v>5000000</v>
      </c>
      <c r="G138" s="10">
        <v>0</v>
      </c>
      <c r="H138" s="20"/>
      <c r="I138" s="5" t="s">
        <v>520</v>
      </c>
    </row>
    <row r="139" spans="2:9" ht="93.6" x14ac:dyDescent="0.3">
      <c r="B139" s="5" t="s">
        <v>521</v>
      </c>
      <c r="C139" s="5" t="s">
        <v>86</v>
      </c>
      <c r="D139" s="7" t="s">
        <v>21</v>
      </c>
      <c r="E139" s="6" t="s">
        <v>25</v>
      </c>
      <c r="F139" s="10">
        <v>2000000</v>
      </c>
      <c r="G139" s="10">
        <v>0</v>
      </c>
      <c r="H139" s="20"/>
      <c r="I139" s="5" t="s">
        <v>522</v>
      </c>
    </row>
    <row r="140" spans="2:9" ht="46.8" x14ac:dyDescent="0.3">
      <c r="B140" s="5" t="s">
        <v>523</v>
      </c>
      <c r="C140" s="5" t="s">
        <v>524</v>
      </c>
      <c r="D140" s="7" t="s">
        <v>21</v>
      </c>
      <c r="E140" s="6" t="s">
        <v>25</v>
      </c>
      <c r="F140" s="10">
        <v>3000000</v>
      </c>
      <c r="G140" s="10">
        <v>0</v>
      </c>
      <c r="H140" s="20"/>
      <c r="I140" s="5" t="s">
        <v>525</v>
      </c>
    </row>
    <row r="141" spans="2:9" ht="93.6" x14ac:dyDescent="0.3">
      <c r="B141" s="5" t="s">
        <v>526</v>
      </c>
      <c r="C141" s="5" t="s">
        <v>527</v>
      </c>
      <c r="D141" s="7" t="s">
        <v>21</v>
      </c>
      <c r="E141" s="6" t="s">
        <v>25</v>
      </c>
      <c r="F141" s="10">
        <v>5000000</v>
      </c>
      <c r="G141" s="10">
        <v>0</v>
      </c>
      <c r="H141" s="20"/>
      <c r="I141" s="5" t="s">
        <v>865</v>
      </c>
    </row>
    <row r="142" spans="2:9" ht="46.8" x14ac:dyDescent="0.3">
      <c r="B142" s="5" t="s">
        <v>528</v>
      </c>
      <c r="C142" s="5" t="s">
        <v>529</v>
      </c>
      <c r="D142" s="7" t="s">
        <v>6</v>
      </c>
      <c r="E142" s="6" t="s">
        <v>7</v>
      </c>
      <c r="F142" s="10">
        <v>2000000</v>
      </c>
      <c r="G142" s="10">
        <v>0</v>
      </c>
      <c r="H142" s="20"/>
      <c r="I142" s="5" t="s">
        <v>530</v>
      </c>
    </row>
    <row r="143" spans="2:9" ht="31.2" x14ac:dyDescent="0.3">
      <c r="B143" s="5" t="s">
        <v>531</v>
      </c>
      <c r="C143" s="5" t="s">
        <v>453</v>
      </c>
      <c r="D143" s="7" t="s">
        <v>6</v>
      </c>
      <c r="E143" s="6" t="s">
        <v>7</v>
      </c>
      <c r="F143" s="10">
        <v>5000000</v>
      </c>
      <c r="G143" s="10">
        <v>0</v>
      </c>
      <c r="H143" s="20"/>
      <c r="I143" s="5" t="s">
        <v>866</v>
      </c>
    </row>
    <row r="144" spans="2:9" ht="62.4" x14ac:dyDescent="0.3">
      <c r="B144" s="5" t="s">
        <v>532</v>
      </c>
      <c r="C144" s="5" t="s">
        <v>533</v>
      </c>
      <c r="D144" s="7" t="s">
        <v>67</v>
      </c>
      <c r="E144" s="6" t="s">
        <v>68</v>
      </c>
      <c r="F144" s="10">
        <v>8000000</v>
      </c>
      <c r="G144" s="10">
        <v>0</v>
      </c>
      <c r="H144" s="20"/>
      <c r="I144" s="5" t="s">
        <v>534</v>
      </c>
    </row>
    <row r="145" spans="2:9" ht="78" x14ac:dyDescent="0.3">
      <c r="B145" s="5" t="s">
        <v>535</v>
      </c>
      <c r="C145" s="5" t="s">
        <v>536</v>
      </c>
      <c r="D145" s="7" t="s">
        <v>56</v>
      </c>
      <c r="E145" s="6" t="s">
        <v>537</v>
      </c>
      <c r="F145" s="10">
        <v>1600000</v>
      </c>
      <c r="G145" s="10">
        <v>0</v>
      </c>
      <c r="H145" s="20"/>
      <c r="I145" s="5" t="s">
        <v>538</v>
      </c>
    </row>
    <row r="146" spans="2:9" ht="93.6" x14ac:dyDescent="0.3">
      <c r="B146" s="5" t="s">
        <v>539</v>
      </c>
      <c r="C146" s="5" t="s">
        <v>473</v>
      </c>
      <c r="D146" s="7" t="s">
        <v>21</v>
      </c>
      <c r="E146" s="6" t="s">
        <v>540</v>
      </c>
      <c r="F146" s="10">
        <v>1409000</v>
      </c>
      <c r="G146" s="10">
        <v>0</v>
      </c>
      <c r="H146" s="20"/>
      <c r="I146" s="5" t="s">
        <v>541</v>
      </c>
    </row>
    <row r="147" spans="2:9" ht="93.6" x14ac:dyDescent="0.3">
      <c r="B147" s="5" t="s">
        <v>542</v>
      </c>
      <c r="C147" s="5" t="s">
        <v>543</v>
      </c>
      <c r="D147" s="7" t="s">
        <v>6</v>
      </c>
      <c r="E147" s="6" t="s">
        <v>7</v>
      </c>
      <c r="F147" s="10">
        <v>10000000</v>
      </c>
      <c r="G147" s="10">
        <v>0</v>
      </c>
      <c r="H147" s="20"/>
      <c r="I147" s="5" t="s">
        <v>867</v>
      </c>
    </row>
    <row r="148" spans="2:9" ht="62.4" x14ac:dyDescent="0.3">
      <c r="B148" s="5" t="s">
        <v>544</v>
      </c>
      <c r="C148" s="5" t="s">
        <v>545</v>
      </c>
      <c r="D148" s="7" t="s">
        <v>36</v>
      </c>
      <c r="E148" s="6" t="s">
        <v>546</v>
      </c>
      <c r="F148" s="10">
        <v>1500000</v>
      </c>
      <c r="G148" s="10">
        <v>0</v>
      </c>
      <c r="H148" s="20"/>
      <c r="I148" s="5" t="s">
        <v>547</v>
      </c>
    </row>
    <row r="149" spans="2:9" ht="93.6" x14ac:dyDescent="0.3">
      <c r="B149" s="5" t="s">
        <v>548</v>
      </c>
      <c r="C149" s="5" t="s">
        <v>549</v>
      </c>
      <c r="D149" s="7" t="s">
        <v>120</v>
      </c>
      <c r="E149" s="6" t="s">
        <v>121</v>
      </c>
      <c r="F149" s="10">
        <v>500000</v>
      </c>
      <c r="G149" s="10">
        <v>0</v>
      </c>
      <c r="H149" s="20"/>
      <c r="I149" s="5" t="s">
        <v>868</v>
      </c>
    </row>
    <row r="150" spans="2:9" ht="93.6" x14ac:dyDescent="0.3">
      <c r="B150" s="5" t="s">
        <v>550</v>
      </c>
      <c r="C150" s="5" t="s">
        <v>551</v>
      </c>
      <c r="D150" s="7" t="s">
        <v>16</v>
      </c>
      <c r="E150" s="6" t="s">
        <v>552</v>
      </c>
      <c r="F150" s="10">
        <v>1000000</v>
      </c>
      <c r="G150" s="10">
        <v>0</v>
      </c>
      <c r="H150" s="20"/>
      <c r="I150" s="5" t="s">
        <v>553</v>
      </c>
    </row>
    <row r="151" spans="2:9" ht="62.4" x14ac:dyDescent="0.3">
      <c r="B151" s="5" t="s">
        <v>554</v>
      </c>
      <c r="C151" s="5" t="s">
        <v>555</v>
      </c>
      <c r="D151" s="7" t="s">
        <v>120</v>
      </c>
      <c r="E151" s="6" t="s">
        <v>121</v>
      </c>
      <c r="F151" s="10">
        <v>3500000</v>
      </c>
      <c r="G151" s="10">
        <v>0</v>
      </c>
      <c r="H151" s="20"/>
      <c r="I151" s="5" t="s">
        <v>869</v>
      </c>
    </row>
    <row r="152" spans="2:9" ht="93.6" x14ac:dyDescent="0.3">
      <c r="B152" s="5" t="s">
        <v>556</v>
      </c>
      <c r="C152" s="5" t="s">
        <v>870</v>
      </c>
      <c r="D152" s="7" t="s">
        <v>6</v>
      </c>
      <c r="E152" s="6" t="s">
        <v>7</v>
      </c>
      <c r="F152" s="10">
        <v>600000</v>
      </c>
      <c r="G152" s="10">
        <v>0</v>
      </c>
      <c r="H152" s="20"/>
      <c r="I152" s="5" t="s">
        <v>557</v>
      </c>
    </row>
    <row r="153" spans="2:9" ht="93.6" x14ac:dyDescent="0.3">
      <c r="B153" s="5" t="s">
        <v>558</v>
      </c>
      <c r="C153" s="5" t="s">
        <v>558</v>
      </c>
      <c r="D153" s="7" t="s">
        <v>28</v>
      </c>
      <c r="E153" s="6" t="s">
        <v>29</v>
      </c>
      <c r="F153" s="10">
        <v>5000000</v>
      </c>
      <c r="G153" s="10">
        <v>0</v>
      </c>
      <c r="H153" s="20"/>
      <c r="I153" s="5" t="s">
        <v>559</v>
      </c>
    </row>
    <row r="154" spans="2:9" ht="31.2" x14ac:dyDescent="0.3">
      <c r="B154" s="5" t="s">
        <v>560</v>
      </c>
      <c r="C154" s="5" t="s">
        <v>143</v>
      </c>
      <c r="D154" s="7" t="s">
        <v>36</v>
      </c>
      <c r="E154" s="6" t="s">
        <v>144</v>
      </c>
      <c r="F154" s="10">
        <v>3000000</v>
      </c>
      <c r="G154" s="10">
        <v>0</v>
      </c>
      <c r="H154" s="20"/>
      <c r="I154" s="5" t="s">
        <v>145</v>
      </c>
    </row>
    <row r="155" spans="2:9" ht="62.4" x14ac:dyDescent="0.3">
      <c r="B155" s="5" t="s">
        <v>561</v>
      </c>
      <c r="C155" s="5" t="s">
        <v>562</v>
      </c>
      <c r="D155" s="7" t="s">
        <v>6</v>
      </c>
      <c r="E155" s="6" t="s">
        <v>7</v>
      </c>
      <c r="F155" s="10">
        <v>20000000</v>
      </c>
      <c r="G155" s="10">
        <v>5000000</v>
      </c>
      <c r="H155" s="18" t="s">
        <v>1021</v>
      </c>
      <c r="I155" s="5" t="s">
        <v>563</v>
      </c>
    </row>
    <row r="156" spans="2:9" ht="78" x14ac:dyDescent="0.3">
      <c r="B156" s="5" t="s">
        <v>564</v>
      </c>
      <c r="C156" s="5" t="s">
        <v>565</v>
      </c>
      <c r="D156" s="7" t="s">
        <v>27</v>
      </c>
      <c r="E156" s="6" t="s">
        <v>565</v>
      </c>
      <c r="F156" s="10">
        <v>1000000</v>
      </c>
      <c r="G156" s="10">
        <v>0</v>
      </c>
      <c r="H156" s="20"/>
      <c r="I156" s="5" t="s">
        <v>566</v>
      </c>
    </row>
    <row r="157" spans="2:9" ht="93.6" x14ac:dyDescent="0.3">
      <c r="B157" s="5" t="s">
        <v>567</v>
      </c>
      <c r="C157" s="5" t="s">
        <v>568</v>
      </c>
      <c r="D157" s="7" t="s">
        <v>106</v>
      </c>
      <c r="E157" s="6" t="s">
        <v>569</v>
      </c>
      <c r="F157" s="10">
        <v>1500000</v>
      </c>
      <c r="G157" s="10">
        <v>0</v>
      </c>
      <c r="H157" s="20"/>
      <c r="I157" s="5" t="s">
        <v>570</v>
      </c>
    </row>
    <row r="158" spans="2:9" ht="31.2" x14ac:dyDescent="0.3">
      <c r="B158" s="5" t="s">
        <v>571</v>
      </c>
      <c r="C158" s="5" t="s">
        <v>572</v>
      </c>
      <c r="D158" s="7" t="s">
        <v>21</v>
      </c>
      <c r="E158" s="6" t="s">
        <v>573</v>
      </c>
      <c r="F158" s="10">
        <v>500000</v>
      </c>
      <c r="G158" s="10">
        <v>0</v>
      </c>
      <c r="H158" s="20"/>
      <c r="I158" s="5" t="s">
        <v>574</v>
      </c>
    </row>
    <row r="159" spans="2:9" ht="62.4" x14ac:dyDescent="0.3">
      <c r="B159" s="5" t="s">
        <v>575</v>
      </c>
      <c r="C159" s="5" t="s">
        <v>576</v>
      </c>
      <c r="D159" s="7" t="s">
        <v>26</v>
      </c>
      <c r="E159" s="6" t="s">
        <v>577</v>
      </c>
      <c r="F159" s="10">
        <v>500000</v>
      </c>
      <c r="G159" s="10">
        <v>0</v>
      </c>
      <c r="H159" s="20"/>
      <c r="I159" s="5" t="s">
        <v>871</v>
      </c>
    </row>
    <row r="160" spans="2:9" ht="93.6" x14ac:dyDescent="0.3">
      <c r="B160" s="5" t="s">
        <v>578</v>
      </c>
      <c r="C160" s="5" t="s">
        <v>579</v>
      </c>
      <c r="D160" s="7" t="s">
        <v>56</v>
      </c>
      <c r="E160" s="6" t="s">
        <v>580</v>
      </c>
      <c r="F160" s="10">
        <v>1000000</v>
      </c>
      <c r="G160" s="10">
        <v>0</v>
      </c>
      <c r="H160" s="20"/>
      <c r="I160" s="5" t="s">
        <v>581</v>
      </c>
    </row>
    <row r="161" spans="2:9" ht="93.6" x14ac:dyDescent="0.3">
      <c r="B161" s="5" t="s">
        <v>582</v>
      </c>
      <c r="C161" s="5" t="s">
        <v>583</v>
      </c>
      <c r="D161" s="7" t="s">
        <v>21</v>
      </c>
      <c r="E161" s="6" t="s">
        <v>25</v>
      </c>
      <c r="F161" s="10">
        <v>3000000</v>
      </c>
      <c r="G161" s="10">
        <v>0</v>
      </c>
      <c r="H161" s="20"/>
      <c r="I161" s="5" t="s">
        <v>872</v>
      </c>
    </row>
    <row r="162" spans="2:9" ht="78" x14ac:dyDescent="0.3">
      <c r="B162" s="5" t="s">
        <v>584</v>
      </c>
      <c r="C162" s="5" t="s">
        <v>585</v>
      </c>
      <c r="D162" s="7" t="s">
        <v>6</v>
      </c>
      <c r="E162" s="6" t="s">
        <v>7</v>
      </c>
      <c r="F162" s="10">
        <v>4000000</v>
      </c>
      <c r="G162" s="10">
        <v>0</v>
      </c>
      <c r="H162" s="20"/>
      <c r="I162" s="5" t="s">
        <v>586</v>
      </c>
    </row>
    <row r="163" spans="2:9" ht="62.4" x14ac:dyDescent="0.3">
      <c r="B163" s="5" t="s">
        <v>587</v>
      </c>
      <c r="C163" s="5" t="s">
        <v>588</v>
      </c>
      <c r="D163" s="7" t="s">
        <v>39</v>
      </c>
      <c r="E163" s="6" t="s">
        <v>589</v>
      </c>
      <c r="F163" s="10">
        <v>1000000</v>
      </c>
      <c r="G163" s="10">
        <v>0</v>
      </c>
      <c r="H163" s="20"/>
      <c r="I163" s="5" t="s">
        <v>590</v>
      </c>
    </row>
    <row r="164" spans="2:9" ht="62.4" x14ac:dyDescent="0.3">
      <c r="B164" s="5" t="s">
        <v>591</v>
      </c>
      <c r="C164" s="5" t="s">
        <v>592</v>
      </c>
      <c r="D164" s="7" t="s">
        <v>6</v>
      </c>
      <c r="E164" s="6" t="s">
        <v>7</v>
      </c>
      <c r="F164" s="10">
        <v>8000000</v>
      </c>
      <c r="G164" s="10">
        <v>0</v>
      </c>
      <c r="H164" s="20"/>
      <c r="I164" s="5" t="s">
        <v>593</v>
      </c>
    </row>
    <row r="165" spans="2:9" ht="93.6" x14ac:dyDescent="0.3">
      <c r="B165" s="5" t="s">
        <v>110</v>
      </c>
      <c r="C165" s="5" t="s">
        <v>594</v>
      </c>
      <c r="D165" s="7" t="s">
        <v>34</v>
      </c>
      <c r="E165" s="6" t="s">
        <v>35</v>
      </c>
      <c r="F165" s="10">
        <v>10500000</v>
      </c>
      <c r="G165" s="10">
        <v>0</v>
      </c>
      <c r="H165" s="20"/>
      <c r="I165" s="5" t="s">
        <v>873</v>
      </c>
    </row>
    <row r="166" spans="2:9" ht="62.4" x14ac:dyDescent="0.3">
      <c r="B166" s="5" t="s">
        <v>595</v>
      </c>
      <c r="C166" s="5" t="s">
        <v>596</v>
      </c>
      <c r="D166" s="7" t="s">
        <v>270</v>
      </c>
      <c r="E166" s="6" t="s">
        <v>597</v>
      </c>
      <c r="F166" s="10">
        <v>1000000</v>
      </c>
      <c r="G166" s="10">
        <v>0</v>
      </c>
      <c r="H166" s="20"/>
      <c r="I166" s="5" t="s">
        <v>874</v>
      </c>
    </row>
    <row r="167" spans="2:9" ht="78" x14ac:dyDescent="0.3">
      <c r="B167" s="5" t="s">
        <v>598</v>
      </c>
      <c r="C167" s="5" t="s">
        <v>599</v>
      </c>
      <c r="D167" s="7" t="s">
        <v>37</v>
      </c>
      <c r="E167" s="6" t="s">
        <v>600</v>
      </c>
      <c r="F167" s="10">
        <v>6000000</v>
      </c>
      <c r="G167" s="10">
        <v>0</v>
      </c>
      <c r="H167" s="20"/>
      <c r="I167" s="5" t="s">
        <v>601</v>
      </c>
    </row>
    <row r="168" spans="2:9" ht="93.6" x14ac:dyDescent="0.3">
      <c r="B168" s="5" t="s">
        <v>602</v>
      </c>
      <c r="C168" s="5" t="s">
        <v>603</v>
      </c>
      <c r="D168" s="7" t="s">
        <v>56</v>
      </c>
      <c r="E168" s="6" t="s">
        <v>604</v>
      </c>
      <c r="F168" s="10">
        <v>1000000</v>
      </c>
      <c r="G168" s="10">
        <v>0</v>
      </c>
      <c r="H168" s="20"/>
      <c r="I168" s="5" t="s">
        <v>875</v>
      </c>
    </row>
    <row r="169" spans="2:9" ht="78" x14ac:dyDescent="0.3">
      <c r="B169" s="5" t="s">
        <v>605</v>
      </c>
      <c r="C169" s="5" t="s">
        <v>606</v>
      </c>
      <c r="D169" s="7" t="s">
        <v>36</v>
      </c>
      <c r="E169" s="6" t="s">
        <v>606</v>
      </c>
      <c r="F169" s="10">
        <v>3300000</v>
      </c>
      <c r="G169" s="10">
        <v>0</v>
      </c>
      <c r="H169" s="20"/>
      <c r="I169" s="5" t="s">
        <v>607</v>
      </c>
    </row>
    <row r="170" spans="2:9" ht="62.4" x14ac:dyDescent="0.3">
      <c r="B170" s="5" t="s">
        <v>608</v>
      </c>
      <c r="C170" s="5" t="s">
        <v>608</v>
      </c>
      <c r="D170" s="7" t="s">
        <v>56</v>
      </c>
      <c r="E170" s="6" t="s">
        <v>58</v>
      </c>
      <c r="F170" s="10">
        <v>6000000</v>
      </c>
      <c r="G170" s="10">
        <v>0</v>
      </c>
      <c r="H170" s="20"/>
      <c r="I170" s="5" t="s">
        <v>609</v>
      </c>
    </row>
    <row r="171" spans="2:9" ht="46.8" x14ac:dyDescent="0.3">
      <c r="B171" s="5" t="s">
        <v>610</v>
      </c>
      <c r="C171" s="5" t="s">
        <v>611</v>
      </c>
      <c r="D171" s="7" t="s">
        <v>15</v>
      </c>
      <c r="E171" s="6" t="s">
        <v>14</v>
      </c>
      <c r="F171" s="10">
        <v>3500000</v>
      </c>
      <c r="G171" s="10">
        <v>0</v>
      </c>
      <c r="H171" s="20"/>
      <c r="I171" s="5" t="s">
        <v>612</v>
      </c>
    </row>
    <row r="172" spans="2:9" ht="93.6" x14ac:dyDescent="0.3">
      <c r="B172" s="5" t="s">
        <v>613</v>
      </c>
      <c r="C172" s="5" t="s">
        <v>614</v>
      </c>
      <c r="D172" s="7" t="s">
        <v>6</v>
      </c>
      <c r="E172" s="6" t="s">
        <v>7</v>
      </c>
      <c r="F172" s="10">
        <v>500000</v>
      </c>
      <c r="G172" s="10">
        <v>0</v>
      </c>
      <c r="H172" s="20"/>
      <c r="I172" s="5" t="s">
        <v>615</v>
      </c>
    </row>
    <row r="173" spans="2:9" ht="62.4" x14ac:dyDescent="0.3">
      <c r="B173" s="5" t="s">
        <v>616</v>
      </c>
      <c r="C173" s="5" t="s">
        <v>617</v>
      </c>
      <c r="D173" s="7" t="s">
        <v>24</v>
      </c>
      <c r="E173" s="6" t="s">
        <v>44</v>
      </c>
      <c r="F173" s="10">
        <v>12000000</v>
      </c>
      <c r="G173" s="10">
        <v>0</v>
      </c>
      <c r="H173" s="20"/>
      <c r="I173" s="5" t="s">
        <v>618</v>
      </c>
    </row>
    <row r="174" spans="2:9" ht="78" x14ac:dyDescent="0.3">
      <c r="B174" s="5" t="s">
        <v>619</v>
      </c>
      <c r="C174" s="5" t="s">
        <v>620</v>
      </c>
      <c r="D174" s="7" t="s">
        <v>36</v>
      </c>
      <c r="E174" s="6" t="s">
        <v>621</v>
      </c>
      <c r="F174" s="10">
        <v>2188000</v>
      </c>
      <c r="G174" s="10">
        <v>0</v>
      </c>
      <c r="H174" s="20"/>
      <c r="I174" s="5" t="s">
        <v>622</v>
      </c>
    </row>
    <row r="175" spans="2:9" x14ac:dyDescent="0.3">
      <c r="B175" s="5" t="s">
        <v>623</v>
      </c>
      <c r="C175" s="5" t="s">
        <v>44</v>
      </c>
      <c r="D175" s="7" t="s">
        <v>24</v>
      </c>
      <c r="E175" s="6" t="s">
        <v>44</v>
      </c>
      <c r="F175" s="10">
        <v>1500000</v>
      </c>
      <c r="G175" s="10">
        <v>0</v>
      </c>
      <c r="H175" s="20"/>
      <c r="I175" s="5" t="s">
        <v>876</v>
      </c>
    </row>
    <row r="176" spans="2:9" ht="93.6" x14ac:dyDescent="0.3">
      <c r="B176" s="5" t="s">
        <v>624</v>
      </c>
      <c r="C176" s="5" t="s">
        <v>625</v>
      </c>
      <c r="D176" s="7" t="s">
        <v>39</v>
      </c>
      <c r="E176" s="6" t="s">
        <v>98</v>
      </c>
      <c r="F176" s="10">
        <v>4500000</v>
      </c>
      <c r="G176" s="10">
        <v>0</v>
      </c>
      <c r="H176" s="20"/>
      <c r="I176" s="5" t="s">
        <v>626</v>
      </c>
    </row>
    <row r="177" spans="2:9" ht="62.4" x14ac:dyDescent="0.3">
      <c r="B177" s="5" t="s">
        <v>627</v>
      </c>
      <c r="C177" s="5" t="s">
        <v>628</v>
      </c>
      <c r="D177" s="7" t="s">
        <v>21</v>
      </c>
      <c r="E177" s="6" t="s">
        <v>629</v>
      </c>
      <c r="F177" s="10">
        <v>4500000</v>
      </c>
      <c r="G177" s="10">
        <v>0</v>
      </c>
      <c r="H177" s="20"/>
      <c r="I177" s="5" t="s">
        <v>630</v>
      </c>
    </row>
    <row r="178" spans="2:9" ht="109.2" x14ac:dyDescent="0.3">
      <c r="B178" s="5" t="s">
        <v>631</v>
      </c>
      <c r="C178" s="5" t="s">
        <v>632</v>
      </c>
      <c r="D178" s="7" t="s">
        <v>16</v>
      </c>
      <c r="E178" s="6" t="s">
        <v>633</v>
      </c>
      <c r="F178" s="10">
        <v>2500000</v>
      </c>
      <c r="G178" s="10">
        <v>0</v>
      </c>
      <c r="H178" s="20"/>
      <c r="I178" s="5" t="s">
        <v>634</v>
      </c>
    </row>
    <row r="179" spans="2:9" ht="46.8" x14ac:dyDescent="0.3">
      <c r="B179" s="5" t="s">
        <v>635</v>
      </c>
      <c r="C179" s="5" t="s">
        <v>636</v>
      </c>
      <c r="D179" s="7" t="s">
        <v>26</v>
      </c>
      <c r="E179" s="6" t="s">
        <v>62</v>
      </c>
      <c r="F179" s="10">
        <v>10000000</v>
      </c>
      <c r="G179" s="10">
        <v>0</v>
      </c>
      <c r="H179" s="20"/>
      <c r="I179" s="5" t="s">
        <v>877</v>
      </c>
    </row>
    <row r="180" spans="2:9" ht="31.2" x14ac:dyDescent="0.3">
      <c r="B180" s="5" t="s">
        <v>637</v>
      </c>
      <c r="C180" s="5" t="s">
        <v>638</v>
      </c>
      <c r="D180" s="7" t="s">
        <v>6</v>
      </c>
      <c r="E180" s="6" t="s">
        <v>7</v>
      </c>
      <c r="F180" s="10">
        <v>3000000</v>
      </c>
      <c r="G180" s="10">
        <v>0</v>
      </c>
      <c r="H180" s="20"/>
      <c r="I180" s="5" t="s">
        <v>639</v>
      </c>
    </row>
    <row r="181" spans="2:9" ht="46.8" x14ac:dyDescent="0.3">
      <c r="B181" s="5" t="s">
        <v>640</v>
      </c>
      <c r="C181" s="5" t="s">
        <v>641</v>
      </c>
      <c r="D181" s="7" t="s">
        <v>26</v>
      </c>
      <c r="E181" s="6" t="s">
        <v>642</v>
      </c>
      <c r="F181" s="10">
        <v>1500000</v>
      </c>
      <c r="G181" s="10">
        <v>0</v>
      </c>
      <c r="H181" s="20"/>
      <c r="I181" s="5" t="s">
        <v>643</v>
      </c>
    </row>
    <row r="182" spans="2:9" ht="93.6" x14ac:dyDescent="0.3">
      <c r="B182" s="5" t="s">
        <v>644</v>
      </c>
      <c r="C182" s="5" t="s">
        <v>620</v>
      </c>
      <c r="D182" s="7" t="s">
        <v>36</v>
      </c>
      <c r="E182" s="6" t="s">
        <v>645</v>
      </c>
      <c r="F182" s="10">
        <v>10000000</v>
      </c>
      <c r="G182" s="10">
        <v>0</v>
      </c>
      <c r="H182" s="20"/>
      <c r="I182" s="5" t="s">
        <v>646</v>
      </c>
    </row>
    <row r="183" spans="2:9" ht="78" x14ac:dyDescent="0.3">
      <c r="B183" s="5" t="s">
        <v>647</v>
      </c>
      <c r="C183" s="5" t="s">
        <v>112</v>
      </c>
      <c r="D183" s="7" t="s">
        <v>111</v>
      </c>
      <c r="E183" s="6" t="s">
        <v>112</v>
      </c>
      <c r="F183" s="10">
        <v>1250000</v>
      </c>
      <c r="G183" s="10">
        <v>0</v>
      </c>
      <c r="H183" s="20"/>
      <c r="I183" s="5" t="s">
        <v>648</v>
      </c>
    </row>
    <row r="184" spans="2:9" ht="78" x14ac:dyDescent="0.3">
      <c r="B184" s="5" t="s">
        <v>649</v>
      </c>
      <c r="C184" s="5" t="s">
        <v>650</v>
      </c>
      <c r="D184" s="7" t="s">
        <v>6</v>
      </c>
      <c r="E184" s="6" t="s">
        <v>7</v>
      </c>
      <c r="F184" s="10">
        <v>2300000</v>
      </c>
      <c r="G184" s="10">
        <v>0</v>
      </c>
      <c r="H184" s="20"/>
      <c r="I184" s="5" t="s">
        <v>651</v>
      </c>
    </row>
    <row r="185" spans="2:9" ht="62.4" x14ac:dyDescent="0.3">
      <c r="B185" s="5" t="s">
        <v>652</v>
      </c>
      <c r="C185" s="5" t="s">
        <v>653</v>
      </c>
      <c r="D185" s="7" t="s">
        <v>6</v>
      </c>
      <c r="E185" s="6" t="s">
        <v>7</v>
      </c>
      <c r="F185" s="10">
        <v>500000</v>
      </c>
      <c r="G185" s="10">
        <v>0</v>
      </c>
      <c r="H185" s="20"/>
      <c r="I185" s="5" t="s">
        <v>654</v>
      </c>
    </row>
    <row r="186" spans="2:9" ht="46.8" x14ac:dyDescent="0.3">
      <c r="B186" s="5" t="s">
        <v>655</v>
      </c>
      <c r="C186" s="5" t="s">
        <v>656</v>
      </c>
      <c r="D186" s="7" t="s">
        <v>52</v>
      </c>
      <c r="E186" s="6" t="s">
        <v>657</v>
      </c>
      <c r="F186" s="10">
        <v>10000000</v>
      </c>
      <c r="G186" s="10">
        <v>0</v>
      </c>
      <c r="H186" s="20"/>
      <c r="I186" s="5" t="s">
        <v>658</v>
      </c>
    </row>
    <row r="187" spans="2:9" ht="93.6" x14ac:dyDescent="0.3">
      <c r="B187" s="5" t="s">
        <v>659</v>
      </c>
      <c r="C187" s="5" t="s">
        <v>76</v>
      </c>
      <c r="D187" s="7" t="s">
        <v>24</v>
      </c>
      <c r="E187" s="6" t="s">
        <v>122</v>
      </c>
      <c r="F187" s="10">
        <v>8075000</v>
      </c>
      <c r="G187" s="10">
        <v>0</v>
      </c>
      <c r="H187" s="20"/>
      <c r="I187" s="5" t="s">
        <v>878</v>
      </c>
    </row>
    <row r="188" spans="2:9" ht="62.4" x14ac:dyDescent="0.3">
      <c r="B188" s="5" t="s">
        <v>660</v>
      </c>
      <c r="C188" s="5" t="s">
        <v>661</v>
      </c>
      <c r="D188" s="7" t="s">
        <v>34</v>
      </c>
      <c r="E188" s="6" t="s">
        <v>662</v>
      </c>
      <c r="F188" s="10">
        <v>2500000</v>
      </c>
      <c r="G188" s="10">
        <v>0</v>
      </c>
      <c r="H188" s="20"/>
      <c r="I188" s="5" t="s">
        <v>879</v>
      </c>
    </row>
    <row r="189" spans="2:9" ht="78" x14ac:dyDescent="0.3">
      <c r="B189" s="5" t="s">
        <v>663</v>
      </c>
      <c r="C189" s="5" t="s">
        <v>664</v>
      </c>
      <c r="D189" s="7" t="s">
        <v>17</v>
      </c>
      <c r="E189" s="6" t="s">
        <v>123</v>
      </c>
      <c r="F189" s="10">
        <v>5000000</v>
      </c>
      <c r="G189" s="10">
        <v>0</v>
      </c>
      <c r="H189" s="20"/>
      <c r="I189" s="5" t="s">
        <v>665</v>
      </c>
    </row>
    <row r="190" spans="2:9" ht="62.4" x14ac:dyDescent="0.3">
      <c r="B190" s="5" t="s">
        <v>666</v>
      </c>
      <c r="C190" s="5" t="s">
        <v>14</v>
      </c>
      <c r="D190" s="7" t="s">
        <v>15</v>
      </c>
      <c r="E190" s="6" t="s">
        <v>14</v>
      </c>
      <c r="F190" s="10">
        <v>2500000</v>
      </c>
      <c r="G190" s="10">
        <v>0</v>
      </c>
      <c r="H190" s="20"/>
      <c r="I190" s="5" t="s">
        <v>667</v>
      </c>
    </row>
    <row r="191" spans="2:9" ht="78" x14ac:dyDescent="0.3">
      <c r="B191" s="5" t="s">
        <v>668</v>
      </c>
      <c r="C191" s="5" t="s">
        <v>669</v>
      </c>
      <c r="D191" s="7" t="s">
        <v>24</v>
      </c>
      <c r="E191" s="6" t="s">
        <v>670</v>
      </c>
      <c r="F191" s="10">
        <v>1000000</v>
      </c>
      <c r="G191" s="10">
        <v>0</v>
      </c>
      <c r="H191" s="20"/>
      <c r="I191" s="5" t="s">
        <v>671</v>
      </c>
    </row>
    <row r="192" spans="2:9" ht="62.4" x14ac:dyDescent="0.3">
      <c r="B192" s="5" t="s">
        <v>672</v>
      </c>
      <c r="C192" s="5" t="s">
        <v>673</v>
      </c>
      <c r="D192" s="7" t="s">
        <v>6</v>
      </c>
      <c r="E192" s="6" t="s">
        <v>7</v>
      </c>
      <c r="F192" s="10">
        <v>4000000</v>
      </c>
      <c r="G192" s="10">
        <v>0</v>
      </c>
      <c r="H192" s="20"/>
      <c r="I192" s="5" t="s">
        <v>674</v>
      </c>
    </row>
    <row r="193" spans="2:9" ht="93.6" x14ac:dyDescent="0.3">
      <c r="B193" s="5" t="s">
        <v>567</v>
      </c>
      <c r="C193" s="5" t="s">
        <v>568</v>
      </c>
      <c r="D193" s="7" t="s">
        <v>36</v>
      </c>
      <c r="E193" s="6" t="s">
        <v>675</v>
      </c>
      <c r="F193" s="10">
        <v>4000000</v>
      </c>
      <c r="G193" s="10">
        <v>0</v>
      </c>
      <c r="H193" s="20"/>
      <c r="I193" s="5" t="s">
        <v>676</v>
      </c>
    </row>
    <row r="194" spans="2:9" ht="78" x14ac:dyDescent="0.3">
      <c r="B194" s="5" t="s">
        <v>677</v>
      </c>
      <c r="C194" s="5" t="s">
        <v>678</v>
      </c>
      <c r="D194" s="7" t="s">
        <v>6</v>
      </c>
      <c r="E194" s="6" t="s">
        <v>7</v>
      </c>
      <c r="F194" s="10">
        <v>4000000</v>
      </c>
      <c r="G194" s="10">
        <v>0</v>
      </c>
      <c r="H194" s="20"/>
      <c r="I194" s="5" t="s">
        <v>679</v>
      </c>
    </row>
    <row r="195" spans="2:9" ht="62.4" x14ac:dyDescent="0.3">
      <c r="B195" s="5" t="s">
        <v>680</v>
      </c>
      <c r="C195" s="5" t="s">
        <v>681</v>
      </c>
      <c r="D195" s="7" t="s">
        <v>178</v>
      </c>
      <c r="E195" s="6" t="s">
        <v>682</v>
      </c>
      <c r="F195" s="10">
        <v>3500000</v>
      </c>
      <c r="G195" s="10">
        <v>0</v>
      </c>
      <c r="H195" s="20"/>
      <c r="I195" s="5" t="s">
        <v>683</v>
      </c>
    </row>
    <row r="196" spans="2:9" ht="62.4" x14ac:dyDescent="0.3">
      <c r="B196" s="5" t="s">
        <v>684</v>
      </c>
      <c r="C196" s="5" t="s">
        <v>684</v>
      </c>
      <c r="D196" s="7" t="s">
        <v>125</v>
      </c>
      <c r="E196" s="6" t="s">
        <v>126</v>
      </c>
      <c r="F196" s="10">
        <v>8000000</v>
      </c>
      <c r="G196" s="10">
        <v>0</v>
      </c>
      <c r="H196" s="20"/>
      <c r="I196" s="5" t="s">
        <v>685</v>
      </c>
    </row>
    <row r="197" spans="2:9" ht="93.6" x14ac:dyDescent="0.3">
      <c r="B197" s="5" t="s">
        <v>686</v>
      </c>
      <c r="C197" s="5" t="s">
        <v>687</v>
      </c>
      <c r="D197" s="7" t="s">
        <v>19</v>
      </c>
      <c r="E197" s="6" t="s">
        <v>687</v>
      </c>
      <c r="F197" s="10">
        <v>600000</v>
      </c>
      <c r="G197" s="10">
        <v>0</v>
      </c>
      <c r="H197" s="20"/>
      <c r="I197" s="5" t="s">
        <v>880</v>
      </c>
    </row>
    <row r="198" spans="2:9" ht="62.4" x14ac:dyDescent="0.3">
      <c r="B198" s="5" t="s">
        <v>80</v>
      </c>
      <c r="C198" s="5" t="s">
        <v>137</v>
      </c>
      <c r="D198" s="7" t="s">
        <v>56</v>
      </c>
      <c r="E198" s="6" t="s">
        <v>58</v>
      </c>
      <c r="F198" s="10">
        <v>4500000</v>
      </c>
      <c r="G198" s="10">
        <v>0</v>
      </c>
      <c r="H198" s="20"/>
      <c r="I198" s="5" t="s">
        <v>688</v>
      </c>
    </row>
    <row r="199" spans="2:9" ht="62.4" x14ac:dyDescent="0.3">
      <c r="B199" s="5" t="s">
        <v>689</v>
      </c>
      <c r="C199" s="5" t="s">
        <v>690</v>
      </c>
      <c r="D199" s="7" t="s">
        <v>41</v>
      </c>
      <c r="E199" s="6" t="s">
        <v>42</v>
      </c>
      <c r="F199" s="10">
        <v>3200000</v>
      </c>
      <c r="G199" s="10">
        <v>0</v>
      </c>
      <c r="H199" s="20"/>
      <c r="I199" s="5" t="s">
        <v>691</v>
      </c>
    </row>
    <row r="200" spans="2:9" ht="93.6" x14ac:dyDescent="0.3">
      <c r="B200" s="5" t="s">
        <v>692</v>
      </c>
      <c r="C200" s="5" t="s">
        <v>147</v>
      </c>
      <c r="D200" s="7" t="s">
        <v>6</v>
      </c>
      <c r="E200" s="6" t="s">
        <v>7</v>
      </c>
      <c r="F200" s="10">
        <v>1400000</v>
      </c>
      <c r="G200" s="10">
        <v>0</v>
      </c>
      <c r="H200" s="20"/>
      <c r="I200" s="5" t="s">
        <v>693</v>
      </c>
    </row>
    <row r="201" spans="2:9" ht="46.8" x14ac:dyDescent="0.3">
      <c r="B201" s="5" t="s">
        <v>694</v>
      </c>
      <c r="C201" s="5" t="s">
        <v>44</v>
      </c>
      <c r="D201" s="7" t="s">
        <v>24</v>
      </c>
      <c r="E201" s="6" t="s">
        <v>44</v>
      </c>
      <c r="F201" s="10">
        <v>650000</v>
      </c>
      <c r="G201" s="10">
        <v>0</v>
      </c>
      <c r="H201" s="20"/>
      <c r="I201" s="5" t="s">
        <v>881</v>
      </c>
    </row>
    <row r="202" spans="2:9" ht="31.2" x14ac:dyDescent="0.3">
      <c r="B202" s="5" t="s">
        <v>695</v>
      </c>
      <c r="C202" s="5" t="s">
        <v>696</v>
      </c>
      <c r="D202" s="7" t="s">
        <v>6</v>
      </c>
      <c r="E202" s="6" t="s">
        <v>7</v>
      </c>
      <c r="F202" s="10">
        <v>750000</v>
      </c>
      <c r="G202" s="10">
        <v>0</v>
      </c>
      <c r="H202" s="20"/>
      <c r="I202" s="5" t="s">
        <v>697</v>
      </c>
    </row>
    <row r="203" spans="2:9" ht="31.2" x14ac:dyDescent="0.3">
      <c r="B203" s="5" t="s">
        <v>698</v>
      </c>
      <c r="C203" s="5" t="s">
        <v>44</v>
      </c>
      <c r="D203" s="7" t="s">
        <v>24</v>
      </c>
      <c r="E203" s="6" t="s">
        <v>44</v>
      </c>
      <c r="F203" s="10">
        <v>12000000</v>
      </c>
      <c r="G203" s="10">
        <v>0</v>
      </c>
      <c r="H203" s="20"/>
      <c r="I203" s="5" t="s">
        <v>699</v>
      </c>
    </row>
    <row r="204" spans="2:9" ht="93.6" x14ac:dyDescent="0.3">
      <c r="B204" s="5" t="s">
        <v>700</v>
      </c>
      <c r="C204" s="5" t="s">
        <v>701</v>
      </c>
      <c r="D204" s="7" t="s">
        <v>113</v>
      </c>
      <c r="E204" s="6" t="s">
        <v>114</v>
      </c>
      <c r="F204" s="10">
        <v>5569084</v>
      </c>
      <c r="G204" s="10">
        <v>0</v>
      </c>
      <c r="H204" s="20"/>
      <c r="I204" s="5" t="s">
        <v>702</v>
      </c>
    </row>
    <row r="205" spans="2:9" ht="62.4" x14ac:dyDescent="0.3">
      <c r="B205" s="5" t="s">
        <v>703</v>
      </c>
      <c r="C205" s="5" t="s">
        <v>704</v>
      </c>
      <c r="D205" s="7" t="s">
        <v>39</v>
      </c>
      <c r="E205" s="6" t="s">
        <v>53</v>
      </c>
      <c r="F205" s="10">
        <v>1200000</v>
      </c>
      <c r="G205" s="10">
        <v>0</v>
      </c>
      <c r="H205" s="20"/>
      <c r="I205" s="5" t="s">
        <v>882</v>
      </c>
    </row>
    <row r="206" spans="2:9" ht="62.4" x14ac:dyDescent="0.3">
      <c r="B206" s="5" t="s">
        <v>705</v>
      </c>
      <c r="C206" s="5" t="s">
        <v>38</v>
      </c>
      <c r="D206" s="7" t="s">
        <v>39</v>
      </c>
      <c r="E206" s="6" t="s">
        <v>53</v>
      </c>
      <c r="F206" s="10">
        <v>525000</v>
      </c>
      <c r="G206" s="10">
        <v>0</v>
      </c>
      <c r="H206" s="20"/>
      <c r="I206" s="5" t="s">
        <v>883</v>
      </c>
    </row>
    <row r="207" spans="2:9" ht="46.8" x14ac:dyDescent="0.3">
      <c r="B207" s="5" t="s">
        <v>706</v>
      </c>
      <c r="C207" s="5" t="s">
        <v>707</v>
      </c>
      <c r="D207" s="7" t="s">
        <v>6</v>
      </c>
      <c r="E207" s="6" t="s">
        <v>7</v>
      </c>
      <c r="F207" s="10">
        <v>1500000</v>
      </c>
      <c r="G207" s="10">
        <v>0</v>
      </c>
      <c r="H207" s="20"/>
      <c r="I207" s="5" t="s">
        <v>708</v>
      </c>
    </row>
    <row r="208" spans="2:9" ht="93.6" x14ac:dyDescent="0.3">
      <c r="B208" s="5" t="s">
        <v>149</v>
      </c>
      <c r="C208" s="5" t="s">
        <v>709</v>
      </c>
      <c r="D208" s="7" t="s">
        <v>6</v>
      </c>
      <c r="E208" s="6" t="s">
        <v>7</v>
      </c>
      <c r="F208" s="10">
        <v>5000000</v>
      </c>
      <c r="G208" s="10">
        <v>0</v>
      </c>
      <c r="H208" s="20"/>
      <c r="I208" s="5" t="s">
        <v>710</v>
      </c>
    </row>
    <row r="209" spans="2:9" ht="93.6" x14ac:dyDescent="0.3">
      <c r="B209" s="5" t="s">
        <v>711</v>
      </c>
      <c r="C209" s="5" t="s">
        <v>712</v>
      </c>
      <c r="D209" s="7" t="s">
        <v>6</v>
      </c>
      <c r="E209" s="6" t="s">
        <v>7</v>
      </c>
      <c r="F209" s="10">
        <v>5000000</v>
      </c>
      <c r="G209" s="10">
        <v>0</v>
      </c>
      <c r="H209" s="20"/>
      <c r="I209" s="5" t="s">
        <v>713</v>
      </c>
    </row>
    <row r="210" spans="2:9" ht="93.6" x14ac:dyDescent="0.3">
      <c r="B210" s="5" t="s">
        <v>714</v>
      </c>
      <c r="C210" s="5" t="s">
        <v>715</v>
      </c>
      <c r="D210" s="7" t="s">
        <v>26</v>
      </c>
      <c r="E210" s="6" t="s">
        <v>237</v>
      </c>
      <c r="F210" s="10">
        <v>5000000</v>
      </c>
      <c r="G210" s="10">
        <v>0</v>
      </c>
      <c r="H210" s="20"/>
      <c r="I210" s="5" t="s">
        <v>716</v>
      </c>
    </row>
    <row r="211" spans="2:9" ht="78" x14ac:dyDescent="0.3">
      <c r="B211" s="5" t="s">
        <v>156</v>
      </c>
      <c r="C211" s="5" t="s">
        <v>717</v>
      </c>
      <c r="D211" s="7" t="s">
        <v>6</v>
      </c>
      <c r="E211" s="6" t="s">
        <v>7</v>
      </c>
      <c r="F211" s="10">
        <v>1825000</v>
      </c>
      <c r="G211" s="10">
        <v>0</v>
      </c>
      <c r="H211" s="20"/>
      <c r="I211" s="5" t="s">
        <v>157</v>
      </c>
    </row>
    <row r="212" spans="2:9" ht="62.4" x14ac:dyDescent="0.3">
      <c r="B212" s="5" t="s">
        <v>718</v>
      </c>
      <c r="C212" s="5" t="s">
        <v>719</v>
      </c>
      <c r="D212" s="7" t="s">
        <v>9</v>
      </c>
      <c r="E212" s="6" t="s">
        <v>10</v>
      </c>
      <c r="F212" s="10">
        <v>750000</v>
      </c>
      <c r="G212" s="10">
        <v>0</v>
      </c>
      <c r="H212" s="20"/>
      <c r="I212" s="5" t="s">
        <v>874</v>
      </c>
    </row>
    <row r="213" spans="2:9" ht="93.6" x14ac:dyDescent="0.3">
      <c r="B213" s="5" t="s">
        <v>720</v>
      </c>
      <c r="C213" s="5" t="s">
        <v>721</v>
      </c>
      <c r="D213" s="7" t="s">
        <v>36</v>
      </c>
      <c r="E213" s="6" t="s">
        <v>722</v>
      </c>
      <c r="F213" s="10">
        <v>2000000</v>
      </c>
      <c r="G213" s="10">
        <v>0</v>
      </c>
      <c r="H213" s="20"/>
      <c r="I213" s="5" t="s">
        <v>723</v>
      </c>
    </row>
    <row r="214" spans="2:9" ht="93.6" x14ac:dyDescent="0.3">
      <c r="B214" s="5" t="s">
        <v>724</v>
      </c>
      <c r="C214" s="5" t="s">
        <v>725</v>
      </c>
      <c r="D214" s="7" t="s">
        <v>6</v>
      </c>
      <c r="E214" s="6" t="s">
        <v>7</v>
      </c>
      <c r="F214" s="10">
        <v>500000</v>
      </c>
      <c r="G214" s="10">
        <v>0</v>
      </c>
      <c r="H214" s="20"/>
      <c r="I214" s="5" t="s">
        <v>726</v>
      </c>
    </row>
    <row r="215" spans="2:9" ht="78" x14ac:dyDescent="0.3">
      <c r="B215" s="5" t="s">
        <v>727</v>
      </c>
      <c r="C215" s="5" t="s">
        <v>728</v>
      </c>
      <c r="D215" s="7" t="s">
        <v>15</v>
      </c>
      <c r="E215" s="6" t="s">
        <v>729</v>
      </c>
      <c r="F215" s="10">
        <v>1049371</v>
      </c>
      <c r="G215" s="10">
        <v>0</v>
      </c>
      <c r="H215" s="20"/>
      <c r="I215" s="5" t="s">
        <v>730</v>
      </c>
    </row>
    <row r="216" spans="2:9" ht="93.6" x14ac:dyDescent="0.3">
      <c r="B216" s="5" t="s">
        <v>884</v>
      </c>
      <c r="C216" s="5" t="s">
        <v>731</v>
      </c>
      <c r="D216" s="7" t="s">
        <v>72</v>
      </c>
      <c r="E216" s="6" t="s">
        <v>731</v>
      </c>
      <c r="F216" s="10">
        <v>3000000</v>
      </c>
      <c r="G216" s="10">
        <v>0</v>
      </c>
      <c r="H216" s="20"/>
      <c r="I216" s="5" t="s">
        <v>732</v>
      </c>
    </row>
    <row r="217" spans="2:9" ht="78" x14ac:dyDescent="0.3">
      <c r="B217" s="5" t="s">
        <v>163</v>
      </c>
      <c r="C217" s="5" t="s">
        <v>733</v>
      </c>
      <c r="D217" s="7" t="s">
        <v>6</v>
      </c>
      <c r="E217" s="6" t="s">
        <v>7</v>
      </c>
      <c r="F217" s="10">
        <v>4900000</v>
      </c>
      <c r="G217" s="10">
        <v>0</v>
      </c>
      <c r="H217" s="20"/>
      <c r="I217" s="5" t="s">
        <v>734</v>
      </c>
    </row>
    <row r="218" spans="2:9" ht="31.2" x14ac:dyDescent="0.3">
      <c r="B218" s="5" t="s">
        <v>735</v>
      </c>
      <c r="C218" s="5" t="s">
        <v>736</v>
      </c>
      <c r="D218" s="7" t="s">
        <v>111</v>
      </c>
      <c r="E218" s="6" t="s">
        <v>112</v>
      </c>
      <c r="F218" s="10">
        <v>4000000</v>
      </c>
      <c r="G218" s="10">
        <v>0</v>
      </c>
      <c r="H218" s="20"/>
      <c r="I218" s="5" t="s">
        <v>737</v>
      </c>
    </row>
    <row r="219" spans="2:9" ht="46.8" x14ac:dyDescent="0.3">
      <c r="B219" s="5" t="s">
        <v>738</v>
      </c>
      <c r="C219" s="5" t="s">
        <v>885</v>
      </c>
      <c r="D219" s="7" t="s">
        <v>9</v>
      </c>
      <c r="E219" s="6" t="s">
        <v>10</v>
      </c>
      <c r="F219" s="10">
        <v>4000000</v>
      </c>
      <c r="G219" s="10">
        <v>0</v>
      </c>
      <c r="H219" s="20"/>
      <c r="I219" s="5" t="s">
        <v>739</v>
      </c>
    </row>
    <row r="220" spans="2:9" ht="109.2" x14ac:dyDescent="0.3">
      <c r="B220" s="5" t="s">
        <v>73</v>
      </c>
      <c r="C220" s="5" t="s">
        <v>74</v>
      </c>
      <c r="D220" s="7" t="s">
        <v>43</v>
      </c>
      <c r="E220" s="6" t="s">
        <v>75</v>
      </c>
      <c r="F220" s="10">
        <v>3000000</v>
      </c>
      <c r="G220" s="10">
        <v>0</v>
      </c>
      <c r="H220" s="20"/>
      <c r="I220" s="5" t="s">
        <v>886</v>
      </c>
    </row>
    <row r="221" spans="2:9" ht="78" x14ac:dyDescent="0.3">
      <c r="B221" s="5" t="s">
        <v>740</v>
      </c>
      <c r="C221" s="5" t="s">
        <v>99</v>
      </c>
      <c r="D221" s="7" t="s">
        <v>39</v>
      </c>
      <c r="E221" s="6" t="s">
        <v>40</v>
      </c>
      <c r="F221" s="10">
        <v>5000000</v>
      </c>
      <c r="G221" s="10">
        <v>0</v>
      </c>
      <c r="H221" s="20"/>
      <c r="I221" s="5" t="s">
        <v>100</v>
      </c>
    </row>
    <row r="222" spans="2:9" ht="78" x14ac:dyDescent="0.3">
      <c r="B222" s="5" t="s">
        <v>741</v>
      </c>
      <c r="C222" s="5" t="s">
        <v>151</v>
      </c>
      <c r="D222" s="7" t="s">
        <v>6</v>
      </c>
      <c r="E222" s="6" t="s">
        <v>7</v>
      </c>
      <c r="F222" s="10">
        <v>2483550</v>
      </c>
      <c r="G222" s="10">
        <v>0</v>
      </c>
      <c r="H222" s="20"/>
      <c r="I222" s="5" t="s">
        <v>742</v>
      </c>
    </row>
    <row r="223" spans="2:9" ht="78" x14ac:dyDescent="0.3">
      <c r="B223" s="5" t="s">
        <v>743</v>
      </c>
      <c r="C223" s="5" t="s">
        <v>38</v>
      </c>
      <c r="D223" s="7" t="s">
        <v>39</v>
      </c>
      <c r="E223" s="6" t="s">
        <v>55</v>
      </c>
      <c r="F223" s="10">
        <v>1200000</v>
      </c>
      <c r="G223" s="10">
        <v>0</v>
      </c>
      <c r="H223" s="20"/>
      <c r="I223" s="5" t="s">
        <v>744</v>
      </c>
    </row>
    <row r="224" spans="2:9" ht="62.4" x14ac:dyDescent="0.3">
      <c r="B224" s="5" t="s">
        <v>97</v>
      </c>
      <c r="C224" s="5" t="s">
        <v>38</v>
      </c>
      <c r="D224" s="7" t="s">
        <v>39</v>
      </c>
      <c r="E224" s="6" t="s">
        <v>55</v>
      </c>
      <c r="F224" s="10">
        <v>2000000</v>
      </c>
      <c r="G224" s="10">
        <v>0</v>
      </c>
      <c r="H224" s="20"/>
      <c r="I224" s="5" t="s">
        <v>887</v>
      </c>
    </row>
    <row r="225" spans="2:9" ht="78" x14ac:dyDescent="0.3">
      <c r="B225" s="5" t="s">
        <v>745</v>
      </c>
      <c r="C225" s="5" t="s">
        <v>746</v>
      </c>
      <c r="D225" s="7" t="s">
        <v>19</v>
      </c>
      <c r="E225" s="6" t="s">
        <v>747</v>
      </c>
      <c r="F225" s="10">
        <v>2500000</v>
      </c>
      <c r="G225" s="10">
        <v>0</v>
      </c>
      <c r="H225" s="20"/>
      <c r="I225" s="5" t="s">
        <v>748</v>
      </c>
    </row>
    <row r="226" spans="2:9" ht="78" x14ac:dyDescent="0.3">
      <c r="B226" s="5" t="s">
        <v>164</v>
      </c>
      <c r="C226" s="5" t="s">
        <v>749</v>
      </c>
      <c r="D226" s="7" t="s">
        <v>19</v>
      </c>
      <c r="E226" s="6" t="s">
        <v>165</v>
      </c>
      <c r="F226" s="10">
        <v>5000000</v>
      </c>
      <c r="G226" s="10">
        <v>0</v>
      </c>
      <c r="H226" s="20"/>
      <c r="I226" s="5" t="s">
        <v>750</v>
      </c>
    </row>
    <row r="227" spans="2:9" ht="62.4" x14ac:dyDescent="0.3">
      <c r="B227" s="5" t="s">
        <v>751</v>
      </c>
      <c r="C227" s="5" t="s">
        <v>752</v>
      </c>
      <c r="D227" s="7" t="s">
        <v>21</v>
      </c>
      <c r="E227" s="6" t="s">
        <v>25</v>
      </c>
      <c r="F227" s="10">
        <v>8000000</v>
      </c>
      <c r="G227" s="10">
        <v>0</v>
      </c>
      <c r="H227" s="20"/>
      <c r="I227" s="5" t="s">
        <v>753</v>
      </c>
    </row>
    <row r="228" spans="2:9" ht="62.4" x14ac:dyDescent="0.3">
      <c r="B228" s="5" t="s">
        <v>90</v>
      </c>
      <c r="C228" s="5" t="s">
        <v>754</v>
      </c>
      <c r="D228" s="7" t="s">
        <v>21</v>
      </c>
      <c r="E228" s="6" t="s">
        <v>59</v>
      </c>
      <c r="F228" s="10">
        <v>640000</v>
      </c>
      <c r="G228" s="10">
        <v>0</v>
      </c>
      <c r="H228" s="20"/>
      <c r="I228" s="5" t="s">
        <v>888</v>
      </c>
    </row>
    <row r="229" spans="2:9" ht="62.4" x14ac:dyDescent="0.3">
      <c r="B229" s="5" t="s">
        <v>755</v>
      </c>
      <c r="C229" s="5" t="s">
        <v>756</v>
      </c>
      <c r="D229" s="7" t="s">
        <v>26</v>
      </c>
      <c r="E229" s="6" t="s">
        <v>757</v>
      </c>
      <c r="F229" s="10">
        <v>162500</v>
      </c>
      <c r="G229" s="10">
        <v>0</v>
      </c>
      <c r="H229" s="20"/>
      <c r="I229" s="5" t="s">
        <v>758</v>
      </c>
    </row>
    <row r="230" spans="2:9" ht="109.2" x14ac:dyDescent="0.3">
      <c r="B230" s="5" t="s">
        <v>759</v>
      </c>
      <c r="C230" s="5" t="s">
        <v>760</v>
      </c>
      <c r="D230" s="7" t="s">
        <v>36</v>
      </c>
      <c r="E230" s="6" t="s">
        <v>760</v>
      </c>
      <c r="F230" s="10">
        <v>500000</v>
      </c>
      <c r="G230" s="10">
        <v>0</v>
      </c>
      <c r="H230" s="20"/>
      <c r="I230" s="5" t="s">
        <v>889</v>
      </c>
    </row>
    <row r="231" spans="2:9" ht="109.2" x14ac:dyDescent="0.3">
      <c r="B231" s="5" t="s">
        <v>124</v>
      </c>
      <c r="C231" s="5" t="s">
        <v>66</v>
      </c>
      <c r="D231" s="7" t="s">
        <v>67</v>
      </c>
      <c r="E231" s="6" t="s">
        <v>68</v>
      </c>
      <c r="F231" s="10">
        <v>4000000</v>
      </c>
      <c r="G231" s="10">
        <v>0</v>
      </c>
      <c r="H231" s="20"/>
      <c r="I231" s="5" t="s">
        <v>761</v>
      </c>
    </row>
    <row r="232" spans="2:9" ht="78" x14ac:dyDescent="0.3">
      <c r="B232" s="5" t="s">
        <v>890</v>
      </c>
      <c r="C232" s="5" t="s">
        <v>140</v>
      </c>
      <c r="D232" s="7" t="s">
        <v>36</v>
      </c>
      <c r="E232" s="6" t="s">
        <v>141</v>
      </c>
      <c r="F232" s="10">
        <v>1200000</v>
      </c>
      <c r="G232" s="10">
        <v>0</v>
      </c>
      <c r="H232" s="20"/>
      <c r="I232" s="5" t="s">
        <v>142</v>
      </c>
    </row>
    <row r="233" spans="2:9" ht="62.4" x14ac:dyDescent="0.3">
      <c r="B233" s="5" t="s">
        <v>762</v>
      </c>
      <c r="C233" s="5" t="s">
        <v>763</v>
      </c>
      <c r="D233" s="7" t="s">
        <v>21</v>
      </c>
      <c r="E233" s="6" t="s">
        <v>764</v>
      </c>
      <c r="F233" s="10">
        <v>3000000</v>
      </c>
      <c r="G233" s="10">
        <v>0</v>
      </c>
      <c r="H233" s="20"/>
      <c r="I233" s="5" t="s">
        <v>765</v>
      </c>
    </row>
    <row r="234" spans="2:9" ht="78" x14ac:dyDescent="0.3">
      <c r="B234" s="5" t="s">
        <v>766</v>
      </c>
      <c r="C234" s="5" t="s">
        <v>767</v>
      </c>
      <c r="D234" s="7" t="s">
        <v>768</v>
      </c>
      <c r="E234" s="6" t="s">
        <v>769</v>
      </c>
      <c r="F234" s="10">
        <v>3000000</v>
      </c>
      <c r="G234" s="10">
        <v>0</v>
      </c>
      <c r="H234" s="20"/>
      <c r="I234" s="5" t="s">
        <v>770</v>
      </c>
    </row>
    <row r="235" spans="2:9" ht="78" x14ac:dyDescent="0.3">
      <c r="B235" s="5" t="s">
        <v>771</v>
      </c>
      <c r="C235" s="5" t="s">
        <v>772</v>
      </c>
      <c r="D235" s="7" t="s">
        <v>26</v>
      </c>
      <c r="E235" s="6" t="s">
        <v>577</v>
      </c>
      <c r="F235" s="10">
        <v>2092500</v>
      </c>
      <c r="G235" s="10">
        <v>0</v>
      </c>
      <c r="H235" s="20"/>
      <c r="I235" s="5" t="s">
        <v>773</v>
      </c>
    </row>
    <row r="236" spans="2:9" ht="93.6" x14ac:dyDescent="0.3">
      <c r="B236" s="5" t="s">
        <v>774</v>
      </c>
      <c r="C236" s="5" t="s">
        <v>775</v>
      </c>
      <c r="D236" s="7" t="s">
        <v>6</v>
      </c>
      <c r="E236" s="6" t="s">
        <v>7</v>
      </c>
      <c r="F236" s="10">
        <v>6000000</v>
      </c>
      <c r="G236" s="10">
        <v>0</v>
      </c>
      <c r="H236" s="20"/>
      <c r="I236" s="5" t="s">
        <v>776</v>
      </c>
    </row>
    <row r="237" spans="2:9" ht="93.6" x14ac:dyDescent="0.3">
      <c r="B237" s="5" t="s">
        <v>777</v>
      </c>
      <c r="C237" s="5" t="s">
        <v>775</v>
      </c>
      <c r="D237" s="7" t="s">
        <v>6</v>
      </c>
      <c r="E237" s="6" t="s">
        <v>7</v>
      </c>
      <c r="F237" s="10">
        <v>4000000</v>
      </c>
      <c r="G237" s="10">
        <v>0</v>
      </c>
      <c r="H237" s="20"/>
      <c r="I237" s="5" t="s">
        <v>778</v>
      </c>
    </row>
    <row r="238" spans="2:9" ht="78" x14ac:dyDescent="0.3">
      <c r="B238" s="5" t="s">
        <v>779</v>
      </c>
      <c r="C238" s="5" t="s">
        <v>780</v>
      </c>
      <c r="D238" s="7" t="s">
        <v>67</v>
      </c>
      <c r="E238" s="6" t="s">
        <v>781</v>
      </c>
      <c r="F238" s="10">
        <v>7000000</v>
      </c>
      <c r="G238" s="10">
        <v>0</v>
      </c>
      <c r="H238" s="20"/>
      <c r="I238" s="5" t="s">
        <v>782</v>
      </c>
    </row>
    <row r="239" spans="2:9" ht="93.6" x14ac:dyDescent="0.3">
      <c r="B239" s="5" t="s">
        <v>783</v>
      </c>
      <c r="C239" s="5" t="s">
        <v>784</v>
      </c>
      <c r="D239" s="7" t="s">
        <v>43</v>
      </c>
      <c r="E239" s="6" t="s">
        <v>75</v>
      </c>
      <c r="F239" s="10">
        <v>3000000</v>
      </c>
      <c r="G239" s="10">
        <v>0</v>
      </c>
      <c r="H239" s="20"/>
      <c r="I239" s="5" t="s">
        <v>891</v>
      </c>
    </row>
    <row r="240" spans="2:9" ht="78" x14ac:dyDescent="0.3">
      <c r="B240" s="5" t="s">
        <v>785</v>
      </c>
      <c r="C240" s="5" t="s">
        <v>786</v>
      </c>
      <c r="D240" s="7" t="s">
        <v>67</v>
      </c>
      <c r="E240" s="6" t="s">
        <v>68</v>
      </c>
      <c r="F240" s="10">
        <v>2660325</v>
      </c>
      <c r="G240" s="10">
        <v>0</v>
      </c>
      <c r="H240" s="20"/>
      <c r="I240" s="5" t="s">
        <v>787</v>
      </c>
    </row>
    <row r="241" spans="2:9" ht="93.6" x14ac:dyDescent="0.3">
      <c r="B241" s="5" t="s">
        <v>788</v>
      </c>
      <c r="C241" s="5" t="s">
        <v>789</v>
      </c>
      <c r="D241" s="7" t="s">
        <v>6</v>
      </c>
      <c r="E241" s="6" t="s">
        <v>7</v>
      </c>
      <c r="F241" s="10">
        <v>5000000</v>
      </c>
      <c r="G241" s="10">
        <v>0</v>
      </c>
      <c r="H241" s="20"/>
      <c r="I241" s="5" t="s">
        <v>892</v>
      </c>
    </row>
    <row r="242" spans="2:9" ht="93.6" x14ac:dyDescent="0.3">
      <c r="B242" s="5" t="s">
        <v>790</v>
      </c>
      <c r="C242" s="5" t="s">
        <v>154</v>
      </c>
      <c r="D242" s="7" t="s">
        <v>6</v>
      </c>
      <c r="E242" s="6" t="s">
        <v>7</v>
      </c>
      <c r="F242" s="10">
        <v>1756406</v>
      </c>
      <c r="G242" s="10">
        <v>0</v>
      </c>
      <c r="H242" s="20"/>
      <c r="I242" s="5" t="s">
        <v>893</v>
      </c>
    </row>
    <row r="243" spans="2:9" ht="93.6" x14ac:dyDescent="0.3">
      <c r="B243" s="5" t="s">
        <v>791</v>
      </c>
      <c r="C243" s="5" t="s">
        <v>775</v>
      </c>
      <c r="D243" s="7" t="s">
        <v>6</v>
      </c>
      <c r="E243" s="6" t="s">
        <v>7</v>
      </c>
      <c r="F243" s="10">
        <v>6000000</v>
      </c>
      <c r="G243" s="10">
        <v>0</v>
      </c>
      <c r="H243" s="20"/>
      <c r="I243" s="5" t="s">
        <v>792</v>
      </c>
    </row>
    <row r="244" spans="2:9" ht="93.6" x14ac:dyDescent="0.3">
      <c r="B244" s="5" t="s">
        <v>793</v>
      </c>
      <c r="C244" s="5" t="s">
        <v>794</v>
      </c>
      <c r="D244" s="7" t="s">
        <v>67</v>
      </c>
      <c r="E244" s="6" t="s">
        <v>794</v>
      </c>
      <c r="F244" s="10">
        <v>800000</v>
      </c>
      <c r="G244" s="10">
        <v>0</v>
      </c>
      <c r="H244" s="20"/>
      <c r="I244" s="5" t="s">
        <v>894</v>
      </c>
    </row>
    <row r="245" spans="2:9" ht="62.4" x14ac:dyDescent="0.3">
      <c r="B245" s="5" t="s">
        <v>795</v>
      </c>
      <c r="C245" s="5" t="s">
        <v>775</v>
      </c>
      <c r="D245" s="7" t="s">
        <v>6</v>
      </c>
      <c r="E245" s="6" t="s">
        <v>7</v>
      </c>
      <c r="F245" s="10">
        <v>6000000</v>
      </c>
      <c r="G245" s="10">
        <v>0</v>
      </c>
      <c r="H245" s="20"/>
      <c r="I245" s="5" t="s">
        <v>796</v>
      </c>
    </row>
    <row r="246" spans="2:9" ht="62.4" x14ac:dyDescent="0.3">
      <c r="B246" s="5" t="s">
        <v>797</v>
      </c>
      <c r="C246" s="5" t="s">
        <v>798</v>
      </c>
      <c r="D246" s="7" t="s">
        <v>16</v>
      </c>
      <c r="E246" s="6" t="s">
        <v>167</v>
      </c>
      <c r="F246" s="10">
        <v>2500000</v>
      </c>
      <c r="G246" s="10">
        <v>0</v>
      </c>
      <c r="H246" s="20"/>
      <c r="I246" s="5" t="s">
        <v>799</v>
      </c>
    </row>
    <row r="247" spans="2:9" ht="78" x14ac:dyDescent="0.3">
      <c r="B247" s="5" t="s">
        <v>800</v>
      </c>
      <c r="C247" s="5" t="s">
        <v>801</v>
      </c>
      <c r="D247" s="7" t="s">
        <v>178</v>
      </c>
      <c r="E247" s="6" t="s">
        <v>802</v>
      </c>
      <c r="F247" s="10">
        <v>1500000</v>
      </c>
      <c r="G247" s="10">
        <v>0</v>
      </c>
      <c r="H247" s="20"/>
      <c r="I247" s="5" t="s">
        <v>895</v>
      </c>
    </row>
    <row r="248" spans="2:9" ht="62.4" x14ac:dyDescent="0.3">
      <c r="B248" s="5" t="s">
        <v>803</v>
      </c>
      <c r="C248" s="5" t="s">
        <v>804</v>
      </c>
      <c r="D248" s="7" t="s">
        <v>6</v>
      </c>
      <c r="E248" s="6" t="s">
        <v>7</v>
      </c>
      <c r="F248" s="10">
        <v>3750000</v>
      </c>
      <c r="G248" s="10">
        <v>0</v>
      </c>
      <c r="H248" s="20"/>
      <c r="I248" s="5" t="s">
        <v>805</v>
      </c>
    </row>
    <row r="249" spans="2:9" ht="78" x14ac:dyDescent="0.3">
      <c r="B249" s="5" t="s">
        <v>806</v>
      </c>
      <c r="C249" s="5" t="s">
        <v>807</v>
      </c>
      <c r="D249" s="7" t="s">
        <v>34</v>
      </c>
      <c r="E249" s="6" t="s">
        <v>808</v>
      </c>
      <c r="F249" s="10">
        <v>500000</v>
      </c>
      <c r="G249" s="10">
        <v>0</v>
      </c>
      <c r="H249" s="20"/>
      <c r="I249" s="5" t="s">
        <v>896</v>
      </c>
    </row>
    <row r="250" spans="2:9" ht="78" x14ac:dyDescent="0.3">
      <c r="B250" s="5" t="s">
        <v>809</v>
      </c>
      <c r="C250" s="5" t="s">
        <v>810</v>
      </c>
      <c r="D250" s="7" t="s">
        <v>21</v>
      </c>
      <c r="E250" s="6" t="s">
        <v>810</v>
      </c>
      <c r="F250" s="10">
        <v>1000000</v>
      </c>
      <c r="G250" s="10">
        <v>0</v>
      </c>
      <c r="H250" s="20"/>
      <c r="I250" s="5" t="s">
        <v>811</v>
      </c>
    </row>
    <row r="251" spans="2:9" ht="62.4" x14ac:dyDescent="0.3">
      <c r="B251" s="5" t="s">
        <v>812</v>
      </c>
      <c r="C251" s="5" t="s">
        <v>813</v>
      </c>
      <c r="D251" s="7" t="s">
        <v>9</v>
      </c>
      <c r="E251" s="6" t="s">
        <v>10</v>
      </c>
      <c r="F251" s="10">
        <v>5000000</v>
      </c>
      <c r="G251" s="10">
        <v>0</v>
      </c>
      <c r="H251" s="20"/>
      <c r="I251" s="5" t="s">
        <v>897</v>
      </c>
    </row>
    <row r="252" spans="2:9" ht="93.6" x14ac:dyDescent="0.3">
      <c r="B252" s="5" t="s">
        <v>814</v>
      </c>
      <c r="C252" s="5" t="s">
        <v>815</v>
      </c>
      <c r="D252" s="7" t="s">
        <v>6</v>
      </c>
      <c r="E252" s="6" t="s">
        <v>7</v>
      </c>
      <c r="F252" s="10">
        <v>3500000</v>
      </c>
      <c r="G252" s="10">
        <v>0</v>
      </c>
      <c r="H252" s="20"/>
      <c r="I252" s="5" t="s">
        <v>816</v>
      </c>
    </row>
    <row r="253" spans="2:9" ht="78" x14ac:dyDescent="0.3">
      <c r="B253" s="5" t="s">
        <v>817</v>
      </c>
      <c r="C253" s="5" t="s">
        <v>775</v>
      </c>
      <c r="D253" s="7" t="s">
        <v>6</v>
      </c>
      <c r="E253" s="6" t="s">
        <v>7</v>
      </c>
      <c r="F253" s="10">
        <v>6000000</v>
      </c>
      <c r="G253" s="10">
        <v>0</v>
      </c>
      <c r="H253" s="20"/>
      <c r="I253" s="5" t="s">
        <v>818</v>
      </c>
    </row>
    <row r="254" spans="2:9" ht="93.6" x14ac:dyDescent="0.3">
      <c r="B254" s="5" t="s">
        <v>819</v>
      </c>
      <c r="C254" s="5" t="s">
        <v>820</v>
      </c>
      <c r="D254" s="7" t="s">
        <v>821</v>
      </c>
      <c r="E254" s="6" t="s">
        <v>822</v>
      </c>
      <c r="F254" s="10">
        <v>525000</v>
      </c>
      <c r="G254" s="10">
        <v>0</v>
      </c>
      <c r="H254" s="20"/>
      <c r="I254" s="5" t="s">
        <v>898</v>
      </c>
    </row>
    <row r="255" spans="2:9" ht="78" x14ac:dyDescent="0.3">
      <c r="B255" s="5" t="s">
        <v>823</v>
      </c>
      <c r="C255" s="5" t="s">
        <v>824</v>
      </c>
      <c r="D255" s="7" t="s">
        <v>825</v>
      </c>
      <c r="E255" s="6" t="s">
        <v>826</v>
      </c>
      <c r="F255" s="10">
        <v>3000000</v>
      </c>
      <c r="G255" s="10">
        <v>0</v>
      </c>
      <c r="H255" s="20"/>
      <c r="I255" s="5" t="s">
        <v>827</v>
      </c>
    </row>
    <row r="256" spans="2:9" ht="46.8" x14ac:dyDescent="0.3">
      <c r="B256" s="5" t="s">
        <v>828</v>
      </c>
      <c r="C256" s="5" t="s">
        <v>829</v>
      </c>
      <c r="D256" s="7" t="s">
        <v>830</v>
      </c>
      <c r="E256" s="6" t="s">
        <v>831</v>
      </c>
      <c r="F256" s="10">
        <v>500000</v>
      </c>
      <c r="G256" s="10">
        <v>0</v>
      </c>
      <c r="H256" s="20"/>
      <c r="I256" s="5" t="s">
        <v>832</v>
      </c>
    </row>
    <row r="257" spans="2:9" ht="93.6" x14ac:dyDescent="0.3">
      <c r="B257" s="5" t="s">
        <v>833</v>
      </c>
      <c r="C257" s="5" t="s">
        <v>133</v>
      </c>
      <c r="D257" s="7" t="s">
        <v>487</v>
      </c>
      <c r="E257" s="6" t="s">
        <v>115</v>
      </c>
      <c r="F257" s="10">
        <v>3000000</v>
      </c>
      <c r="G257" s="10">
        <v>0</v>
      </c>
      <c r="H257" s="20"/>
      <c r="I257" s="5" t="s">
        <v>834</v>
      </c>
    </row>
    <row r="258" spans="2:9" ht="93.6" x14ac:dyDescent="0.3">
      <c r="B258" s="5" t="s">
        <v>901</v>
      </c>
      <c r="C258" s="5" t="s">
        <v>902</v>
      </c>
      <c r="D258" s="7" t="s">
        <v>6</v>
      </c>
      <c r="E258" s="6" t="s">
        <v>7</v>
      </c>
      <c r="F258" s="10">
        <v>1500000</v>
      </c>
      <c r="G258" s="10">
        <v>0</v>
      </c>
      <c r="H258" s="20"/>
      <c r="I258" s="5" t="s">
        <v>903</v>
      </c>
    </row>
    <row r="259" spans="2:9" ht="78" x14ac:dyDescent="0.3">
      <c r="B259" s="5" t="s">
        <v>904</v>
      </c>
      <c r="C259" s="5" t="s">
        <v>905</v>
      </c>
      <c r="D259" s="7" t="s">
        <v>6</v>
      </c>
      <c r="E259" s="6" t="s">
        <v>7</v>
      </c>
      <c r="F259" s="10">
        <v>1025000</v>
      </c>
      <c r="G259" s="10">
        <v>0</v>
      </c>
      <c r="H259" s="20"/>
      <c r="I259" s="5" t="s">
        <v>906</v>
      </c>
    </row>
    <row r="260" spans="2:9" ht="78" x14ac:dyDescent="0.3">
      <c r="B260" s="5" t="s">
        <v>907</v>
      </c>
      <c r="C260" s="5" t="s">
        <v>908</v>
      </c>
      <c r="D260" s="7" t="s">
        <v>28</v>
      </c>
      <c r="E260" s="6" t="s">
        <v>908</v>
      </c>
      <c r="F260" s="10">
        <v>1000000</v>
      </c>
      <c r="G260" s="10">
        <v>0</v>
      </c>
      <c r="H260" s="20"/>
      <c r="I260" s="5" t="s">
        <v>909</v>
      </c>
    </row>
    <row r="261" spans="2:9" ht="93.6" x14ac:dyDescent="0.3">
      <c r="B261" s="5" t="s">
        <v>910</v>
      </c>
      <c r="C261" s="5" t="s">
        <v>911</v>
      </c>
      <c r="D261" s="7" t="s">
        <v>6</v>
      </c>
      <c r="E261" s="6" t="s">
        <v>7</v>
      </c>
      <c r="F261" s="10">
        <v>873206</v>
      </c>
      <c r="G261" s="10">
        <v>0</v>
      </c>
      <c r="H261" s="20"/>
      <c r="I261" s="5" t="s">
        <v>912</v>
      </c>
    </row>
    <row r="262" spans="2:9" ht="93.6" x14ac:dyDescent="0.3">
      <c r="B262" s="5" t="s">
        <v>913</v>
      </c>
      <c r="C262" s="5" t="s">
        <v>914</v>
      </c>
      <c r="D262" s="7" t="s">
        <v>16</v>
      </c>
      <c r="E262" s="6" t="s">
        <v>167</v>
      </c>
      <c r="F262" s="10">
        <v>346049</v>
      </c>
      <c r="G262" s="10">
        <v>0</v>
      </c>
      <c r="H262" s="20"/>
      <c r="I262" s="5" t="s">
        <v>915</v>
      </c>
    </row>
    <row r="263" spans="2:9" ht="31.2" x14ac:dyDescent="0.3">
      <c r="B263" s="5" t="s">
        <v>916</v>
      </c>
      <c r="C263" s="5" t="s">
        <v>917</v>
      </c>
      <c r="D263" s="7" t="s">
        <v>21</v>
      </c>
      <c r="E263" s="6" t="s">
        <v>918</v>
      </c>
      <c r="F263" s="10">
        <v>1500000</v>
      </c>
      <c r="G263" s="10">
        <v>0</v>
      </c>
      <c r="H263" s="20"/>
      <c r="I263" s="5" t="s">
        <v>919</v>
      </c>
    </row>
    <row r="264" spans="2:9" ht="93.6" x14ac:dyDescent="0.3">
      <c r="B264" s="5" t="s">
        <v>920</v>
      </c>
      <c r="C264" s="5" t="s">
        <v>921</v>
      </c>
      <c r="D264" s="7" t="s">
        <v>6</v>
      </c>
      <c r="E264" s="6" t="s">
        <v>7</v>
      </c>
      <c r="F264" s="10">
        <v>600000</v>
      </c>
      <c r="G264" s="10">
        <v>0</v>
      </c>
      <c r="H264" s="20"/>
      <c r="I264" s="5" t="s">
        <v>922</v>
      </c>
    </row>
    <row r="265" spans="2:9" ht="78" x14ac:dyDescent="0.3">
      <c r="B265" s="5" t="s">
        <v>923</v>
      </c>
      <c r="C265" s="5" t="s">
        <v>990</v>
      </c>
      <c r="D265" s="7" t="s">
        <v>21</v>
      </c>
      <c r="E265" s="6" t="s">
        <v>25</v>
      </c>
      <c r="F265" s="10">
        <v>2000000</v>
      </c>
      <c r="G265" s="10">
        <v>0</v>
      </c>
      <c r="H265" s="20"/>
      <c r="I265" s="5" t="s">
        <v>924</v>
      </c>
    </row>
    <row r="266" spans="2:9" ht="93.6" x14ac:dyDescent="0.3">
      <c r="B266" s="5" t="s">
        <v>925</v>
      </c>
      <c r="C266" s="5" t="s">
        <v>926</v>
      </c>
      <c r="D266" s="7" t="s">
        <v>26</v>
      </c>
      <c r="E266" s="6" t="s">
        <v>927</v>
      </c>
      <c r="F266" s="10">
        <v>3000000</v>
      </c>
      <c r="G266" s="10">
        <v>0</v>
      </c>
      <c r="H266" s="20"/>
      <c r="I266" s="5" t="s">
        <v>991</v>
      </c>
    </row>
    <row r="267" spans="2:9" ht="78" x14ac:dyDescent="0.3">
      <c r="B267" s="5" t="s">
        <v>928</v>
      </c>
      <c r="C267" s="5" t="s">
        <v>929</v>
      </c>
      <c r="D267" s="7" t="s">
        <v>6</v>
      </c>
      <c r="E267" s="6" t="s">
        <v>7</v>
      </c>
      <c r="F267" s="10">
        <v>4500000</v>
      </c>
      <c r="G267" s="10">
        <v>0</v>
      </c>
      <c r="H267" s="20"/>
      <c r="I267" s="5" t="s">
        <v>930</v>
      </c>
    </row>
    <row r="268" spans="2:9" ht="78" x14ac:dyDescent="0.3">
      <c r="B268" s="5" t="s">
        <v>931</v>
      </c>
      <c r="C268" s="5" t="s">
        <v>932</v>
      </c>
      <c r="D268" s="7" t="s">
        <v>6</v>
      </c>
      <c r="E268" s="6" t="s">
        <v>7</v>
      </c>
      <c r="F268" s="10">
        <v>15000000</v>
      </c>
      <c r="G268" s="10">
        <v>0</v>
      </c>
      <c r="H268" s="20"/>
      <c r="I268" s="5" t="s">
        <v>933</v>
      </c>
    </row>
    <row r="269" spans="2:9" ht="46.8" x14ac:dyDescent="0.3">
      <c r="B269" s="5" t="s">
        <v>934</v>
      </c>
      <c r="C269" s="5" t="s">
        <v>935</v>
      </c>
      <c r="D269" s="7" t="s">
        <v>21</v>
      </c>
      <c r="E269" s="6" t="s">
        <v>936</v>
      </c>
      <c r="F269" s="10">
        <v>500000</v>
      </c>
      <c r="G269" s="10">
        <v>0</v>
      </c>
      <c r="H269" s="20"/>
      <c r="I269" s="5" t="s">
        <v>937</v>
      </c>
    </row>
    <row r="270" spans="2:9" ht="93.6" x14ac:dyDescent="0.3">
      <c r="B270" s="5" t="s">
        <v>938</v>
      </c>
      <c r="C270" s="5" t="s">
        <v>939</v>
      </c>
      <c r="D270" s="7" t="s">
        <v>39</v>
      </c>
      <c r="E270" s="6" t="s">
        <v>940</v>
      </c>
      <c r="F270" s="10">
        <v>4837611</v>
      </c>
      <c r="G270" s="10">
        <v>0</v>
      </c>
      <c r="H270" s="20"/>
      <c r="I270" s="5" t="s">
        <v>941</v>
      </c>
    </row>
    <row r="271" spans="2:9" ht="31.2" x14ac:dyDescent="0.3">
      <c r="B271" s="5" t="s">
        <v>942</v>
      </c>
      <c r="C271" s="5" t="s">
        <v>943</v>
      </c>
      <c r="D271" s="7" t="s">
        <v>37</v>
      </c>
      <c r="E271" s="6" t="s">
        <v>129</v>
      </c>
      <c r="F271" s="10">
        <v>3000000</v>
      </c>
      <c r="G271" s="10">
        <v>0</v>
      </c>
      <c r="H271" s="20"/>
      <c r="I271" s="5" t="s">
        <v>944</v>
      </c>
    </row>
    <row r="272" spans="2:9" ht="78" x14ac:dyDescent="0.3">
      <c r="B272" s="5" t="s">
        <v>945</v>
      </c>
      <c r="C272" s="5" t="s">
        <v>946</v>
      </c>
      <c r="D272" s="7" t="s">
        <v>6</v>
      </c>
      <c r="E272" s="6" t="s">
        <v>7</v>
      </c>
      <c r="F272" s="10">
        <v>1500000</v>
      </c>
      <c r="G272" s="10">
        <v>0</v>
      </c>
      <c r="H272" s="20"/>
      <c r="I272" s="5" t="s">
        <v>947</v>
      </c>
    </row>
    <row r="273" spans="2:9" ht="46.8" x14ac:dyDescent="0.3">
      <c r="B273" s="5" t="s">
        <v>948</v>
      </c>
      <c r="C273" s="5" t="s">
        <v>949</v>
      </c>
      <c r="D273" s="7" t="s">
        <v>52</v>
      </c>
      <c r="E273" s="6" t="s">
        <v>77</v>
      </c>
      <c r="F273" s="10">
        <v>1000000</v>
      </c>
      <c r="G273" s="10">
        <v>0</v>
      </c>
      <c r="H273" s="20"/>
      <c r="I273" s="5" t="s">
        <v>992</v>
      </c>
    </row>
    <row r="274" spans="2:9" ht="46.8" x14ac:dyDescent="0.3">
      <c r="B274" s="5" t="s">
        <v>950</v>
      </c>
      <c r="C274" s="5" t="s">
        <v>951</v>
      </c>
      <c r="D274" s="7" t="s">
        <v>16</v>
      </c>
      <c r="E274" s="6" t="s">
        <v>167</v>
      </c>
      <c r="F274" s="10">
        <v>1000000</v>
      </c>
      <c r="G274" s="10">
        <v>0</v>
      </c>
      <c r="H274" s="20"/>
      <c r="I274" s="5" t="s">
        <v>952</v>
      </c>
    </row>
    <row r="275" spans="2:9" ht="93.6" x14ac:dyDescent="0.3">
      <c r="B275" s="5" t="s">
        <v>953</v>
      </c>
      <c r="C275" s="5" t="s">
        <v>954</v>
      </c>
      <c r="D275" s="7" t="s">
        <v>113</v>
      </c>
      <c r="E275" s="6" t="s">
        <v>955</v>
      </c>
      <c r="F275" s="10">
        <v>3932500</v>
      </c>
      <c r="G275" s="10">
        <v>0</v>
      </c>
      <c r="H275" s="20"/>
      <c r="I275" s="5" t="s">
        <v>956</v>
      </c>
    </row>
    <row r="276" spans="2:9" ht="93.6" x14ac:dyDescent="0.3">
      <c r="B276" s="5" t="s">
        <v>957</v>
      </c>
      <c r="C276" s="5" t="s">
        <v>958</v>
      </c>
      <c r="D276" s="7" t="s">
        <v>26</v>
      </c>
      <c r="E276" s="6" t="s">
        <v>959</v>
      </c>
      <c r="F276" s="10">
        <v>2187343</v>
      </c>
      <c r="G276" s="10">
        <v>0</v>
      </c>
      <c r="H276" s="20"/>
      <c r="I276" s="5" t="s">
        <v>993</v>
      </c>
    </row>
    <row r="277" spans="2:9" ht="78" x14ac:dyDescent="0.3">
      <c r="B277" s="5" t="s">
        <v>960</v>
      </c>
      <c r="C277" s="5" t="s">
        <v>636</v>
      </c>
      <c r="D277" s="7" t="s">
        <v>26</v>
      </c>
      <c r="E277" s="6" t="s">
        <v>961</v>
      </c>
      <c r="F277" s="10">
        <v>8000000</v>
      </c>
      <c r="G277" s="10">
        <v>0</v>
      </c>
      <c r="H277" s="20"/>
      <c r="I277" s="5" t="s">
        <v>962</v>
      </c>
    </row>
    <row r="278" spans="2:9" ht="46.8" x14ac:dyDescent="0.3">
      <c r="B278" s="5" t="s">
        <v>963</v>
      </c>
      <c r="C278" s="5" t="s">
        <v>964</v>
      </c>
      <c r="D278" s="7" t="s">
        <v>21</v>
      </c>
      <c r="E278" s="6" t="s">
        <v>252</v>
      </c>
      <c r="F278" s="10">
        <v>5000000</v>
      </c>
      <c r="G278" s="10">
        <v>0</v>
      </c>
      <c r="H278" s="20"/>
      <c r="I278" s="5" t="s">
        <v>965</v>
      </c>
    </row>
    <row r="279" spans="2:9" ht="46.8" x14ac:dyDescent="0.3">
      <c r="B279" s="5" t="s">
        <v>966</v>
      </c>
      <c r="C279" s="5" t="s">
        <v>967</v>
      </c>
      <c r="D279" s="7" t="s">
        <v>6</v>
      </c>
      <c r="E279" s="6" t="s">
        <v>7</v>
      </c>
      <c r="F279" s="10">
        <v>2000000</v>
      </c>
      <c r="G279" s="10">
        <v>0</v>
      </c>
      <c r="H279" s="20"/>
      <c r="I279" s="5" t="s">
        <v>968</v>
      </c>
    </row>
    <row r="280" spans="2:9" ht="62.4" x14ac:dyDescent="0.3">
      <c r="B280" s="5" t="s">
        <v>969</v>
      </c>
      <c r="C280" s="5" t="s">
        <v>970</v>
      </c>
      <c r="D280" s="7" t="s">
        <v>23</v>
      </c>
      <c r="E280" s="6" t="s">
        <v>22</v>
      </c>
      <c r="F280" s="10">
        <v>2600000</v>
      </c>
      <c r="G280" s="10">
        <v>0</v>
      </c>
      <c r="H280" s="20"/>
      <c r="I280" s="5" t="s">
        <v>994</v>
      </c>
    </row>
    <row r="281" spans="2:9" ht="93.6" x14ac:dyDescent="0.3">
      <c r="B281" s="5" t="s">
        <v>971</v>
      </c>
      <c r="C281" s="5" t="s">
        <v>972</v>
      </c>
      <c r="D281" s="7" t="s">
        <v>21</v>
      </c>
      <c r="E281" s="6" t="s">
        <v>973</v>
      </c>
      <c r="F281" s="10">
        <v>1500000</v>
      </c>
      <c r="G281" s="10">
        <v>0</v>
      </c>
      <c r="H281" s="20"/>
      <c r="I281" s="5" t="s">
        <v>974</v>
      </c>
    </row>
    <row r="282" spans="2:9" ht="31.2" x14ac:dyDescent="0.3">
      <c r="B282" s="5" t="s">
        <v>975</v>
      </c>
      <c r="C282" s="5" t="s">
        <v>976</v>
      </c>
      <c r="D282" s="7" t="s">
        <v>21</v>
      </c>
      <c r="E282" s="6" t="s">
        <v>973</v>
      </c>
      <c r="F282" s="10">
        <v>500000</v>
      </c>
      <c r="G282" s="10">
        <v>0</v>
      </c>
      <c r="H282" s="20"/>
      <c r="I282" s="5" t="s">
        <v>977</v>
      </c>
    </row>
    <row r="283" spans="2:9" ht="78" x14ac:dyDescent="0.3">
      <c r="B283" s="5" t="s">
        <v>978</v>
      </c>
      <c r="C283" s="5" t="s">
        <v>979</v>
      </c>
      <c r="D283" s="7" t="s">
        <v>21</v>
      </c>
      <c r="E283" s="6" t="s">
        <v>980</v>
      </c>
      <c r="F283" s="10">
        <v>1500000</v>
      </c>
      <c r="G283" s="10">
        <v>0</v>
      </c>
      <c r="H283" s="20"/>
      <c r="I283" s="5" t="s">
        <v>981</v>
      </c>
    </row>
    <row r="284" spans="2:9" ht="93.6" x14ac:dyDescent="0.3">
      <c r="B284" s="5" t="s">
        <v>982</v>
      </c>
      <c r="C284" s="5" t="s">
        <v>983</v>
      </c>
      <c r="D284" s="7" t="s">
        <v>67</v>
      </c>
      <c r="E284" s="6" t="s">
        <v>989</v>
      </c>
      <c r="F284" s="10">
        <v>4000000</v>
      </c>
      <c r="G284" s="10">
        <v>0</v>
      </c>
      <c r="H284" s="20"/>
      <c r="I284" s="5" t="s">
        <v>984</v>
      </c>
    </row>
    <row r="285" spans="2:9" ht="93.6" x14ac:dyDescent="0.3">
      <c r="B285" s="5" t="s">
        <v>985</v>
      </c>
      <c r="C285" s="5" t="s">
        <v>986</v>
      </c>
      <c r="D285" s="7" t="s">
        <v>36</v>
      </c>
      <c r="E285" s="6" t="s">
        <v>987</v>
      </c>
      <c r="F285" s="10">
        <v>4391000</v>
      </c>
      <c r="G285" s="10">
        <v>0</v>
      </c>
      <c r="H285" s="20"/>
      <c r="I285" s="5" t="s">
        <v>988</v>
      </c>
    </row>
    <row r="286" spans="2:9" ht="46.8" x14ac:dyDescent="0.3">
      <c r="B286" s="5" t="s">
        <v>995</v>
      </c>
      <c r="C286" s="5" t="s">
        <v>996</v>
      </c>
      <c r="D286" s="7" t="s">
        <v>16</v>
      </c>
      <c r="E286" s="6" t="s">
        <v>552</v>
      </c>
      <c r="F286" s="10">
        <v>11500000</v>
      </c>
      <c r="G286" s="10">
        <v>3000000</v>
      </c>
      <c r="H286" s="18" t="s">
        <v>1017</v>
      </c>
      <c r="I286" s="5" t="s">
        <v>997</v>
      </c>
    </row>
    <row r="287" spans="2:9" ht="78" x14ac:dyDescent="0.3">
      <c r="B287" s="5" t="s">
        <v>998</v>
      </c>
      <c r="C287" s="5" t="s">
        <v>999</v>
      </c>
      <c r="D287" s="7" t="s">
        <v>16</v>
      </c>
      <c r="E287" s="6" t="s">
        <v>1000</v>
      </c>
      <c r="F287" s="10">
        <v>3300000</v>
      </c>
      <c r="G287" s="10">
        <v>0</v>
      </c>
      <c r="H287" s="20"/>
      <c r="I287" s="5" t="s">
        <v>1001</v>
      </c>
    </row>
    <row r="288" spans="2:9" ht="62.4" x14ac:dyDescent="0.3">
      <c r="B288" s="5" t="s">
        <v>1002</v>
      </c>
      <c r="C288" s="5" t="s">
        <v>1004</v>
      </c>
      <c r="D288" s="7" t="s">
        <v>23</v>
      </c>
      <c r="E288" s="6" t="s">
        <v>1006</v>
      </c>
      <c r="F288" s="10">
        <v>3675792</v>
      </c>
      <c r="G288" s="10">
        <v>0</v>
      </c>
      <c r="H288" s="20"/>
      <c r="I288" s="5" t="s">
        <v>1008</v>
      </c>
    </row>
    <row r="289" spans="2:9" ht="46.8" x14ac:dyDescent="0.3">
      <c r="B289" s="5" t="s">
        <v>1003</v>
      </c>
      <c r="C289" s="5" t="s">
        <v>1005</v>
      </c>
      <c r="D289" s="7" t="s">
        <v>34</v>
      </c>
      <c r="E289" s="6" t="s">
        <v>1007</v>
      </c>
      <c r="F289" s="10">
        <v>2250000</v>
      </c>
      <c r="G289" s="10">
        <v>0</v>
      </c>
      <c r="H289" s="20"/>
      <c r="I289" s="5" t="s">
        <v>1009</v>
      </c>
    </row>
    <row r="290" spans="2:9" ht="93.6" x14ac:dyDescent="0.3">
      <c r="B290" s="5" t="s">
        <v>1010</v>
      </c>
      <c r="C290" s="5" t="s">
        <v>1011</v>
      </c>
      <c r="D290" s="7" t="s">
        <v>6</v>
      </c>
      <c r="E290" s="6" t="s">
        <v>7</v>
      </c>
      <c r="F290" s="10">
        <v>470000</v>
      </c>
      <c r="G290" s="10">
        <v>0</v>
      </c>
      <c r="H290" s="20"/>
      <c r="I290" s="5" t="s">
        <v>1012</v>
      </c>
    </row>
    <row r="291" spans="2:9" ht="46.8" x14ac:dyDescent="0.3">
      <c r="B291" s="11" t="s">
        <v>1013</v>
      </c>
      <c r="C291" s="11" t="s">
        <v>1014</v>
      </c>
      <c r="D291" s="12" t="s">
        <v>67</v>
      </c>
      <c r="E291" s="13" t="s">
        <v>68</v>
      </c>
      <c r="F291" s="14">
        <v>1400000</v>
      </c>
      <c r="G291" s="14">
        <v>0</v>
      </c>
      <c r="H291" s="21"/>
      <c r="I291" s="11" t="s">
        <v>1015</v>
      </c>
    </row>
    <row r="292" spans="2:9" x14ac:dyDescent="0.3">
      <c r="B292" s="8"/>
      <c r="C292" s="8"/>
      <c r="D292" s="23" t="s">
        <v>168</v>
      </c>
      <c r="E292" s="23"/>
      <c r="F292" s="17">
        <f>SUM(F7:F291)</f>
        <v>1067442612</v>
      </c>
      <c r="G292" s="17">
        <f>SUM(G7:G291)</f>
        <v>20500000</v>
      </c>
      <c r="H292" s="22"/>
      <c r="I292" s="8"/>
    </row>
  </sheetData>
  <sheetProtection password="8FF2" sheet="1" objects="1" scenarios="1" sort="0" autoFilter="0"/>
  <autoFilter ref="B6:I292"/>
  <sortState ref="B7:H213">
    <sortCondition ref="D7:D213"/>
    <sortCondition ref="B7:B213"/>
  </sortState>
  <mergeCells count="6">
    <mergeCell ref="D292:E292"/>
    <mergeCell ref="B1:I1"/>
    <mergeCell ref="B2:I2"/>
    <mergeCell ref="B3:I3"/>
    <mergeCell ref="B4:I4"/>
    <mergeCell ref="B5:I5"/>
  </mergeCells>
  <dataValidations count="1">
    <dataValidation type="list" allowBlank="1" showInputMessage="1" showErrorMessage="1" sqref="E43 E12">
      <formula1>#REF!</formula1>
    </dataValidation>
  </dataValidations>
  <hyperlinks>
    <hyperlink ref="H286" r:id="rId1"/>
    <hyperlink ref="H118" r:id="rId2"/>
    <hyperlink ref="H57" r:id="rId3"/>
    <hyperlink ref="H15" r:id="rId4"/>
    <hyperlink ref="H35" r:id="rId5"/>
    <hyperlink ref="H95" r:id="rId6"/>
    <hyperlink ref="H155" r:id="rId7"/>
  </hyperlinks>
  <pageMargins left="0.45" right="0.45" top="0.75" bottom="0.75" header="0.3" footer="0.3"/>
  <pageSetup scale="55" fitToHeight="0" orientation="landscape"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2014-07-31T17:35:54Z</dcterms:modified>
</cp:coreProperties>
</file>