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5480" windowHeight="11190"/>
  </bookViews>
  <sheets>
    <sheet name="3209" sheetId="1" r:id="rId1"/>
  </sheets>
  <externalReferences>
    <externalReference r:id="rId2"/>
  </externalReferences>
  <definedNames>
    <definedName name="A_1OHPUB">#REF!</definedName>
    <definedName name="A_BARC10">#REF!</definedName>
    <definedName name="a_trend">#REF!</definedName>
    <definedName name="ALLOC">#REF!</definedName>
    <definedName name="B591DETDES">#REF!</definedName>
    <definedName name="bdel401">#REF!</definedName>
    <definedName name="bdet100">#REF!</definedName>
    <definedName name="bdet101">#REF!</definedName>
    <definedName name="bdet102">#REF!</definedName>
    <definedName name="bdet103">#REF!</definedName>
    <definedName name="bdet104">#REF!</definedName>
    <definedName name="bdet106">#REF!</definedName>
    <definedName name="bdet107">#REF!</definedName>
    <definedName name="bdet108">#REF!</definedName>
    <definedName name="bdet109">#REF!</definedName>
    <definedName name="bdet111">#REF!</definedName>
    <definedName name="bdet112">#REF!</definedName>
    <definedName name="bdet113">#REF!</definedName>
    <definedName name="bdet114">#REF!</definedName>
    <definedName name="bdet115">#REF!</definedName>
    <definedName name="bdet116">#REF!</definedName>
    <definedName name="bdet150">#REF!</definedName>
    <definedName name="bdet200">#REF!</definedName>
    <definedName name="bdet220">#REF!</definedName>
    <definedName name="bdet221">#REF!</definedName>
    <definedName name="bdet230">#REF!</definedName>
    <definedName name="bdet250">#REF!</definedName>
    <definedName name="bdet251">#REF!</definedName>
    <definedName name="bdet300">#REF!</definedName>
    <definedName name="bdet301">#REF!</definedName>
    <definedName name="bdet302">#REF!</definedName>
    <definedName name="bdet303">#REF!</definedName>
    <definedName name="bdet305">#REF!</definedName>
    <definedName name="bdet313">#REF!</definedName>
    <definedName name="bdet350">#REF!</definedName>
    <definedName name="bdet353">#REF!</definedName>
    <definedName name="bdet403">#REF!</definedName>
    <definedName name="bdet404">#REF!</definedName>
    <definedName name="bdet405">#REF!</definedName>
    <definedName name="bdet406">#REF!</definedName>
    <definedName name="bdet407">#REF!</definedName>
    <definedName name="bdet409">#REF!</definedName>
    <definedName name="bdet410">#REF!</definedName>
    <definedName name="bdet411">#REF!</definedName>
    <definedName name="bdet412">#REF!</definedName>
    <definedName name="bdet413">#REF!</definedName>
    <definedName name="bdet414">#REF!</definedName>
    <definedName name="bdet501">#REF!</definedName>
    <definedName name="bdet505">#REF!</definedName>
    <definedName name="bdet506">#REF!</definedName>
    <definedName name="bdet509">#REF!</definedName>
    <definedName name="bdet510">#REF!</definedName>
    <definedName name="bdet511">#REF!</definedName>
    <definedName name="bdet550">#REF!</definedName>
    <definedName name="BDET551">#REF!</definedName>
    <definedName name="bdet552">#REF!</definedName>
    <definedName name="bdet591">#REF!</definedName>
    <definedName name="bdet601">#REF!</definedName>
    <definedName name="bdet604">#REF!</definedName>
    <definedName name="bdet605">#REF!</definedName>
    <definedName name="bdet607">#REF!</definedName>
    <definedName name="bdet609">#REF!</definedName>
    <definedName name="bdet610">#REF!</definedName>
    <definedName name="bdet612">#REF!</definedName>
    <definedName name="bdet700">#REF!</definedName>
    <definedName name="bdetWebCE">#REF!</definedName>
    <definedName name="bsum100">#REF!</definedName>
    <definedName name="bsum101">#REF!</definedName>
    <definedName name="bsum102">#REF!</definedName>
    <definedName name="bsum103">#REF!</definedName>
    <definedName name="bsum104">#REF!</definedName>
    <definedName name="bsum106">#REF!</definedName>
    <definedName name="bsum107">#REF!</definedName>
    <definedName name="bsum108">#REF!</definedName>
    <definedName name="bsum109">#REF!</definedName>
    <definedName name="bsum111">#REF!</definedName>
    <definedName name="bsum112">#REF!</definedName>
    <definedName name="bsum113">#REF!</definedName>
    <definedName name="bsum114">#REF!</definedName>
    <definedName name="bsum115">#REF!</definedName>
    <definedName name="bsum116">#REF!</definedName>
    <definedName name="bsum150">#REF!</definedName>
    <definedName name="bsum200">#REF!</definedName>
    <definedName name="bsum220">#REF!</definedName>
    <definedName name="bsum221">#REF!</definedName>
    <definedName name="bsum230">#REF!</definedName>
    <definedName name="bsum250">#REF!</definedName>
    <definedName name="bsum251">#REF!</definedName>
    <definedName name="bsum300">#REF!</definedName>
    <definedName name="bsum301">#REF!</definedName>
    <definedName name="bsum302">#REF!</definedName>
    <definedName name="bsum303">#REF!</definedName>
    <definedName name="bsum305">#REF!</definedName>
    <definedName name="bsum313">#REF!</definedName>
    <definedName name="bsum350">#REF!</definedName>
    <definedName name="bsum353">#REF!</definedName>
    <definedName name="bsum401">#REF!</definedName>
    <definedName name="bsum403">#REF!</definedName>
    <definedName name="bsum404">#REF!</definedName>
    <definedName name="bsum405">#REF!</definedName>
    <definedName name="bsum406">#REF!</definedName>
    <definedName name="bsum407">#REF!</definedName>
    <definedName name="bsum409">#REF!</definedName>
    <definedName name="bsum410">#REF!</definedName>
    <definedName name="bsum411">#REF!</definedName>
    <definedName name="BSUM412">#REF!</definedName>
    <definedName name="bsum413">#REF!</definedName>
    <definedName name="bsum414">#REF!</definedName>
    <definedName name="bsum501">#REF!</definedName>
    <definedName name="bsum505">#REF!</definedName>
    <definedName name="bsum506">#REF!</definedName>
    <definedName name="bsum509">#REF!</definedName>
    <definedName name="bsum510">#REF!</definedName>
    <definedName name="bsum511">#REF!</definedName>
    <definedName name="bsum550">#REF!</definedName>
    <definedName name="bsum551">#REF!</definedName>
    <definedName name="bsum552">#REF!</definedName>
    <definedName name="bsum591">#REF!</definedName>
    <definedName name="bsum601">#REF!</definedName>
    <definedName name="bsum604">#REF!</definedName>
    <definedName name="bsum605">#REF!</definedName>
    <definedName name="bsum607">#REF!</definedName>
    <definedName name="bsum609">#REF!</definedName>
    <definedName name="bsum610">#REF!</definedName>
    <definedName name="bsum612">#REF!</definedName>
    <definedName name="bsum700">#REF!</definedName>
    <definedName name="bsumWebCE">#REF!</definedName>
    <definedName name="BYUNITD">#REF!</definedName>
    <definedName name="BYUNITS">#REF!</definedName>
    <definedName name="endow_dt">#REF!</definedName>
    <definedName name="endow_top">#REF!</definedName>
    <definedName name="grant_dt">#REF!</definedName>
    <definedName name="grants_top">#REF!</definedName>
    <definedName name="_xlnm.Print_Area" localSheetId="0">'3209'!$B$1:$H$38</definedName>
    <definedName name="SMALLHISTORY">#REF!</definedName>
    <definedName name="tdet100">#REF!</definedName>
    <definedName name="tdet101">#REF!</definedName>
    <definedName name="tdet102">#REF!</definedName>
    <definedName name="tdet103">#REF!</definedName>
    <definedName name="tdet104">#REF!</definedName>
    <definedName name="tdet106">#REF!</definedName>
    <definedName name="tdet107">#REF!</definedName>
    <definedName name="tdet108">#REF!</definedName>
    <definedName name="tdet109">#REF!</definedName>
    <definedName name="tdet111">#REF!</definedName>
    <definedName name="tdet112">#REF!</definedName>
    <definedName name="tdet113">#REF!</definedName>
    <definedName name="tdet114">#REF!</definedName>
    <definedName name="tdet115">#REF!</definedName>
    <definedName name="tdet116">#REF!</definedName>
    <definedName name="tdet150">#REF!</definedName>
    <definedName name="tdet200">#REF!</definedName>
    <definedName name="tdet220">#REF!</definedName>
    <definedName name="tdet221">#REF!</definedName>
    <definedName name="tdet230">#REF!</definedName>
    <definedName name="tdet250">#REF!</definedName>
    <definedName name="tdet251">#REF!</definedName>
    <definedName name="tdet300">#REF!</definedName>
    <definedName name="tdet301">#REF!</definedName>
    <definedName name="tdet302">#REF!</definedName>
    <definedName name="tdet303">#REF!</definedName>
    <definedName name="tdet305">#REF!</definedName>
    <definedName name="tdet313">#REF!</definedName>
    <definedName name="tdet350">#REF!</definedName>
    <definedName name="tdet353">#REF!</definedName>
    <definedName name="tdet400s">#REF!</definedName>
    <definedName name="tdet401">#REF!</definedName>
    <definedName name="tdet403">#REF!</definedName>
    <definedName name="tdet404">#REF!</definedName>
    <definedName name="tdet405">#REF!</definedName>
    <definedName name="tdet406">#REF!</definedName>
    <definedName name="tdet407">#REF!</definedName>
    <definedName name="tdet409">#REF!</definedName>
    <definedName name="tdet410">#REF!</definedName>
    <definedName name="tdet411">#REF!</definedName>
    <definedName name="tdet412">#REF!</definedName>
    <definedName name="tdet413">#REF!</definedName>
    <definedName name="tdet414">#REF!</definedName>
    <definedName name="tdet501">#REF!</definedName>
    <definedName name="tdet505">#REF!</definedName>
    <definedName name="tdet506">#REF!</definedName>
    <definedName name="tdet509">#REF!</definedName>
    <definedName name="tdet510">#REF!</definedName>
    <definedName name="tdet511">#REF!</definedName>
    <definedName name="tdet550">#REF!</definedName>
    <definedName name="tdet551">#REF!</definedName>
    <definedName name="tdet552">#REF!</definedName>
    <definedName name="TDET591">#REF!</definedName>
    <definedName name="tdet700">#REF!</definedName>
    <definedName name="THREEYR">#REF!</definedName>
    <definedName name="tsum100">#REF!</definedName>
    <definedName name="tsum101">#REF!</definedName>
    <definedName name="TSUM102">#REF!</definedName>
    <definedName name="tsum103">#REF!</definedName>
    <definedName name="tsum104">#REF!</definedName>
    <definedName name="TSUM106">#REF!</definedName>
    <definedName name="TSUM107">#REF!</definedName>
    <definedName name="TSUM108">#REF!</definedName>
    <definedName name="tsum109">#REF!</definedName>
    <definedName name="TSUM111">#REF!</definedName>
    <definedName name="TSUM112">#REF!</definedName>
    <definedName name="tsum113">#REF!</definedName>
    <definedName name="tsum114">#REF!</definedName>
    <definedName name="tsum115">#REF!</definedName>
    <definedName name="tsum116">#REF!</definedName>
    <definedName name="tsum150">#REF!</definedName>
    <definedName name="TSUM200">#REF!</definedName>
    <definedName name="TSUM220">#REF!</definedName>
    <definedName name="TSUM221">#REF!</definedName>
    <definedName name="tsum230">#REF!</definedName>
    <definedName name="tsum250">#REF!</definedName>
    <definedName name="tsum251">#REF!</definedName>
    <definedName name="tsum300">#REF!</definedName>
    <definedName name="tsum301">#REF!</definedName>
    <definedName name="tsum302">#REF!</definedName>
    <definedName name="tsum303">#REF!</definedName>
    <definedName name="tsum305">#REF!</definedName>
    <definedName name="tsum313">#REF!</definedName>
    <definedName name="tsum350">#REF!</definedName>
    <definedName name="tsum353">#REF!</definedName>
    <definedName name="tsum400s">#REF!</definedName>
    <definedName name="tsum401">#REF!</definedName>
    <definedName name="tsum403">#REF!</definedName>
    <definedName name="tsum404">#REF!</definedName>
    <definedName name="TSUM405">#REF!</definedName>
    <definedName name="TSUM406">#REF!</definedName>
    <definedName name="tsum407">#REF!</definedName>
    <definedName name="tsum409">#REF!</definedName>
    <definedName name="tsum410">#REF!</definedName>
    <definedName name="tsum411">#REF!</definedName>
    <definedName name="TSUM412">#REF!</definedName>
    <definedName name="tsum413">#REF!</definedName>
    <definedName name="tsum414">#REF!</definedName>
    <definedName name="tsum500s">#REF!</definedName>
    <definedName name="tsum501">#REF!</definedName>
    <definedName name="tsum505">#REF!</definedName>
    <definedName name="tsum506">#REF!</definedName>
    <definedName name="tsum509">#REF!</definedName>
    <definedName name="tsum510">#REF!</definedName>
    <definedName name="tsum511">#REF!</definedName>
    <definedName name="tsum550">#REF!</definedName>
    <definedName name="tsum551">#REF!</definedName>
    <definedName name="tsum552">#REF!</definedName>
    <definedName name="TSUM591">#REF!</definedName>
    <definedName name="TSUM700">#REF!</definedName>
  </definedNames>
  <calcPr calcId="125725"/>
</workbook>
</file>

<file path=xl/calcChain.xml><?xml version="1.0" encoding="utf-8"?>
<calcChain xmlns="http://schemas.openxmlformats.org/spreadsheetml/2006/main">
  <c r="H331" i="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K232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C36"/>
  <c r="A36"/>
  <c r="H35"/>
  <c r="C35"/>
  <c r="A35"/>
  <c r="H34"/>
  <c r="C34"/>
  <c r="A34"/>
  <c r="H33"/>
  <c r="C33"/>
  <c r="A33"/>
  <c r="H32"/>
  <c r="C32"/>
  <c r="A32"/>
  <c r="F31"/>
  <c r="H31" s="1"/>
  <c r="D31"/>
  <c r="C31"/>
  <c r="A31"/>
  <c r="H30"/>
  <c r="C30"/>
  <c r="A30"/>
  <c r="H29"/>
  <c r="C29"/>
  <c r="A29"/>
  <c r="H28"/>
  <c r="C28"/>
  <c r="A28"/>
  <c r="H27"/>
  <c r="C27"/>
  <c r="A27"/>
  <c r="H26"/>
  <c r="C26"/>
  <c r="A26"/>
  <c r="H25"/>
  <c r="C25"/>
  <c r="A25"/>
  <c r="H24"/>
  <c r="C24"/>
  <c r="A24"/>
  <c r="H23"/>
  <c r="C23"/>
  <c r="A23"/>
  <c r="H22"/>
  <c r="C22"/>
  <c r="A22"/>
  <c r="H21"/>
  <c r="C21"/>
  <c r="A21"/>
  <c r="H20"/>
  <c r="C20"/>
  <c r="A20"/>
  <c r="H19"/>
  <c r="C19"/>
  <c r="A19"/>
  <c r="H18"/>
  <c r="C18"/>
  <c r="A18"/>
  <c r="H17"/>
  <c r="C17"/>
  <c r="A17"/>
  <c r="H16"/>
  <c r="E16"/>
  <c r="C16"/>
  <c r="A16"/>
  <c r="H15"/>
  <c r="C15"/>
  <c r="A15"/>
  <c r="F14"/>
  <c r="H14" s="1"/>
  <c r="C14"/>
  <c r="A14"/>
  <c r="F13"/>
  <c r="C13"/>
  <c r="A13"/>
  <c r="F12"/>
  <c r="C12"/>
  <c r="A12"/>
  <c r="H11"/>
  <c r="C11"/>
  <c r="A11"/>
  <c r="H10"/>
  <c r="C10"/>
  <c r="A10"/>
  <c r="H9"/>
  <c r="C9"/>
  <c r="A9"/>
  <c r="H8"/>
  <c r="F8"/>
  <c r="F36" s="1"/>
  <c r="H36" s="1"/>
  <c r="C8"/>
  <c r="A8"/>
  <c r="A7"/>
  <c r="D4"/>
  <c r="D3"/>
  <c r="F37" l="1"/>
  <c r="H37" s="1"/>
  <c r="H12"/>
  <c r="H13"/>
  <c r="F38" l="1"/>
  <c r="H38" s="1"/>
</calcChain>
</file>

<file path=xl/sharedStrings.xml><?xml version="1.0" encoding="utf-8"?>
<sst xmlns="http://schemas.openxmlformats.org/spreadsheetml/2006/main" count="43" uniqueCount="36">
  <si>
    <t>Unit No.:</t>
  </si>
  <si>
    <t>Unit Name:</t>
  </si>
  <si>
    <t>Association of College and Research Libraries</t>
  </si>
  <si>
    <t>Project No.:</t>
  </si>
  <si>
    <t>Project Name:</t>
  </si>
  <si>
    <t>Projection</t>
  </si>
  <si>
    <t>FY 2011 Budget</t>
  </si>
  <si>
    <t>Line#</t>
  </si>
  <si>
    <t>Line Item Description</t>
  </si>
  <si>
    <t>Explanation</t>
  </si>
  <si>
    <t>Memo Only</t>
  </si>
  <si>
    <t>$ Amount</t>
  </si>
  <si>
    <t>Variation</t>
  </si>
  <si>
    <t>RBMS Regional Workshop (2 per year, locations TBD) 
Registration fees: 
50 members (25 per workshop) @ $189 = $9,450; 
6 non-members (3 per workshop) @ $239 = $1,434.  Total: $10,884.  
Budgeted @ 90% = $9,795.  (Minimum attendance = 26 participants / $4,897 reg revenue per workshop)</t>
  </si>
  <si>
    <t>Host institution to provide, meeting space, audiovisual, and 2 coffee breaks in kind at minimum for workshop to occur</t>
  </si>
  <si>
    <t>N/A</t>
  </si>
  <si>
    <t>Total Revenues</t>
  </si>
  <si>
    <t>Salaries: 0.4% of ACRL total salaries</t>
  </si>
  <si>
    <t>Benefit percentage of line 5000 as provided by ALA Planning &amp; Budgeting</t>
  </si>
  <si>
    <t>Bank charges on credit cards calculated at 4% of registration revenue</t>
  </si>
  <si>
    <t>$100 per program</t>
  </si>
  <si>
    <t>Adequate meeting space for 30 people in five rounds of 6 people each provided on a complimentary basis by host institution for each workshop</t>
  </si>
  <si>
    <t>LCD Projector, Screen and Computer (if needed) provided on a complimentary basis by host institution for each workshop</t>
  </si>
  <si>
    <t>AM &amp; PM beverage breaks provided on a complimentary basis by host institution for each workshop. Lunch is at particpant's expense.</t>
  </si>
  <si>
    <t xml:space="preserve">Reimbursement of expenses for 2 speakers (1 per workshop) up to the following amounts per category: 1 Coach Airfare @ $375, 2 Night's lodging @ $200 inclusive, Ground Transportation @ $150, Per Diem to include 1 dinner ($25), 1 full day of meals ($50), and 1 breakfast ($10) @ $85 </t>
  </si>
  <si>
    <t>speaker honorarium $300 ea for 2 speakers</t>
  </si>
  <si>
    <t>Handouts @ $8 ea for 52 people in 2 workshops</t>
  </si>
  <si>
    <t>60 ACRL Folders @ $.50 ea.</t>
  </si>
  <si>
    <t>Mail Registration 52 Badges (26 per workshop) * .44 ea</t>
  </si>
  <si>
    <t>Bad debt @ 1% of registration revenue</t>
  </si>
  <si>
    <t>IUT/Telephone</t>
  </si>
  <si>
    <t>IUT-Distribution, Shipping of Handouts ($25 per workshop)</t>
  </si>
  <si>
    <t>Registration processing @ 52 online registrants @ $4 per, Total = $208, No mail option</t>
  </si>
  <si>
    <t>IUT Overhead 23.9%</t>
  </si>
  <si>
    <t>Total Expenses</t>
  </si>
  <si>
    <t>Net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</si>
</sst>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000"/>
  </numFmts>
  <fonts count="13">
    <font>
      <sz val="10"/>
      <name val="Arial"/>
    </font>
    <font>
      <sz val="10"/>
      <name val="Arial"/>
    </font>
    <font>
      <sz val="10"/>
      <color indexed="17"/>
      <name val="Arial"/>
      <family val="2"/>
    </font>
    <font>
      <b/>
      <sz val="10"/>
      <color indexed="17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.5"/>
      <color indexed="10"/>
      <name val="NewBskvll BT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8"/>
      <color indexed="62"/>
      <name val="Cambria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10" fillId="6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10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5" fillId="0" borderId="0"/>
    <xf numFmtId="0" fontId="12" fillId="0" borderId="0" applyNumberFormat="0" applyFill="0" applyBorder="0" applyAlignment="0" applyProtection="0"/>
  </cellStyleXfs>
  <cellXfs count="91">
    <xf numFmtId="0" fontId="0" fillId="0" borderId="0" xfId="0"/>
    <xf numFmtId="0" fontId="2" fillId="0" borderId="0" xfId="0" applyFont="1" applyAlignment="1" applyProtection="1">
      <alignment horizontal="left" vertical="top"/>
    </xf>
    <xf numFmtId="0" fontId="1" fillId="0" borderId="1" xfId="0" applyFont="1" applyBorder="1" applyAlignment="1" applyProtection="1">
      <alignment horizontal="left" vertical="top" wrapText="1"/>
    </xf>
    <xf numFmtId="0" fontId="3" fillId="0" borderId="2" xfId="0" applyFont="1" applyBorder="1" applyAlignment="1" applyProtection="1">
      <alignment horizontal="left" vertical="top" wrapText="1"/>
    </xf>
    <xf numFmtId="0" fontId="4" fillId="0" borderId="3" xfId="0" applyFont="1" applyBorder="1" applyAlignment="1" applyProtection="1">
      <alignment horizontal="left" vertical="top" wrapText="1"/>
    </xf>
    <xf numFmtId="0" fontId="1" fillId="0" borderId="4" xfId="0" applyFont="1" applyBorder="1" applyAlignment="1" applyProtection="1">
      <alignment horizontal="left" vertical="top" wrapText="1"/>
    </xf>
    <xf numFmtId="164" fontId="1" fillId="2" borderId="5" xfId="1" applyNumberFormat="1" applyFont="1" applyFill="1" applyBorder="1" applyAlignment="1" applyProtection="1">
      <alignment horizontal="right" vertical="top" wrapText="1"/>
    </xf>
    <xf numFmtId="164" fontId="1" fillId="0" borderId="5" xfId="1" applyNumberFormat="1" applyFont="1" applyBorder="1" applyAlignment="1" applyProtection="1">
      <alignment horizontal="right" vertical="top" wrapText="1"/>
    </xf>
    <xf numFmtId="0" fontId="1" fillId="0" borderId="0" xfId="0" applyFont="1" applyProtection="1"/>
    <xf numFmtId="0" fontId="1" fillId="0" borderId="0" xfId="0" applyFont="1" applyProtection="1">
      <protection locked="0"/>
    </xf>
    <xf numFmtId="0" fontId="1" fillId="0" borderId="6" xfId="0" applyFont="1" applyBorder="1" applyAlignment="1" applyProtection="1">
      <alignment horizontal="left" vertical="top" wrapText="1"/>
    </xf>
    <xf numFmtId="0" fontId="3" fillId="0" borderId="7" xfId="0" applyFont="1" applyBorder="1" applyAlignment="1" applyProtection="1">
      <alignment horizontal="left" vertical="top" wrapText="1"/>
    </xf>
    <xf numFmtId="0" fontId="4" fillId="0" borderId="8" xfId="0" applyFont="1" applyBorder="1" applyAlignment="1" applyProtection="1">
      <alignment horizontal="left" vertical="top" wrapText="1"/>
    </xf>
    <xf numFmtId="0" fontId="1" fillId="0" borderId="9" xfId="0" applyFont="1" applyBorder="1" applyAlignment="1" applyProtection="1">
      <alignment horizontal="left" vertical="top" wrapText="1"/>
    </xf>
    <xf numFmtId="164" fontId="1" fillId="2" borderId="10" xfId="1" applyNumberFormat="1" applyFont="1" applyFill="1" applyBorder="1" applyAlignment="1" applyProtection="1">
      <alignment horizontal="right" vertical="top" wrapText="1"/>
    </xf>
    <xf numFmtId="164" fontId="1" fillId="0" borderId="10" xfId="1" applyNumberFormat="1" applyFont="1" applyBorder="1" applyAlignment="1" applyProtection="1">
      <alignment horizontal="right" vertical="top" wrapText="1"/>
    </xf>
    <xf numFmtId="165" fontId="4" fillId="0" borderId="8" xfId="0" applyNumberFormat="1" applyFont="1" applyBorder="1" applyAlignment="1" applyProtection="1">
      <alignment horizontal="left" vertical="top" wrapText="1"/>
    </xf>
    <xf numFmtId="0" fontId="1" fillId="0" borderId="11" xfId="0" applyFont="1" applyBorder="1" applyAlignment="1" applyProtection="1">
      <alignment horizontal="left" vertical="top" wrapText="1"/>
    </xf>
    <xf numFmtId="0" fontId="3" fillId="0" borderId="12" xfId="0" applyFont="1" applyBorder="1" applyAlignment="1" applyProtection="1">
      <alignment horizontal="left" vertical="top" wrapText="1"/>
    </xf>
    <xf numFmtId="0" fontId="4" fillId="0" borderId="13" xfId="0" applyFont="1" applyBorder="1" applyAlignment="1" applyProtection="1">
      <alignment horizontal="left" vertical="top" wrapText="1"/>
    </xf>
    <xf numFmtId="0" fontId="1" fillId="0" borderId="14" xfId="0" applyFont="1" applyBorder="1" applyAlignment="1" applyProtection="1">
      <alignment horizontal="left" vertical="top" wrapText="1"/>
    </xf>
    <xf numFmtId="164" fontId="1" fillId="2" borderId="15" xfId="1" applyNumberFormat="1" applyFont="1" applyFill="1" applyBorder="1" applyAlignment="1" applyProtection="1">
      <alignment horizontal="right" vertical="top" wrapText="1"/>
    </xf>
    <xf numFmtId="164" fontId="1" fillId="0" borderId="15" xfId="1" applyNumberFormat="1" applyFont="1" applyBorder="1" applyAlignment="1" applyProtection="1">
      <alignment horizontal="right" vertical="top" wrapText="1"/>
    </xf>
    <xf numFmtId="0" fontId="1" fillId="0" borderId="0" xfId="0" applyFont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top" wrapText="1"/>
    </xf>
    <xf numFmtId="0" fontId="5" fillId="0" borderId="0" xfId="0" applyFont="1" applyBorder="1" applyAlignment="1" applyProtection="1">
      <alignment horizontal="left" vertical="top" wrapText="1"/>
    </xf>
    <xf numFmtId="164" fontId="1" fillId="2" borderId="0" xfId="1" applyNumberFormat="1" applyFont="1" applyFill="1" applyAlignment="1" applyProtection="1">
      <alignment horizontal="right" vertical="top" wrapText="1"/>
    </xf>
    <xf numFmtId="164" fontId="1" fillId="0" borderId="0" xfId="1" applyNumberFormat="1" applyFont="1" applyAlignment="1" applyProtection="1">
      <alignment horizontal="right" vertical="top" wrapText="1"/>
    </xf>
    <xf numFmtId="0" fontId="2" fillId="0" borderId="16" xfId="0" applyFont="1" applyBorder="1" applyAlignment="1" applyProtection="1">
      <alignment vertical="top" wrapText="1"/>
    </xf>
    <xf numFmtId="0" fontId="2" fillId="0" borderId="16" xfId="0" applyFont="1" applyBorder="1" applyAlignment="1" applyProtection="1">
      <alignment horizontal="left" vertical="top"/>
    </xf>
    <xf numFmtId="0" fontId="2" fillId="0" borderId="16" xfId="0" applyFont="1" applyBorder="1" applyAlignment="1" applyProtection="1">
      <alignment horizontal="left" vertical="top" wrapText="1"/>
    </xf>
    <xf numFmtId="0" fontId="3" fillId="0" borderId="16" xfId="0" applyFont="1" applyBorder="1" applyAlignment="1" applyProtection="1">
      <alignment horizontal="center" vertical="top" wrapText="1"/>
    </xf>
    <xf numFmtId="164" fontId="3" fillId="2" borderId="17" xfId="1" applyNumberFormat="1" applyFont="1" applyFill="1" applyBorder="1" applyAlignment="1" applyProtection="1">
      <alignment horizontal="center" vertical="top" wrapText="1"/>
    </xf>
    <xf numFmtId="164" fontId="3" fillId="0" borderId="17" xfId="1" applyNumberFormat="1" applyFont="1" applyBorder="1" applyAlignment="1" applyProtection="1">
      <alignment horizontal="center" vertical="top" wrapText="1"/>
    </xf>
    <xf numFmtId="164" fontId="3" fillId="0" borderId="18" xfId="1" applyNumberFormat="1" applyFont="1" applyBorder="1" applyAlignment="1" applyProtection="1">
      <alignment horizontal="center" vertical="top" wrapText="1"/>
    </xf>
    <xf numFmtId="0" fontId="2" fillId="0" borderId="0" xfId="0" applyFont="1" applyProtection="1">
      <protection locked="0"/>
    </xf>
    <xf numFmtId="0" fontId="2" fillId="0" borderId="19" xfId="0" applyFont="1" applyBorder="1" applyAlignment="1" applyProtection="1">
      <alignment horizontal="left" vertical="top"/>
    </xf>
    <xf numFmtId="0" fontId="3" fillId="0" borderId="20" xfId="0" applyFont="1" applyBorder="1" applyAlignment="1" applyProtection="1">
      <alignment horizontal="center" vertical="top" wrapText="1"/>
    </xf>
    <xf numFmtId="164" fontId="3" fillId="2" borderId="21" xfId="1" applyNumberFormat="1" applyFont="1" applyFill="1" applyBorder="1" applyAlignment="1" applyProtection="1">
      <alignment horizontal="center" vertical="top" wrapText="1"/>
    </xf>
    <xf numFmtId="164" fontId="3" fillId="0" borderId="21" xfId="1" applyNumberFormat="1" applyFont="1" applyBorder="1" applyAlignment="1" applyProtection="1">
      <alignment horizontal="center" vertical="top" wrapText="1"/>
    </xf>
    <xf numFmtId="0" fontId="2" fillId="0" borderId="0" xfId="0" applyFont="1" applyBorder="1" applyAlignment="1" applyProtection="1">
      <alignment horizontal="left" vertical="top"/>
    </xf>
    <xf numFmtId="0" fontId="5" fillId="0" borderId="22" xfId="0" applyFont="1" applyBorder="1" applyAlignment="1" applyProtection="1">
      <alignment vertical="top" wrapText="1"/>
    </xf>
    <xf numFmtId="0" fontId="2" fillId="0" borderId="23" xfId="0" applyFont="1" applyBorder="1" applyAlignment="1" applyProtection="1">
      <alignment horizontal="left" vertical="top"/>
    </xf>
    <xf numFmtId="0" fontId="5" fillId="0" borderId="23" xfId="0" applyFont="1" applyBorder="1" applyAlignment="1" applyProtection="1">
      <alignment horizontal="left" vertical="top" wrapText="1"/>
      <protection locked="0"/>
    </xf>
    <xf numFmtId="164" fontId="5" fillId="0" borderId="23" xfId="1" applyNumberFormat="1" applyFont="1" applyBorder="1" applyAlignment="1" applyProtection="1">
      <alignment vertical="top" wrapText="1"/>
      <protection locked="0"/>
    </xf>
    <xf numFmtId="164" fontId="5" fillId="2" borderId="24" xfId="1" applyNumberFormat="1" applyFont="1" applyFill="1" applyBorder="1" applyAlignment="1" applyProtection="1">
      <alignment vertical="top" wrapText="1"/>
      <protection locked="0"/>
    </xf>
    <xf numFmtId="164" fontId="5" fillId="0" borderId="24" xfId="1" applyNumberFormat="1" applyFont="1" applyBorder="1" applyAlignment="1" applyProtection="1">
      <alignment vertical="top" wrapText="1"/>
      <protection locked="0"/>
    </xf>
    <xf numFmtId="164" fontId="6" fillId="0" borderId="18" xfId="0" applyNumberFormat="1" applyFont="1" applyBorder="1" applyAlignment="1" applyProtection="1">
      <alignment horizontal="right" vertical="top" wrapText="1"/>
    </xf>
    <xf numFmtId="0" fontId="5" fillId="0" borderId="25" xfId="0" applyFont="1" applyBorder="1" applyAlignment="1" applyProtection="1">
      <alignment vertical="top" wrapText="1"/>
    </xf>
    <xf numFmtId="0" fontId="2" fillId="0" borderId="26" xfId="0" applyFont="1" applyBorder="1" applyAlignment="1" applyProtection="1">
      <alignment horizontal="left" vertical="top"/>
    </xf>
    <xf numFmtId="0" fontId="5" fillId="0" borderId="26" xfId="0" applyFont="1" applyBorder="1" applyAlignment="1" applyProtection="1">
      <alignment horizontal="left" vertical="top" wrapText="1"/>
      <protection locked="0"/>
    </xf>
    <xf numFmtId="164" fontId="5" fillId="0" borderId="26" xfId="1" applyNumberFormat="1" applyFont="1" applyBorder="1" applyAlignment="1" applyProtection="1">
      <alignment vertical="top" wrapText="1"/>
      <protection locked="0"/>
    </xf>
    <xf numFmtId="164" fontId="5" fillId="2" borderId="27" xfId="1" applyNumberFormat="1" applyFont="1" applyFill="1" applyBorder="1" applyAlignment="1" applyProtection="1">
      <alignment vertical="top" wrapText="1"/>
      <protection locked="0"/>
    </xf>
    <xf numFmtId="164" fontId="5" fillId="0" borderId="27" xfId="1" applyNumberFormat="1" applyFont="1" applyBorder="1" applyAlignment="1" applyProtection="1">
      <alignment vertical="top" wrapText="1"/>
      <protection locked="0"/>
    </xf>
    <xf numFmtId="0" fontId="1" fillId="0" borderId="26" xfId="0" applyFont="1" applyBorder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5" fillId="0" borderId="28" xfId="0" applyFont="1" applyBorder="1" applyAlignment="1" applyProtection="1">
      <alignment vertical="top" wrapText="1"/>
    </xf>
    <xf numFmtId="0" fontId="2" fillId="0" borderId="29" xfId="0" applyFont="1" applyBorder="1" applyAlignment="1" applyProtection="1">
      <alignment horizontal="left" vertical="top"/>
    </xf>
    <xf numFmtId="0" fontId="4" fillId="0" borderId="29" xfId="0" applyFont="1" applyBorder="1" applyAlignment="1" applyProtection="1">
      <alignment horizontal="left" vertical="top" wrapText="1"/>
    </xf>
    <xf numFmtId="0" fontId="5" fillId="0" borderId="29" xfId="0" applyFont="1" applyBorder="1" applyAlignment="1" applyProtection="1">
      <alignment horizontal="left" vertical="top" wrapText="1"/>
    </xf>
    <xf numFmtId="164" fontId="7" fillId="2" borderId="30" xfId="2" applyNumberFormat="1" applyFont="1" applyFill="1" applyBorder="1" applyAlignment="1" applyProtection="1">
      <alignment vertical="top" wrapText="1"/>
    </xf>
    <xf numFmtId="164" fontId="7" fillId="0" borderId="30" xfId="2" applyNumberFormat="1" applyFont="1" applyBorder="1" applyAlignment="1" applyProtection="1">
      <alignment vertical="top" wrapText="1"/>
    </xf>
    <xf numFmtId="0" fontId="5" fillId="0" borderId="31" xfId="0" applyFont="1" applyBorder="1" applyAlignment="1" applyProtection="1">
      <alignment vertical="top" wrapText="1"/>
    </xf>
    <xf numFmtId="0" fontId="2" fillId="0" borderId="32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 wrapText="1"/>
      <protection locked="0"/>
    </xf>
    <xf numFmtId="164" fontId="5" fillId="0" borderId="32" xfId="1" applyNumberFormat="1" applyFont="1" applyBorder="1" applyAlignment="1" applyProtection="1">
      <alignment vertical="top" wrapText="1"/>
      <protection locked="0"/>
    </xf>
    <xf numFmtId="164" fontId="5" fillId="2" borderId="33" xfId="1" applyNumberFormat="1" applyFont="1" applyFill="1" applyBorder="1" applyAlignment="1" applyProtection="1">
      <alignment vertical="top" wrapText="1"/>
    </xf>
    <xf numFmtId="164" fontId="5" fillId="0" borderId="33" xfId="1" applyNumberFormat="1" applyFont="1" applyBorder="1" applyAlignment="1" applyProtection="1">
      <alignment vertical="top" wrapText="1"/>
    </xf>
    <xf numFmtId="164" fontId="5" fillId="2" borderId="27" xfId="1" applyNumberFormat="1" applyFont="1" applyFill="1" applyBorder="1" applyAlignment="1" applyProtection="1">
      <alignment vertical="top" wrapText="1"/>
    </xf>
    <xf numFmtId="164" fontId="5" fillId="0" borderId="27" xfId="1" applyNumberFormat="1" applyFont="1" applyBorder="1" applyAlignment="1" applyProtection="1">
      <alignment vertical="top" wrapText="1"/>
    </xf>
    <xf numFmtId="0" fontId="5" fillId="0" borderId="34" xfId="0" applyFont="1" applyBorder="1" applyAlignment="1" applyProtection="1">
      <alignment horizontal="left" vertical="top" wrapText="1"/>
    </xf>
    <xf numFmtId="164" fontId="5" fillId="2" borderId="35" xfId="2" applyNumberFormat="1" applyFont="1" applyFill="1" applyBorder="1" applyAlignment="1" applyProtection="1">
      <alignment vertical="top" wrapText="1"/>
    </xf>
    <xf numFmtId="164" fontId="5" fillId="0" borderId="35" xfId="2" applyNumberFormat="1" applyFont="1" applyBorder="1" applyAlignment="1" applyProtection="1">
      <alignment vertical="top" wrapText="1"/>
    </xf>
    <xf numFmtId="3" fontId="5" fillId="0" borderId="27" xfId="1" applyNumberFormat="1" applyFont="1" applyFill="1" applyBorder="1" applyAlignment="1" applyProtection="1">
      <alignment vertical="top" wrapText="1"/>
      <protection locked="0"/>
    </xf>
    <xf numFmtId="164" fontId="8" fillId="2" borderId="10" xfId="1" applyNumberFormat="1" applyFont="1" applyFill="1" applyBorder="1" applyAlignment="1" applyProtection="1">
      <alignment vertical="top" wrapText="1"/>
      <protection locked="0"/>
    </xf>
    <xf numFmtId="164" fontId="8" fillId="0" borderId="10" xfId="1" applyNumberFormat="1" applyFont="1" applyBorder="1" applyAlignment="1" applyProtection="1">
      <alignment vertical="top" wrapText="1"/>
      <protection locked="0"/>
    </xf>
    <xf numFmtId="164" fontId="5" fillId="2" borderId="10" xfId="1" applyNumberFormat="1" applyFont="1" applyFill="1" applyBorder="1" applyAlignment="1" applyProtection="1">
      <alignment vertical="top" wrapText="1"/>
      <protection locked="0"/>
    </xf>
    <xf numFmtId="164" fontId="5" fillId="0" borderId="10" xfId="1" applyNumberFormat="1" applyFont="1" applyBorder="1" applyAlignment="1" applyProtection="1">
      <alignment vertical="top" wrapText="1"/>
      <protection locked="0"/>
    </xf>
    <xf numFmtId="0" fontId="5" fillId="0" borderId="36" xfId="0" applyFont="1" applyBorder="1" applyAlignment="1" applyProtection="1">
      <alignment horizontal="left" vertical="top" wrapText="1"/>
      <protection locked="0"/>
    </xf>
    <xf numFmtId="0" fontId="2" fillId="0" borderId="37" xfId="0" applyFont="1" applyBorder="1" applyAlignment="1" applyProtection="1">
      <alignment horizontal="left" vertical="top"/>
    </xf>
    <xf numFmtId="0" fontId="4" fillId="0" borderId="29" xfId="0" applyFont="1" applyBorder="1" applyAlignment="1" applyProtection="1">
      <alignment horizontal="left" vertical="top" wrapText="1"/>
      <protection locked="0"/>
    </xf>
    <xf numFmtId="0" fontId="5" fillId="0" borderId="14" xfId="0" applyFont="1" applyBorder="1" applyAlignment="1" applyProtection="1">
      <alignment horizontal="left" vertical="top" wrapText="1"/>
      <protection locked="0"/>
    </xf>
    <xf numFmtId="164" fontId="7" fillId="2" borderId="30" xfId="1" applyNumberFormat="1" applyFont="1" applyFill="1" applyBorder="1" applyAlignment="1" applyProtection="1">
      <alignment vertical="top" wrapText="1"/>
      <protection locked="0"/>
    </xf>
    <xf numFmtId="164" fontId="7" fillId="0" borderId="30" xfId="1" applyNumberFormat="1" applyFont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left" vertical="top" wrapText="1"/>
    </xf>
    <xf numFmtId="0" fontId="1" fillId="0" borderId="0" xfId="0" applyFont="1" applyAlignment="1" applyProtection="1">
      <alignment horizontal="left" vertical="top" wrapText="1"/>
      <protection locked="0"/>
    </xf>
    <xf numFmtId="164" fontId="1" fillId="2" borderId="0" xfId="1" applyNumberFormat="1" applyFont="1" applyFill="1" applyAlignment="1" applyProtection="1">
      <alignment horizontal="right" vertical="top" wrapText="1"/>
      <protection locked="0"/>
    </xf>
    <xf numFmtId="164" fontId="1" fillId="0" borderId="0" xfId="1" applyNumberFormat="1" applyFont="1" applyAlignment="1" applyProtection="1">
      <alignment horizontal="right" vertical="top" wrapText="1"/>
      <protection locked="0"/>
    </xf>
    <xf numFmtId="0" fontId="2" fillId="0" borderId="0" xfId="0" applyFont="1" applyAlignment="1" applyProtection="1">
      <alignment vertical="top"/>
    </xf>
    <xf numFmtId="0" fontId="1" fillId="0" borderId="0" xfId="0" applyFont="1" applyAlignment="1" applyProtection="1">
      <alignment vertical="top" wrapText="1"/>
    </xf>
    <xf numFmtId="0" fontId="2" fillId="0" borderId="0" xfId="0" applyFont="1" applyAlignment="1" applyProtection="1">
      <alignment vertical="top" wrapText="1"/>
    </xf>
  </cellXfs>
  <cellStyles count="26">
    <cellStyle name="Accent1 - 20%" xfId="3"/>
    <cellStyle name="Accent1 - 40%" xfId="4"/>
    <cellStyle name="Accent1 - 60%" xfId="5"/>
    <cellStyle name="Accent2 - 20%" xfId="6"/>
    <cellStyle name="Accent2 - 40%" xfId="7"/>
    <cellStyle name="Accent2 - 60%" xfId="8"/>
    <cellStyle name="Accent3 - 20%" xfId="9"/>
    <cellStyle name="Accent3 - 40%" xfId="10"/>
    <cellStyle name="Accent3 - 60%" xfId="11"/>
    <cellStyle name="Accent4 - 20%" xfId="12"/>
    <cellStyle name="Accent4 - 40%" xfId="13"/>
    <cellStyle name="Accent4 - 60%" xfId="14"/>
    <cellStyle name="Accent5 - 20%" xfId="15"/>
    <cellStyle name="Accent5 - 40%" xfId="16"/>
    <cellStyle name="Accent5 - 60%" xfId="17"/>
    <cellStyle name="Accent6 - 20%" xfId="18"/>
    <cellStyle name="Accent6 - 40%" xfId="19"/>
    <cellStyle name="Accent6 - 60%" xfId="20"/>
    <cellStyle name="Comma" xfId="1" builtinId="3"/>
    <cellStyle name="Currency" xfId="2" builtinId="4"/>
    <cellStyle name="Emphasis 1" xfId="21"/>
    <cellStyle name="Emphasis 2" xfId="22"/>
    <cellStyle name="Emphasis 3" xfId="23"/>
    <cellStyle name="Normal" xfId="0" builtinId="0"/>
    <cellStyle name="Normal 2" xfId="24"/>
    <cellStyle name="Sheet Title" xfId="2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udget%20&amp;%20Finance/Budget%20&amp;%20Finance/2011/Projection/ACRL%20FY11%20Projection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403-06Overview"/>
      <sheetName val="3800 (2)"/>
      <sheetName val="UNIT 403 BUDGET WORKSHEET"/>
      <sheetName val="Strategic Exec Sum"/>
      <sheetName val="Exec Summ-Wksht"/>
      <sheetName val="DEFINITIONS-EXEC SUMM"/>
      <sheetName val="Sal Matrix"/>
      <sheetName val="0000-H"/>
      <sheetName val="0000"/>
      <sheetName val="Projection exec summ"/>
      <sheetName val="3200-H"/>
      <sheetName val="3200"/>
      <sheetName val="3201-H"/>
      <sheetName val="3201"/>
      <sheetName val="3202-H"/>
      <sheetName val="3202"/>
      <sheetName val="3203-H"/>
      <sheetName val="3203"/>
      <sheetName val="3204-H"/>
      <sheetName val="3204"/>
      <sheetName val="3205-H"/>
      <sheetName val="3205"/>
      <sheetName val="3206-H"/>
      <sheetName val="3206"/>
      <sheetName val="3207-H"/>
      <sheetName val="3207"/>
      <sheetName val="3208"/>
      <sheetName val="3209-H"/>
      <sheetName val="3209"/>
      <sheetName val="3250-H"/>
      <sheetName val="3250"/>
      <sheetName val="3275-H"/>
      <sheetName val="3275"/>
      <sheetName val="3300-H"/>
      <sheetName val="3300"/>
      <sheetName val="3302-H"/>
      <sheetName val="3302"/>
      <sheetName val="3303-H"/>
      <sheetName val="3303"/>
      <sheetName val="3309-H"/>
      <sheetName val="3309"/>
      <sheetName val="3340-H"/>
      <sheetName val="3340"/>
      <sheetName val="3400-H"/>
      <sheetName val="3400"/>
      <sheetName val="3401-H"/>
      <sheetName val="3401"/>
      <sheetName val="3501-H"/>
      <sheetName val="3501"/>
      <sheetName val="3700-H"/>
      <sheetName val="3700"/>
      <sheetName val="3702-H"/>
      <sheetName val="3702"/>
      <sheetName val="3703-H"/>
      <sheetName val="3703"/>
      <sheetName val="3704-H"/>
      <sheetName val="3704"/>
      <sheetName val="3711-H"/>
      <sheetName val="3711"/>
      <sheetName val="3800-H"/>
      <sheetName val="3800"/>
      <sheetName val="3801-H"/>
      <sheetName val="3801-H1"/>
      <sheetName val="3801"/>
      <sheetName val="3808-H"/>
      <sheetName val="3808"/>
      <sheetName val="3811-H"/>
      <sheetName val="3811"/>
      <sheetName val="3827"/>
      <sheetName val="3830-H"/>
      <sheetName val="3830"/>
      <sheetName val="3831-H"/>
      <sheetName val="3831"/>
      <sheetName val="3833-H"/>
      <sheetName val="3833"/>
      <sheetName val="3834"/>
      <sheetName val="3835-H"/>
      <sheetName val="3835"/>
      <sheetName val="3836-H"/>
      <sheetName val="3836"/>
      <sheetName val="3838-H"/>
      <sheetName val="3838"/>
      <sheetName val="3208-H"/>
      <sheetName val="3330-H"/>
      <sheetName val="3803-H"/>
      <sheetName val="3804-H"/>
      <sheetName val="3805-H"/>
      <sheetName val="3807-H"/>
      <sheetName val="3810-H"/>
      <sheetName val="3812-H"/>
      <sheetName val="3813-H"/>
      <sheetName val="3814-H"/>
      <sheetName val="3815-H"/>
      <sheetName val="3826-H"/>
      <sheetName val="3827-H"/>
      <sheetName val="3832-H"/>
      <sheetName val="3834-H"/>
      <sheetName val="3837-H"/>
      <sheetName val="3651-34"/>
      <sheetName val="3651-35"/>
      <sheetName val="3651-36"/>
      <sheetName val="3653-34"/>
      <sheetName val="3653-35"/>
      <sheetName val="3653-36"/>
      <sheetName val="3655-34"/>
      <sheetName val="3655-35"/>
      <sheetName val="3657-34"/>
      <sheetName val="3824-48"/>
      <sheetName val="3657-35"/>
      <sheetName val="3831-48"/>
      <sheetName val="2011 Detail-Exec Summ"/>
      <sheetName val="09 History-ExecSumm"/>
      <sheetName val="FY2010 Budget"/>
      <sheetName val="FY2009 Actual"/>
      <sheetName val="FY2009 Budget"/>
      <sheetName val="FY2008 Actual"/>
      <sheetName val="FY07 Actual"/>
      <sheetName val="FY06 Actual"/>
      <sheetName val="T1"/>
      <sheetName val="T2"/>
      <sheetName val="meeting review notes"/>
    </sheetNames>
    <sheetDataSet>
      <sheetData sheetId="0"/>
      <sheetData sheetId="1"/>
      <sheetData sheetId="2">
        <row r="1">
          <cell r="C1">
            <v>0.26100000000000001</v>
          </cell>
        </row>
        <row r="4">
          <cell r="N4" t="str">
            <v>RBMS Regional Workshops</v>
          </cell>
        </row>
        <row r="6">
          <cell r="N6">
            <v>3209</v>
          </cell>
        </row>
      </sheetData>
      <sheetData sheetId="3"/>
      <sheetData sheetId="4"/>
      <sheetData sheetId="5"/>
      <sheetData sheetId="6">
        <row r="16">
          <cell r="C16">
            <v>1255</v>
          </cell>
          <cell r="D16">
            <v>332</v>
          </cell>
          <cell r="E16">
            <v>140</v>
          </cell>
        </row>
      </sheetData>
      <sheetData sheetId="7"/>
      <sheetData sheetId="8"/>
      <sheetData sheetId="9"/>
      <sheetData sheetId="10"/>
      <sheetData sheetId="11">
        <row r="35">
          <cell r="D35" t="str">
            <v>This is each project's share of ACRL general expenses such as supplies, travel, telephone, and equipment depreciation.  Calculated at same % of total operating expenses as salaries above.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>
        <row r="1">
          <cell r="A1">
            <v>4000</v>
          </cell>
          <cell r="B1">
            <v>1</v>
          </cell>
          <cell r="C1" t="str">
            <v>Dues/Personal</v>
          </cell>
          <cell r="D1" t="str">
            <v>FY 2011 Budget</v>
          </cell>
          <cell r="E1">
            <v>4000</v>
          </cell>
          <cell r="F1">
            <v>1</v>
          </cell>
          <cell r="G1" t="str">
            <v>Dues/Personal</v>
          </cell>
        </row>
        <row r="2">
          <cell r="A2">
            <v>4001</v>
          </cell>
          <cell r="B2">
            <v>2</v>
          </cell>
          <cell r="C2" t="str">
            <v>Dues/Organizational</v>
          </cell>
          <cell r="E2">
            <v>4001</v>
          </cell>
          <cell r="F2">
            <v>2</v>
          </cell>
          <cell r="G2" t="str">
            <v>Dues/Organizational</v>
          </cell>
        </row>
        <row r="3">
          <cell r="A3">
            <v>4002</v>
          </cell>
          <cell r="B3">
            <v>3</v>
          </cell>
          <cell r="C3" t="str">
            <v>Dues-Special</v>
          </cell>
          <cell r="E3">
            <v>4002</v>
          </cell>
          <cell r="F3">
            <v>3</v>
          </cell>
          <cell r="G3" t="str">
            <v>Dues-Special</v>
          </cell>
        </row>
        <row r="4">
          <cell r="A4">
            <v>4003</v>
          </cell>
          <cell r="B4">
            <v>4</v>
          </cell>
          <cell r="C4" t="str">
            <v>Dues Life Members-Current</v>
          </cell>
          <cell r="E4">
            <v>4003</v>
          </cell>
          <cell r="F4">
            <v>4</v>
          </cell>
          <cell r="G4" t="str">
            <v>Dues Life Members-Current</v>
          </cell>
        </row>
        <row r="5">
          <cell r="A5">
            <v>4004</v>
          </cell>
          <cell r="B5">
            <v>5</v>
          </cell>
          <cell r="C5" t="str">
            <v>Dues-Cont. Members &amp; Div Trfr</v>
          </cell>
          <cell r="E5">
            <v>4004</v>
          </cell>
          <cell r="F5">
            <v>5</v>
          </cell>
          <cell r="G5" t="str">
            <v>Dues-Cont. Members &amp; Div Trfr</v>
          </cell>
        </row>
        <row r="6">
          <cell r="A6">
            <v>4100</v>
          </cell>
          <cell r="B6">
            <v>9</v>
          </cell>
          <cell r="C6" t="str">
            <v>Sales/Books</v>
          </cell>
          <cell r="E6" t="str">
            <v/>
          </cell>
          <cell r="F6">
            <v>6</v>
          </cell>
          <cell r="G6" t="str">
            <v/>
          </cell>
        </row>
        <row r="7">
          <cell r="A7">
            <v>4101</v>
          </cell>
          <cell r="B7">
            <v>16</v>
          </cell>
          <cell r="C7" t="str">
            <v>Sales/Pamphlets</v>
          </cell>
          <cell r="F7">
            <v>7</v>
          </cell>
          <cell r="G7" t="str">
            <v>Subtotal-Dues</v>
          </cell>
        </row>
        <row r="8">
          <cell r="A8">
            <v>4102</v>
          </cell>
          <cell r="B8">
            <v>17</v>
          </cell>
          <cell r="C8" t="str">
            <v>Sales/Audiovisual</v>
          </cell>
          <cell r="F8">
            <v>8</v>
          </cell>
          <cell r="G8" t="str">
            <v/>
          </cell>
        </row>
        <row r="9">
          <cell r="A9">
            <v>4103</v>
          </cell>
          <cell r="B9">
            <v>18</v>
          </cell>
          <cell r="C9" t="str">
            <v>Sales/On-line</v>
          </cell>
          <cell r="E9">
            <v>4100</v>
          </cell>
          <cell r="F9">
            <v>9</v>
          </cell>
          <cell r="G9" t="str">
            <v>Sales/Books</v>
          </cell>
        </row>
        <row r="10">
          <cell r="A10">
            <v>4104</v>
          </cell>
          <cell r="B10">
            <v>19</v>
          </cell>
          <cell r="C10" t="str">
            <v>Sales/Rental-Mail Lists</v>
          </cell>
          <cell r="E10">
            <v>4600</v>
          </cell>
          <cell r="F10">
            <v>10</v>
          </cell>
          <cell r="G10" t="str">
            <v>Distcnt/Allowance</v>
          </cell>
        </row>
        <row r="11">
          <cell r="A11">
            <v>4105</v>
          </cell>
          <cell r="B11">
            <v>20</v>
          </cell>
          <cell r="C11" t="str">
            <v>Sales/Posters</v>
          </cell>
          <cell r="E11">
            <v>4601</v>
          </cell>
          <cell r="F11">
            <v>11</v>
          </cell>
          <cell r="G11" t="str">
            <v>Returns/Credits</v>
          </cell>
        </row>
        <row r="12">
          <cell r="A12">
            <v>4108</v>
          </cell>
          <cell r="B12">
            <v>21</v>
          </cell>
          <cell r="C12" t="str">
            <v>Sales/ALA Store</v>
          </cell>
          <cell r="E12">
            <v>4620</v>
          </cell>
          <cell r="F12">
            <v>12</v>
          </cell>
          <cell r="G12" t="str">
            <v>Contra/Fulfillment Charges</v>
          </cell>
        </row>
        <row r="13">
          <cell r="A13">
            <v>4109</v>
          </cell>
          <cell r="B13">
            <v>22</v>
          </cell>
          <cell r="C13" t="str">
            <v>Sales/Miscellaneous</v>
          </cell>
          <cell r="F13">
            <v>13</v>
          </cell>
          <cell r="G13" t="str">
            <v/>
          </cell>
        </row>
        <row r="14">
          <cell r="A14">
            <v>4110</v>
          </cell>
          <cell r="B14">
            <v>26</v>
          </cell>
          <cell r="C14" t="str">
            <v>Subscriptions</v>
          </cell>
          <cell r="F14">
            <v>14</v>
          </cell>
          <cell r="G14" t="str">
            <v>Subtotal-Sales-Net</v>
          </cell>
        </row>
        <row r="15">
          <cell r="A15">
            <v>4140</v>
          </cell>
          <cell r="B15">
            <v>30</v>
          </cell>
          <cell r="C15" t="str">
            <v>Advertising/Gross</v>
          </cell>
          <cell r="F15">
            <v>15</v>
          </cell>
          <cell r="G15" t="str">
            <v/>
          </cell>
        </row>
        <row r="16">
          <cell r="A16">
            <v>4142</v>
          </cell>
          <cell r="B16">
            <v>31</v>
          </cell>
          <cell r="C16" t="str">
            <v>Advertising/Classified</v>
          </cell>
          <cell r="E16">
            <v>4101</v>
          </cell>
          <cell r="F16">
            <v>16</v>
          </cell>
          <cell r="G16" t="str">
            <v>Sales/Pamphets</v>
          </cell>
        </row>
        <row r="17">
          <cell r="A17">
            <v>4200</v>
          </cell>
          <cell r="B17">
            <v>38</v>
          </cell>
          <cell r="C17" t="str">
            <v>Registration Fees</v>
          </cell>
          <cell r="E17">
            <v>4102</v>
          </cell>
          <cell r="F17">
            <v>17</v>
          </cell>
          <cell r="G17" t="str">
            <v>Sales Audiovisual</v>
          </cell>
        </row>
        <row r="18">
          <cell r="A18">
            <v>4210</v>
          </cell>
          <cell r="B18">
            <v>39</v>
          </cell>
          <cell r="C18" t="str">
            <v>Exhibit Space Rentals</v>
          </cell>
          <cell r="E18">
            <v>4103</v>
          </cell>
          <cell r="F18">
            <v>18</v>
          </cell>
          <cell r="G18" t="str">
            <v>Sales/On-line</v>
          </cell>
        </row>
        <row r="19">
          <cell r="A19">
            <v>4220</v>
          </cell>
          <cell r="B19">
            <v>40</v>
          </cell>
          <cell r="C19" t="str">
            <v>Meal Functions</v>
          </cell>
          <cell r="E19">
            <v>4104</v>
          </cell>
          <cell r="F19">
            <v>19</v>
          </cell>
          <cell r="G19" t="str">
            <v>Sales/Rental-Mail Lists</v>
          </cell>
        </row>
        <row r="20">
          <cell r="A20">
            <v>4300</v>
          </cell>
          <cell r="B20">
            <v>44</v>
          </cell>
          <cell r="C20" t="str">
            <v>Grants &amp; Awards</v>
          </cell>
          <cell r="E20">
            <v>4105</v>
          </cell>
          <cell r="F20">
            <v>20</v>
          </cell>
          <cell r="G20" t="str">
            <v>Sales/Posters</v>
          </cell>
        </row>
        <row r="21">
          <cell r="A21">
            <v>4400</v>
          </cell>
          <cell r="B21">
            <v>48</v>
          </cell>
          <cell r="C21" t="str">
            <v>Donations/Honoraria</v>
          </cell>
          <cell r="E21">
            <v>4108</v>
          </cell>
          <cell r="F21">
            <v>21</v>
          </cell>
          <cell r="G21" t="str">
            <v>Sales/ALA Store</v>
          </cell>
        </row>
        <row r="22">
          <cell r="A22">
            <v>4420</v>
          </cell>
          <cell r="B22">
            <v>49</v>
          </cell>
          <cell r="C22" t="str">
            <v>Interest/Dividends</v>
          </cell>
          <cell r="E22">
            <v>4109</v>
          </cell>
          <cell r="F22">
            <v>22</v>
          </cell>
          <cell r="G22" t="str">
            <v>Sales/Miscellaneous</v>
          </cell>
        </row>
        <row r="23">
          <cell r="A23">
            <v>4421</v>
          </cell>
          <cell r="B23">
            <v>50</v>
          </cell>
          <cell r="C23" t="str">
            <v>Royalties-Exempt</v>
          </cell>
          <cell r="F23">
            <v>23</v>
          </cell>
          <cell r="G23" t="str">
            <v/>
          </cell>
        </row>
        <row r="24">
          <cell r="A24">
            <v>4422</v>
          </cell>
          <cell r="B24">
            <v>51</v>
          </cell>
          <cell r="C24" t="str">
            <v>L-T Invest. Gain/Loss-Realized</v>
          </cell>
          <cell r="F24">
            <v>24</v>
          </cell>
          <cell r="G24" t="str">
            <v>Subtotal-Other Sales</v>
          </cell>
        </row>
        <row r="25">
          <cell r="A25">
            <v>4423</v>
          </cell>
          <cell r="B25">
            <v>52</v>
          </cell>
          <cell r="C25" t="str">
            <v>L-T Invest. Gain/Loss-Unrealized</v>
          </cell>
          <cell r="F25">
            <v>25</v>
          </cell>
          <cell r="G25" t="str">
            <v/>
          </cell>
        </row>
        <row r="26">
          <cell r="A26">
            <v>4429</v>
          </cell>
          <cell r="B26">
            <v>53</v>
          </cell>
          <cell r="C26" t="str">
            <v>Overhd-exempt Rev./Division</v>
          </cell>
          <cell r="E26">
            <v>4110</v>
          </cell>
          <cell r="F26">
            <v>26</v>
          </cell>
          <cell r="G26" t="str">
            <v>Subscriptions</v>
          </cell>
        </row>
        <row r="27">
          <cell r="A27">
            <v>4430</v>
          </cell>
          <cell r="B27">
            <v>54</v>
          </cell>
          <cell r="C27" t="str">
            <v>Royalties-Non-Exempt</v>
          </cell>
          <cell r="F27">
            <v>27</v>
          </cell>
          <cell r="G27" t="str">
            <v/>
          </cell>
        </row>
        <row r="28">
          <cell r="A28">
            <v>4490</v>
          </cell>
          <cell r="B28">
            <v>55</v>
          </cell>
          <cell r="C28" t="str">
            <v>Misc. Fees/Revenues</v>
          </cell>
          <cell r="F28">
            <v>28</v>
          </cell>
          <cell r="G28" t="str">
            <v>Subtotal-Subscriptions</v>
          </cell>
        </row>
        <row r="29">
          <cell r="A29">
            <v>4500</v>
          </cell>
          <cell r="B29">
            <v>56</v>
          </cell>
          <cell r="C29" t="str">
            <v>Rent/Huron Plaza</v>
          </cell>
          <cell r="F29">
            <v>29</v>
          </cell>
          <cell r="G29" t="str">
            <v/>
          </cell>
        </row>
        <row r="30">
          <cell r="A30">
            <v>4600</v>
          </cell>
          <cell r="B30">
            <v>10</v>
          </cell>
          <cell r="C30" t="str">
            <v>Distcnt/Allowance</v>
          </cell>
          <cell r="E30">
            <v>4140</v>
          </cell>
          <cell r="F30">
            <v>30</v>
          </cell>
          <cell r="G30" t="str">
            <v>Advertising/Gross</v>
          </cell>
        </row>
        <row r="31">
          <cell r="A31">
            <v>4601</v>
          </cell>
          <cell r="B31">
            <v>11</v>
          </cell>
          <cell r="C31" t="str">
            <v>Returns/Credits</v>
          </cell>
          <cell r="E31">
            <v>4142</v>
          </cell>
          <cell r="F31">
            <v>31</v>
          </cell>
          <cell r="G31" t="str">
            <v>Advertising/Classified</v>
          </cell>
        </row>
        <row r="32">
          <cell r="A32">
            <v>4610</v>
          </cell>
          <cell r="B32">
            <v>32</v>
          </cell>
          <cell r="C32" t="str">
            <v>Comm/Export Agnt</v>
          </cell>
          <cell r="E32">
            <v>4610</v>
          </cell>
          <cell r="F32">
            <v>32</v>
          </cell>
          <cell r="G32" t="str">
            <v>Comm/Export Agnt</v>
          </cell>
        </row>
        <row r="33">
          <cell r="A33">
            <v>4611</v>
          </cell>
          <cell r="B33">
            <v>33</v>
          </cell>
          <cell r="C33" t="str">
            <v>Comm/Sales Rep</v>
          </cell>
          <cell r="E33">
            <v>4611</v>
          </cell>
          <cell r="F33">
            <v>33</v>
          </cell>
          <cell r="G33" t="str">
            <v>Comm/Sales Rep</v>
          </cell>
        </row>
        <row r="34">
          <cell r="A34">
            <v>4612</v>
          </cell>
          <cell r="B34">
            <v>34</v>
          </cell>
          <cell r="C34" t="str">
            <v>Comm/Adv. Agency</v>
          </cell>
          <cell r="E34">
            <v>4612</v>
          </cell>
          <cell r="F34">
            <v>34</v>
          </cell>
          <cell r="G34" t="str">
            <v>Comm/Adv. Agency</v>
          </cell>
        </row>
        <row r="35">
          <cell r="A35">
            <v>4620</v>
          </cell>
          <cell r="B35">
            <v>12</v>
          </cell>
          <cell r="C35" t="str">
            <v>Contra/Fulfillment Charges</v>
          </cell>
          <cell r="F35">
            <v>35</v>
          </cell>
          <cell r="G35" t="str">
            <v/>
          </cell>
        </row>
        <row r="36">
          <cell r="A36">
            <v>5000</v>
          </cell>
          <cell r="B36">
            <v>62</v>
          </cell>
          <cell r="C36" t="str">
            <v>Salaries &amp; Wages</v>
          </cell>
          <cell r="F36">
            <v>36</v>
          </cell>
          <cell r="G36" t="str">
            <v>Subtotal-Advertising</v>
          </cell>
        </row>
        <row r="37">
          <cell r="A37">
            <v>5001</v>
          </cell>
          <cell r="B37">
            <v>63</v>
          </cell>
          <cell r="C37" t="str">
            <v>Temp Employees-In-House</v>
          </cell>
          <cell r="F37">
            <v>37</v>
          </cell>
          <cell r="G37" t="str">
            <v/>
          </cell>
        </row>
        <row r="38">
          <cell r="A38">
            <v>5002</v>
          </cell>
          <cell r="B38">
            <v>64</v>
          </cell>
          <cell r="C38" t="str">
            <v>Overtime/Wages</v>
          </cell>
          <cell r="E38">
            <v>4200</v>
          </cell>
          <cell r="F38">
            <v>38</v>
          </cell>
          <cell r="G38" t="str">
            <v>Registration Fees</v>
          </cell>
        </row>
        <row r="39">
          <cell r="A39">
            <v>5005</v>
          </cell>
          <cell r="B39">
            <v>65</v>
          </cell>
          <cell r="C39" t="str">
            <v>Attrition Factor</v>
          </cell>
          <cell r="E39">
            <v>4210</v>
          </cell>
          <cell r="F39">
            <v>39</v>
          </cell>
          <cell r="G39" t="str">
            <v>Exhibit Space Rentals</v>
          </cell>
        </row>
        <row r="40">
          <cell r="A40">
            <v>5009</v>
          </cell>
          <cell r="B40">
            <v>66</v>
          </cell>
          <cell r="C40" t="str">
            <v>Accrued Vacation</v>
          </cell>
          <cell r="E40">
            <v>4220</v>
          </cell>
          <cell r="F40">
            <v>40</v>
          </cell>
          <cell r="G40" t="str">
            <v>Meal Functions</v>
          </cell>
        </row>
        <row r="41">
          <cell r="A41">
            <v>5010</v>
          </cell>
          <cell r="B41">
            <v>67</v>
          </cell>
          <cell r="C41" t="str">
            <v>Employee Benefits</v>
          </cell>
          <cell r="F41">
            <v>41</v>
          </cell>
          <cell r="G41" t="str">
            <v/>
          </cell>
        </row>
        <row r="42">
          <cell r="A42">
            <v>5015</v>
          </cell>
          <cell r="B42">
            <v>68</v>
          </cell>
          <cell r="C42" t="str">
            <v>Tuition Reimbursement</v>
          </cell>
          <cell r="F42">
            <v>42</v>
          </cell>
          <cell r="G42" t="str">
            <v>Subtotal-Meetings &amp; Conf.</v>
          </cell>
        </row>
        <row r="43">
          <cell r="A43">
            <v>5016</v>
          </cell>
          <cell r="B43">
            <v>69</v>
          </cell>
          <cell r="C43" t="str">
            <v>Prof Memberships</v>
          </cell>
          <cell r="F43">
            <v>43</v>
          </cell>
          <cell r="G43" t="str">
            <v/>
          </cell>
        </row>
        <row r="44">
          <cell r="A44">
            <v>5030</v>
          </cell>
          <cell r="B44">
            <v>130</v>
          </cell>
          <cell r="C44" t="str">
            <v>Staff Recruitment/Relocation</v>
          </cell>
          <cell r="E44">
            <v>4300</v>
          </cell>
          <cell r="F44">
            <v>44</v>
          </cell>
          <cell r="G44" t="str">
            <v>Grants &amp; Awards</v>
          </cell>
        </row>
        <row r="45">
          <cell r="A45">
            <v>5031</v>
          </cell>
          <cell r="B45">
            <v>131</v>
          </cell>
          <cell r="C45" t="str">
            <v>Staff Development</v>
          </cell>
          <cell r="F45">
            <v>45</v>
          </cell>
          <cell r="G45" t="str">
            <v/>
          </cell>
        </row>
        <row r="46">
          <cell r="A46">
            <v>5100</v>
          </cell>
          <cell r="B46">
            <v>73</v>
          </cell>
          <cell r="C46" t="str">
            <v>Temp Employee/Outside</v>
          </cell>
          <cell r="F46">
            <v>46</v>
          </cell>
          <cell r="G46" t="str">
            <v>Subtotal-Grants &amp; Awards</v>
          </cell>
        </row>
        <row r="47">
          <cell r="A47">
            <v>5110</v>
          </cell>
          <cell r="B47">
            <v>74</v>
          </cell>
          <cell r="C47" t="str">
            <v>Professional Services</v>
          </cell>
          <cell r="F47">
            <v>47</v>
          </cell>
          <cell r="G47" t="str">
            <v/>
          </cell>
        </row>
        <row r="48">
          <cell r="A48">
            <v>5120</v>
          </cell>
          <cell r="B48">
            <v>75</v>
          </cell>
          <cell r="C48" t="str">
            <v>Legal Fees</v>
          </cell>
          <cell r="E48">
            <v>4400</v>
          </cell>
          <cell r="F48">
            <v>48</v>
          </cell>
          <cell r="G48" t="str">
            <v>Donations/Honoraria</v>
          </cell>
        </row>
        <row r="49">
          <cell r="A49">
            <v>5121</v>
          </cell>
          <cell r="B49">
            <v>76</v>
          </cell>
          <cell r="C49" t="str">
            <v>Audit/Tax Fees</v>
          </cell>
          <cell r="E49">
            <v>4420</v>
          </cell>
          <cell r="F49">
            <v>49</v>
          </cell>
          <cell r="G49" t="str">
            <v>Interest/Dividends</v>
          </cell>
        </row>
        <row r="50">
          <cell r="A50">
            <v>5122</v>
          </cell>
          <cell r="B50">
            <v>77</v>
          </cell>
          <cell r="C50" t="str">
            <v>Bank Service Fees</v>
          </cell>
          <cell r="E50">
            <v>4421</v>
          </cell>
          <cell r="F50">
            <v>50</v>
          </cell>
          <cell r="G50" t="str">
            <v>Royalties-Exempt</v>
          </cell>
        </row>
        <row r="51">
          <cell r="A51">
            <v>5140</v>
          </cell>
          <cell r="B51">
            <v>78</v>
          </cell>
          <cell r="C51" t="str">
            <v>Repairs/Maintenance</v>
          </cell>
          <cell r="E51">
            <v>4422</v>
          </cell>
          <cell r="F51">
            <v>51</v>
          </cell>
          <cell r="G51" t="str">
            <v>L-T Invest. Gain/Loss-Realized</v>
          </cell>
        </row>
        <row r="52">
          <cell r="A52">
            <v>5150</v>
          </cell>
          <cell r="B52">
            <v>79</v>
          </cell>
          <cell r="C52" t="str">
            <v>Messenger Service</v>
          </cell>
          <cell r="E52">
            <v>4423</v>
          </cell>
          <cell r="F52">
            <v>52</v>
          </cell>
          <cell r="G52" t="str">
            <v>L-T Invest. Gain/Loss-Unrealized</v>
          </cell>
        </row>
        <row r="53">
          <cell r="A53">
            <v>5151</v>
          </cell>
          <cell r="B53">
            <v>80</v>
          </cell>
          <cell r="C53" t="str">
            <v>Duplication/Outside</v>
          </cell>
          <cell r="E53">
            <v>4429</v>
          </cell>
          <cell r="F53">
            <v>53</v>
          </cell>
          <cell r="G53" t="str">
            <v>Overhd-exempt Rev./Division</v>
          </cell>
        </row>
        <row r="54">
          <cell r="A54">
            <v>5210</v>
          </cell>
          <cell r="B54">
            <v>84</v>
          </cell>
          <cell r="C54" t="str">
            <v>Transportation</v>
          </cell>
          <cell r="E54">
            <v>4430</v>
          </cell>
          <cell r="F54">
            <v>54</v>
          </cell>
          <cell r="G54" t="str">
            <v>Royalties-Non-Exempt</v>
          </cell>
        </row>
        <row r="55">
          <cell r="A55">
            <v>5212</v>
          </cell>
          <cell r="B55">
            <v>85</v>
          </cell>
          <cell r="C55" t="str">
            <v>Lodging &amp; Meals</v>
          </cell>
          <cell r="E55">
            <v>4490</v>
          </cell>
          <cell r="F55">
            <v>55</v>
          </cell>
          <cell r="G55" t="str">
            <v>Misc. Fees/Revenues</v>
          </cell>
        </row>
        <row r="56">
          <cell r="A56">
            <v>5214</v>
          </cell>
          <cell r="B56">
            <v>86</v>
          </cell>
          <cell r="C56" t="str">
            <v>Entertainment</v>
          </cell>
          <cell r="E56">
            <v>4500</v>
          </cell>
          <cell r="F56">
            <v>56</v>
          </cell>
          <cell r="G56" t="str">
            <v>Rent/Huron Plaza</v>
          </cell>
        </row>
        <row r="57">
          <cell r="A57">
            <v>5216</v>
          </cell>
          <cell r="B57">
            <v>87</v>
          </cell>
          <cell r="C57" t="str">
            <v>Business Meetings</v>
          </cell>
          <cell r="F57">
            <v>57</v>
          </cell>
          <cell r="G57" t="str">
            <v/>
          </cell>
        </row>
        <row r="58">
          <cell r="A58">
            <v>5300</v>
          </cell>
          <cell r="B58">
            <v>91</v>
          </cell>
          <cell r="C58" t="str">
            <v>Facilities Rent</v>
          </cell>
          <cell r="F58">
            <v>58</v>
          </cell>
          <cell r="G58" t="str">
            <v>Subtotal-Misc.</v>
          </cell>
        </row>
        <row r="59">
          <cell r="A59">
            <v>5301</v>
          </cell>
          <cell r="B59">
            <v>92</v>
          </cell>
          <cell r="C59" t="str">
            <v>Conference Equipment Rental</v>
          </cell>
          <cell r="F59">
            <v>59</v>
          </cell>
          <cell r="G59" t="str">
            <v/>
          </cell>
        </row>
        <row r="60">
          <cell r="A60">
            <v>5302</v>
          </cell>
          <cell r="B60">
            <v>93</v>
          </cell>
          <cell r="C60" t="str">
            <v>Meal Functions</v>
          </cell>
          <cell r="F60">
            <v>60</v>
          </cell>
          <cell r="G60" t="str">
            <v>Total Revenues</v>
          </cell>
        </row>
        <row r="61">
          <cell r="A61">
            <v>5303</v>
          </cell>
          <cell r="B61">
            <v>94</v>
          </cell>
          <cell r="C61" t="str">
            <v>Exhibits</v>
          </cell>
          <cell r="F61">
            <v>61</v>
          </cell>
          <cell r="G61" t="str">
            <v/>
          </cell>
        </row>
        <row r="62">
          <cell r="A62">
            <v>5304</v>
          </cell>
          <cell r="B62">
            <v>95</v>
          </cell>
          <cell r="C62" t="str">
            <v>Speaker/Guest Expenses</v>
          </cell>
          <cell r="E62">
            <v>5000</v>
          </cell>
          <cell r="F62">
            <v>62</v>
          </cell>
          <cell r="G62" t="str">
            <v>Salaries &amp; Wages</v>
          </cell>
        </row>
        <row r="63">
          <cell r="A63">
            <v>5305</v>
          </cell>
          <cell r="B63">
            <v>96</v>
          </cell>
          <cell r="C63" t="str">
            <v>Speaker/Guest Honorarium</v>
          </cell>
          <cell r="E63">
            <v>5001</v>
          </cell>
          <cell r="F63">
            <v>63</v>
          </cell>
          <cell r="G63" t="str">
            <v>Temp Employees-In-House</v>
          </cell>
        </row>
        <row r="64">
          <cell r="A64">
            <v>5306</v>
          </cell>
          <cell r="B64">
            <v>97</v>
          </cell>
          <cell r="C64" t="str">
            <v>Awards</v>
          </cell>
          <cell r="E64">
            <v>5002</v>
          </cell>
          <cell r="F64">
            <v>64</v>
          </cell>
          <cell r="G64" t="str">
            <v>Overtime/Wages</v>
          </cell>
        </row>
        <row r="65">
          <cell r="A65">
            <v>5307</v>
          </cell>
          <cell r="B65">
            <v>98</v>
          </cell>
          <cell r="C65" t="str">
            <v>Security Services</v>
          </cell>
          <cell r="E65">
            <v>5005</v>
          </cell>
          <cell r="F65">
            <v>65</v>
          </cell>
          <cell r="G65" t="str">
            <v>Attrition Factor</v>
          </cell>
        </row>
        <row r="66">
          <cell r="A66">
            <v>5308</v>
          </cell>
          <cell r="B66">
            <v>99</v>
          </cell>
          <cell r="C66" t="str">
            <v>Special Transportation</v>
          </cell>
          <cell r="E66">
            <v>5009</v>
          </cell>
          <cell r="F66">
            <v>66</v>
          </cell>
          <cell r="G66" t="str">
            <v>Accrued Vacation</v>
          </cell>
        </row>
        <row r="67">
          <cell r="A67">
            <v>5309</v>
          </cell>
          <cell r="B67">
            <v>100</v>
          </cell>
          <cell r="C67" t="str">
            <v>Audio/Visual Equip Rental &amp; Labor</v>
          </cell>
          <cell r="E67">
            <v>5010</v>
          </cell>
          <cell r="F67">
            <v>67</v>
          </cell>
          <cell r="G67" t="str">
            <v>Employee Benefits</v>
          </cell>
        </row>
        <row r="68">
          <cell r="A68">
            <v>5310</v>
          </cell>
          <cell r="B68">
            <v>101</v>
          </cell>
          <cell r="C68" t="str">
            <v>Computer Rental/Internet Connection</v>
          </cell>
          <cell r="E68">
            <v>5015</v>
          </cell>
          <cell r="F68">
            <v>68</v>
          </cell>
          <cell r="G68" t="str">
            <v>Tuition Reimbursement</v>
          </cell>
        </row>
        <row r="69">
          <cell r="A69">
            <v>5350</v>
          </cell>
          <cell r="B69">
            <v>102</v>
          </cell>
          <cell r="C69" t="str">
            <v>Program Allocation</v>
          </cell>
          <cell r="E69">
            <v>5016</v>
          </cell>
          <cell r="F69">
            <v>69</v>
          </cell>
          <cell r="G69" t="str">
            <v>Prof Memberships</v>
          </cell>
        </row>
        <row r="70">
          <cell r="A70">
            <v>5400</v>
          </cell>
          <cell r="B70">
            <v>106</v>
          </cell>
          <cell r="C70" t="str">
            <v>Editl/Proofreading-O/S</v>
          </cell>
          <cell r="F70">
            <v>70</v>
          </cell>
          <cell r="G70" t="str">
            <v/>
          </cell>
        </row>
        <row r="71">
          <cell r="A71">
            <v>5401</v>
          </cell>
          <cell r="B71">
            <v>107</v>
          </cell>
          <cell r="C71" t="str">
            <v>Typesetting/Comptn-O/S</v>
          </cell>
          <cell r="F71">
            <v>71</v>
          </cell>
          <cell r="G71" t="str">
            <v>Payroll &amp; Related Exp.</v>
          </cell>
        </row>
        <row r="72">
          <cell r="A72">
            <v>5402</v>
          </cell>
          <cell r="B72">
            <v>108</v>
          </cell>
          <cell r="C72" t="str">
            <v>Printing-O/S</v>
          </cell>
          <cell r="F72">
            <v>72</v>
          </cell>
          <cell r="G72" t="str">
            <v/>
          </cell>
        </row>
        <row r="73">
          <cell r="A73">
            <v>5403</v>
          </cell>
          <cell r="B73">
            <v>109</v>
          </cell>
          <cell r="C73" t="str">
            <v>Binding-O/S</v>
          </cell>
          <cell r="E73">
            <v>5100</v>
          </cell>
          <cell r="F73">
            <v>73</v>
          </cell>
          <cell r="G73" t="str">
            <v>Temp Employee/Outside</v>
          </cell>
        </row>
        <row r="74">
          <cell r="A74">
            <v>5404</v>
          </cell>
          <cell r="B74">
            <v>110</v>
          </cell>
          <cell r="C74" t="str">
            <v>Design Service-O/S</v>
          </cell>
          <cell r="E74">
            <v>5110</v>
          </cell>
          <cell r="F74">
            <v>74</v>
          </cell>
          <cell r="G74" t="str">
            <v>Professional Services</v>
          </cell>
        </row>
        <row r="75">
          <cell r="A75">
            <v>5406</v>
          </cell>
          <cell r="B75">
            <v>111</v>
          </cell>
          <cell r="C75" t="str">
            <v>Review Service</v>
          </cell>
          <cell r="E75">
            <v>5120</v>
          </cell>
          <cell r="F75">
            <v>75</v>
          </cell>
          <cell r="G75" t="str">
            <v>Legal Fees</v>
          </cell>
        </row>
        <row r="76">
          <cell r="A76">
            <v>5410</v>
          </cell>
          <cell r="B76">
            <v>112</v>
          </cell>
          <cell r="C76" t="str">
            <v>Mail Service-O/S</v>
          </cell>
          <cell r="E76">
            <v>5121</v>
          </cell>
          <cell r="F76">
            <v>76</v>
          </cell>
          <cell r="G76" t="str">
            <v>Audit/Tax Fees</v>
          </cell>
        </row>
        <row r="77">
          <cell r="A77">
            <v>5411</v>
          </cell>
          <cell r="B77">
            <v>113</v>
          </cell>
          <cell r="C77" t="str">
            <v>Advertising/Space</v>
          </cell>
          <cell r="E77">
            <v>5122</v>
          </cell>
          <cell r="F77">
            <v>77</v>
          </cell>
          <cell r="G77" t="str">
            <v>Bank Service Fees</v>
          </cell>
        </row>
        <row r="78">
          <cell r="A78">
            <v>5412</v>
          </cell>
          <cell r="B78">
            <v>114</v>
          </cell>
          <cell r="C78" t="str">
            <v>Advertising/Direct</v>
          </cell>
          <cell r="E78">
            <v>5140</v>
          </cell>
          <cell r="F78">
            <v>78</v>
          </cell>
          <cell r="G78" t="str">
            <v>Repairs/Maintenance</v>
          </cell>
        </row>
        <row r="79">
          <cell r="A79">
            <v>5413</v>
          </cell>
          <cell r="B79">
            <v>115</v>
          </cell>
          <cell r="C79" t="str">
            <v>Mail List Rental</v>
          </cell>
          <cell r="E79">
            <v>5150</v>
          </cell>
          <cell r="F79">
            <v>79</v>
          </cell>
          <cell r="G79" t="str">
            <v>Messenger Service</v>
          </cell>
        </row>
        <row r="80">
          <cell r="A80">
            <v>5414</v>
          </cell>
          <cell r="B80">
            <v>116</v>
          </cell>
          <cell r="C80" t="str">
            <v>Supplies/Production</v>
          </cell>
          <cell r="E80">
            <v>5151</v>
          </cell>
          <cell r="F80">
            <v>80</v>
          </cell>
          <cell r="G80" t="str">
            <v>Duplication/Outside</v>
          </cell>
        </row>
        <row r="81">
          <cell r="A81">
            <v>5415</v>
          </cell>
          <cell r="B81">
            <v>117</v>
          </cell>
          <cell r="C81" t="str">
            <v>Pre-Press/Photo Services</v>
          </cell>
          <cell r="F81">
            <v>81</v>
          </cell>
          <cell r="G81" t="str">
            <v/>
          </cell>
        </row>
        <row r="82">
          <cell r="A82">
            <v>5416</v>
          </cell>
          <cell r="B82">
            <v>118</v>
          </cell>
          <cell r="C82" t="str">
            <v>Adv Production Cost</v>
          </cell>
          <cell r="F82">
            <v>82</v>
          </cell>
          <cell r="G82" t="str">
            <v>Outside Services</v>
          </cell>
        </row>
        <row r="83">
          <cell r="A83">
            <v>5420</v>
          </cell>
          <cell r="B83">
            <v>119</v>
          </cell>
          <cell r="C83" t="str">
            <v>Copyright Fees</v>
          </cell>
          <cell r="F83">
            <v>83</v>
          </cell>
          <cell r="G83" t="str">
            <v/>
          </cell>
        </row>
        <row r="84">
          <cell r="A84">
            <v>5430</v>
          </cell>
          <cell r="B84">
            <v>120</v>
          </cell>
          <cell r="C84" t="str">
            <v>Web Operating Expenses</v>
          </cell>
          <cell r="E84">
            <v>5210</v>
          </cell>
          <cell r="F84">
            <v>84</v>
          </cell>
          <cell r="G84" t="str">
            <v>Transportation</v>
          </cell>
        </row>
        <row r="85">
          <cell r="A85">
            <v>5431</v>
          </cell>
          <cell r="B85">
            <v>121</v>
          </cell>
          <cell r="C85" t="str">
            <v>Video Production Cost</v>
          </cell>
          <cell r="E85">
            <v>5212</v>
          </cell>
          <cell r="F85">
            <v>85</v>
          </cell>
          <cell r="G85" t="str">
            <v>Lodging &amp; Meals</v>
          </cell>
        </row>
        <row r="86">
          <cell r="A86">
            <v>5432</v>
          </cell>
          <cell r="B86">
            <v>122</v>
          </cell>
          <cell r="C86" t="str">
            <v>Purchased Inventory</v>
          </cell>
          <cell r="E86">
            <v>5214</v>
          </cell>
          <cell r="F86">
            <v>86</v>
          </cell>
          <cell r="G86" t="str">
            <v>Entertainment</v>
          </cell>
        </row>
        <row r="87">
          <cell r="A87">
            <v>5433</v>
          </cell>
          <cell r="B87">
            <v>123</v>
          </cell>
          <cell r="C87" t="str">
            <v>Order Processing/Fulfillment</v>
          </cell>
          <cell r="E87">
            <v>5216</v>
          </cell>
          <cell r="F87">
            <v>87</v>
          </cell>
          <cell r="G87" t="str">
            <v>Business Meetings</v>
          </cell>
        </row>
        <row r="88">
          <cell r="A88">
            <v>5480</v>
          </cell>
          <cell r="B88">
            <v>124</v>
          </cell>
          <cell r="C88" t="str">
            <v>Cost of Sales</v>
          </cell>
          <cell r="F88">
            <v>88</v>
          </cell>
          <cell r="G88" t="str">
            <v/>
          </cell>
        </row>
        <row r="89">
          <cell r="A89">
            <v>5490</v>
          </cell>
          <cell r="B89">
            <v>125</v>
          </cell>
          <cell r="C89" t="str">
            <v>Inventory Adjustment</v>
          </cell>
          <cell r="F89">
            <v>89</v>
          </cell>
          <cell r="G89" t="str">
            <v>Travel and Related Expenses</v>
          </cell>
        </row>
        <row r="90">
          <cell r="A90">
            <v>5499</v>
          </cell>
          <cell r="B90">
            <v>126</v>
          </cell>
          <cell r="C90" t="str">
            <v>Inventory Reserve Adjustment</v>
          </cell>
          <cell r="F90">
            <v>90</v>
          </cell>
          <cell r="G90" t="str">
            <v/>
          </cell>
        </row>
        <row r="91">
          <cell r="A91">
            <v>5500</v>
          </cell>
          <cell r="B91">
            <v>132</v>
          </cell>
          <cell r="C91" t="str">
            <v>Supplies/Operating</v>
          </cell>
          <cell r="E91">
            <v>5300</v>
          </cell>
          <cell r="F91">
            <v>91</v>
          </cell>
          <cell r="G91" t="str">
            <v>Facilities Rent</v>
          </cell>
        </row>
        <row r="92">
          <cell r="A92">
            <v>5501</v>
          </cell>
          <cell r="B92">
            <v>133</v>
          </cell>
          <cell r="C92" t="str">
            <v>Equipment/Software-Minor</v>
          </cell>
          <cell r="E92">
            <v>5301</v>
          </cell>
          <cell r="F92">
            <v>92</v>
          </cell>
          <cell r="G92" t="str">
            <v>Conference Equipment Rental</v>
          </cell>
        </row>
        <row r="93">
          <cell r="A93">
            <v>5502</v>
          </cell>
          <cell r="B93">
            <v>134</v>
          </cell>
          <cell r="C93" t="str">
            <v>Ref Matls/Periodicals</v>
          </cell>
          <cell r="E93">
            <v>5302</v>
          </cell>
          <cell r="F93">
            <v>93</v>
          </cell>
          <cell r="G93" t="str">
            <v>Meal Functions</v>
          </cell>
        </row>
        <row r="94">
          <cell r="A94">
            <v>5510</v>
          </cell>
          <cell r="B94">
            <v>135</v>
          </cell>
          <cell r="C94" t="str">
            <v>Insurance</v>
          </cell>
          <cell r="E94">
            <v>5303</v>
          </cell>
          <cell r="F94">
            <v>94</v>
          </cell>
          <cell r="G94" t="str">
            <v>Exhibits</v>
          </cell>
        </row>
        <row r="95">
          <cell r="A95">
            <v>5520</v>
          </cell>
          <cell r="B95">
            <v>136</v>
          </cell>
          <cell r="C95" t="str">
            <v>Equipment Rental/Lease</v>
          </cell>
          <cell r="E95">
            <v>5304</v>
          </cell>
          <cell r="F95">
            <v>95</v>
          </cell>
          <cell r="G95" t="str">
            <v>Speaker/Guest Expenses</v>
          </cell>
        </row>
        <row r="96">
          <cell r="A96">
            <v>5521</v>
          </cell>
          <cell r="B96">
            <v>137</v>
          </cell>
          <cell r="C96" t="str">
            <v>Space Rent</v>
          </cell>
          <cell r="E96">
            <v>5305</v>
          </cell>
          <cell r="F96">
            <v>96</v>
          </cell>
          <cell r="G96" t="str">
            <v>Speaker/Guest Honorarium</v>
          </cell>
        </row>
        <row r="97">
          <cell r="A97">
            <v>5522</v>
          </cell>
          <cell r="B97">
            <v>138</v>
          </cell>
          <cell r="C97" t="str">
            <v>Telephone &amp; Fax/O/S</v>
          </cell>
          <cell r="E97">
            <v>5306</v>
          </cell>
          <cell r="F97">
            <v>97</v>
          </cell>
          <cell r="G97" t="str">
            <v>Awards</v>
          </cell>
        </row>
        <row r="98">
          <cell r="A98">
            <v>5523</v>
          </cell>
          <cell r="B98">
            <v>139</v>
          </cell>
          <cell r="C98" t="str">
            <v>Postage &amp; E-Mail/O/S</v>
          </cell>
          <cell r="E98">
            <v>5307</v>
          </cell>
          <cell r="F98">
            <v>98</v>
          </cell>
          <cell r="G98" t="str">
            <v>Security Services</v>
          </cell>
        </row>
        <row r="99">
          <cell r="A99">
            <v>5525</v>
          </cell>
          <cell r="B99">
            <v>140</v>
          </cell>
          <cell r="C99" t="str">
            <v>Utilities</v>
          </cell>
          <cell r="E99">
            <v>5308</v>
          </cell>
          <cell r="F99">
            <v>99</v>
          </cell>
          <cell r="G99" t="str">
            <v>Special Transportation</v>
          </cell>
        </row>
        <row r="100">
          <cell r="A100">
            <v>5530</v>
          </cell>
          <cell r="B100">
            <v>141</v>
          </cell>
          <cell r="C100" t="str">
            <v>Depr/Furn &amp; Equipment</v>
          </cell>
          <cell r="E100">
            <v>5309</v>
          </cell>
          <cell r="F100">
            <v>100</v>
          </cell>
          <cell r="G100" t="str">
            <v>Audio/Visual Equip Rental &amp; Labor</v>
          </cell>
        </row>
        <row r="101">
          <cell r="A101">
            <v>5531</v>
          </cell>
          <cell r="B101">
            <v>142</v>
          </cell>
          <cell r="C101" t="str">
            <v>Depr/Building</v>
          </cell>
          <cell r="E101">
            <v>5310</v>
          </cell>
          <cell r="F101">
            <v>101</v>
          </cell>
          <cell r="G101" t="str">
            <v>Computer Rental/Internet Connection</v>
          </cell>
        </row>
        <row r="102">
          <cell r="A102">
            <v>5532</v>
          </cell>
          <cell r="B102">
            <v>143</v>
          </cell>
          <cell r="C102" t="str">
            <v>Amortization/Equip Lease</v>
          </cell>
          <cell r="E102">
            <v>5350</v>
          </cell>
          <cell r="F102">
            <v>102</v>
          </cell>
          <cell r="G102" t="str">
            <v>Program Allocation</v>
          </cell>
        </row>
        <row r="103">
          <cell r="A103">
            <v>5540</v>
          </cell>
          <cell r="B103">
            <v>144</v>
          </cell>
          <cell r="C103" t="str">
            <v>Royalty Expense</v>
          </cell>
          <cell r="F103">
            <v>103</v>
          </cell>
          <cell r="G103" t="str">
            <v/>
          </cell>
        </row>
        <row r="104">
          <cell r="A104">
            <v>5541</v>
          </cell>
          <cell r="B104">
            <v>145</v>
          </cell>
          <cell r="C104" t="str">
            <v>Collection Expense</v>
          </cell>
          <cell r="F104">
            <v>104</v>
          </cell>
          <cell r="G104" t="str">
            <v>Meetings &amp; Conferences</v>
          </cell>
        </row>
        <row r="105">
          <cell r="A105">
            <v>5543</v>
          </cell>
          <cell r="B105">
            <v>146</v>
          </cell>
          <cell r="C105" t="str">
            <v>Bad Debt Expense</v>
          </cell>
          <cell r="F105">
            <v>105</v>
          </cell>
          <cell r="G105" t="str">
            <v/>
          </cell>
        </row>
        <row r="106">
          <cell r="A106">
            <v>5544</v>
          </cell>
          <cell r="B106">
            <v>147</v>
          </cell>
          <cell r="C106" t="str">
            <v>Interest Expense</v>
          </cell>
          <cell r="E106">
            <v>5400</v>
          </cell>
          <cell r="F106">
            <v>106</v>
          </cell>
          <cell r="G106" t="str">
            <v>Editl/Proofreading-O/S</v>
          </cell>
        </row>
        <row r="107">
          <cell r="A107">
            <v>5545</v>
          </cell>
          <cell r="B107">
            <v>148</v>
          </cell>
          <cell r="C107" t="str">
            <v>Taxes/Property</v>
          </cell>
          <cell r="E107">
            <v>5401</v>
          </cell>
          <cell r="F107">
            <v>107</v>
          </cell>
          <cell r="G107" t="str">
            <v>Typesetting/Comptn-O/S</v>
          </cell>
        </row>
        <row r="108">
          <cell r="A108">
            <v>5550</v>
          </cell>
          <cell r="B108">
            <v>149</v>
          </cell>
          <cell r="C108" t="str">
            <v>Promotion</v>
          </cell>
          <cell r="E108">
            <v>5402</v>
          </cell>
          <cell r="F108">
            <v>108</v>
          </cell>
          <cell r="G108" t="str">
            <v>Printing-O/S</v>
          </cell>
        </row>
        <row r="109">
          <cell r="A109">
            <v>5560</v>
          </cell>
          <cell r="B109">
            <v>150</v>
          </cell>
          <cell r="C109" t="str">
            <v>Organization Support/Contrib.</v>
          </cell>
          <cell r="E109">
            <v>5403</v>
          </cell>
          <cell r="F109">
            <v>109</v>
          </cell>
          <cell r="G109" t="str">
            <v>Binding-O/S</v>
          </cell>
        </row>
        <row r="110">
          <cell r="A110">
            <v>5599</v>
          </cell>
          <cell r="B110">
            <v>151</v>
          </cell>
          <cell r="C110" t="str">
            <v>Misc. Expense</v>
          </cell>
          <cell r="E110">
            <v>5404</v>
          </cell>
          <cell r="F110">
            <v>110</v>
          </cell>
          <cell r="G110" t="str">
            <v>Design Service-O/S</v>
          </cell>
        </row>
        <row r="111">
          <cell r="A111">
            <v>5600</v>
          </cell>
          <cell r="B111">
            <v>188</v>
          </cell>
          <cell r="C111" t="str">
            <v>Taxes/Income</v>
          </cell>
          <cell r="E111">
            <v>5406</v>
          </cell>
          <cell r="F111">
            <v>111</v>
          </cell>
          <cell r="G111" t="str">
            <v>Review Service</v>
          </cell>
        </row>
        <row r="112">
          <cell r="A112">
            <v>5900</v>
          </cell>
          <cell r="B112">
            <v>155</v>
          </cell>
          <cell r="C112" t="str">
            <v>IUT-Marketing</v>
          </cell>
          <cell r="E112">
            <v>5410</v>
          </cell>
          <cell r="F112">
            <v>112</v>
          </cell>
          <cell r="G112" t="str">
            <v>Mail Service-O/S</v>
          </cell>
        </row>
        <row r="113">
          <cell r="A113">
            <v>5901</v>
          </cell>
          <cell r="B113">
            <v>156</v>
          </cell>
          <cell r="C113" t="str">
            <v>IUT-Prod. Serv./Adm. Fee</v>
          </cell>
          <cell r="E113">
            <v>5411</v>
          </cell>
          <cell r="F113">
            <v>113</v>
          </cell>
          <cell r="G113" t="str">
            <v>Advertising/Space</v>
          </cell>
        </row>
        <row r="114">
          <cell r="A114">
            <v>5902</v>
          </cell>
          <cell r="B114">
            <v>157</v>
          </cell>
          <cell r="C114" t="str">
            <v>IUT-ITTS</v>
          </cell>
          <cell r="E114">
            <v>5412</v>
          </cell>
          <cell r="F114">
            <v>114</v>
          </cell>
          <cell r="G114" t="str">
            <v>Advertising/Direct</v>
          </cell>
        </row>
        <row r="115">
          <cell r="A115">
            <v>5903</v>
          </cell>
          <cell r="B115">
            <v>158</v>
          </cell>
          <cell r="C115" t="str">
            <v>IUT-Subscription Processing</v>
          </cell>
          <cell r="E115">
            <v>5413</v>
          </cell>
          <cell r="F115">
            <v>115</v>
          </cell>
          <cell r="G115" t="str">
            <v>Mail List Rental</v>
          </cell>
        </row>
        <row r="116">
          <cell r="A116">
            <v>5904</v>
          </cell>
          <cell r="B116">
            <v>159</v>
          </cell>
          <cell r="C116" t="str">
            <v>IUT-FAX on Demand (Obsolete Acct)</v>
          </cell>
          <cell r="E116">
            <v>5414</v>
          </cell>
          <cell r="F116">
            <v>116</v>
          </cell>
          <cell r="G116" t="str">
            <v>Supplies/Production</v>
          </cell>
        </row>
        <row r="117">
          <cell r="A117">
            <v>5905</v>
          </cell>
          <cell r="B117">
            <v>160</v>
          </cell>
          <cell r="C117" t="str">
            <v>IUT-Telephone</v>
          </cell>
          <cell r="E117">
            <v>5415</v>
          </cell>
          <cell r="F117">
            <v>117</v>
          </cell>
          <cell r="G117" t="str">
            <v>Pre-Press/Photo Services</v>
          </cell>
        </row>
        <row r="118">
          <cell r="A118">
            <v>5906</v>
          </cell>
          <cell r="B118">
            <v>161</v>
          </cell>
          <cell r="C118" t="str">
            <v>IUT-Order Billing</v>
          </cell>
          <cell r="E118">
            <v>5416</v>
          </cell>
          <cell r="F118">
            <v>118</v>
          </cell>
          <cell r="G118" t="str">
            <v>Adv Production Cost</v>
          </cell>
        </row>
        <row r="119">
          <cell r="A119">
            <v>5908</v>
          </cell>
          <cell r="B119">
            <v>162</v>
          </cell>
          <cell r="C119" t="str">
            <v>IUT-Maint.</v>
          </cell>
          <cell r="E119">
            <v>5420</v>
          </cell>
          <cell r="F119">
            <v>119</v>
          </cell>
          <cell r="G119" t="str">
            <v>Copyright Fees</v>
          </cell>
        </row>
        <row r="120">
          <cell r="A120">
            <v>5909</v>
          </cell>
          <cell r="B120">
            <v>163</v>
          </cell>
          <cell r="C120" t="str">
            <v>IUT-Dist. Center</v>
          </cell>
          <cell r="E120">
            <v>5430</v>
          </cell>
          <cell r="F120">
            <v>120</v>
          </cell>
          <cell r="G120" t="str">
            <v>Web Operating Expenses</v>
          </cell>
        </row>
        <row r="121">
          <cell r="A121">
            <v>5910</v>
          </cell>
          <cell r="B121">
            <v>164</v>
          </cell>
          <cell r="C121" t="str">
            <v>IUT-Repro.</v>
          </cell>
          <cell r="E121">
            <v>5431</v>
          </cell>
          <cell r="F121">
            <v>121</v>
          </cell>
          <cell r="G121" t="str">
            <v>Video Production Cost</v>
          </cell>
        </row>
        <row r="122">
          <cell r="A122">
            <v>5911</v>
          </cell>
          <cell r="B122">
            <v>178</v>
          </cell>
          <cell r="C122" t="str">
            <v>IUT-General Overhead</v>
          </cell>
          <cell r="E122">
            <v>5432</v>
          </cell>
          <cell r="F122">
            <v>122</v>
          </cell>
          <cell r="G122" t="str">
            <v>Purchased Inventory</v>
          </cell>
        </row>
        <row r="123">
          <cell r="A123">
            <v>5912</v>
          </cell>
          <cell r="B123">
            <v>165</v>
          </cell>
          <cell r="C123" t="str">
            <v>IUT-Copy Editing/Proofreading</v>
          </cell>
          <cell r="E123">
            <v>5433</v>
          </cell>
          <cell r="F123">
            <v>123</v>
          </cell>
          <cell r="G123" t="str">
            <v>Order Processing/Fulfillment</v>
          </cell>
        </row>
        <row r="124">
          <cell r="A124">
            <v>5913</v>
          </cell>
          <cell r="B124">
            <v>166</v>
          </cell>
          <cell r="C124" t="str">
            <v>IUT-Composition/Alteration</v>
          </cell>
          <cell r="E124">
            <v>5480</v>
          </cell>
          <cell r="F124">
            <v>124</v>
          </cell>
          <cell r="G124" t="str">
            <v>Cost of Sales</v>
          </cell>
        </row>
        <row r="125">
          <cell r="A125">
            <v>5940</v>
          </cell>
          <cell r="B125">
            <v>167</v>
          </cell>
          <cell r="C125" t="str">
            <v>IUT-Registration Processing</v>
          </cell>
          <cell r="E125">
            <v>5490</v>
          </cell>
          <cell r="F125">
            <v>125</v>
          </cell>
          <cell r="G125" t="str">
            <v>Inventory Adjustment</v>
          </cell>
        </row>
        <row r="126">
          <cell r="A126">
            <v>5941</v>
          </cell>
          <cell r="B126">
            <v>168</v>
          </cell>
          <cell r="C126" t="str">
            <v>IUT-CHOICE</v>
          </cell>
          <cell r="E126">
            <v>5499</v>
          </cell>
          <cell r="F126">
            <v>126</v>
          </cell>
          <cell r="G126" t="str">
            <v>Inventory Reserve Adjustment</v>
          </cell>
        </row>
        <row r="127">
          <cell r="A127">
            <v>5942</v>
          </cell>
          <cell r="B127">
            <v>169</v>
          </cell>
          <cell r="C127" t="str">
            <v>IUT-Advertising</v>
          </cell>
          <cell r="F127">
            <v>127</v>
          </cell>
          <cell r="G127" t="str">
            <v/>
          </cell>
        </row>
        <row r="128">
          <cell r="A128">
            <v>5998</v>
          </cell>
          <cell r="B128">
            <v>182</v>
          </cell>
          <cell r="C128" t="str">
            <v>IUT-Allocations</v>
          </cell>
          <cell r="F128">
            <v>128</v>
          </cell>
          <cell r="G128" t="str">
            <v>Publication Related Expenses</v>
          </cell>
        </row>
        <row r="129">
          <cell r="A129">
            <v>5999</v>
          </cell>
          <cell r="B129">
            <v>170</v>
          </cell>
          <cell r="C129" t="str">
            <v>IUT-Misc.</v>
          </cell>
          <cell r="F129">
            <v>129</v>
          </cell>
          <cell r="G129" t="str">
            <v/>
          </cell>
        </row>
        <row r="130">
          <cell r="E130">
            <v>5030</v>
          </cell>
          <cell r="F130">
            <v>130</v>
          </cell>
          <cell r="G130" t="str">
            <v>Staff Recruitment/Relocation</v>
          </cell>
        </row>
        <row r="131">
          <cell r="E131">
            <v>5031</v>
          </cell>
          <cell r="F131">
            <v>131</v>
          </cell>
          <cell r="G131" t="str">
            <v>Staff Development</v>
          </cell>
        </row>
        <row r="132">
          <cell r="E132">
            <v>5500</v>
          </cell>
          <cell r="F132">
            <v>132</v>
          </cell>
          <cell r="G132" t="str">
            <v>Supplies/Operating</v>
          </cell>
        </row>
        <row r="133">
          <cell r="E133">
            <v>5501</v>
          </cell>
          <cell r="F133">
            <v>133</v>
          </cell>
          <cell r="G133" t="str">
            <v>Equipment/Software-Minor</v>
          </cell>
        </row>
        <row r="134">
          <cell r="E134">
            <v>5502</v>
          </cell>
          <cell r="F134">
            <v>134</v>
          </cell>
          <cell r="G134" t="str">
            <v>Ref Matls/Periodicals</v>
          </cell>
        </row>
        <row r="135">
          <cell r="E135">
            <v>5510</v>
          </cell>
          <cell r="F135">
            <v>135</v>
          </cell>
          <cell r="G135" t="str">
            <v>Insurance</v>
          </cell>
        </row>
        <row r="136">
          <cell r="E136">
            <v>5520</v>
          </cell>
          <cell r="F136">
            <v>136</v>
          </cell>
          <cell r="G136" t="str">
            <v>Equipment Rental/Lease</v>
          </cell>
        </row>
        <row r="137">
          <cell r="E137">
            <v>5521</v>
          </cell>
          <cell r="F137">
            <v>137</v>
          </cell>
          <cell r="G137" t="str">
            <v>Space Rent</v>
          </cell>
        </row>
        <row r="138">
          <cell r="E138">
            <v>5522</v>
          </cell>
          <cell r="F138">
            <v>138</v>
          </cell>
          <cell r="G138" t="str">
            <v>Telephone &amp; Fax/O/S</v>
          </cell>
        </row>
        <row r="139">
          <cell r="E139">
            <v>5523</v>
          </cell>
          <cell r="F139">
            <v>139</v>
          </cell>
          <cell r="G139" t="str">
            <v>Postage &amp; E-Mail/O/S</v>
          </cell>
        </row>
        <row r="140">
          <cell r="E140">
            <v>5525</v>
          </cell>
          <cell r="F140">
            <v>140</v>
          </cell>
          <cell r="G140" t="str">
            <v>Utilities</v>
          </cell>
        </row>
        <row r="141">
          <cell r="E141">
            <v>5530</v>
          </cell>
          <cell r="F141">
            <v>141</v>
          </cell>
          <cell r="G141" t="str">
            <v>Depr/Furn &amp; Equipment</v>
          </cell>
        </row>
        <row r="142">
          <cell r="E142">
            <v>5531</v>
          </cell>
          <cell r="F142">
            <v>142</v>
          </cell>
          <cell r="G142" t="str">
            <v>Depr/Building</v>
          </cell>
        </row>
        <row r="143">
          <cell r="E143">
            <v>5532</v>
          </cell>
          <cell r="F143">
            <v>143</v>
          </cell>
          <cell r="G143" t="str">
            <v>Amortization/Equip Lease</v>
          </cell>
        </row>
        <row r="144">
          <cell r="E144">
            <v>5540</v>
          </cell>
          <cell r="F144">
            <v>144</v>
          </cell>
          <cell r="G144" t="str">
            <v>Royalty Expense</v>
          </cell>
        </row>
        <row r="145">
          <cell r="E145">
            <v>5541</v>
          </cell>
          <cell r="F145">
            <v>145</v>
          </cell>
          <cell r="G145" t="str">
            <v>Collection Expense</v>
          </cell>
        </row>
        <row r="146">
          <cell r="E146">
            <v>5543</v>
          </cell>
          <cell r="F146">
            <v>146</v>
          </cell>
          <cell r="G146" t="str">
            <v>Bad Debt Expense</v>
          </cell>
        </row>
        <row r="147">
          <cell r="E147">
            <v>5544</v>
          </cell>
          <cell r="F147">
            <v>147</v>
          </cell>
          <cell r="G147" t="str">
            <v>Interest Expense</v>
          </cell>
        </row>
        <row r="148">
          <cell r="E148">
            <v>5545</v>
          </cell>
          <cell r="F148">
            <v>148</v>
          </cell>
          <cell r="G148" t="str">
            <v>Taxes/Property</v>
          </cell>
        </row>
        <row r="149">
          <cell r="E149">
            <v>5550</v>
          </cell>
          <cell r="F149">
            <v>149</v>
          </cell>
          <cell r="G149" t="str">
            <v>Promotion</v>
          </cell>
        </row>
        <row r="150">
          <cell r="E150">
            <v>5560</v>
          </cell>
          <cell r="F150">
            <v>150</v>
          </cell>
          <cell r="G150" t="str">
            <v>Organization Support/Contrib.</v>
          </cell>
        </row>
        <row r="151">
          <cell r="E151">
            <v>5599</v>
          </cell>
          <cell r="F151">
            <v>151</v>
          </cell>
          <cell r="G151" t="str">
            <v>Misc. Expense</v>
          </cell>
        </row>
        <row r="152">
          <cell r="F152">
            <v>152</v>
          </cell>
          <cell r="G152" t="str">
            <v/>
          </cell>
        </row>
        <row r="153">
          <cell r="F153">
            <v>153</v>
          </cell>
          <cell r="G153" t="str">
            <v>Operating Expenses</v>
          </cell>
        </row>
        <row r="154">
          <cell r="F154">
            <v>154</v>
          </cell>
          <cell r="G154" t="str">
            <v/>
          </cell>
        </row>
        <row r="155">
          <cell r="E155">
            <v>5900</v>
          </cell>
          <cell r="F155">
            <v>155</v>
          </cell>
          <cell r="G155" t="str">
            <v>IUT-Marketing</v>
          </cell>
        </row>
        <row r="156">
          <cell r="E156">
            <v>5901</v>
          </cell>
          <cell r="F156">
            <v>156</v>
          </cell>
          <cell r="G156" t="str">
            <v>IUT-Prod. Serv./Adm. Fee</v>
          </cell>
        </row>
        <row r="157">
          <cell r="E157">
            <v>5902</v>
          </cell>
          <cell r="F157">
            <v>157</v>
          </cell>
          <cell r="G157" t="str">
            <v>IUT-ITTS</v>
          </cell>
        </row>
        <row r="158">
          <cell r="E158">
            <v>5903</v>
          </cell>
          <cell r="F158">
            <v>158</v>
          </cell>
          <cell r="G158" t="str">
            <v>IUT-Subscription Processing</v>
          </cell>
        </row>
        <row r="159">
          <cell r="E159">
            <v>5904</v>
          </cell>
          <cell r="F159">
            <v>159</v>
          </cell>
          <cell r="G159" t="str">
            <v>IUT-FAX on Demand (Obsolete Acct)</v>
          </cell>
        </row>
        <row r="160">
          <cell r="E160">
            <v>5905</v>
          </cell>
          <cell r="F160">
            <v>160</v>
          </cell>
          <cell r="G160" t="str">
            <v>IUT-Telephone</v>
          </cell>
        </row>
        <row r="161">
          <cell r="E161">
            <v>5906</v>
          </cell>
          <cell r="F161">
            <v>161</v>
          </cell>
          <cell r="G161" t="str">
            <v>IUT-Order Billing</v>
          </cell>
        </row>
        <row r="162">
          <cell r="E162">
            <v>5908</v>
          </cell>
          <cell r="F162">
            <v>162</v>
          </cell>
          <cell r="G162" t="str">
            <v>IUT-Maint.</v>
          </cell>
        </row>
        <row r="163">
          <cell r="E163">
            <v>5909</v>
          </cell>
          <cell r="F163">
            <v>163</v>
          </cell>
          <cell r="G163" t="str">
            <v>IUT-Dist. Center</v>
          </cell>
        </row>
        <row r="164">
          <cell r="E164">
            <v>5910</v>
          </cell>
          <cell r="F164">
            <v>164</v>
          </cell>
          <cell r="G164" t="str">
            <v>IUT-Repro.</v>
          </cell>
        </row>
        <row r="165">
          <cell r="E165">
            <v>5912</v>
          </cell>
          <cell r="F165">
            <v>165</v>
          </cell>
          <cell r="G165" t="str">
            <v>IUT-Copy Editing/Proofreading</v>
          </cell>
        </row>
        <row r="166">
          <cell r="E166">
            <v>5913</v>
          </cell>
          <cell r="F166">
            <v>166</v>
          </cell>
          <cell r="G166" t="str">
            <v>IUT-Composition/Alteration</v>
          </cell>
        </row>
        <row r="167">
          <cell r="E167">
            <v>5940</v>
          </cell>
          <cell r="F167">
            <v>167</v>
          </cell>
          <cell r="G167" t="str">
            <v>IUT-Registration Processing</v>
          </cell>
        </row>
        <row r="168">
          <cell r="E168">
            <v>5941</v>
          </cell>
          <cell r="F168">
            <v>168</v>
          </cell>
          <cell r="G168" t="str">
            <v>IUT-CHOICE</v>
          </cell>
        </row>
        <row r="169">
          <cell r="E169">
            <v>5942</v>
          </cell>
          <cell r="F169">
            <v>169</v>
          </cell>
          <cell r="G169" t="str">
            <v>IUT-Advertising</v>
          </cell>
        </row>
        <row r="170">
          <cell r="E170">
            <v>5999</v>
          </cell>
          <cell r="F170">
            <v>170</v>
          </cell>
          <cell r="G170" t="str">
            <v>IUT-Misc.</v>
          </cell>
        </row>
        <row r="171">
          <cell r="F171">
            <v>171</v>
          </cell>
          <cell r="G171" t="str">
            <v/>
          </cell>
        </row>
        <row r="172">
          <cell r="F172">
            <v>172</v>
          </cell>
          <cell r="G172" t="str">
            <v>Total IUTs</v>
          </cell>
        </row>
        <row r="173">
          <cell r="F173">
            <v>173</v>
          </cell>
          <cell r="G173" t="str">
            <v/>
          </cell>
        </row>
        <row r="174">
          <cell r="F174">
            <v>174</v>
          </cell>
          <cell r="G174" t="str">
            <v>Total Direct Expenses</v>
          </cell>
        </row>
        <row r="175">
          <cell r="F175">
            <v>175</v>
          </cell>
          <cell r="G175" t="str">
            <v/>
          </cell>
        </row>
        <row r="176">
          <cell r="F176">
            <v>176</v>
          </cell>
          <cell r="G176" t="str">
            <v>Contribution Margin</v>
          </cell>
        </row>
        <row r="177">
          <cell r="F177">
            <v>177</v>
          </cell>
          <cell r="G177" t="str">
            <v/>
          </cell>
        </row>
        <row r="178">
          <cell r="E178">
            <v>5911</v>
          </cell>
          <cell r="F178">
            <v>178</v>
          </cell>
          <cell r="G178" t="str">
            <v>IUT-General Overhead</v>
          </cell>
        </row>
        <row r="179">
          <cell r="F179">
            <v>179</v>
          </cell>
          <cell r="G179" t="str">
            <v/>
          </cell>
        </row>
        <row r="180">
          <cell r="F180">
            <v>180</v>
          </cell>
          <cell r="G180" t="str">
            <v>Total Expenses Excl. Alloc</v>
          </cell>
        </row>
        <row r="181">
          <cell r="F181">
            <v>181</v>
          </cell>
          <cell r="G181" t="str">
            <v/>
          </cell>
        </row>
        <row r="182">
          <cell r="E182">
            <v>5998</v>
          </cell>
          <cell r="F182">
            <v>182</v>
          </cell>
          <cell r="G182" t="str">
            <v>IUT-Allocations</v>
          </cell>
        </row>
        <row r="183">
          <cell r="F183">
            <v>183</v>
          </cell>
          <cell r="G183" t="str">
            <v/>
          </cell>
        </row>
        <row r="184">
          <cell r="F184">
            <v>184</v>
          </cell>
          <cell r="G184" t="str">
            <v>Total Exp. Incl. OH &amp; Alloc.</v>
          </cell>
        </row>
        <row r="185">
          <cell r="F185">
            <v>185</v>
          </cell>
          <cell r="G185" t="str">
            <v/>
          </cell>
        </row>
        <row r="186">
          <cell r="F186">
            <v>186</v>
          </cell>
          <cell r="G186" t="str">
            <v>Net Rev/(Exp) Before Taxes</v>
          </cell>
        </row>
        <row r="187">
          <cell r="F187">
            <v>187</v>
          </cell>
          <cell r="G187" t="str">
            <v/>
          </cell>
        </row>
        <row r="188">
          <cell r="E188">
            <v>5600</v>
          </cell>
          <cell r="F188">
            <v>188</v>
          </cell>
          <cell r="G188" t="str">
            <v>Taxes/Income</v>
          </cell>
        </row>
        <row r="189">
          <cell r="F189">
            <v>189</v>
          </cell>
          <cell r="G189" t="str">
            <v/>
          </cell>
        </row>
        <row r="190">
          <cell r="F190">
            <v>190</v>
          </cell>
          <cell r="G190" t="str">
            <v>Total Expenses Incl. Taxes</v>
          </cell>
        </row>
        <row r="191">
          <cell r="F191">
            <v>191</v>
          </cell>
          <cell r="G191" t="str">
            <v/>
          </cell>
        </row>
        <row r="192">
          <cell r="F192">
            <v>192</v>
          </cell>
          <cell r="G192" t="str">
            <v>Net Rev/(Exp) After Taxes</v>
          </cell>
        </row>
        <row r="193">
          <cell r="F193">
            <v>193</v>
          </cell>
          <cell r="G193" t="str">
            <v/>
          </cell>
        </row>
        <row r="194">
          <cell r="F194">
            <v>194</v>
          </cell>
        </row>
        <row r="195">
          <cell r="F195">
            <v>195</v>
          </cell>
          <cell r="G195" t="str">
            <v>Posted from Budget Notes</v>
          </cell>
        </row>
        <row r="196">
          <cell r="F196">
            <v>196</v>
          </cell>
          <cell r="G196" t="str">
            <v>Variance (Notes Vs. worksheet)</v>
          </cell>
        </row>
      </sheetData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02">
    <tabColor theme="6" tint="0.39997558519241921"/>
  </sheetPr>
  <dimension ref="A1:K331"/>
  <sheetViews>
    <sheetView tabSelected="1" topLeftCell="B1" zoomScaleNormal="100" zoomScaleSheetLayoutView="150" zoomScalePageLayoutView="85" workbookViewId="0">
      <selection activeCell="B1" sqref="B1:H38"/>
    </sheetView>
  </sheetViews>
  <sheetFormatPr defaultRowHeight="12.75"/>
  <cols>
    <col min="1" max="1" width="7.140625" style="88" hidden="1" customWidth="1"/>
    <col min="2" max="2" width="7.28515625" style="89" customWidth="1"/>
    <col min="3" max="3" width="25.42578125" style="90" customWidth="1"/>
    <col min="4" max="4" width="42.7109375" style="85" customWidth="1"/>
    <col min="5" max="5" width="17" style="85" hidden="1" customWidth="1"/>
    <col min="6" max="6" width="15.140625" style="86" customWidth="1"/>
    <col min="7" max="7" width="15.140625" style="87" customWidth="1"/>
    <col min="8" max="8" width="13.85546875" style="9" customWidth="1"/>
    <col min="9" max="9" width="9.140625" style="9" customWidth="1"/>
    <col min="10" max="10" width="35.85546875" style="9" customWidth="1"/>
    <col min="11" max="16384" width="9.140625" style="9"/>
  </cols>
  <sheetData>
    <row r="1" spans="1:10">
      <c r="A1" s="1"/>
      <c r="B1" s="2"/>
      <c r="C1" s="3" t="s">
        <v>0</v>
      </c>
      <c r="D1" s="4">
        <v>403</v>
      </c>
      <c r="E1" s="5"/>
      <c r="F1" s="6"/>
      <c r="G1" s="7"/>
      <c r="H1" s="8"/>
    </row>
    <row r="2" spans="1:10" ht="13.5" customHeight="1">
      <c r="A2" s="1"/>
      <c r="B2" s="10"/>
      <c r="C2" s="11" t="s">
        <v>1</v>
      </c>
      <c r="D2" s="12" t="s">
        <v>2</v>
      </c>
      <c r="E2" s="13"/>
      <c r="F2" s="14"/>
      <c r="G2" s="15"/>
      <c r="H2" s="8"/>
    </row>
    <row r="3" spans="1:10">
      <c r="A3" s="1"/>
      <c r="B3" s="10"/>
      <c r="C3" s="11" t="s">
        <v>3</v>
      </c>
      <c r="D3" s="16">
        <f>'[1]UNIT 403 BUDGET WORKSHEET'!N6</f>
        <v>3209</v>
      </c>
      <c r="E3" s="13"/>
      <c r="F3" s="14"/>
      <c r="G3" s="15"/>
      <c r="H3" s="8"/>
    </row>
    <row r="4" spans="1:10" ht="13.5" thickBot="1">
      <c r="A4" s="1"/>
      <c r="B4" s="17"/>
      <c r="C4" s="18" t="s">
        <v>4</v>
      </c>
      <c r="D4" s="19" t="str">
        <f>'[1]UNIT 403 BUDGET WORKSHEET'!N4</f>
        <v>RBMS Regional Workshops</v>
      </c>
      <c r="E4" s="20"/>
      <c r="F4" s="21"/>
      <c r="G4" s="22"/>
      <c r="H4" s="8"/>
    </row>
    <row r="5" spans="1:10" ht="13.5" thickBot="1">
      <c r="A5" s="1"/>
      <c r="B5" s="23"/>
      <c r="C5" s="24"/>
      <c r="D5" s="25"/>
      <c r="E5" s="23"/>
      <c r="F5" s="26"/>
      <c r="G5" s="27"/>
      <c r="H5" s="8"/>
    </row>
    <row r="6" spans="1:10" s="35" customFormat="1" ht="26.25" thickBot="1">
      <c r="A6" s="1"/>
      <c r="B6" s="28"/>
      <c r="C6" s="29"/>
      <c r="D6" s="30"/>
      <c r="E6" s="31"/>
      <c r="F6" s="32" t="s">
        <v>5</v>
      </c>
      <c r="G6" s="33" t="s">
        <v>6</v>
      </c>
      <c r="H6" s="34"/>
    </row>
    <row r="7" spans="1:10" s="35" customFormat="1" ht="13.5" thickBot="1">
      <c r="A7" s="36" t="str">
        <f>IF(ISERROR(VLOOKUP(B7,[1]T1!$A$1:$H$300,2))," ",VLOOKUP(B7,[1]T1!$A$1:$H$300,2))</f>
        <v xml:space="preserve"> </v>
      </c>
      <c r="B7" s="37" t="s">
        <v>7</v>
      </c>
      <c r="C7" s="37" t="s">
        <v>8</v>
      </c>
      <c r="D7" s="37" t="s">
        <v>9</v>
      </c>
      <c r="E7" s="37" t="s">
        <v>10</v>
      </c>
      <c r="F7" s="38" t="s">
        <v>11</v>
      </c>
      <c r="G7" s="39" t="s">
        <v>11</v>
      </c>
      <c r="H7" s="34" t="s">
        <v>12</v>
      </c>
    </row>
    <row r="8" spans="1:10" ht="141" thickBot="1">
      <c r="A8" s="40">
        <f>IF(ISERROR(VLOOKUP(B8,[1]T1!$A$1:$H$300,2))," ",VLOOKUP(B8,[1]T1!$A$1:$H$300,2))</f>
        <v>38</v>
      </c>
      <c r="B8" s="41">
        <v>4200</v>
      </c>
      <c r="C8" s="42" t="str">
        <f>IF(ISERROR(VLOOKUP(B8,[1]T1!$A$1:$C$200,3))," ",VLOOKUP(B8,[1]T1!$A$1:$C$200,3))</f>
        <v>Registration Fees</v>
      </c>
      <c r="D8" s="43" t="s">
        <v>13</v>
      </c>
      <c r="E8" s="44"/>
      <c r="F8" s="45">
        <f>2896+5325</f>
        <v>8221</v>
      </c>
      <c r="G8" s="46">
        <v>9796</v>
      </c>
      <c r="H8" s="47">
        <f>F8-G8</f>
        <v>-1575</v>
      </c>
    </row>
    <row r="9" spans="1:10" ht="39" thickBot="1">
      <c r="A9" s="40">
        <f>IF(ISERROR(VLOOKUP(B9,[1]T1!$A$1:$H$300,2))," ",VLOOKUP(B9,[1]T1!$A$1:$H$300,2))</f>
        <v>48</v>
      </c>
      <c r="B9" s="48">
        <v>4400</v>
      </c>
      <c r="C9" s="49" t="str">
        <f>IF(ISERROR(VLOOKUP(B9,[1]T1!$A$1:$C$200,3))," ",VLOOKUP(B9,[1]T1!$A$1:$C$200,3))</f>
        <v>Donations/Honoraria</v>
      </c>
      <c r="D9" s="50" t="s">
        <v>14</v>
      </c>
      <c r="E9" s="51"/>
      <c r="F9" s="52"/>
      <c r="G9" s="53"/>
      <c r="H9" s="47">
        <f t="shared" ref="H9:H72" si="0">F9-G9</f>
        <v>0</v>
      </c>
    </row>
    <row r="10" spans="1:10" ht="14.25" thickBot="1">
      <c r="A10" s="40">
        <f>IF(ISERROR(VLOOKUP(B10,[1]T1!$A$1:$H$300,2))," ",VLOOKUP(B10,[1]T1!$A$1:$H$300,2))</f>
        <v>53</v>
      </c>
      <c r="B10" s="48">
        <v>4429</v>
      </c>
      <c r="C10" s="49" t="str">
        <f>IF(ISERROR(VLOOKUP(B10,[1]T1!$A$1:$C$200,3))," ",VLOOKUP(B10,[1]T1!$A$1:$C$200,3))</f>
        <v>Overhd-exempt Rev./Division</v>
      </c>
      <c r="D10" s="50" t="s">
        <v>15</v>
      </c>
      <c r="E10" s="51"/>
      <c r="F10" s="52"/>
      <c r="G10" s="53"/>
      <c r="H10" s="47">
        <f t="shared" si="0"/>
        <v>0</v>
      </c>
    </row>
    <row r="11" spans="1:10" ht="14.25" thickBot="1">
      <c r="A11" s="40">
        <f>IF(ISERROR(VLOOKUP(B11,[1]T1!$A$1:$H$300,2))," ",VLOOKUP(B11,[1]T1!$A$1:$H$300,2))</f>
        <v>55</v>
      </c>
      <c r="B11" s="48">
        <v>4490</v>
      </c>
      <c r="C11" s="49" t="str">
        <f>IF(ISERROR(VLOOKUP(B11,[1]T1!$A$1:$C$200,3))," ",VLOOKUP(B11,[1]T1!$A$1:$C$200,3))</f>
        <v>Misc. Fees/Revenues</v>
      </c>
      <c r="D11" s="54" t="s">
        <v>15</v>
      </c>
      <c r="E11" s="51"/>
      <c r="F11" s="52"/>
      <c r="G11" s="53"/>
      <c r="H11" s="47">
        <f t="shared" si="0"/>
        <v>0</v>
      </c>
      <c r="J11" s="55"/>
    </row>
    <row r="12" spans="1:10" ht="14.25" thickBot="1">
      <c r="A12" s="40" t="str">
        <f>IF(ISERROR(VLOOKUP(B12,[1]T1!$A$1:$H$300,2))," ",VLOOKUP(B12,[1]T1!$A$1:$H$300,2))</f>
        <v xml:space="preserve"> </v>
      </c>
      <c r="B12" s="56"/>
      <c r="C12" s="57" t="str">
        <f>IF(ISERROR(VLOOKUP(B12,[1]T1!$A$1:$C$200,3))," ",VLOOKUP(B12,[1]T1!$A$1:$C$200,3))</f>
        <v xml:space="preserve"> </v>
      </c>
      <c r="D12" s="58" t="s">
        <v>16</v>
      </c>
      <c r="E12" s="59"/>
      <c r="F12" s="60">
        <f>SUM(F8:F11)</f>
        <v>8221</v>
      </c>
      <c r="G12" s="61">
        <v>9796</v>
      </c>
      <c r="H12" s="47">
        <f t="shared" si="0"/>
        <v>-1575</v>
      </c>
    </row>
    <row r="13" spans="1:10" ht="14.25" thickBot="1">
      <c r="A13" s="36">
        <f>IF(ISERROR(VLOOKUP(B13,[1]T1!$A$1:$H$300,2))," ",VLOOKUP(B13,[1]T1!$A$1:$H$300,2))</f>
        <v>62</v>
      </c>
      <c r="B13" s="62">
        <v>5000</v>
      </c>
      <c r="C13" s="63" t="str">
        <f>IF(ISERROR(VLOOKUP(B13,[1]T1!$A$1:$C$200,3))," ",VLOOKUP(B13,[1]T1!$A$1:$C$200,3))</f>
        <v>Salaries &amp; Wages</v>
      </c>
      <c r="D13" s="64" t="s">
        <v>17</v>
      </c>
      <c r="E13" s="65"/>
      <c r="F13" s="66">
        <f>'[1]Sal Matrix'!C16</f>
        <v>1255</v>
      </c>
      <c r="G13" s="67">
        <v>1255</v>
      </c>
      <c r="H13" s="47">
        <f t="shared" si="0"/>
        <v>0</v>
      </c>
    </row>
    <row r="14" spans="1:10" ht="26.25" thickBot="1">
      <c r="A14" s="36">
        <f>IF(ISERROR(VLOOKUP(B14,[1]T1!$A$1:$H$300,2))," ",VLOOKUP(B14,[1]T1!$A$1:$H$300,2))</f>
        <v>67</v>
      </c>
      <c r="B14" s="48">
        <v>5010</v>
      </c>
      <c r="C14" s="49" t="str">
        <f>IF(ISERROR(VLOOKUP(B14,[1]T1!$A$1:$C$200,3))," ",VLOOKUP(B14,[1]T1!$A$1:$C$200,3))</f>
        <v>Employee Benefits</v>
      </c>
      <c r="D14" s="50" t="s">
        <v>18</v>
      </c>
      <c r="E14" s="51"/>
      <c r="F14" s="68">
        <f>'[1]Sal Matrix'!D16</f>
        <v>332</v>
      </c>
      <c r="G14" s="69">
        <v>332</v>
      </c>
      <c r="H14" s="47">
        <f t="shared" si="0"/>
        <v>0</v>
      </c>
    </row>
    <row r="15" spans="1:10" ht="14.25" thickBot="1">
      <c r="A15" s="36">
        <f>IF(ISERROR(VLOOKUP(B15,[1]T1!$A$1:$H$300,2))," ",VLOOKUP(B15,[1]T1!$A$1:$H$300,2))</f>
        <v>74</v>
      </c>
      <c r="B15" s="48">
        <v>5110</v>
      </c>
      <c r="C15" s="49" t="str">
        <f>IF(ISERROR(VLOOKUP(B15,[1]T1!$A$1:$C$200,3))," ",VLOOKUP(B15,[1]T1!$A$1:$C$200,3))</f>
        <v>Professional Services</v>
      </c>
      <c r="D15" s="70" t="s">
        <v>15</v>
      </c>
      <c r="E15" s="51"/>
      <c r="F15" s="71"/>
      <c r="G15" s="72"/>
      <c r="H15" s="47">
        <f t="shared" si="0"/>
        <v>0</v>
      </c>
    </row>
    <row r="16" spans="1:10" ht="26.25" thickBot="1">
      <c r="A16" s="36">
        <f>IF(ISERROR(VLOOKUP(B16,[1]T1!$A$1:$H$300,2))," ",VLOOKUP(B16,[1]T1!$A$1:$H$300,2))</f>
        <v>77</v>
      </c>
      <c r="B16" s="48">
        <v>5122</v>
      </c>
      <c r="C16" s="49" t="str">
        <f>IF(ISERROR(VLOOKUP(B16,[1]T1!$A$1:$C$200,3))," ",VLOOKUP(B16,[1]T1!$A$1:$C$200,3))</f>
        <v>Bank Service Fees</v>
      </c>
      <c r="D16" s="50" t="s">
        <v>19</v>
      </c>
      <c r="E16" s="73">
        <f>ROUND(E12*0.03,0)</f>
        <v>0</v>
      </c>
      <c r="F16" s="71">
        <v>244</v>
      </c>
      <c r="G16" s="72">
        <v>392</v>
      </c>
      <c r="H16" s="47">
        <f t="shared" si="0"/>
        <v>-148</v>
      </c>
    </row>
    <row r="17" spans="1:8" ht="14.25" thickBot="1">
      <c r="A17" s="36">
        <f>IF(ISERROR(VLOOKUP(B17,[1]T1!$A$1:$H$300,2))," ",VLOOKUP(B17,[1]T1!$A$1:$H$300,2))</f>
        <v>79</v>
      </c>
      <c r="B17" s="48">
        <v>5150</v>
      </c>
      <c r="C17" s="49" t="str">
        <f>IF(ISERROR(VLOOKUP(B17,[1]T1!$A$1:$C$200,3))," ",VLOOKUP(B17,[1]T1!$A$1:$C$200,3))</f>
        <v>Messenger Service</v>
      </c>
      <c r="D17" s="50" t="s">
        <v>20</v>
      </c>
      <c r="E17" s="51"/>
      <c r="F17" s="68">
        <v>26.15</v>
      </c>
      <c r="G17" s="69">
        <v>200</v>
      </c>
      <c r="H17" s="47">
        <f t="shared" si="0"/>
        <v>-173.85</v>
      </c>
    </row>
    <row r="18" spans="1:8" ht="14.25" thickBot="1">
      <c r="A18" s="36">
        <f>IF(ISERROR(VLOOKUP(B18,[1]T1!$A$1:$H$300,2))," ",VLOOKUP(B18,[1]T1!$A$1:$H$300,2))</f>
        <v>84</v>
      </c>
      <c r="B18" s="48">
        <v>5210</v>
      </c>
      <c r="C18" s="49" t="str">
        <f>IF(ISERROR(VLOOKUP(B18,[1]T1!$A$1:$C$200,3))," ",VLOOKUP(B18,[1]T1!$A$1:$C$200,3))</f>
        <v>Transportation</v>
      </c>
      <c r="D18" s="70" t="s">
        <v>15</v>
      </c>
      <c r="E18" s="51"/>
      <c r="F18" s="71"/>
      <c r="G18" s="72"/>
      <c r="H18" s="47">
        <f t="shared" si="0"/>
        <v>0</v>
      </c>
    </row>
    <row r="19" spans="1:8" ht="14.25" thickBot="1">
      <c r="A19" s="36">
        <f>IF(ISERROR(VLOOKUP(B19,[1]T1!$A$1:$H$300,2))," ",VLOOKUP(B19,[1]T1!$A$1:$H$300,2))</f>
        <v>85</v>
      </c>
      <c r="B19" s="48">
        <v>5212</v>
      </c>
      <c r="C19" s="49" t="str">
        <f>IF(ISERROR(VLOOKUP(B19,[1]T1!$A$1:$C$200,3))," ",VLOOKUP(B19,[1]T1!$A$1:$C$200,3))</f>
        <v>Lodging &amp; Meals</v>
      </c>
      <c r="D19" s="70" t="s">
        <v>15</v>
      </c>
      <c r="E19" s="51"/>
      <c r="F19" s="68"/>
      <c r="G19" s="69"/>
      <c r="H19" s="47">
        <f t="shared" si="0"/>
        <v>0</v>
      </c>
    </row>
    <row r="20" spans="1:8" ht="14.25" thickBot="1">
      <c r="A20" s="36">
        <f>IF(ISERROR(VLOOKUP(B20,[1]T1!$A$1:$H$300,2))," ",VLOOKUP(B20,[1]T1!$A$1:$H$300,2))</f>
        <v>86</v>
      </c>
      <c r="B20" s="48">
        <v>5214</v>
      </c>
      <c r="C20" s="49" t="str">
        <f>IF(ISERROR(VLOOKUP(B20,[1]T1!$A$1:$C$200,3))," ",VLOOKUP(B20,[1]T1!$A$1:$C$200,3))</f>
        <v>Entertainment</v>
      </c>
      <c r="D20" s="70" t="s">
        <v>15</v>
      </c>
      <c r="E20" s="51"/>
      <c r="F20" s="68"/>
      <c r="G20" s="69"/>
      <c r="H20" s="47">
        <f t="shared" si="0"/>
        <v>0</v>
      </c>
    </row>
    <row r="21" spans="1:8" ht="51.75" thickBot="1">
      <c r="A21" s="36">
        <f>IF(ISERROR(VLOOKUP(B21,[1]T1!$A$1:$H$300,2))," ",VLOOKUP(B21,[1]T1!$A$1:$H$300,2))</f>
        <v>91</v>
      </c>
      <c r="B21" s="48">
        <v>5300</v>
      </c>
      <c r="C21" s="49" t="str">
        <f>IF(ISERROR(VLOOKUP(B21,[1]T1!$A$1:$C$200,3))," ",VLOOKUP(B21,[1]T1!$A$1:$C$200,3))</f>
        <v>Facilities Rent</v>
      </c>
      <c r="D21" s="70" t="s">
        <v>21</v>
      </c>
      <c r="E21" s="51"/>
      <c r="F21" s="68">
        <v>0</v>
      </c>
      <c r="G21" s="69">
        <v>0</v>
      </c>
      <c r="H21" s="47">
        <f t="shared" si="0"/>
        <v>0</v>
      </c>
    </row>
    <row r="22" spans="1:8" ht="39" thickBot="1">
      <c r="A22" s="36">
        <f>IF(ISERROR(VLOOKUP(B22,[1]T1!$A$1:$H$300,2))," ",VLOOKUP(B22,[1]T1!$A$1:$H$300,2))</f>
        <v>92</v>
      </c>
      <c r="B22" s="48">
        <v>5301</v>
      </c>
      <c r="C22" s="49" t="str">
        <f>IF(ISERROR(VLOOKUP(B22,[1]T1!$A$1:$C$200,3))," ",VLOOKUP(B22,[1]T1!$A$1:$C$200,3))</f>
        <v>Conference Equipment Rental</v>
      </c>
      <c r="D22" s="70" t="s">
        <v>22</v>
      </c>
      <c r="E22" s="51"/>
      <c r="F22" s="68">
        <v>0</v>
      </c>
      <c r="G22" s="69">
        <v>0</v>
      </c>
      <c r="H22" s="47">
        <f t="shared" si="0"/>
        <v>0</v>
      </c>
    </row>
    <row r="23" spans="1:8" ht="39" thickBot="1">
      <c r="A23" s="36">
        <f>IF(ISERROR(VLOOKUP(B23,[1]T1!$A$1:$H$300,2))," ",VLOOKUP(B23,[1]T1!$A$1:$H$300,2))</f>
        <v>93</v>
      </c>
      <c r="B23" s="48">
        <v>5302</v>
      </c>
      <c r="C23" s="49" t="str">
        <f>IF(ISERROR(VLOOKUP(B23,[1]T1!$A$1:$C$200,3))," ",VLOOKUP(B23,[1]T1!$A$1:$C$200,3))</f>
        <v>Meal Functions</v>
      </c>
      <c r="D23" s="70" t="s">
        <v>23</v>
      </c>
      <c r="E23" s="51"/>
      <c r="F23" s="68">
        <v>0</v>
      </c>
      <c r="G23" s="69">
        <v>0</v>
      </c>
      <c r="H23" s="47">
        <f t="shared" si="0"/>
        <v>0</v>
      </c>
    </row>
    <row r="24" spans="1:8" ht="90" thickBot="1">
      <c r="A24" s="36">
        <f>IF(ISERROR(VLOOKUP(B24,[1]T1!$A$1:$H$300,2))," ",VLOOKUP(B24,[1]T1!$A$1:$H$300,2))</f>
        <v>95</v>
      </c>
      <c r="B24" s="48">
        <v>5304</v>
      </c>
      <c r="C24" s="49" t="str">
        <f>IF(ISERROR(VLOOKUP(B24,[1]T1!$A$1:$C$200,3))," ",VLOOKUP(B24,[1]T1!$A$1:$C$200,3))</f>
        <v>Speaker/Guest Expenses</v>
      </c>
      <c r="D24" s="70" t="s">
        <v>24</v>
      </c>
      <c r="E24" s="51"/>
      <c r="F24" s="68">
        <v>2151</v>
      </c>
      <c r="G24" s="69">
        <v>2020</v>
      </c>
      <c r="H24" s="47">
        <f t="shared" si="0"/>
        <v>131</v>
      </c>
    </row>
    <row r="25" spans="1:8" ht="14.25" thickBot="1">
      <c r="A25" s="36">
        <f>IF(ISERROR(VLOOKUP(B25,[1]T1!$A$1:$H$300,2))," ",VLOOKUP(B25,[1]T1!$A$1:$H$300,2))</f>
        <v>96</v>
      </c>
      <c r="B25" s="48">
        <v>5305</v>
      </c>
      <c r="C25" s="49" t="str">
        <f>IF(ISERROR(VLOOKUP(B25,[1]T1!$A$1:$C$200,3))," ",VLOOKUP(B25,[1]T1!$A$1:$C$200,3))</f>
        <v>Speaker/Guest Honorarium</v>
      </c>
      <c r="D25" s="70" t="s">
        <v>25</v>
      </c>
      <c r="E25" s="51"/>
      <c r="F25" s="68">
        <v>0</v>
      </c>
      <c r="G25" s="69">
        <v>600</v>
      </c>
      <c r="H25" s="47">
        <f t="shared" si="0"/>
        <v>-600</v>
      </c>
    </row>
    <row r="26" spans="1:8" ht="14.25" thickBot="1">
      <c r="A26" s="36">
        <f>IF(ISERROR(VLOOKUP(B26,[1]T1!$A$1:$H$300,2))," ",VLOOKUP(B26,[1]T1!$A$1:$H$300,2))</f>
        <v>86</v>
      </c>
      <c r="B26" s="48">
        <v>5214</v>
      </c>
      <c r="C26" s="49" t="str">
        <f>IF(ISERROR(VLOOKUP(B26,[1]T1!$A$1:$C$200,3))," ",VLOOKUP(B26,[1]T1!$A$1:$C$200,3))</f>
        <v>Entertainment</v>
      </c>
      <c r="D26" s="70" t="s">
        <v>15</v>
      </c>
      <c r="E26" s="51"/>
      <c r="F26" s="68"/>
      <c r="G26" s="69"/>
      <c r="H26" s="47">
        <f t="shared" si="0"/>
        <v>0</v>
      </c>
    </row>
    <row r="27" spans="1:8" ht="14.25" thickBot="1">
      <c r="A27" s="36">
        <f>IF(ISERROR(VLOOKUP(B27,[1]T1!$A$1:$H$300,2))," ",VLOOKUP(B27,[1]T1!$A$1:$H$300,2))</f>
        <v>108</v>
      </c>
      <c r="B27" s="48">
        <v>5402</v>
      </c>
      <c r="C27" s="49" t="str">
        <f>IF(ISERROR(VLOOKUP(B27,[1]T1!$A$1:$C$200,3))," ",VLOOKUP(B27,[1]T1!$A$1:$C$200,3))</f>
        <v>Printing-O/S</v>
      </c>
      <c r="D27" s="70" t="s">
        <v>26</v>
      </c>
      <c r="E27" s="51"/>
      <c r="F27" s="68">
        <v>0</v>
      </c>
      <c r="G27" s="69">
        <v>416</v>
      </c>
      <c r="H27" s="47">
        <f t="shared" si="0"/>
        <v>-416</v>
      </c>
    </row>
    <row r="28" spans="1:8" ht="14.25" thickBot="1">
      <c r="A28" s="36">
        <f>IF(ISERROR(VLOOKUP(B28,[1]T1!$A$1:$H$300,2))," ",VLOOKUP(B28,[1]T1!$A$1:$H$300,2))</f>
        <v>132</v>
      </c>
      <c r="B28" s="48">
        <v>5500</v>
      </c>
      <c r="C28" s="49" t="str">
        <f>IF(ISERROR(VLOOKUP(B28,[1]T1!$A$1:$C$200,3))," ",VLOOKUP(B28,[1]T1!$A$1:$C$200,3))</f>
        <v>Supplies/Operating</v>
      </c>
      <c r="D28" s="70" t="s">
        <v>27</v>
      </c>
      <c r="E28" s="51"/>
      <c r="F28" s="68">
        <v>162</v>
      </c>
      <c r="G28" s="69">
        <v>30</v>
      </c>
      <c r="H28" s="47">
        <f t="shared" si="0"/>
        <v>132</v>
      </c>
    </row>
    <row r="29" spans="1:8" ht="26.25" thickBot="1">
      <c r="A29" s="36">
        <f>IF(ISERROR(VLOOKUP(B29,[1]T1!$A$1:$H$300,2))," ",VLOOKUP(B29,[1]T1!$A$1:$H$300,2))</f>
        <v>139</v>
      </c>
      <c r="B29" s="48">
        <v>5523</v>
      </c>
      <c r="C29" s="49" t="str">
        <f>IF(ISERROR(VLOOKUP(B29,[1]T1!$A$1:$C$200,3))," ",VLOOKUP(B29,[1]T1!$A$1:$C$200,3))</f>
        <v>Postage &amp; E-Mail/O/S</v>
      </c>
      <c r="D29" s="70" t="s">
        <v>28</v>
      </c>
      <c r="E29" s="51"/>
      <c r="F29" s="68">
        <v>0</v>
      </c>
      <c r="G29" s="69">
        <v>22.88</v>
      </c>
      <c r="H29" s="47">
        <f t="shared" si="0"/>
        <v>-22.88</v>
      </c>
    </row>
    <row r="30" spans="1:8" ht="14.25" thickBot="1">
      <c r="A30" s="36">
        <f>IF(ISERROR(VLOOKUP(B30,[1]T1!$A$1:$H$300,2))," ",VLOOKUP(B30,[1]T1!$A$1:$H$300,2))</f>
        <v>146</v>
      </c>
      <c r="B30" s="48">
        <v>5543</v>
      </c>
      <c r="C30" s="49" t="str">
        <f>IF(ISERROR(VLOOKUP(B30,[1]T1!$A$1:$C$200,3))," ",VLOOKUP(B30,[1]T1!$A$1:$C$200,3))</f>
        <v>Bad Debt Expense</v>
      </c>
      <c r="D30" s="70" t="s">
        <v>29</v>
      </c>
      <c r="E30" s="51"/>
      <c r="F30" s="68">
        <v>64</v>
      </c>
      <c r="G30" s="69">
        <v>98</v>
      </c>
      <c r="H30" s="47">
        <f t="shared" si="0"/>
        <v>-34</v>
      </c>
    </row>
    <row r="31" spans="1:8" ht="51.75" thickBot="1">
      <c r="A31" s="36">
        <f>IF(ISERROR(VLOOKUP(B31,[1]T1!$A$1:$H$300,2))," ",VLOOKUP(B31,[1]T1!$A$1:$H$300,2))</f>
        <v>151</v>
      </c>
      <c r="B31" s="48">
        <v>5599</v>
      </c>
      <c r="C31" s="49" t="str">
        <f>IF(ISERROR(VLOOKUP(B31,[1]T1!$A$1:$C$200,3))," ",VLOOKUP(B31,[1]T1!$A$1:$C$200,3))</f>
        <v>Misc. Expense</v>
      </c>
      <c r="D31" s="50" t="str">
        <f>'[1]3200'!D35</f>
        <v>This is each project's share of ACRL general expenses such as supplies, travel, telephone, and equipment depreciation.  Calculated at same % of total operating expenses as salaries above.</v>
      </c>
      <c r="E31" s="51"/>
      <c r="F31" s="74">
        <f>'[1]Sal Matrix'!E16</f>
        <v>140</v>
      </c>
      <c r="G31" s="75">
        <v>142</v>
      </c>
      <c r="H31" s="47">
        <f t="shared" si="0"/>
        <v>-2</v>
      </c>
    </row>
    <row r="32" spans="1:8" ht="14.25" thickBot="1">
      <c r="A32" s="36">
        <f>IF(ISERROR(VLOOKUP(B32,[1]T1!$A$1:$H$300,2))," ",VLOOKUP(B32,[1]T1!$A$1:$H$300,2))</f>
        <v>160</v>
      </c>
      <c r="B32" s="48">
        <v>5905</v>
      </c>
      <c r="C32" s="49" t="str">
        <f>IF(ISERROR(VLOOKUP(B32,[1]T1!$A$1:$C$200,3))," ",VLOOKUP(B32,[1]T1!$A$1:$C$200,3))</f>
        <v>IUT-Telephone</v>
      </c>
      <c r="D32" s="50" t="s">
        <v>30</v>
      </c>
      <c r="E32" s="51"/>
      <c r="F32" s="76">
        <v>0</v>
      </c>
      <c r="G32" s="77">
        <v>20</v>
      </c>
      <c r="H32" s="47">
        <f t="shared" si="0"/>
        <v>-20</v>
      </c>
    </row>
    <row r="33" spans="1:8" ht="26.25" thickBot="1">
      <c r="A33" s="36">
        <f>IF(ISERROR(VLOOKUP(B33,[1]T1!$A$1:$H$300,2))," ",VLOOKUP(B33,[1]T1!$A$1:$H$300,2))</f>
        <v>163</v>
      </c>
      <c r="B33" s="48">
        <v>5909</v>
      </c>
      <c r="C33" s="49" t="str">
        <f>IF(ISERROR(VLOOKUP(B33,[1]T1!$A$1:$C$200,3))," ",VLOOKUP(B33,[1]T1!$A$1:$C$200,3))</f>
        <v>IUT-Dist. Center</v>
      </c>
      <c r="D33" s="50" t="s">
        <v>31</v>
      </c>
      <c r="E33" s="78"/>
      <c r="F33" s="52">
        <v>0</v>
      </c>
      <c r="G33" s="53">
        <v>50</v>
      </c>
      <c r="H33" s="47">
        <f t="shared" si="0"/>
        <v>-50</v>
      </c>
    </row>
    <row r="34" spans="1:8" ht="14.25" thickBot="1">
      <c r="A34" s="36">
        <f>IF(ISERROR(VLOOKUP(B34,[1]T1!$A$1:$H$300,2))," ",VLOOKUP(B34,[1]T1!$A$1:$H$300,2))</f>
        <v>164</v>
      </c>
      <c r="B34" s="48">
        <v>5910</v>
      </c>
      <c r="C34" s="49" t="str">
        <f>IF(ISERROR(VLOOKUP(B34,[1]T1!$A$1:$C$200,3))," ",VLOOKUP(B34,[1]T1!$A$1:$C$200,3))</f>
        <v>IUT-Repro.</v>
      </c>
      <c r="D34" s="50"/>
      <c r="E34" s="78"/>
      <c r="F34" s="52">
        <v>0</v>
      </c>
      <c r="G34" s="53">
        <v>0</v>
      </c>
      <c r="H34" s="47">
        <f t="shared" si="0"/>
        <v>0</v>
      </c>
    </row>
    <row r="35" spans="1:8" ht="26.25" thickBot="1">
      <c r="A35" s="36">
        <f>IF(ISERROR(VLOOKUP(B35,[1]T1!$A$1:$H$300,2))," ",VLOOKUP(B35,[1]T1!$A$1:$H$300,2))</f>
        <v>167</v>
      </c>
      <c r="B35" s="48">
        <v>5940</v>
      </c>
      <c r="C35" s="49" t="str">
        <f>IF(ISERROR(VLOOKUP(B35,[1]T1!$A$1:$C$200,3))," ",VLOOKUP(B35,[1]T1!$A$1:$C$200,3))</f>
        <v>IUT-Registration Processing</v>
      </c>
      <c r="D35" s="50" t="s">
        <v>32</v>
      </c>
      <c r="E35" s="78"/>
      <c r="F35" s="52">
        <v>261</v>
      </c>
      <c r="G35" s="53">
        <v>208</v>
      </c>
      <c r="H35" s="47">
        <f t="shared" si="0"/>
        <v>53</v>
      </c>
    </row>
    <row r="36" spans="1:8" ht="14.25" thickBot="1">
      <c r="A36" s="36">
        <f>IF(ISERROR(VLOOKUP(B36,[1]T1!$A$1:$H$300,2))," ",VLOOKUP(B36,[1]T1!$A$1:$H$300,2))</f>
        <v>178</v>
      </c>
      <c r="B36" s="48">
        <v>5911</v>
      </c>
      <c r="C36" s="49" t="str">
        <f>IF(ISERROR(VLOOKUP(B36,[1]T1!$A$1:$C$200,3))," ",VLOOKUP(B36,[1]T1!$A$1:$C$200,3))</f>
        <v>IUT-General Overhead</v>
      </c>
      <c r="D36" s="50" t="s">
        <v>33</v>
      </c>
      <c r="E36" s="78"/>
      <c r="F36" s="52">
        <f>ROUND(SUM(F8:F11)*'[1]UNIT 403 BUDGET WORKSHEET'!C1,0)</f>
        <v>2146</v>
      </c>
      <c r="G36" s="53">
        <v>2557</v>
      </c>
      <c r="H36" s="47">
        <f t="shared" si="0"/>
        <v>-411</v>
      </c>
    </row>
    <row r="37" spans="1:8" ht="14.25" thickBot="1">
      <c r="A37" s="79"/>
      <c r="B37" s="56"/>
      <c r="C37" s="57"/>
      <c r="D37" s="80" t="s">
        <v>34</v>
      </c>
      <c r="E37" s="81"/>
      <c r="F37" s="82">
        <f>SUM(F13:F36)</f>
        <v>6781.15</v>
      </c>
      <c r="G37" s="83">
        <v>8342.880000000001</v>
      </c>
      <c r="H37" s="47">
        <f t="shared" si="0"/>
        <v>-1561.7300000000014</v>
      </c>
    </row>
    <row r="38" spans="1:8" ht="14.25" thickBot="1">
      <c r="A38" s="79"/>
      <c r="B38" s="56"/>
      <c r="C38" s="57"/>
      <c r="D38" s="80" t="s">
        <v>35</v>
      </c>
      <c r="E38" s="81"/>
      <c r="F38" s="82">
        <f>F12-F37</f>
        <v>1439.8500000000004</v>
      </c>
      <c r="G38" s="83">
        <v>1453.119999999999</v>
      </c>
      <c r="H38" s="47">
        <f t="shared" si="0"/>
        <v>-13.269999999998618</v>
      </c>
    </row>
    <row r="39" spans="1:8">
      <c r="A39" s="1"/>
      <c r="B39" s="23"/>
      <c r="C39" s="84"/>
      <c r="H39" s="27">
        <f t="shared" si="0"/>
        <v>0</v>
      </c>
    </row>
    <row r="40" spans="1:8">
      <c r="A40" s="1"/>
      <c r="B40" s="23"/>
      <c r="C40" s="84"/>
      <c r="H40" s="27">
        <f t="shared" si="0"/>
        <v>0</v>
      </c>
    </row>
    <row r="41" spans="1:8">
      <c r="A41" s="1"/>
      <c r="B41" s="23"/>
      <c r="C41" s="84"/>
      <c r="H41" s="27">
        <f t="shared" si="0"/>
        <v>0</v>
      </c>
    </row>
    <row r="42" spans="1:8">
      <c r="A42" s="1"/>
      <c r="B42" s="23"/>
      <c r="C42" s="84"/>
      <c r="H42" s="27">
        <f t="shared" si="0"/>
        <v>0</v>
      </c>
    </row>
    <row r="43" spans="1:8">
      <c r="A43" s="1"/>
      <c r="B43" s="23"/>
      <c r="C43" s="84"/>
      <c r="H43" s="27">
        <f t="shared" si="0"/>
        <v>0</v>
      </c>
    </row>
    <row r="44" spans="1:8">
      <c r="A44" s="1"/>
      <c r="B44" s="23"/>
      <c r="C44" s="84"/>
      <c r="H44" s="27">
        <f t="shared" si="0"/>
        <v>0</v>
      </c>
    </row>
    <row r="45" spans="1:8">
      <c r="A45" s="1"/>
      <c r="B45" s="23"/>
      <c r="C45" s="84"/>
      <c r="H45" s="27">
        <f t="shared" si="0"/>
        <v>0</v>
      </c>
    </row>
    <row r="46" spans="1:8">
      <c r="A46" s="1"/>
      <c r="B46" s="23"/>
      <c r="C46" s="84"/>
      <c r="H46" s="27">
        <f t="shared" si="0"/>
        <v>0</v>
      </c>
    </row>
    <row r="47" spans="1:8">
      <c r="A47" s="1"/>
      <c r="B47" s="23"/>
      <c r="C47" s="84"/>
      <c r="H47" s="27">
        <f t="shared" si="0"/>
        <v>0</v>
      </c>
    </row>
    <row r="48" spans="1:8">
      <c r="A48" s="1"/>
      <c r="B48" s="23"/>
      <c r="C48" s="84"/>
      <c r="H48" s="27">
        <f t="shared" si="0"/>
        <v>0</v>
      </c>
    </row>
    <row r="49" spans="1:8">
      <c r="A49" s="1"/>
      <c r="B49" s="23"/>
      <c r="C49" s="84"/>
      <c r="H49" s="27">
        <f t="shared" si="0"/>
        <v>0</v>
      </c>
    </row>
    <row r="50" spans="1:8">
      <c r="A50" s="1"/>
      <c r="B50" s="23"/>
      <c r="C50" s="84"/>
      <c r="H50" s="27">
        <f t="shared" si="0"/>
        <v>0</v>
      </c>
    </row>
    <row r="51" spans="1:8">
      <c r="A51" s="1"/>
      <c r="B51" s="23"/>
      <c r="C51" s="84"/>
      <c r="H51" s="27">
        <f t="shared" si="0"/>
        <v>0</v>
      </c>
    </row>
    <row r="52" spans="1:8">
      <c r="A52" s="1"/>
      <c r="B52" s="23"/>
      <c r="C52" s="84"/>
      <c r="H52" s="27">
        <f t="shared" si="0"/>
        <v>0</v>
      </c>
    </row>
    <row r="53" spans="1:8">
      <c r="A53" s="1"/>
      <c r="B53" s="23"/>
      <c r="C53" s="84"/>
      <c r="H53" s="27">
        <f t="shared" si="0"/>
        <v>0</v>
      </c>
    </row>
    <row r="54" spans="1:8">
      <c r="A54" s="1"/>
      <c r="B54" s="23"/>
      <c r="C54" s="84"/>
      <c r="H54" s="27">
        <f t="shared" si="0"/>
        <v>0</v>
      </c>
    </row>
    <row r="55" spans="1:8">
      <c r="A55" s="1"/>
      <c r="B55" s="23"/>
      <c r="C55" s="84"/>
      <c r="H55" s="27">
        <f t="shared" si="0"/>
        <v>0</v>
      </c>
    </row>
    <row r="56" spans="1:8">
      <c r="A56" s="1"/>
      <c r="B56" s="23"/>
      <c r="C56" s="84"/>
      <c r="H56" s="27">
        <f t="shared" si="0"/>
        <v>0</v>
      </c>
    </row>
    <row r="57" spans="1:8">
      <c r="A57" s="1"/>
      <c r="B57" s="23"/>
      <c r="C57" s="84"/>
      <c r="H57" s="27">
        <f t="shared" si="0"/>
        <v>0</v>
      </c>
    </row>
    <row r="58" spans="1:8">
      <c r="A58" s="1"/>
      <c r="B58" s="23"/>
      <c r="C58" s="84"/>
      <c r="H58" s="27">
        <f t="shared" si="0"/>
        <v>0</v>
      </c>
    </row>
    <row r="59" spans="1:8">
      <c r="A59" s="1"/>
      <c r="B59" s="23"/>
      <c r="C59" s="84"/>
      <c r="H59" s="27">
        <f t="shared" si="0"/>
        <v>0</v>
      </c>
    </row>
    <row r="60" spans="1:8">
      <c r="A60" s="1"/>
      <c r="B60" s="23"/>
      <c r="C60" s="84"/>
      <c r="H60" s="27">
        <f t="shared" si="0"/>
        <v>0</v>
      </c>
    </row>
    <row r="61" spans="1:8">
      <c r="A61" s="1"/>
      <c r="B61" s="23"/>
      <c r="C61" s="84"/>
      <c r="H61" s="27">
        <f t="shared" si="0"/>
        <v>0</v>
      </c>
    </row>
    <row r="62" spans="1:8">
      <c r="A62" s="1"/>
      <c r="B62" s="23"/>
      <c r="C62" s="84"/>
      <c r="H62" s="27">
        <f t="shared" si="0"/>
        <v>0</v>
      </c>
    </row>
    <row r="63" spans="1:8">
      <c r="A63" s="1"/>
      <c r="B63" s="23"/>
      <c r="C63" s="84"/>
      <c r="H63" s="27">
        <f t="shared" si="0"/>
        <v>0</v>
      </c>
    </row>
    <row r="64" spans="1:8">
      <c r="A64" s="1"/>
      <c r="B64" s="23"/>
      <c r="C64" s="84"/>
      <c r="H64" s="27">
        <f t="shared" si="0"/>
        <v>0</v>
      </c>
    </row>
    <row r="65" spans="1:8">
      <c r="A65" s="1"/>
      <c r="B65" s="23"/>
      <c r="C65" s="84"/>
      <c r="H65" s="27">
        <f t="shared" si="0"/>
        <v>0</v>
      </c>
    </row>
    <row r="66" spans="1:8">
      <c r="A66" s="1"/>
      <c r="B66" s="23"/>
      <c r="C66" s="84"/>
      <c r="H66" s="27">
        <f t="shared" si="0"/>
        <v>0</v>
      </c>
    </row>
    <row r="67" spans="1:8">
      <c r="A67" s="1"/>
      <c r="B67" s="23"/>
      <c r="C67" s="84"/>
      <c r="H67" s="27">
        <f t="shared" si="0"/>
        <v>0</v>
      </c>
    </row>
    <row r="68" spans="1:8">
      <c r="A68" s="1"/>
      <c r="B68" s="23"/>
      <c r="C68" s="84"/>
      <c r="H68" s="27">
        <f t="shared" si="0"/>
        <v>0</v>
      </c>
    </row>
    <row r="69" spans="1:8">
      <c r="A69" s="1"/>
      <c r="B69" s="23"/>
      <c r="C69" s="84"/>
      <c r="H69" s="27">
        <f t="shared" si="0"/>
        <v>0</v>
      </c>
    </row>
    <row r="70" spans="1:8">
      <c r="A70" s="1"/>
      <c r="B70" s="23"/>
      <c r="C70" s="84"/>
      <c r="H70" s="27">
        <f t="shared" si="0"/>
        <v>0</v>
      </c>
    </row>
    <row r="71" spans="1:8">
      <c r="A71" s="1"/>
      <c r="B71" s="23"/>
      <c r="C71" s="84"/>
      <c r="H71" s="27">
        <f t="shared" si="0"/>
        <v>0</v>
      </c>
    </row>
    <row r="72" spans="1:8">
      <c r="A72" s="1"/>
      <c r="B72" s="23"/>
      <c r="C72" s="84"/>
      <c r="H72" s="27">
        <f t="shared" si="0"/>
        <v>0</v>
      </c>
    </row>
    <row r="73" spans="1:8">
      <c r="A73" s="1"/>
      <c r="B73" s="23"/>
      <c r="C73" s="84"/>
      <c r="H73" s="27">
        <f t="shared" ref="H73:H136" si="1">F73-G73</f>
        <v>0</v>
      </c>
    </row>
    <row r="74" spans="1:8">
      <c r="A74" s="1"/>
      <c r="B74" s="23"/>
      <c r="C74" s="84"/>
      <c r="H74" s="27">
        <f t="shared" si="1"/>
        <v>0</v>
      </c>
    </row>
    <row r="75" spans="1:8">
      <c r="A75" s="1"/>
      <c r="B75" s="23"/>
      <c r="C75" s="84"/>
      <c r="H75" s="27">
        <f t="shared" si="1"/>
        <v>0</v>
      </c>
    </row>
    <row r="76" spans="1:8">
      <c r="A76" s="1"/>
      <c r="B76" s="23"/>
      <c r="C76" s="84"/>
      <c r="H76" s="27">
        <f t="shared" si="1"/>
        <v>0</v>
      </c>
    </row>
    <row r="77" spans="1:8">
      <c r="A77" s="1"/>
      <c r="B77" s="23"/>
      <c r="C77" s="84"/>
      <c r="H77" s="27">
        <f t="shared" si="1"/>
        <v>0</v>
      </c>
    </row>
    <row r="78" spans="1:8">
      <c r="A78" s="1"/>
      <c r="B78" s="23"/>
      <c r="C78" s="84"/>
      <c r="H78" s="27">
        <f t="shared" si="1"/>
        <v>0</v>
      </c>
    </row>
    <row r="79" spans="1:8">
      <c r="A79" s="1"/>
      <c r="B79" s="23"/>
      <c r="C79" s="84"/>
      <c r="H79" s="27">
        <f t="shared" si="1"/>
        <v>0</v>
      </c>
    </row>
    <row r="80" spans="1:8">
      <c r="A80" s="1"/>
      <c r="B80" s="23"/>
      <c r="C80" s="84"/>
      <c r="H80" s="27">
        <f t="shared" si="1"/>
        <v>0</v>
      </c>
    </row>
    <row r="81" spans="1:8">
      <c r="A81" s="1"/>
      <c r="B81" s="23"/>
      <c r="C81" s="84"/>
      <c r="H81" s="27">
        <f t="shared" si="1"/>
        <v>0</v>
      </c>
    </row>
    <row r="82" spans="1:8">
      <c r="A82" s="1"/>
      <c r="B82" s="23"/>
      <c r="C82" s="84"/>
      <c r="H82" s="27">
        <f t="shared" si="1"/>
        <v>0</v>
      </c>
    </row>
    <row r="83" spans="1:8">
      <c r="A83" s="1"/>
      <c r="B83" s="23"/>
      <c r="C83" s="84"/>
      <c r="H83" s="27">
        <f t="shared" si="1"/>
        <v>0</v>
      </c>
    </row>
    <row r="84" spans="1:8">
      <c r="A84" s="1"/>
      <c r="B84" s="23"/>
      <c r="C84" s="84"/>
      <c r="H84" s="27">
        <f t="shared" si="1"/>
        <v>0</v>
      </c>
    </row>
    <row r="85" spans="1:8">
      <c r="A85" s="1"/>
      <c r="B85" s="23"/>
      <c r="C85" s="84"/>
      <c r="H85" s="27">
        <f t="shared" si="1"/>
        <v>0</v>
      </c>
    </row>
    <row r="86" spans="1:8">
      <c r="A86" s="1"/>
      <c r="B86" s="23"/>
      <c r="C86" s="84"/>
      <c r="H86" s="27">
        <f t="shared" si="1"/>
        <v>0</v>
      </c>
    </row>
    <row r="87" spans="1:8">
      <c r="A87" s="1"/>
      <c r="B87" s="23"/>
      <c r="C87" s="84"/>
      <c r="H87" s="27">
        <f t="shared" si="1"/>
        <v>0</v>
      </c>
    </row>
    <row r="88" spans="1:8">
      <c r="A88" s="1"/>
      <c r="B88" s="23"/>
      <c r="C88" s="84"/>
      <c r="H88" s="27">
        <f t="shared" si="1"/>
        <v>0</v>
      </c>
    </row>
    <row r="89" spans="1:8">
      <c r="A89" s="1"/>
      <c r="B89" s="23"/>
      <c r="C89" s="84"/>
      <c r="H89" s="27">
        <f t="shared" si="1"/>
        <v>0</v>
      </c>
    </row>
    <row r="90" spans="1:8">
      <c r="A90" s="1"/>
      <c r="B90" s="23"/>
      <c r="C90" s="84"/>
      <c r="H90" s="27">
        <f t="shared" si="1"/>
        <v>0</v>
      </c>
    </row>
    <row r="91" spans="1:8">
      <c r="A91" s="1"/>
      <c r="B91" s="23"/>
      <c r="C91" s="84"/>
      <c r="H91" s="27">
        <f t="shared" si="1"/>
        <v>0</v>
      </c>
    </row>
    <row r="92" spans="1:8">
      <c r="H92" s="27">
        <f t="shared" si="1"/>
        <v>0</v>
      </c>
    </row>
    <row r="93" spans="1:8">
      <c r="H93" s="27">
        <f t="shared" si="1"/>
        <v>0</v>
      </c>
    </row>
    <row r="94" spans="1:8">
      <c r="H94" s="27">
        <f t="shared" si="1"/>
        <v>0</v>
      </c>
    </row>
    <row r="95" spans="1:8">
      <c r="H95" s="27">
        <f t="shared" si="1"/>
        <v>0</v>
      </c>
    </row>
    <row r="96" spans="1:8">
      <c r="H96" s="27">
        <f t="shared" si="1"/>
        <v>0</v>
      </c>
    </row>
    <row r="97" spans="8:8">
      <c r="H97" s="27">
        <f t="shared" si="1"/>
        <v>0</v>
      </c>
    </row>
    <row r="98" spans="8:8">
      <c r="H98" s="27">
        <f t="shared" si="1"/>
        <v>0</v>
      </c>
    </row>
    <row r="99" spans="8:8">
      <c r="H99" s="27">
        <f t="shared" si="1"/>
        <v>0</v>
      </c>
    </row>
    <row r="100" spans="8:8">
      <c r="H100" s="27">
        <f t="shared" si="1"/>
        <v>0</v>
      </c>
    </row>
    <row r="101" spans="8:8">
      <c r="H101" s="27">
        <f t="shared" si="1"/>
        <v>0</v>
      </c>
    </row>
    <row r="102" spans="8:8">
      <c r="H102" s="27">
        <f t="shared" si="1"/>
        <v>0</v>
      </c>
    </row>
    <row r="103" spans="8:8">
      <c r="H103" s="27">
        <f t="shared" si="1"/>
        <v>0</v>
      </c>
    </row>
    <row r="104" spans="8:8">
      <c r="H104" s="27">
        <f t="shared" si="1"/>
        <v>0</v>
      </c>
    </row>
    <row r="105" spans="8:8">
      <c r="H105" s="27">
        <f t="shared" si="1"/>
        <v>0</v>
      </c>
    </row>
    <row r="106" spans="8:8">
      <c r="H106" s="27">
        <f t="shared" si="1"/>
        <v>0</v>
      </c>
    </row>
    <row r="107" spans="8:8">
      <c r="H107" s="27">
        <f t="shared" si="1"/>
        <v>0</v>
      </c>
    </row>
    <row r="108" spans="8:8">
      <c r="H108" s="27">
        <f t="shared" si="1"/>
        <v>0</v>
      </c>
    </row>
    <row r="109" spans="8:8">
      <c r="H109" s="27">
        <f t="shared" si="1"/>
        <v>0</v>
      </c>
    </row>
    <row r="110" spans="8:8">
      <c r="H110" s="27">
        <f t="shared" si="1"/>
        <v>0</v>
      </c>
    </row>
    <row r="111" spans="8:8">
      <c r="H111" s="27">
        <f t="shared" si="1"/>
        <v>0</v>
      </c>
    </row>
    <row r="112" spans="8:8">
      <c r="H112" s="27">
        <f t="shared" si="1"/>
        <v>0</v>
      </c>
    </row>
    <row r="113" spans="8:8">
      <c r="H113" s="27">
        <f t="shared" si="1"/>
        <v>0</v>
      </c>
    </row>
    <row r="114" spans="8:8">
      <c r="H114" s="27">
        <f t="shared" si="1"/>
        <v>0</v>
      </c>
    </row>
    <row r="115" spans="8:8">
      <c r="H115" s="27">
        <f t="shared" si="1"/>
        <v>0</v>
      </c>
    </row>
    <row r="116" spans="8:8">
      <c r="H116" s="27">
        <f t="shared" si="1"/>
        <v>0</v>
      </c>
    </row>
    <row r="117" spans="8:8">
      <c r="H117" s="27">
        <f t="shared" si="1"/>
        <v>0</v>
      </c>
    </row>
    <row r="118" spans="8:8">
      <c r="H118" s="27">
        <f t="shared" si="1"/>
        <v>0</v>
      </c>
    </row>
    <row r="119" spans="8:8">
      <c r="H119" s="27">
        <f t="shared" si="1"/>
        <v>0</v>
      </c>
    </row>
    <row r="120" spans="8:8">
      <c r="H120" s="27">
        <f t="shared" si="1"/>
        <v>0</v>
      </c>
    </row>
    <row r="121" spans="8:8">
      <c r="H121" s="27">
        <f t="shared" si="1"/>
        <v>0</v>
      </c>
    </row>
    <row r="122" spans="8:8">
      <c r="H122" s="27">
        <f t="shared" si="1"/>
        <v>0</v>
      </c>
    </row>
    <row r="123" spans="8:8">
      <c r="H123" s="27">
        <f t="shared" si="1"/>
        <v>0</v>
      </c>
    </row>
    <row r="124" spans="8:8">
      <c r="H124" s="27">
        <f t="shared" si="1"/>
        <v>0</v>
      </c>
    </row>
    <row r="125" spans="8:8">
      <c r="H125" s="27">
        <f t="shared" si="1"/>
        <v>0</v>
      </c>
    </row>
    <row r="126" spans="8:8">
      <c r="H126" s="27">
        <f t="shared" si="1"/>
        <v>0</v>
      </c>
    </row>
    <row r="127" spans="8:8">
      <c r="H127" s="27">
        <f t="shared" si="1"/>
        <v>0</v>
      </c>
    </row>
    <row r="128" spans="8:8">
      <c r="H128" s="27">
        <f t="shared" si="1"/>
        <v>0</v>
      </c>
    </row>
    <row r="129" spans="8:8">
      <c r="H129" s="27">
        <f t="shared" si="1"/>
        <v>0</v>
      </c>
    </row>
    <row r="130" spans="8:8">
      <c r="H130" s="27">
        <f t="shared" si="1"/>
        <v>0</v>
      </c>
    </row>
    <row r="131" spans="8:8">
      <c r="H131" s="27">
        <f t="shared" si="1"/>
        <v>0</v>
      </c>
    </row>
    <row r="132" spans="8:8">
      <c r="H132" s="27">
        <f t="shared" si="1"/>
        <v>0</v>
      </c>
    </row>
    <row r="133" spans="8:8">
      <c r="H133" s="27">
        <f t="shared" si="1"/>
        <v>0</v>
      </c>
    </row>
    <row r="134" spans="8:8">
      <c r="H134" s="27">
        <f t="shared" si="1"/>
        <v>0</v>
      </c>
    </row>
    <row r="135" spans="8:8">
      <c r="H135" s="27">
        <f t="shared" si="1"/>
        <v>0</v>
      </c>
    </row>
    <row r="136" spans="8:8">
      <c r="H136" s="27">
        <f t="shared" si="1"/>
        <v>0</v>
      </c>
    </row>
    <row r="137" spans="8:8">
      <c r="H137" s="27">
        <f t="shared" ref="H137:H200" si="2">F137-G137</f>
        <v>0</v>
      </c>
    </row>
    <row r="138" spans="8:8">
      <c r="H138" s="27">
        <f t="shared" si="2"/>
        <v>0</v>
      </c>
    </row>
    <row r="139" spans="8:8">
      <c r="H139" s="27">
        <f t="shared" si="2"/>
        <v>0</v>
      </c>
    </row>
    <row r="140" spans="8:8">
      <c r="H140" s="27">
        <f t="shared" si="2"/>
        <v>0</v>
      </c>
    </row>
    <row r="141" spans="8:8">
      <c r="H141" s="27">
        <f t="shared" si="2"/>
        <v>0</v>
      </c>
    </row>
    <row r="142" spans="8:8">
      <c r="H142" s="27">
        <f t="shared" si="2"/>
        <v>0</v>
      </c>
    </row>
    <row r="143" spans="8:8">
      <c r="H143" s="27">
        <f t="shared" si="2"/>
        <v>0</v>
      </c>
    </row>
    <row r="144" spans="8:8">
      <c r="H144" s="27">
        <f t="shared" si="2"/>
        <v>0</v>
      </c>
    </row>
    <row r="145" spans="8:8">
      <c r="H145" s="27">
        <f t="shared" si="2"/>
        <v>0</v>
      </c>
    </row>
    <row r="146" spans="8:8">
      <c r="H146" s="27">
        <f t="shared" si="2"/>
        <v>0</v>
      </c>
    </row>
    <row r="147" spans="8:8">
      <c r="H147" s="27">
        <f t="shared" si="2"/>
        <v>0</v>
      </c>
    </row>
    <row r="148" spans="8:8">
      <c r="H148" s="27">
        <f t="shared" si="2"/>
        <v>0</v>
      </c>
    </row>
    <row r="149" spans="8:8">
      <c r="H149" s="27">
        <f t="shared" si="2"/>
        <v>0</v>
      </c>
    </row>
    <row r="150" spans="8:8">
      <c r="H150" s="27">
        <f t="shared" si="2"/>
        <v>0</v>
      </c>
    </row>
    <row r="151" spans="8:8">
      <c r="H151" s="27">
        <f t="shared" si="2"/>
        <v>0</v>
      </c>
    </row>
    <row r="152" spans="8:8">
      <c r="H152" s="27">
        <f t="shared" si="2"/>
        <v>0</v>
      </c>
    </row>
    <row r="153" spans="8:8">
      <c r="H153" s="27">
        <f t="shared" si="2"/>
        <v>0</v>
      </c>
    </row>
    <row r="154" spans="8:8">
      <c r="H154" s="27">
        <f t="shared" si="2"/>
        <v>0</v>
      </c>
    </row>
    <row r="155" spans="8:8">
      <c r="H155" s="27">
        <f t="shared" si="2"/>
        <v>0</v>
      </c>
    </row>
    <row r="156" spans="8:8">
      <c r="H156" s="27">
        <f t="shared" si="2"/>
        <v>0</v>
      </c>
    </row>
    <row r="157" spans="8:8">
      <c r="H157" s="27">
        <f t="shared" si="2"/>
        <v>0</v>
      </c>
    </row>
    <row r="158" spans="8:8">
      <c r="H158" s="27">
        <f t="shared" si="2"/>
        <v>0</v>
      </c>
    </row>
    <row r="159" spans="8:8">
      <c r="H159" s="27">
        <f t="shared" si="2"/>
        <v>0</v>
      </c>
    </row>
    <row r="160" spans="8:8">
      <c r="H160" s="27">
        <f t="shared" si="2"/>
        <v>0</v>
      </c>
    </row>
    <row r="161" spans="8:8">
      <c r="H161" s="27">
        <f t="shared" si="2"/>
        <v>0</v>
      </c>
    </row>
    <row r="162" spans="8:8">
      <c r="H162" s="27">
        <f t="shared" si="2"/>
        <v>0</v>
      </c>
    </row>
    <row r="163" spans="8:8">
      <c r="H163" s="27">
        <f t="shared" si="2"/>
        <v>0</v>
      </c>
    </row>
    <row r="164" spans="8:8">
      <c r="H164" s="27">
        <f t="shared" si="2"/>
        <v>0</v>
      </c>
    </row>
    <row r="165" spans="8:8">
      <c r="H165" s="27">
        <f t="shared" si="2"/>
        <v>0</v>
      </c>
    </row>
    <row r="166" spans="8:8">
      <c r="H166" s="27">
        <f t="shared" si="2"/>
        <v>0</v>
      </c>
    </row>
    <row r="167" spans="8:8">
      <c r="H167" s="27">
        <f t="shared" si="2"/>
        <v>0</v>
      </c>
    </row>
    <row r="168" spans="8:8">
      <c r="H168" s="27">
        <f t="shared" si="2"/>
        <v>0</v>
      </c>
    </row>
    <row r="169" spans="8:8">
      <c r="H169" s="27">
        <f t="shared" si="2"/>
        <v>0</v>
      </c>
    </row>
    <row r="170" spans="8:8">
      <c r="H170" s="27">
        <f t="shared" si="2"/>
        <v>0</v>
      </c>
    </row>
    <row r="171" spans="8:8">
      <c r="H171" s="27">
        <f t="shared" si="2"/>
        <v>0</v>
      </c>
    </row>
    <row r="172" spans="8:8">
      <c r="H172" s="27">
        <f t="shared" si="2"/>
        <v>0</v>
      </c>
    </row>
    <row r="173" spans="8:8">
      <c r="H173" s="27">
        <f t="shared" si="2"/>
        <v>0</v>
      </c>
    </row>
    <row r="174" spans="8:8">
      <c r="H174" s="27">
        <f t="shared" si="2"/>
        <v>0</v>
      </c>
    </row>
    <row r="175" spans="8:8">
      <c r="H175" s="27">
        <f t="shared" si="2"/>
        <v>0</v>
      </c>
    </row>
    <row r="176" spans="8:8">
      <c r="H176" s="27">
        <f t="shared" si="2"/>
        <v>0</v>
      </c>
    </row>
    <row r="177" spans="8:8">
      <c r="H177" s="27">
        <f t="shared" si="2"/>
        <v>0</v>
      </c>
    </row>
    <row r="178" spans="8:8">
      <c r="H178" s="27">
        <f t="shared" si="2"/>
        <v>0</v>
      </c>
    </row>
    <row r="179" spans="8:8">
      <c r="H179" s="27">
        <f t="shared" si="2"/>
        <v>0</v>
      </c>
    </row>
    <row r="180" spans="8:8">
      <c r="H180" s="27">
        <f t="shared" si="2"/>
        <v>0</v>
      </c>
    </row>
    <row r="181" spans="8:8">
      <c r="H181" s="27">
        <f t="shared" si="2"/>
        <v>0</v>
      </c>
    </row>
    <row r="182" spans="8:8">
      <c r="H182" s="27">
        <f t="shared" si="2"/>
        <v>0</v>
      </c>
    </row>
    <row r="183" spans="8:8">
      <c r="H183" s="27">
        <f t="shared" si="2"/>
        <v>0</v>
      </c>
    </row>
    <row r="184" spans="8:8">
      <c r="H184" s="8">
        <f t="shared" si="2"/>
        <v>0</v>
      </c>
    </row>
    <row r="185" spans="8:8">
      <c r="H185" s="8">
        <f t="shared" si="2"/>
        <v>0</v>
      </c>
    </row>
    <row r="186" spans="8:8">
      <c r="H186" s="8">
        <f t="shared" si="2"/>
        <v>0</v>
      </c>
    </row>
    <row r="187" spans="8:8">
      <c r="H187" s="8">
        <f t="shared" si="2"/>
        <v>0</v>
      </c>
    </row>
    <row r="188" spans="8:8">
      <c r="H188" s="8">
        <f t="shared" si="2"/>
        <v>0</v>
      </c>
    </row>
    <row r="189" spans="8:8">
      <c r="H189" s="8">
        <f t="shared" si="2"/>
        <v>0</v>
      </c>
    </row>
    <row r="190" spans="8:8">
      <c r="H190" s="8">
        <f t="shared" si="2"/>
        <v>0</v>
      </c>
    </row>
    <row r="191" spans="8:8">
      <c r="H191" s="8">
        <f t="shared" si="2"/>
        <v>0</v>
      </c>
    </row>
    <row r="192" spans="8:8">
      <c r="H192" s="8">
        <f t="shared" si="2"/>
        <v>0</v>
      </c>
    </row>
    <row r="193" spans="8:8">
      <c r="H193" s="8">
        <f t="shared" si="2"/>
        <v>0</v>
      </c>
    </row>
    <row r="194" spans="8:8">
      <c r="H194" s="8">
        <f t="shared" si="2"/>
        <v>0</v>
      </c>
    </row>
    <row r="195" spans="8:8">
      <c r="H195" s="8">
        <f t="shared" si="2"/>
        <v>0</v>
      </c>
    </row>
    <row r="196" spans="8:8">
      <c r="H196" s="8">
        <f t="shared" si="2"/>
        <v>0</v>
      </c>
    </row>
    <row r="197" spans="8:8">
      <c r="H197" s="8">
        <f t="shared" si="2"/>
        <v>0</v>
      </c>
    </row>
    <row r="198" spans="8:8">
      <c r="H198" s="8">
        <f t="shared" si="2"/>
        <v>0</v>
      </c>
    </row>
    <row r="199" spans="8:8">
      <c r="H199" s="8">
        <f t="shared" si="2"/>
        <v>0</v>
      </c>
    </row>
    <row r="200" spans="8:8">
      <c r="H200" s="8">
        <f t="shared" si="2"/>
        <v>0</v>
      </c>
    </row>
    <row r="201" spans="8:8">
      <c r="H201" s="8">
        <f t="shared" ref="H201:H264" si="3">F201-G201</f>
        <v>0</v>
      </c>
    </row>
    <row r="202" spans="8:8">
      <c r="H202" s="8">
        <f t="shared" si="3"/>
        <v>0</v>
      </c>
    </row>
    <row r="203" spans="8:8">
      <c r="H203" s="8">
        <f t="shared" si="3"/>
        <v>0</v>
      </c>
    </row>
    <row r="204" spans="8:8">
      <c r="H204" s="8">
        <f t="shared" si="3"/>
        <v>0</v>
      </c>
    </row>
    <row r="205" spans="8:8">
      <c r="H205" s="8">
        <f t="shared" si="3"/>
        <v>0</v>
      </c>
    </row>
    <row r="206" spans="8:8">
      <c r="H206" s="8">
        <f t="shared" si="3"/>
        <v>0</v>
      </c>
    </row>
    <row r="207" spans="8:8">
      <c r="H207" s="8">
        <f t="shared" si="3"/>
        <v>0</v>
      </c>
    </row>
    <row r="208" spans="8:8">
      <c r="H208" s="8">
        <f t="shared" si="3"/>
        <v>0</v>
      </c>
    </row>
    <row r="209" spans="8:8">
      <c r="H209" s="8">
        <f t="shared" si="3"/>
        <v>0</v>
      </c>
    </row>
    <row r="210" spans="8:8">
      <c r="H210" s="8">
        <f t="shared" si="3"/>
        <v>0</v>
      </c>
    </row>
    <row r="211" spans="8:8">
      <c r="H211" s="8">
        <f t="shared" si="3"/>
        <v>0</v>
      </c>
    </row>
    <row r="212" spans="8:8">
      <c r="H212" s="8">
        <f t="shared" si="3"/>
        <v>0</v>
      </c>
    </row>
    <row r="213" spans="8:8">
      <c r="H213" s="8">
        <f t="shared" si="3"/>
        <v>0</v>
      </c>
    </row>
    <row r="214" spans="8:8">
      <c r="H214" s="8">
        <f t="shared" si="3"/>
        <v>0</v>
      </c>
    </row>
    <row r="215" spans="8:8">
      <c r="H215" s="8">
        <f t="shared" si="3"/>
        <v>0</v>
      </c>
    </row>
    <row r="216" spans="8:8">
      <c r="H216" s="8">
        <f t="shared" si="3"/>
        <v>0</v>
      </c>
    </row>
    <row r="217" spans="8:8">
      <c r="H217" s="8">
        <f t="shared" si="3"/>
        <v>0</v>
      </c>
    </row>
    <row r="218" spans="8:8">
      <c r="H218" s="8">
        <f t="shared" si="3"/>
        <v>0</v>
      </c>
    </row>
    <row r="219" spans="8:8">
      <c r="H219" s="8">
        <f t="shared" si="3"/>
        <v>0</v>
      </c>
    </row>
    <row r="220" spans="8:8">
      <c r="H220" s="8">
        <f t="shared" si="3"/>
        <v>0</v>
      </c>
    </row>
    <row r="221" spans="8:8">
      <c r="H221" s="8">
        <f t="shared" si="3"/>
        <v>0</v>
      </c>
    </row>
    <row r="222" spans="8:8">
      <c r="H222" s="8">
        <f t="shared" si="3"/>
        <v>0</v>
      </c>
    </row>
    <row r="223" spans="8:8">
      <c r="H223" s="8">
        <f t="shared" si="3"/>
        <v>0</v>
      </c>
    </row>
    <row r="224" spans="8:8">
      <c r="H224" s="8">
        <f t="shared" si="3"/>
        <v>0</v>
      </c>
    </row>
    <row r="225" spans="8:11">
      <c r="H225" s="8">
        <f t="shared" si="3"/>
        <v>0</v>
      </c>
    </row>
    <row r="226" spans="8:11">
      <c r="H226" s="8">
        <f t="shared" si="3"/>
        <v>0</v>
      </c>
    </row>
    <row r="227" spans="8:11">
      <c r="H227" s="8">
        <f t="shared" si="3"/>
        <v>0</v>
      </c>
    </row>
    <row r="228" spans="8:11">
      <c r="H228" s="8">
        <f t="shared" si="3"/>
        <v>0</v>
      </c>
    </row>
    <row r="229" spans="8:11">
      <c r="H229" s="8">
        <f t="shared" si="3"/>
        <v>0</v>
      </c>
    </row>
    <row r="230" spans="8:11">
      <c r="H230" s="8">
        <f t="shared" si="3"/>
        <v>0</v>
      </c>
    </row>
    <row r="231" spans="8:11">
      <c r="H231" s="8">
        <f t="shared" si="3"/>
        <v>0</v>
      </c>
    </row>
    <row r="232" spans="8:11">
      <c r="H232" s="8">
        <f t="shared" si="3"/>
        <v>0</v>
      </c>
      <c r="K232" s="9">
        <f>176323+171622+97897+53891+12804+2258+38628+24433+52999+154890+169784+397782+30609+34275+82372+100210+52464+25451+51420+74642+24070+79188+67989+140020+8503+8953+119496+8244+44100+12968+35982+22980</f>
        <v>2377247</v>
      </c>
    </row>
    <row r="233" spans="8:11">
      <c r="H233" s="8">
        <f t="shared" si="3"/>
        <v>0</v>
      </c>
    </row>
    <row r="234" spans="8:11">
      <c r="H234" s="8">
        <f t="shared" si="3"/>
        <v>0</v>
      </c>
    </row>
    <row r="235" spans="8:11">
      <c r="H235" s="8">
        <f t="shared" si="3"/>
        <v>0</v>
      </c>
    </row>
    <row r="236" spans="8:11">
      <c r="H236" s="8">
        <f t="shared" si="3"/>
        <v>0</v>
      </c>
    </row>
    <row r="237" spans="8:11">
      <c r="H237" s="8">
        <f t="shared" si="3"/>
        <v>0</v>
      </c>
    </row>
    <row r="238" spans="8:11">
      <c r="H238" s="8">
        <f t="shared" si="3"/>
        <v>0</v>
      </c>
    </row>
    <row r="239" spans="8:11">
      <c r="H239" s="8">
        <f t="shared" si="3"/>
        <v>0</v>
      </c>
    </row>
    <row r="240" spans="8:11">
      <c r="H240" s="8">
        <f t="shared" si="3"/>
        <v>0</v>
      </c>
    </row>
    <row r="241" spans="8:8">
      <c r="H241" s="8">
        <f t="shared" si="3"/>
        <v>0</v>
      </c>
    </row>
    <row r="242" spans="8:8">
      <c r="H242" s="8">
        <f t="shared" si="3"/>
        <v>0</v>
      </c>
    </row>
    <row r="243" spans="8:8">
      <c r="H243" s="8">
        <f t="shared" si="3"/>
        <v>0</v>
      </c>
    </row>
    <row r="244" spans="8:8">
      <c r="H244" s="8">
        <f t="shared" si="3"/>
        <v>0</v>
      </c>
    </row>
    <row r="245" spans="8:8">
      <c r="H245" s="8">
        <f t="shared" si="3"/>
        <v>0</v>
      </c>
    </row>
    <row r="246" spans="8:8">
      <c r="H246" s="8">
        <f t="shared" si="3"/>
        <v>0</v>
      </c>
    </row>
    <row r="247" spans="8:8">
      <c r="H247" s="8">
        <f t="shared" si="3"/>
        <v>0</v>
      </c>
    </row>
    <row r="248" spans="8:8">
      <c r="H248" s="8">
        <f t="shared" si="3"/>
        <v>0</v>
      </c>
    </row>
    <row r="249" spans="8:8">
      <c r="H249" s="8">
        <f t="shared" si="3"/>
        <v>0</v>
      </c>
    </row>
    <row r="250" spans="8:8">
      <c r="H250" s="8">
        <f t="shared" si="3"/>
        <v>0</v>
      </c>
    </row>
    <row r="251" spans="8:8">
      <c r="H251" s="8">
        <f t="shared" si="3"/>
        <v>0</v>
      </c>
    </row>
    <row r="252" spans="8:8">
      <c r="H252" s="8">
        <f t="shared" si="3"/>
        <v>0</v>
      </c>
    </row>
    <row r="253" spans="8:8">
      <c r="H253" s="8">
        <f t="shared" si="3"/>
        <v>0</v>
      </c>
    </row>
    <row r="254" spans="8:8">
      <c r="H254" s="8">
        <f t="shared" si="3"/>
        <v>0</v>
      </c>
    </row>
    <row r="255" spans="8:8">
      <c r="H255" s="8">
        <f t="shared" si="3"/>
        <v>0</v>
      </c>
    </row>
    <row r="256" spans="8:8">
      <c r="H256" s="8">
        <f t="shared" si="3"/>
        <v>0</v>
      </c>
    </row>
    <row r="257" spans="8:8">
      <c r="H257" s="8">
        <f t="shared" si="3"/>
        <v>0</v>
      </c>
    </row>
    <row r="258" spans="8:8">
      <c r="H258" s="8">
        <f t="shared" si="3"/>
        <v>0</v>
      </c>
    </row>
    <row r="259" spans="8:8">
      <c r="H259" s="8">
        <f t="shared" si="3"/>
        <v>0</v>
      </c>
    </row>
    <row r="260" spans="8:8">
      <c r="H260" s="8">
        <f t="shared" si="3"/>
        <v>0</v>
      </c>
    </row>
    <row r="261" spans="8:8">
      <c r="H261" s="8">
        <f t="shared" si="3"/>
        <v>0</v>
      </c>
    </row>
    <row r="262" spans="8:8">
      <c r="H262" s="8">
        <f t="shared" si="3"/>
        <v>0</v>
      </c>
    </row>
    <row r="263" spans="8:8">
      <c r="H263" s="8">
        <f t="shared" si="3"/>
        <v>0</v>
      </c>
    </row>
    <row r="264" spans="8:8">
      <c r="H264" s="8">
        <f t="shared" si="3"/>
        <v>0</v>
      </c>
    </row>
    <row r="265" spans="8:8">
      <c r="H265" s="8">
        <f t="shared" ref="H265:H328" si="4">F265-G265</f>
        <v>0</v>
      </c>
    </row>
    <row r="266" spans="8:8">
      <c r="H266" s="8">
        <f t="shared" si="4"/>
        <v>0</v>
      </c>
    </row>
    <row r="267" spans="8:8">
      <c r="H267" s="8">
        <f t="shared" si="4"/>
        <v>0</v>
      </c>
    </row>
    <row r="268" spans="8:8">
      <c r="H268" s="8">
        <f t="shared" si="4"/>
        <v>0</v>
      </c>
    </row>
    <row r="269" spans="8:8">
      <c r="H269" s="8">
        <f t="shared" si="4"/>
        <v>0</v>
      </c>
    </row>
    <row r="270" spans="8:8">
      <c r="H270" s="8">
        <f t="shared" si="4"/>
        <v>0</v>
      </c>
    </row>
    <row r="271" spans="8:8">
      <c r="H271" s="8">
        <f t="shared" si="4"/>
        <v>0</v>
      </c>
    </row>
    <row r="272" spans="8:8">
      <c r="H272" s="8">
        <f t="shared" si="4"/>
        <v>0</v>
      </c>
    </row>
    <row r="273" spans="8:8">
      <c r="H273" s="8">
        <f t="shared" si="4"/>
        <v>0</v>
      </c>
    </row>
    <row r="274" spans="8:8">
      <c r="H274" s="8">
        <f t="shared" si="4"/>
        <v>0</v>
      </c>
    </row>
    <row r="275" spans="8:8">
      <c r="H275" s="8">
        <f t="shared" si="4"/>
        <v>0</v>
      </c>
    </row>
    <row r="276" spans="8:8">
      <c r="H276" s="8">
        <f t="shared" si="4"/>
        <v>0</v>
      </c>
    </row>
    <row r="277" spans="8:8">
      <c r="H277" s="8">
        <f t="shared" si="4"/>
        <v>0</v>
      </c>
    </row>
    <row r="278" spans="8:8">
      <c r="H278" s="8">
        <f t="shared" si="4"/>
        <v>0</v>
      </c>
    </row>
    <row r="279" spans="8:8">
      <c r="H279" s="8">
        <f t="shared" si="4"/>
        <v>0</v>
      </c>
    </row>
    <row r="280" spans="8:8">
      <c r="H280" s="8">
        <f t="shared" si="4"/>
        <v>0</v>
      </c>
    </row>
    <row r="281" spans="8:8">
      <c r="H281" s="8">
        <f t="shared" si="4"/>
        <v>0</v>
      </c>
    </row>
    <row r="282" spans="8:8">
      <c r="H282" s="8">
        <f t="shared" si="4"/>
        <v>0</v>
      </c>
    </row>
    <row r="283" spans="8:8">
      <c r="H283" s="8">
        <f t="shared" si="4"/>
        <v>0</v>
      </c>
    </row>
    <row r="284" spans="8:8">
      <c r="H284" s="8">
        <f t="shared" si="4"/>
        <v>0</v>
      </c>
    </row>
    <row r="285" spans="8:8">
      <c r="H285" s="8">
        <f t="shared" si="4"/>
        <v>0</v>
      </c>
    </row>
    <row r="286" spans="8:8">
      <c r="H286" s="8">
        <f t="shared" si="4"/>
        <v>0</v>
      </c>
    </row>
    <row r="287" spans="8:8">
      <c r="H287" s="8">
        <f t="shared" si="4"/>
        <v>0</v>
      </c>
    </row>
    <row r="288" spans="8:8">
      <c r="H288" s="8">
        <f t="shared" si="4"/>
        <v>0</v>
      </c>
    </row>
    <row r="289" spans="8:8">
      <c r="H289" s="8">
        <f t="shared" si="4"/>
        <v>0</v>
      </c>
    </row>
    <row r="290" spans="8:8">
      <c r="H290" s="8">
        <f t="shared" si="4"/>
        <v>0</v>
      </c>
    </row>
    <row r="291" spans="8:8">
      <c r="H291" s="8">
        <f t="shared" si="4"/>
        <v>0</v>
      </c>
    </row>
    <row r="292" spans="8:8">
      <c r="H292" s="8">
        <f t="shared" si="4"/>
        <v>0</v>
      </c>
    </row>
    <row r="293" spans="8:8">
      <c r="H293" s="8">
        <f t="shared" si="4"/>
        <v>0</v>
      </c>
    </row>
    <row r="294" spans="8:8">
      <c r="H294" s="8">
        <f t="shared" si="4"/>
        <v>0</v>
      </c>
    </row>
    <row r="295" spans="8:8">
      <c r="H295" s="8">
        <f t="shared" si="4"/>
        <v>0</v>
      </c>
    </row>
    <row r="296" spans="8:8">
      <c r="H296" s="8">
        <f t="shared" si="4"/>
        <v>0</v>
      </c>
    </row>
    <row r="297" spans="8:8">
      <c r="H297" s="8">
        <f t="shared" si="4"/>
        <v>0</v>
      </c>
    </row>
    <row r="298" spans="8:8">
      <c r="H298" s="8">
        <f t="shared" si="4"/>
        <v>0</v>
      </c>
    </row>
    <row r="299" spans="8:8">
      <c r="H299" s="8">
        <f t="shared" si="4"/>
        <v>0</v>
      </c>
    </row>
    <row r="300" spans="8:8">
      <c r="H300" s="8">
        <f t="shared" si="4"/>
        <v>0</v>
      </c>
    </row>
    <row r="301" spans="8:8">
      <c r="H301" s="8">
        <f t="shared" si="4"/>
        <v>0</v>
      </c>
    </row>
    <row r="302" spans="8:8">
      <c r="H302" s="8">
        <f t="shared" si="4"/>
        <v>0</v>
      </c>
    </row>
    <row r="303" spans="8:8">
      <c r="H303" s="8">
        <f t="shared" si="4"/>
        <v>0</v>
      </c>
    </row>
    <row r="304" spans="8:8">
      <c r="H304" s="8">
        <f t="shared" si="4"/>
        <v>0</v>
      </c>
    </row>
    <row r="305" spans="8:8">
      <c r="H305" s="8">
        <f t="shared" si="4"/>
        <v>0</v>
      </c>
    </row>
    <row r="306" spans="8:8">
      <c r="H306" s="8">
        <f t="shared" si="4"/>
        <v>0</v>
      </c>
    </row>
    <row r="307" spans="8:8">
      <c r="H307" s="8">
        <f t="shared" si="4"/>
        <v>0</v>
      </c>
    </row>
    <row r="308" spans="8:8">
      <c r="H308" s="8">
        <f t="shared" si="4"/>
        <v>0</v>
      </c>
    </row>
    <row r="309" spans="8:8">
      <c r="H309" s="8">
        <f t="shared" si="4"/>
        <v>0</v>
      </c>
    </row>
    <row r="310" spans="8:8">
      <c r="H310" s="8">
        <f t="shared" si="4"/>
        <v>0</v>
      </c>
    </row>
    <row r="311" spans="8:8">
      <c r="H311" s="8">
        <f t="shared" si="4"/>
        <v>0</v>
      </c>
    </row>
    <row r="312" spans="8:8">
      <c r="H312" s="8">
        <f t="shared" si="4"/>
        <v>0</v>
      </c>
    </row>
    <row r="313" spans="8:8">
      <c r="H313" s="8">
        <f t="shared" si="4"/>
        <v>0</v>
      </c>
    </row>
    <row r="314" spans="8:8">
      <c r="H314" s="8">
        <f t="shared" si="4"/>
        <v>0</v>
      </c>
    </row>
    <row r="315" spans="8:8">
      <c r="H315" s="8">
        <f t="shared" si="4"/>
        <v>0</v>
      </c>
    </row>
    <row r="316" spans="8:8">
      <c r="H316" s="8">
        <f t="shared" si="4"/>
        <v>0</v>
      </c>
    </row>
    <row r="317" spans="8:8">
      <c r="H317" s="8">
        <f t="shared" si="4"/>
        <v>0</v>
      </c>
    </row>
    <row r="318" spans="8:8">
      <c r="H318" s="8">
        <f t="shared" si="4"/>
        <v>0</v>
      </c>
    </row>
    <row r="319" spans="8:8">
      <c r="H319" s="8">
        <f t="shared" si="4"/>
        <v>0</v>
      </c>
    </row>
    <row r="320" spans="8:8">
      <c r="H320" s="8">
        <f t="shared" si="4"/>
        <v>0</v>
      </c>
    </row>
    <row r="321" spans="8:8">
      <c r="H321" s="8">
        <f t="shared" si="4"/>
        <v>0</v>
      </c>
    </row>
    <row r="322" spans="8:8">
      <c r="H322" s="8">
        <f t="shared" si="4"/>
        <v>0</v>
      </c>
    </row>
    <row r="323" spans="8:8">
      <c r="H323" s="8">
        <f t="shared" si="4"/>
        <v>0</v>
      </c>
    </row>
    <row r="324" spans="8:8">
      <c r="H324" s="8">
        <f t="shared" si="4"/>
        <v>0</v>
      </c>
    </row>
    <row r="325" spans="8:8">
      <c r="H325" s="8">
        <f t="shared" si="4"/>
        <v>0</v>
      </c>
    </row>
    <row r="326" spans="8:8">
      <c r="H326" s="8">
        <f t="shared" si="4"/>
        <v>0</v>
      </c>
    </row>
    <row r="327" spans="8:8">
      <c r="H327" s="8">
        <f t="shared" si="4"/>
        <v>0</v>
      </c>
    </row>
    <row r="328" spans="8:8">
      <c r="H328" s="8">
        <f t="shared" si="4"/>
        <v>0</v>
      </c>
    </row>
    <row r="329" spans="8:8">
      <c r="H329" s="8">
        <f t="shared" ref="H329:H331" si="5">F329-G329</f>
        <v>0</v>
      </c>
    </row>
    <row r="330" spans="8:8">
      <c r="H330" s="8">
        <f t="shared" si="5"/>
        <v>0</v>
      </c>
    </row>
    <row r="331" spans="8:8">
      <c r="H331" s="8">
        <f t="shared" si="5"/>
        <v>0</v>
      </c>
    </row>
  </sheetData>
  <printOptions horizontalCentered="1" headings="1" gridLines="1"/>
  <pageMargins left="0.25" right="0.25" top="0.57999999999999996" bottom="0.62" header="0.1" footer="0.3"/>
  <pageSetup scale="99" fitToHeight="0" orientation="landscape" r:id="rId1"/>
  <headerFooter scaleWithDoc="0" alignWithMargins="0">
    <oddHeader>&amp;L&amp;"Arial,Bold"&amp;11ACRL FY2011 Budget&amp;C&amp;"Arial,Bold"&amp;16Project &amp;A</oddHeader>
    <oddFooter>&amp;L&amp;"Arial,Bold"&amp;F&amp;C&amp;P&amp;R&amp;"Arial,Bold"&amp;D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3209</vt:lpstr>
      <vt:lpstr>'3209'!Print_Area</vt:lpstr>
    </vt:vector>
  </TitlesOfParts>
  <Company>American Library Association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Tory Ondrla</dc:creator>
  <cp:lastModifiedBy>JMG</cp:lastModifiedBy>
  <cp:lastPrinted>2011-06-10T12:37:10Z</cp:lastPrinted>
  <dcterms:created xsi:type="dcterms:W3CDTF">2011-06-06T21:02:20Z</dcterms:created>
  <dcterms:modified xsi:type="dcterms:W3CDTF">2011-06-10T12:37:58Z</dcterms:modified>
</cp:coreProperties>
</file>