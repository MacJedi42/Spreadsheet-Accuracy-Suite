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5" windowWidth="17115" windowHeight="10230"/>
  </bookViews>
  <sheets>
    <sheet name="Co_Est_HUs" sheetId="1" r:id="rId1"/>
  </sheets>
  <definedNames>
    <definedName name="_xlnm.Print_Area" localSheetId="0">Co_Est_HUs!$A$1:$N$82</definedName>
    <definedName name="_xlnm.Print_Titles" localSheetId="0">Co_Est_HUs!$4:$4</definedName>
  </definedNames>
  <calcPr calcId="145621" fullCalcOnLoad="1"/>
</workbook>
</file>

<file path=xl/calcChain.xml><?xml version="1.0" encoding="utf-8"?>
<calcChain xmlns="http://schemas.openxmlformats.org/spreadsheetml/2006/main">
  <c r="D77" i="1" l="1"/>
  <c r="N77" i="1"/>
  <c r="G77" i="1"/>
  <c r="H77" i="1"/>
  <c r="I77" i="1"/>
  <c r="J77" i="1"/>
  <c r="K77" i="1"/>
  <c r="L77" i="1"/>
  <c r="M77" i="1"/>
  <c r="F77" i="1" l="1"/>
  <c r="E77" i="1"/>
</calcChain>
</file>

<file path=xl/sharedStrings.xml><?xml version="1.0" encoding="utf-8"?>
<sst xmlns="http://schemas.openxmlformats.org/spreadsheetml/2006/main" count="235" uniqueCount="235">
  <si>
    <t>Sources:</t>
  </si>
  <si>
    <t>DOA CODE</t>
  </si>
  <si>
    <t>FIPS CODE</t>
  </si>
  <si>
    <t>COUNTY NAME</t>
  </si>
  <si>
    <t>01</t>
  </si>
  <si>
    <t>001</t>
  </si>
  <si>
    <t>ADAMS</t>
  </si>
  <si>
    <t>02</t>
  </si>
  <si>
    <t>003</t>
  </si>
  <si>
    <t>ASHLAND</t>
  </si>
  <si>
    <t>03</t>
  </si>
  <si>
    <t>005</t>
  </si>
  <si>
    <t>BARRON</t>
  </si>
  <si>
    <t>04</t>
  </si>
  <si>
    <t>007</t>
  </si>
  <si>
    <t>BAYFIELD</t>
  </si>
  <si>
    <t>05</t>
  </si>
  <si>
    <t>009</t>
  </si>
  <si>
    <t>BROWN</t>
  </si>
  <si>
    <t>06</t>
  </si>
  <si>
    <t>011</t>
  </si>
  <si>
    <t>BUFFALO</t>
  </si>
  <si>
    <t>07</t>
  </si>
  <si>
    <t>013</t>
  </si>
  <si>
    <t>BURNETT</t>
  </si>
  <si>
    <t>08</t>
  </si>
  <si>
    <t>015</t>
  </si>
  <si>
    <t>CALUMET</t>
  </si>
  <si>
    <t>09</t>
  </si>
  <si>
    <t>017</t>
  </si>
  <si>
    <t>CHIPPEWA</t>
  </si>
  <si>
    <t>10</t>
  </si>
  <si>
    <t>019</t>
  </si>
  <si>
    <t>CLARK</t>
  </si>
  <si>
    <t>11</t>
  </si>
  <si>
    <t>021</t>
  </si>
  <si>
    <t>COLUMBIA</t>
  </si>
  <si>
    <t>12</t>
  </si>
  <si>
    <t>023</t>
  </si>
  <si>
    <t>CRAWFORD</t>
  </si>
  <si>
    <t>13</t>
  </si>
  <si>
    <t>025</t>
  </si>
  <si>
    <t>DANE</t>
  </si>
  <si>
    <t>14</t>
  </si>
  <si>
    <t>027</t>
  </si>
  <si>
    <t>DODGE</t>
  </si>
  <si>
    <t>15</t>
  </si>
  <si>
    <t>029</t>
  </si>
  <si>
    <t>DOOR</t>
  </si>
  <si>
    <t>16</t>
  </si>
  <si>
    <t>031</t>
  </si>
  <si>
    <t>DOUGLAS</t>
  </si>
  <si>
    <t>17</t>
  </si>
  <si>
    <t>033</t>
  </si>
  <si>
    <t>DUNN</t>
  </si>
  <si>
    <t>18</t>
  </si>
  <si>
    <t>035</t>
  </si>
  <si>
    <t>EAU CLAIRE</t>
  </si>
  <si>
    <t>19</t>
  </si>
  <si>
    <t>037</t>
  </si>
  <si>
    <t>FLORENCE</t>
  </si>
  <si>
    <t>20</t>
  </si>
  <si>
    <t>039</t>
  </si>
  <si>
    <t>FOND DU LAC</t>
  </si>
  <si>
    <t>21</t>
  </si>
  <si>
    <t>041</t>
  </si>
  <si>
    <t>FOREST</t>
  </si>
  <si>
    <t>22</t>
  </si>
  <si>
    <t>043</t>
  </si>
  <si>
    <t>GRANT</t>
  </si>
  <si>
    <t>23</t>
  </si>
  <si>
    <t>045</t>
  </si>
  <si>
    <t>GREEN</t>
  </si>
  <si>
    <t>24</t>
  </si>
  <si>
    <t>047</t>
  </si>
  <si>
    <t>GREEN LAKE</t>
  </si>
  <si>
    <t>25</t>
  </si>
  <si>
    <t>049</t>
  </si>
  <si>
    <t>IOWA</t>
  </si>
  <si>
    <t>26</t>
  </si>
  <si>
    <t>051</t>
  </si>
  <si>
    <t>IRON</t>
  </si>
  <si>
    <t>27</t>
  </si>
  <si>
    <t>053</t>
  </si>
  <si>
    <t>JACKSON</t>
  </si>
  <si>
    <t>28</t>
  </si>
  <si>
    <t>055</t>
  </si>
  <si>
    <t>JEFFERSON</t>
  </si>
  <si>
    <t>29</t>
  </si>
  <si>
    <t>057</t>
  </si>
  <si>
    <t>JUNEAU</t>
  </si>
  <si>
    <t>30</t>
  </si>
  <si>
    <t>059</t>
  </si>
  <si>
    <t>KENOSHA</t>
  </si>
  <si>
    <t>31</t>
  </si>
  <si>
    <t>061</t>
  </si>
  <si>
    <t>KEWAUNEE</t>
  </si>
  <si>
    <t>32</t>
  </si>
  <si>
    <t>063</t>
  </si>
  <si>
    <t>LA CROSSE</t>
  </si>
  <si>
    <t>33</t>
  </si>
  <si>
    <t>065</t>
  </si>
  <si>
    <t>LAFAYETTE</t>
  </si>
  <si>
    <t>34</t>
  </si>
  <si>
    <t>067</t>
  </si>
  <si>
    <t>LANGLADE</t>
  </si>
  <si>
    <t>35</t>
  </si>
  <si>
    <t>069</t>
  </si>
  <si>
    <t>LINCOLN</t>
  </si>
  <si>
    <t>36</t>
  </si>
  <si>
    <t>071</t>
  </si>
  <si>
    <t>MANITOWOC</t>
  </si>
  <si>
    <t>37</t>
  </si>
  <si>
    <t>073</t>
  </si>
  <si>
    <t>MARATHON</t>
  </si>
  <si>
    <t>38</t>
  </si>
  <si>
    <t>075</t>
  </si>
  <si>
    <t>MARINETTE</t>
  </si>
  <si>
    <t>39</t>
  </si>
  <si>
    <t>077</t>
  </si>
  <si>
    <t>MARQUETTE</t>
  </si>
  <si>
    <t>40</t>
  </si>
  <si>
    <t>078</t>
  </si>
  <si>
    <t>MENOMINEE</t>
  </si>
  <si>
    <t>41</t>
  </si>
  <si>
    <t>079</t>
  </si>
  <si>
    <t>MILWAUKEE</t>
  </si>
  <si>
    <t>42</t>
  </si>
  <si>
    <t>081</t>
  </si>
  <si>
    <t>MONROE</t>
  </si>
  <si>
    <t>43</t>
  </si>
  <si>
    <t>083</t>
  </si>
  <si>
    <t>OCONTO</t>
  </si>
  <si>
    <t>44</t>
  </si>
  <si>
    <t>085</t>
  </si>
  <si>
    <t>ONEIDA</t>
  </si>
  <si>
    <t>45</t>
  </si>
  <si>
    <t>087</t>
  </si>
  <si>
    <t>OUTAGAMIE</t>
  </si>
  <si>
    <t>46</t>
  </si>
  <si>
    <t>089</t>
  </si>
  <si>
    <t>OZAUKEE</t>
  </si>
  <si>
    <t>47</t>
  </si>
  <si>
    <t>091</t>
  </si>
  <si>
    <t>PEPIN</t>
  </si>
  <si>
    <t>48</t>
  </si>
  <si>
    <t>093</t>
  </si>
  <si>
    <t>PIERCE</t>
  </si>
  <si>
    <t>49</t>
  </si>
  <si>
    <t>095</t>
  </si>
  <si>
    <t>POLK</t>
  </si>
  <si>
    <t>50</t>
  </si>
  <si>
    <t>097</t>
  </si>
  <si>
    <t>PORTAGE</t>
  </si>
  <si>
    <t>51</t>
  </si>
  <si>
    <t>099</t>
  </si>
  <si>
    <t>PRICE</t>
  </si>
  <si>
    <t>52</t>
  </si>
  <si>
    <t>101</t>
  </si>
  <si>
    <t>RACINE</t>
  </si>
  <si>
    <t>53</t>
  </si>
  <si>
    <t>103</t>
  </si>
  <si>
    <t>RICHLAND</t>
  </si>
  <si>
    <t>54</t>
  </si>
  <si>
    <t>105</t>
  </si>
  <si>
    <t>ROCK</t>
  </si>
  <si>
    <t>55</t>
  </si>
  <si>
    <t>107</t>
  </si>
  <si>
    <t>RUSK</t>
  </si>
  <si>
    <t>56</t>
  </si>
  <si>
    <t>109</t>
  </si>
  <si>
    <t>ST. CROIX</t>
  </si>
  <si>
    <t>57</t>
  </si>
  <si>
    <t>111</t>
  </si>
  <si>
    <t>SAUK</t>
  </si>
  <si>
    <t>58</t>
  </si>
  <si>
    <t>113</t>
  </si>
  <si>
    <t>SAWYER</t>
  </si>
  <si>
    <t>59</t>
  </si>
  <si>
    <t>115</t>
  </si>
  <si>
    <t>SHAWANO</t>
  </si>
  <si>
    <t>60</t>
  </si>
  <si>
    <t>117</t>
  </si>
  <si>
    <t>SHEBOYGAN</t>
  </si>
  <si>
    <t>61</t>
  </si>
  <si>
    <t>119</t>
  </si>
  <si>
    <t>TAYLOR</t>
  </si>
  <si>
    <t>62</t>
  </si>
  <si>
    <t>121</t>
  </si>
  <si>
    <t>TREMPEALEAU</t>
  </si>
  <si>
    <t>63</t>
  </si>
  <si>
    <t>123</t>
  </si>
  <si>
    <t>VERNON</t>
  </si>
  <si>
    <t>64</t>
  </si>
  <si>
    <t>125</t>
  </si>
  <si>
    <t>VILAS</t>
  </si>
  <si>
    <t>65</t>
  </si>
  <si>
    <t>127</t>
  </si>
  <si>
    <t>WALWORTH</t>
  </si>
  <si>
    <t>66</t>
  </si>
  <si>
    <t>129</t>
  </si>
  <si>
    <t>WASHBURN</t>
  </si>
  <si>
    <t>67</t>
  </si>
  <si>
    <t>131</t>
  </si>
  <si>
    <t>WASHINGTON</t>
  </si>
  <si>
    <t>68</t>
  </si>
  <si>
    <t>133</t>
  </si>
  <si>
    <t>WAUKESHA</t>
  </si>
  <si>
    <t>69</t>
  </si>
  <si>
    <t>135</t>
  </si>
  <si>
    <t>WAUPACA</t>
  </si>
  <si>
    <t>70</t>
  </si>
  <si>
    <t>137</t>
  </si>
  <si>
    <t>WAUSHARA</t>
  </si>
  <si>
    <t>71</t>
  </si>
  <si>
    <t>139</t>
  </si>
  <si>
    <t>WINNEBAGO</t>
  </si>
  <si>
    <t>72</t>
  </si>
  <si>
    <t>141</t>
  </si>
  <si>
    <t>WOOD</t>
  </si>
  <si>
    <t>STATE TOTAL</t>
  </si>
  <si>
    <t>Note: The Demographic Services Center's estimate of housing units is likely generous. It assumes 100% completion of all new units reported by local units of government, and an average six-month time lag from permit to completion. Studies by the U.S. Census Bureau indicate that, at the national level, approximately 98-98.5% of permitted units are completed for occupancy, and in the Midwest region, the average time lag from authorization to construction is eight months for single-unit housing and 15 months for multi-unit housing.</t>
  </si>
  <si>
    <t>4/1/2010 CENSUS</t>
  </si>
  <si>
    <t>4/1/2011 ESTIMATE</t>
  </si>
  <si>
    <t>4/1/2012 ESTIMATE</t>
  </si>
  <si>
    <t>4/1/2013 ESTIMATE</t>
  </si>
  <si>
    <t>4/1/2014 ESTIMATE</t>
  </si>
  <si>
    <t>4/1/2015 ESTIMATE</t>
  </si>
  <si>
    <t>4/1/2016 ESTIMATE</t>
  </si>
  <si>
    <t>4/1/2017 ESTIMATE</t>
  </si>
  <si>
    <t>4/1/2018 ESTIMATE</t>
  </si>
  <si>
    <t>4/1/2019 ESTIMATE</t>
  </si>
  <si>
    <t>4/1/2020 ESTIMATE</t>
  </si>
  <si>
    <t>ESTIMATED TOTAL HOUSING UNITS FOR WISCONSIN COUNTIES, 2011 - 2020</t>
  </si>
  <si>
    <t xml:space="preserve">2010 Census
Wisconsin Department of Administration Demographic Services Center, Annual Housing Survey for Years following  2010 Census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</si>
</sst>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00"/>
  </numFmts>
  <fonts count="9" x14ac:knownFonts="1">
    <font>
      <sz val="10"/>
      <color indexed="8"/>
      <name val="MS Sans Serif"/>
    </font>
    <font>
      <sz val="8"/>
      <name val="MS Sans Serif"/>
      <family val="2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/>
    <xf numFmtId="0" fontId="4" fillId="0" borderId="0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5" fillId="0" borderId="3" xfId="0" applyFont="1" applyBorder="1" applyAlignment="1">
      <alignment horizontal="left"/>
    </xf>
    <xf numFmtId="0" fontId="6" fillId="0" borderId="3" xfId="0" applyFont="1" applyBorder="1" applyAlignment="1"/>
    <xf numFmtId="0" fontId="6" fillId="0" borderId="3" xfId="0" applyFont="1" applyBorder="1" applyAlignment="1">
      <alignment horizontal="left" wrapText="1"/>
    </xf>
    <xf numFmtId="165" fontId="8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14" fontId="8" fillId="0" borderId="1" xfId="0" applyNumberFormat="1" applyFont="1" applyBorder="1" applyAlignment="1">
      <alignment horizontal="center" wrapText="1"/>
    </xf>
    <xf numFmtId="49" fontId="8" fillId="0" borderId="0" xfId="0" applyNumberFormat="1" applyFont="1" applyAlignment="1">
      <alignment horizontal="center"/>
    </xf>
    <xf numFmtId="0" fontId="8" fillId="0" borderId="0" xfId="0" applyFont="1"/>
    <xf numFmtId="3" fontId="6" fillId="0" borderId="0" xfId="0" applyNumberFormat="1" applyFont="1"/>
    <xf numFmtId="165" fontId="8" fillId="0" borderId="2" xfId="0" applyNumberFormat="1" applyFont="1" applyBorder="1" applyAlignment="1">
      <alignment horizontal="center"/>
    </xf>
    <xf numFmtId="0" fontId="8" fillId="0" borderId="1" xfId="0" applyFont="1" applyBorder="1"/>
    <xf numFmtId="3" fontId="8" fillId="0" borderId="1" xfId="0" applyNumberFormat="1" applyFont="1" applyBorder="1"/>
    <xf numFmtId="3" fontId="8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2"/>
  <sheetViews>
    <sheetView tabSelected="1" workbookViewId="0">
      <pane ySplit="4" topLeftCell="A5" activePane="bottomLeft" state="frozen"/>
      <selection pane="bottomLeft" activeCell="A5" sqref="A5"/>
    </sheetView>
  </sheetViews>
  <sheetFormatPr defaultRowHeight="12.75" x14ac:dyDescent="0.2"/>
  <cols>
    <col min="1" max="2" width="6" style="1" bestFit="1" customWidth="1"/>
    <col min="3" max="3" width="15" style="1" bestFit="1" customWidth="1"/>
    <col min="4" max="14" width="9.5703125" style="1" customWidth="1"/>
    <col min="15" max="16384" width="9.140625" style="1"/>
  </cols>
  <sheetData>
    <row r="1" spans="1:15" ht="15" x14ac:dyDescent="0.25">
      <c r="A1" s="6" t="s">
        <v>233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5" ht="15" x14ac:dyDescent="0.25">
      <c r="A2" s="7" t="s">
        <v>0</v>
      </c>
      <c r="B2" s="8"/>
      <c r="C2" s="9" t="s">
        <v>234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5" ht="15" x14ac:dyDescent="0.25">
      <c r="A3" s="11"/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5" ht="30" x14ac:dyDescent="0.25">
      <c r="A4" s="14" t="s">
        <v>1</v>
      </c>
      <c r="B4" s="14" t="s">
        <v>2</v>
      </c>
      <c r="C4" s="15" t="s">
        <v>3</v>
      </c>
      <c r="D4" s="16" t="s">
        <v>222</v>
      </c>
      <c r="E4" s="16" t="s">
        <v>223</v>
      </c>
      <c r="F4" s="16" t="s">
        <v>224</v>
      </c>
      <c r="G4" s="16" t="s">
        <v>225</v>
      </c>
      <c r="H4" s="16" t="s">
        <v>226</v>
      </c>
      <c r="I4" s="16" t="s">
        <v>227</v>
      </c>
      <c r="J4" s="16" t="s">
        <v>228</v>
      </c>
      <c r="K4" s="16" t="s">
        <v>229</v>
      </c>
      <c r="L4" s="16" t="s">
        <v>230</v>
      </c>
      <c r="M4" s="16" t="s">
        <v>231</v>
      </c>
      <c r="N4" s="16" t="s">
        <v>232</v>
      </c>
      <c r="O4"/>
    </row>
    <row r="5" spans="1:15" ht="15" x14ac:dyDescent="0.25">
      <c r="A5" s="17" t="s">
        <v>4</v>
      </c>
      <c r="B5" s="17" t="s">
        <v>5</v>
      </c>
      <c r="C5" s="18" t="s">
        <v>6</v>
      </c>
      <c r="D5" s="19">
        <v>17436</v>
      </c>
      <c r="E5" s="19">
        <v>17491</v>
      </c>
      <c r="F5" s="19">
        <v>17521</v>
      </c>
      <c r="G5" s="19"/>
      <c r="H5" s="19"/>
      <c r="I5" s="19"/>
      <c r="J5" s="19"/>
      <c r="K5" s="19"/>
      <c r="L5" s="19"/>
      <c r="M5" s="19"/>
      <c r="N5" s="19"/>
      <c r="O5"/>
    </row>
    <row r="6" spans="1:15" ht="15" x14ac:dyDescent="0.25">
      <c r="A6" s="17" t="s">
        <v>7</v>
      </c>
      <c r="B6" s="17" t="s">
        <v>8</v>
      </c>
      <c r="C6" s="18" t="s">
        <v>9</v>
      </c>
      <c r="D6" s="19">
        <v>9656</v>
      </c>
      <c r="E6" s="19">
        <v>9677</v>
      </c>
      <c r="F6" s="19">
        <v>9699</v>
      </c>
      <c r="G6" s="19"/>
      <c r="H6" s="19"/>
      <c r="I6" s="19"/>
      <c r="J6" s="19"/>
      <c r="K6" s="19"/>
      <c r="L6" s="19"/>
      <c r="M6" s="19"/>
      <c r="N6" s="19"/>
      <c r="O6"/>
    </row>
    <row r="7" spans="1:15" ht="15" x14ac:dyDescent="0.25">
      <c r="A7" s="17" t="s">
        <v>10</v>
      </c>
      <c r="B7" s="17" t="s">
        <v>11</v>
      </c>
      <c r="C7" s="18" t="s">
        <v>12</v>
      </c>
      <c r="D7" s="19">
        <v>23614</v>
      </c>
      <c r="E7" s="19">
        <v>23681</v>
      </c>
      <c r="F7" s="19">
        <v>23743</v>
      </c>
      <c r="G7" s="19"/>
      <c r="H7" s="19"/>
      <c r="I7" s="19"/>
      <c r="J7" s="19"/>
      <c r="K7" s="19"/>
      <c r="L7" s="19"/>
      <c r="M7" s="19"/>
      <c r="N7" s="19"/>
      <c r="O7"/>
    </row>
    <row r="8" spans="1:15" ht="15" x14ac:dyDescent="0.25">
      <c r="A8" s="17" t="s">
        <v>13</v>
      </c>
      <c r="B8" s="17" t="s">
        <v>14</v>
      </c>
      <c r="C8" s="18" t="s">
        <v>15</v>
      </c>
      <c r="D8" s="19">
        <v>12999</v>
      </c>
      <c r="E8" s="19">
        <v>13054</v>
      </c>
      <c r="F8" s="19">
        <v>13099</v>
      </c>
      <c r="G8" s="19"/>
      <c r="H8" s="19"/>
      <c r="I8" s="19"/>
      <c r="J8" s="19"/>
      <c r="K8" s="19"/>
      <c r="L8" s="19"/>
      <c r="M8" s="19"/>
      <c r="N8" s="19"/>
      <c r="O8"/>
    </row>
    <row r="9" spans="1:15" ht="15" x14ac:dyDescent="0.25">
      <c r="A9" s="17" t="s">
        <v>16</v>
      </c>
      <c r="B9" s="17" t="s">
        <v>17</v>
      </c>
      <c r="C9" s="18" t="s">
        <v>18</v>
      </c>
      <c r="D9" s="19">
        <v>104371</v>
      </c>
      <c r="E9" s="19">
        <v>105207</v>
      </c>
      <c r="F9" s="19">
        <v>105849</v>
      </c>
      <c r="G9" s="19"/>
      <c r="H9" s="19"/>
      <c r="I9" s="19"/>
      <c r="J9" s="19"/>
      <c r="K9" s="19"/>
      <c r="L9" s="19"/>
      <c r="M9" s="19"/>
      <c r="N9" s="19"/>
      <c r="O9"/>
    </row>
    <row r="10" spans="1:15" ht="15" x14ac:dyDescent="0.25">
      <c r="A10" s="17" t="s">
        <v>19</v>
      </c>
      <c r="B10" s="17" t="s">
        <v>20</v>
      </c>
      <c r="C10" s="18" t="s">
        <v>21</v>
      </c>
      <c r="D10" s="19">
        <v>6664</v>
      </c>
      <c r="E10" s="19">
        <v>6687</v>
      </c>
      <c r="F10" s="19">
        <v>6698</v>
      </c>
      <c r="G10" s="19"/>
      <c r="H10" s="19"/>
      <c r="I10" s="19"/>
      <c r="J10" s="19"/>
      <c r="K10" s="19"/>
      <c r="L10" s="19"/>
      <c r="M10" s="19"/>
      <c r="N10" s="19"/>
      <c r="O10"/>
    </row>
    <row r="11" spans="1:15" ht="15" x14ac:dyDescent="0.25">
      <c r="A11" s="17" t="s">
        <v>22</v>
      </c>
      <c r="B11" s="17" t="s">
        <v>23</v>
      </c>
      <c r="C11" s="18" t="s">
        <v>24</v>
      </c>
      <c r="D11" s="19">
        <v>15278</v>
      </c>
      <c r="E11" s="19">
        <v>15320</v>
      </c>
      <c r="F11" s="19">
        <v>15355</v>
      </c>
      <c r="G11" s="19"/>
      <c r="H11" s="19"/>
      <c r="I11" s="19"/>
      <c r="J11" s="19"/>
      <c r="K11" s="19"/>
      <c r="L11" s="19"/>
      <c r="M11" s="19"/>
      <c r="N11" s="19"/>
      <c r="O11"/>
    </row>
    <row r="12" spans="1:15" ht="15" x14ac:dyDescent="0.25">
      <c r="A12" s="17" t="s">
        <v>25</v>
      </c>
      <c r="B12" s="17" t="s">
        <v>26</v>
      </c>
      <c r="C12" s="18" t="s">
        <v>27</v>
      </c>
      <c r="D12" s="19">
        <v>19695</v>
      </c>
      <c r="E12" s="19">
        <v>19786</v>
      </c>
      <c r="F12" s="19">
        <v>19844</v>
      </c>
      <c r="G12" s="19"/>
      <c r="H12" s="19"/>
      <c r="I12" s="19"/>
      <c r="J12" s="19"/>
      <c r="K12" s="19"/>
      <c r="L12" s="19"/>
      <c r="M12" s="19"/>
      <c r="N12" s="19"/>
      <c r="O12"/>
    </row>
    <row r="13" spans="1:15" ht="15" x14ac:dyDescent="0.25">
      <c r="A13" s="17" t="s">
        <v>28</v>
      </c>
      <c r="B13" s="17" t="s">
        <v>29</v>
      </c>
      <c r="C13" s="18" t="s">
        <v>30</v>
      </c>
      <c r="D13" s="19">
        <v>27185</v>
      </c>
      <c r="E13" s="19">
        <v>27313</v>
      </c>
      <c r="F13" s="19">
        <v>27429</v>
      </c>
      <c r="G13" s="19"/>
      <c r="H13" s="19"/>
      <c r="I13" s="19"/>
      <c r="J13" s="19"/>
      <c r="K13" s="19"/>
      <c r="L13" s="19"/>
      <c r="M13" s="19"/>
      <c r="N13" s="19"/>
      <c r="O13"/>
    </row>
    <row r="14" spans="1:15" ht="15" x14ac:dyDescent="0.25">
      <c r="A14" s="17" t="s">
        <v>31</v>
      </c>
      <c r="B14" s="17" t="s">
        <v>32</v>
      </c>
      <c r="C14" s="18" t="s">
        <v>33</v>
      </c>
      <c r="D14" s="19">
        <v>15076</v>
      </c>
      <c r="E14" s="19">
        <v>15112</v>
      </c>
      <c r="F14" s="19">
        <v>15138</v>
      </c>
      <c r="G14" s="19"/>
      <c r="H14" s="19"/>
      <c r="I14" s="19"/>
      <c r="J14" s="19"/>
      <c r="K14" s="19"/>
      <c r="L14" s="19"/>
      <c r="M14" s="19"/>
      <c r="N14" s="19"/>
      <c r="O14"/>
    </row>
    <row r="15" spans="1:15" ht="15" x14ac:dyDescent="0.25">
      <c r="A15" s="17" t="s">
        <v>34</v>
      </c>
      <c r="B15" s="17" t="s">
        <v>35</v>
      </c>
      <c r="C15" s="18" t="s">
        <v>36</v>
      </c>
      <c r="D15" s="19">
        <v>26137</v>
      </c>
      <c r="E15" s="19">
        <v>26204</v>
      </c>
      <c r="F15" s="19">
        <v>26219</v>
      </c>
      <c r="G15" s="19"/>
      <c r="H15" s="19"/>
      <c r="I15" s="19"/>
      <c r="J15" s="19"/>
      <c r="K15" s="19"/>
      <c r="L15" s="19"/>
      <c r="M15" s="19"/>
      <c r="N15" s="19"/>
      <c r="O15"/>
    </row>
    <row r="16" spans="1:15" ht="15" x14ac:dyDescent="0.25">
      <c r="A16" s="17" t="s">
        <v>37</v>
      </c>
      <c r="B16" s="17" t="s">
        <v>38</v>
      </c>
      <c r="C16" s="18" t="s">
        <v>39</v>
      </c>
      <c r="D16" s="19">
        <v>8802</v>
      </c>
      <c r="E16" s="19">
        <v>8836</v>
      </c>
      <c r="F16" s="19">
        <v>8858</v>
      </c>
      <c r="G16" s="19"/>
      <c r="H16" s="19"/>
      <c r="I16" s="19"/>
      <c r="J16" s="19"/>
      <c r="K16" s="19"/>
      <c r="L16" s="19"/>
      <c r="M16" s="19"/>
      <c r="N16" s="19"/>
      <c r="O16"/>
    </row>
    <row r="17" spans="1:15" ht="15" x14ac:dyDescent="0.25">
      <c r="A17" s="17" t="s">
        <v>40</v>
      </c>
      <c r="B17" s="17" t="s">
        <v>41</v>
      </c>
      <c r="C17" s="18" t="s">
        <v>42</v>
      </c>
      <c r="D17" s="19">
        <v>216022</v>
      </c>
      <c r="E17" s="19">
        <v>216895</v>
      </c>
      <c r="F17" s="19">
        <v>218443</v>
      </c>
      <c r="G17" s="19"/>
      <c r="H17" s="19"/>
      <c r="I17" s="19"/>
      <c r="J17" s="19"/>
      <c r="K17" s="19"/>
      <c r="L17" s="19"/>
      <c r="M17" s="19"/>
      <c r="N17" s="19"/>
      <c r="O17"/>
    </row>
    <row r="18" spans="1:15" ht="15" x14ac:dyDescent="0.25">
      <c r="A18" s="17" t="s">
        <v>43</v>
      </c>
      <c r="B18" s="17" t="s">
        <v>44</v>
      </c>
      <c r="C18" s="18" t="s">
        <v>45</v>
      </c>
      <c r="D18" s="19">
        <v>37005</v>
      </c>
      <c r="E18" s="19">
        <v>37121</v>
      </c>
      <c r="F18" s="19">
        <v>37160</v>
      </c>
      <c r="G18" s="19"/>
      <c r="H18" s="19"/>
      <c r="I18" s="19"/>
      <c r="J18" s="19"/>
      <c r="K18" s="19"/>
      <c r="L18" s="19"/>
      <c r="M18" s="19"/>
      <c r="N18" s="19"/>
      <c r="O18"/>
    </row>
    <row r="19" spans="1:15" ht="15" x14ac:dyDescent="0.25">
      <c r="A19" s="17" t="s">
        <v>46</v>
      </c>
      <c r="B19" s="17" t="s">
        <v>47</v>
      </c>
      <c r="C19" s="18" t="s">
        <v>48</v>
      </c>
      <c r="D19" s="19">
        <v>23966</v>
      </c>
      <c r="E19" s="19">
        <v>24072</v>
      </c>
      <c r="F19" s="19">
        <v>24171</v>
      </c>
      <c r="G19" s="19"/>
      <c r="H19" s="19"/>
      <c r="I19" s="19"/>
      <c r="J19" s="19"/>
      <c r="K19" s="19"/>
      <c r="L19" s="19"/>
      <c r="M19" s="19"/>
      <c r="N19" s="19"/>
      <c r="O19"/>
    </row>
    <row r="20" spans="1:15" ht="15" x14ac:dyDescent="0.25">
      <c r="A20" s="17" t="s">
        <v>49</v>
      </c>
      <c r="B20" s="17" t="s">
        <v>50</v>
      </c>
      <c r="C20" s="18" t="s">
        <v>51</v>
      </c>
      <c r="D20" s="19">
        <v>22825</v>
      </c>
      <c r="E20" s="19">
        <v>22899</v>
      </c>
      <c r="F20" s="19">
        <v>22951</v>
      </c>
      <c r="G20" s="19"/>
      <c r="H20" s="19"/>
      <c r="I20" s="19"/>
      <c r="J20" s="19"/>
      <c r="K20" s="19"/>
      <c r="L20" s="19"/>
      <c r="M20" s="19"/>
      <c r="N20" s="19"/>
      <c r="O20"/>
    </row>
    <row r="21" spans="1:15" ht="15" x14ac:dyDescent="0.25">
      <c r="A21" s="17" t="s">
        <v>52</v>
      </c>
      <c r="B21" s="17" t="s">
        <v>53</v>
      </c>
      <c r="C21" s="18" t="s">
        <v>54</v>
      </c>
      <c r="D21" s="19">
        <v>17964</v>
      </c>
      <c r="E21" s="19">
        <v>18041</v>
      </c>
      <c r="F21" s="19">
        <v>18080</v>
      </c>
      <c r="G21" s="19"/>
      <c r="H21" s="19"/>
      <c r="I21" s="19"/>
      <c r="J21" s="19"/>
      <c r="K21" s="19"/>
      <c r="L21" s="19"/>
      <c r="M21" s="19"/>
      <c r="N21" s="19"/>
      <c r="O21"/>
    </row>
    <row r="22" spans="1:15" ht="15" x14ac:dyDescent="0.25">
      <c r="A22" s="17" t="s">
        <v>55</v>
      </c>
      <c r="B22" s="17" t="s">
        <v>56</v>
      </c>
      <c r="C22" s="18" t="s">
        <v>57</v>
      </c>
      <c r="D22" s="19">
        <v>42151</v>
      </c>
      <c r="E22" s="19">
        <v>42351</v>
      </c>
      <c r="F22" s="19">
        <v>42558</v>
      </c>
      <c r="G22" s="19"/>
      <c r="H22" s="19"/>
      <c r="I22" s="19"/>
      <c r="J22" s="19"/>
      <c r="K22" s="19"/>
      <c r="L22" s="19"/>
      <c r="M22" s="19"/>
      <c r="N22" s="19"/>
      <c r="O22"/>
    </row>
    <row r="23" spans="1:15" ht="15" x14ac:dyDescent="0.25">
      <c r="A23" s="17" t="s">
        <v>58</v>
      </c>
      <c r="B23" s="17" t="s">
        <v>59</v>
      </c>
      <c r="C23" s="18" t="s">
        <v>60</v>
      </c>
      <c r="D23" s="19">
        <v>4780</v>
      </c>
      <c r="E23" s="19">
        <v>4806</v>
      </c>
      <c r="F23" s="19">
        <v>4825</v>
      </c>
      <c r="G23" s="19"/>
      <c r="H23" s="19"/>
      <c r="I23" s="19"/>
      <c r="J23" s="19"/>
      <c r="K23" s="19"/>
      <c r="L23" s="19"/>
      <c r="M23" s="19"/>
      <c r="N23" s="19"/>
      <c r="O23"/>
    </row>
    <row r="24" spans="1:15" ht="15" x14ac:dyDescent="0.25">
      <c r="A24" s="17" t="s">
        <v>61</v>
      </c>
      <c r="B24" s="17" t="s">
        <v>62</v>
      </c>
      <c r="C24" s="18" t="s">
        <v>63</v>
      </c>
      <c r="D24" s="19">
        <v>43910</v>
      </c>
      <c r="E24" s="19">
        <v>44126</v>
      </c>
      <c r="F24" s="19">
        <v>44335</v>
      </c>
      <c r="G24" s="19"/>
      <c r="H24" s="19"/>
      <c r="I24" s="19"/>
      <c r="J24" s="19"/>
      <c r="K24" s="19"/>
      <c r="L24" s="19"/>
      <c r="M24" s="19"/>
      <c r="N24" s="19"/>
      <c r="O24"/>
    </row>
    <row r="25" spans="1:15" ht="15" x14ac:dyDescent="0.25">
      <c r="A25" s="17" t="s">
        <v>64</v>
      </c>
      <c r="B25" s="17" t="s">
        <v>65</v>
      </c>
      <c r="C25" s="18" t="s">
        <v>66</v>
      </c>
      <c r="D25" s="19">
        <v>8970</v>
      </c>
      <c r="E25" s="19">
        <v>8992</v>
      </c>
      <c r="F25" s="19">
        <v>9014</v>
      </c>
      <c r="G25" s="19"/>
      <c r="H25" s="19"/>
      <c r="I25" s="19"/>
      <c r="J25" s="19"/>
      <c r="K25" s="19"/>
      <c r="L25" s="19"/>
      <c r="M25" s="19"/>
      <c r="N25" s="19"/>
      <c r="O25"/>
    </row>
    <row r="26" spans="1:15" ht="15" x14ac:dyDescent="0.25">
      <c r="A26" s="17" t="s">
        <v>67</v>
      </c>
      <c r="B26" s="17" t="s">
        <v>68</v>
      </c>
      <c r="C26" s="18" t="s">
        <v>69</v>
      </c>
      <c r="D26" s="19">
        <v>21581</v>
      </c>
      <c r="E26" s="19">
        <v>21651</v>
      </c>
      <c r="F26" s="19">
        <v>21802</v>
      </c>
      <c r="G26" s="19"/>
      <c r="H26" s="19"/>
      <c r="I26" s="19"/>
      <c r="J26" s="19"/>
      <c r="K26" s="19"/>
      <c r="L26" s="19"/>
      <c r="M26" s="19"/>
      <c r="N26" s="19"/>
      <c r="O26"/>
    </row>
    <row r="27" spans="1:15" ht="15" x14ac:dyDescent="0.25">
      <c r="A27" s="17" t="s">
        <v>70</v>
      </c>
      <c r="B27" s="17" t="s">
        <v>71</v>
      </c>
      <c r="C27" s="18" t="s">
        <v>72</v>
      </c>
      <c r="D27" s="19">
        <v>15856</v>
      </c>
      <c r="E27" s="19">
        <v>15896</v>
      </c>
      <c r="F27" s="19">
        <v>15905</v>
      </c>
      <c r="G27" s="19"/>
      <c r="H27" s="19"/>
      <c r="I27" s="19"/>
      <c r="J27" s="19"/>
      <c r="K27" s="19"/>
      <c r="L27" s="19"/>
      <c r="M27" s="19"/>
      <c r="N27" s="19"/>
      <c r="O27"/>
    </row>
    <row r="28" spans="1:15" ht="15" x14ac:dyDescent="0.25">
      <c r="A28" s="17" t="s">
        <v>73</v>
      </c>
      <c r="B28" s="17" t="s">
        <v>74</v>
      </c>
      <c r="C28" s="18" t="s">
        <v>75</v>
      </c>
      <c r="D28" s="19">
        <v>10616</v>
      </c>
      <c r="E28" s="19">
        <v>10656</v>
      </c>
      <c r="F28" s="19">
        <v>10678</v>
      </c>
      <c r="G28" s="19"/>
      <c r="H28" s="19"/>
      <c r="I28" s="19"/>
      <c r="J28" s="19"/>
      <c r="K28" s="19"/>
      <c r="L28" s="19"/>
      <c r="M28" s="19"/>
      <c r="N28" s="19"/>
      <c r="O28"/>
    </row>
    <row r="29" spans="1:15" ht="15" x14ac:dyDescent="0.25">
      <c r="A29" s="17" t="s">
        <v>76</v>
      </c>
      <c r="B29" s="17" t="s">
        <v>77</v>
      </c>
      <c r="C29" s="18" t="s">
        <v>78</v>
      </c>
      <c r="D29" s="19">
        <v>10719</v>
      </c>
      <c r="E29" s="19">
        <v>10746</v>
      </c>
      <c r="F29" s="19">
        <v>10772</v>
      </c>
      <c r="G29" s="19"/>
      <c r="H29" s="19"/>
      <c r="I29" s="19"/>
      <c r="J29" s="19"/>
      <c r="K29" s="19"/>
      <c r="L29" s="19"/>
      <c r="M29" s="19"/>
      <c r="N29" s="19"/>
      <c r="O29"/>
    </row>
    <row r="30" spans="1:15" ht="15" x14ac:dyDescent="0.25">
      <c r="A30" s="17" t="s">
        <v>79</v>
      </c>
      <c r="B30" s="17" t="s">
        <v>80</v>
      </c>
      <c r="C30" s="18" t="s">
        <v>81</v>
      </c>
      <c r="D30" s="19">
        <v>5999</v>
      </c>
      <c r="E30" s="19">
        <v>6024</v>
      </c>
      <c r="F30" s="19">
        <v>6042</v>
      </c>
      <c r="G30" s="19"/>
      <c r="H30" s="19"/>
      <c r="I30" s="19"/>
      <c r="J30" s="19"/>
      <c r="K30" s="19"/>
      <c r="L30" s="19"/>
      <c r="M30" s="19"/>
      <c r="N30" s="19"/>
      <c r="O30"/>
    </row>
    <row r="31" spans="1:15" ht="15" x14ac:dyDescent="0.25">
      <c r="A31" s="17" t="s">
        <v>82</v>
      </c>
      <c r="B31" s="17" t="s">
        <v>83</v>
      </c>
      <c r="C31" s="18" t="s">
        <v>84</v>
      </c>
      <c r="D31" s="19">
        <v>9727</v>
      </c>
      <c r="E31" s="19">
        <v>9781</v>
      </c>
      <c r="F31" s="19">
        <v>9822</v>
      </c>
      <c r="G31" s="19"/>
      <c r="H31" s="19"/>
      <c r="I31" s="19"/>
      <c r="J31" s="19"/>
      <c r="K31" s="19"/>
      <c r="L31" s="19"/>
      <c r="M31" s="19"/>
      <c r="N31" s="19"/>
      <c r="O31"/>
    </row>
    <row r="32" spans="1:15" ht="15" x14ac:dyDescent="0.25">
      <c r="A32" s="17" t="s">
        <v>85</v>
      </c>
      <c r="B32" s="17" t="s">
        <v>86</v>
      </c>
      <c r="C32" s="18" t="s">
        <v>87</v>
      </c>
      <c r="D32" s="19">
        <v>35147</v>
      </c>
      <c r="E32" s="19">
        <v>35313</v>
      </c>
      <c r="F32" s="19">
        <v>35380</v>
      </c>
      <c r="G32" s="19"/>
      <c r="H32" s="19"/>
      <c r="I32" s="19"/>
      <c r="J32" s="19"/>
      <c r="K32" s="19"/>
      <c r="L32" s="19"/>
      <c r="M32" s="19"/>
      <c r="N32" s="19"/>
      <c r="O32"/>
    </row>
    <row r="33" spans="1:15" ht="15" x14ac:dyDescent="0.25">
      <c r="A33" s="17" t="s">
        <v>88</v>
      </c>
      <c r="B33" s="17" t="s">
        <v>89</v>
      </c>
      <c r="C33" s="18" t="s">
        <v>90</v>
      </c>
      <c r="D33" s="19">
        <v>14669</v>
      </c>
      <c r="E33" s="19">
        <v>14756</v>
      </c>
      <c r="F33" s="19">
        <v>14844</v>
      </c>
      <c r="G33" s="19"/>
      <c r="H33" s="19"/>
      <c r="I33" s="19"/>
      <c r="J33" s="19"/>
      <c r="K33" s="19"/>
      <c r="L33" s="19"/>
      <c r="M33" s="19"/>
      <c r="N33" s="19"/>
      <c r="O33"/>
    </row>
    <row r="34" spans="1:15" ht="15" x14ac:dyDescent="0.25">
      <c r="A34" s="17" t="s">
        <v>91</v>
      </c>
      <c r="B34" s="17" t="s">
        <v>92</v>
      </c>
      <c r="C34" s="18" t="s">
        <v>93</v>
      </c>
      <c r="D34" s="19">
        <v>69288</v>
      </c>
      <c r="E34" s="19">
        <v>69494</v>
      </c>
      <c r="F34" s="19">
        <v>69689</v>
      </c>
      <c r="G34" s="19"/>
      <c r="H34" s="19"/>
      <c r="I34" s="19"/>
      <c r="J34" s="19"/>
      <c r="K34" s="19"/>
      <c r="L34" s="19"/>
      <c r="M34" s="19"/>
      <c r="N34" s="19"/>
      <c r="O34"/>
    </row>
    <row r="35" spans="1:15" ht="15" x14ac:dyDescent="0.25">
      <c r="A35" s="17" t="s">
        <v>94</v>
      </c>
      <c r="B35" s="17" t="s">
        <v>95</v>
      </c>
      <c r="C35" s="18" t="s">
        <v>96</v>
      </c>
      <c r="D35" s="19">
        <v>9304</v>
      </c>
      <c r="E35" s="19">
        <v>9337</v>
      </c>
      <c r="F35" s="19">
        <v>9363</v>
      </c>
      <c r="G35" s="19"/>
      <c r="H35" s="19"/>
      <c r="I35" s="19"/>
      <c r="J35" s="19"/>
      <c r="K35" s="19"/>
      <c r="L35" s="19"/>
      <c r="M35" s="19"/>
      <c r="N35" s="19"/>
      <c r="O35"/>
    </row>
    <row r="36" spans="1:15" ht="15" x14ac:dyDescent="0.25">
      <c r="A36" s="17" t="s">
        <v>97</v>
      </c>
      <c r="B36" s="17" t="s">
        <v>98</v>
      </c>
      <c r="C36" s="18" t="s">
        <v>99</v>
      </c>
      <c r="D36" s="19">
        <v>48402</v>
      </c>
      <c r="E36" s="19">
        <v>48656</v>
      </c>
      <c r="F36" s="19">
        <v>48884</v>
      </c>
      <c r="G36" s="19"/>
      <c r="H36" s="19"/>
      <c r="I36" s="19"/>
      <c r="J36" s="19"/>
      <c r="K36" s="19"/>
      <c r="L36" s="19"/>
      <c r="M36" s="19"/>
      <c r="N36" s="19"/>
      <c r="O36"/>
    </row>
    <row r="37" spans="1:15" ht="15" x14ac:dyDescent="0.25">
      <c r="A37" s="17" t="s">
        <v>100</v>
      </c>
      <c r="B37" s="17" t="s">
        <v>101</v>
      </c>
      <c r="C37" s="18" t="s">
        <v>102</v>
      </c>
      <c r="D37" s="19">
        <v>7230</v>
      </c>
      <c r="E37" s="19">
        <v>7260</v>
      </c>
      <c r="F37" s="19">
        <v>7284</v>
      </c>
      <c r="G37" s="19"/>
      <c r="H37" s="19"/>
      <c r="I37" s="19"/>
      <c r="J37" s="19"/>
      <c r="K37" s="19"/>
      <c r="L37" s="19"/>
      <c r="M37" s="19"/>
      <c r="N37" s="19"/>
      <c r="O37"/>
    </row>
    <row r="38" spans="1:15" ht="15" x14ac:dyDescent="0.25">
      <c r="A38" s="17" t="s">
        <v>103</v>
      </c>
      <c r="B38" s="17" t="s">
        <v>104</v>
      </c>
      <c r="C38" s="18" t="s">
        <v>105</v>
      </c>
      <c r="D38" s="19">
        <v>12360</v>
      </c>
      <c r="E38" s="19">
        <v>12389</v>
      </c>
      <c r="F38" s="19">
        <v>12404</v>
      </c>
      <c r="G38" s="19"/>
      <c r="H38" s="19"/>
      <c r="I38" s="19"/>
      <c r="J38" s="19"/>
      <c r="K38" s="19"/>
      <c r="L38" s="19"/>
      <c r="M38" s="19"/>
      <c r="N38" s="19"/>
      <c r="O38"/>
    </row>
    <row r="39" spans="1:15" ht="15" x14ac:dyDescent="0.25">
      <c r="A39" s="17" t="s">
        <v>106</v>
      </c>
      <c r="B39" s="17" t="s">
        <v>107</v>
      </c>
      <c r="C39" s="18" t="s">
        <v>108</v>
      </c>
      <c r="D39" s="19">
        <v>16784</v>
      </c>
      <c r="E39" s="19">
        <v>16835</v>
      </c>
      <c r="F39" s="19">
        <v>16849</v>
      </c>
      <c r="G39" s="19"/>
      <c r="H39" s="19"/>
      <c r="I39" s="19"/>
      <c r="J39" s="19"/>
      <c r="K39" s="19"/>
      <c r="L39" s="19"/>
      <c r="M39" s="19"/>
      <c r="N39" s="19"/>
      <c r="O39"/>
    </row>
    <row r="40" spans="1:15" ht="15" x14ac:dyDescent="0.25">
      <c r="A40" s="17" t="s">
        <v>109</v>
      </c>
      <c r="B40" s="17" t="s">
        <v>110</v>
      </c>
      <c r="C40" s="18" t="s">
        <v>111</v>
      </c>
      <c r="D40" s="19">
        <v>37189</v>
      </c>
      <c r="E40" s="19">
        <v>37244</v>
      </c>
      <c r="F40" s="19">
        <v>37297</v>
      </c>
      <c r="G40" s="19"/>
      <c r="H40" s="19"/>
      <c r="I40" s="19"/>
      <c r="J40" s="19"/>
      <c r="K40" s="19"/>
      <c r="L40" s="19"/>
      <c r="M40" s="19"/>
      <c r="N40" s="19"/>
      <c r="O40"/>
    </row>
    <row r="41" spans="1:15" ht="15" x14ac:dyDescent="0.25">
      <c r="A41" s="17" t="s">
        <v>112</v>
      </c>
      <c r="B41" s="17" t="s">
        <v>113</v>
      </c>
      <c r="C41" s="18" t="s">
        <v>114</v>
      </c>
      <c r="D41" s="19">
        <v>57734</v>
      </c>
      <c r="E41" s="19">
        <v>58027</v>
      </c>
      <c r="F41" s="19">
        <v>58181</v>
      </c>
      <c r="G41" s="19"/>
      <c r="H41" s="19"/>
      <c r="I41" s="19"/>
      <c r="J41" s="19"/>
      <c r="K41" s="19"/>
      <c r="L41" s="19"/>
      <c r="M41" s="19"/>
      <c r="N41" s="19"/>
      <c r="O41"/>
    </row>
    <row r="42" spans="1:15" ht="15" x14ac:dyDescent="0.25">
      <c r="A42" s="17" t="s">
        <v>115</v>
      </c>
      <c r="B42" s="17" t="s">
        <v>116</v>
      </c>
      <c r="C42" s="18" t="s">
        <v>117</v>
      </c>
      <c r="D42" s="19">
        <v>30379</v>
      </c>
      <c r="E42" s="19">
        <v>30497</v>
      </c>
      <c r="F42" s="19">
        <v>30586</v>
      </c>
      <c r="G42" s="19"/>
      <c r="H42" s="19"/>
      <c r="I42" s="19"/>
      <c r="J42" s="19"/>
      <c r="K42" s="19"/>
      <c r="L42" s="19"/>
      <c r="M42" s="19"/>
      <c r="N42" s="19"/>
      <c r="O42"/>
    </row>
    <row r="43" spans="1:15" ht="15" x14ac:dyDescent="0.25">
      <c r="A43" s="17" t="s">
        <v>118</v>
      </c>
      <c r="B43" s="17" t="s">
        <v>119</v>
      </c>
      <c r="C43" s="18" t="s">
        <v>120</v>
      </c>
      <c r="D43" s="19">
        <v>9896</v>
      </c>
      <c r="E43" s="19">
        <v>9910</v>
      </c>
      <c r="F43" s="19">
        <v>9923</v>
      </c>
      <c r="G43" s="19"/>
      <c r="H43" s="19"/>
      <c r="I43" s="19"/>
      <c r="J43" s="19"/>
      <c r="K43" s="19"/>
      <c r="L43" s="19"/>
      <c r="M43" s="19"/>
      <c r="N43" s="19"/>
      <c r="O43"/>
    </row>
    <row r="44" spans="1:15" ht="15" x14ac:dyDescent="0.25">
      <c r="A44" s="17" t="s">
        <v>121</v>
      </c>
      <c r="B44" s="17" t="s">
        <v>122</v>
      </c>
      <c r="C44" s="18" t="s">
        <v>123</v>
      </c>
      <c r="D44" s="19">
        <v>2253</v>
      </c>
      <c r="E44" s="19">
        <v>2263</v>
      </c>
      <c r="F44" s="19">
        <v>2267</v>
      </c>
      <c r="G44" s="19"/>
      <c r="H44" s="19"/>
      <c r="I44" s="19"/>
      <c r="J44" s="19"/>
      <c r="K44" s="19"/>
      <c r="L44" s="19"/>
      <c r="M44" s="19"/>
      <c r="N44" s="19"/>
      <c r="O44"/>
    </row>
    <row r="45" spans="1:15" ht="15" x14ac:dyDescent="0.25">
      <c r="A45" s="17" t="s">
        <v>124</v>
      </c>
      <c r="B45" s="17" t="s">
        <v>125</v>
      </c>
      <c r="C45" s="18" t="s">
        <v>126</v>
      </c>
      <c r="D45" s="19">
        <v>418053</v>
      </c>
      <c r="E45" s="19">
        <v>418927</v>
      </c>
      <c r="F45" s="19">
        <v>419036</v>
      </c>
      <c r="G45" s="19"/>
      <c r="H45" s="19"/>
      <c r="I45" s="19"/>
      <c r="J45" s="19"/>
      <c r="K45" s="19"/>
      <c r="L45" s="19"/>
      <c r="M45" s="19"/>
      <c r="N45" s="19"/>
      <c r="O45"/>
    </row>
    <row r="46" spans="1:15" ht="15" x14ac:dyDescent="0.25">
      <c r="A46" s="17" t="s">
        <v>127</v>
      </c>
      <c r="B46" s="17" t="s">
        <v>128</v>
      </c>
      <c r="C46" s="18" t="s">
        <v>129</v>
      </c>
      <c r="D46" s="19">
        <v>19204</v>
      </c>
      <c r="E46" s="19">
        <v>19360</v>
      </c>
      <c r="F46" s="19">
        <v>19473</v>
      </c>
      <c r="G46" s="19"/>
      <c r="H46" s="19"/>
      <c r="I46" s="19"/>
      <c r="J46" s="19"/>
      <c r="K46" s="19"/>
      <c r="L46" s="19"/>
      <c r="M46" s="19"/>
      <c r="N46" s="19"/>
      <c r="O46"/>
    </row>
    <row r="47" spans="1:15" ht="15" x14ac:dyDescent="0.25">
      <c r="A47" s="17" t="s">
        <v>130</v>
      </c>
      <c r="B47" s="17" t="s">
        <v>131</v>
      </c>
      <c r="C47" s="18" t="s">
        <v>132</v>
      </c>
      <c r="D47" s="19">
        <v>23537</v>
      </c>
      <c r="E47" s="19">
        <v>23637</v>
      </c>
      <c r="F47" s="19">
        <v>23739</v>
      </c>
      <c r="G47" s="19"/>
      <c r="H47" s="19"/>
      <c r="I47" s="19"/>
      <c r="J47" s="19"/>
      <c r="K47" s="19"/>
      <c r="L47" s="19"/>
      <c r="M47" s="19"/>
      <c r="N47" s="19"/>
      <c r="O47"/>
    </row>
    <row r="48" spans="1:15" ht="15" x14ac:dyDescent="0.25">
      <c r="A48" s="17" t="s">
        <v>133</v>
      </c>
      <c r="B48" s="17" t="s">
        <v>134</v>
      </c>
      <c r="C48" s="18" t="s">
        <v>135</v>
      </c>
      <c r="D48" s="19">
        <v>30125</v>
      </c>
      <c r="E48" s="19">
        <v>30223</v>
      </c>
      <c r="F48" s="19">
        <v>30314</v>
      </c>
      <c r="G48" s="19"/>
      <c r="H48" s="19"/>
      <c r="I48" s="19"/>
      <c r="J48" s="19"/>
      <c r="K48" s="19"/>
      <c r="L48" s="19"/>
      <c r="M48" s="19"/>
      <c r="N48" s="19"/>
      <c r="O48"/>
    </row>
    <row r="49" spans="1:15" ht="15" x14ac:dyDescent="0.25">
      <c r="A49" s="17" t="s">
        <v>136</v>
      </c>
      <c r="B49" s="17" t="s">
        <v>137</v>
      </c>
      <c r="C49" s="18" t="s">
        <v>138</v>
      </c>
      <c r="D49" s="19">
        <v>73149</v>
      </c>
      <c r="E49" s="19">
        <v>73666</v>
      </c>
      <c r="F49" s="19">
        <v>74267</v>
      </c>
      <c r="G49" s="19"/>
      <c r="H49" s="19"/>
      <c r="I49" s="19"/>
      <c r="J49" s="19"/>
      <c r="K49" s="19"/>
      <c r="L49" s="19"/>
      <c r="M49" s="19"/>
      <c r="N49" s="19"/>
      <c r="O49"/>
    </row>
    <row r="50" spans="1:15" ht="15" x14ac:dyDescent="0.25">
      <c r="A50" s="17" t="s">
        <v>139</v>
      </c>
      <c r="B50" s="17" t="s">
        <v>140</v>
      </c>
      <c r="C50" s="18" t="s">
        <v>141</v>
      </c>
      <c r="D50" s="19">
        <v>36267</v>
      </c>
      <c r="E50" s="19">
        <v>36375</v>
      </c>
      <c r="F50" s="19">
        <v>36484</v>
      </c>
      <c r="G50" s="19"/>
      <c r="H50" s="19"/>
      <c r="I50" s="19"/>
      <c r="J50" s="19"/>
      <c r="K50" s="19"/>
      <c r="L50" s="19"/>
      <c r="M50" s="19"/>
      <c r="N50" s="19"/>
      <c r="O50"/>
    </row>
    <row r="51" spans="1:15" ht="15" x14ac:dyDescent="0.25">
      <c r="A51" s="17" t="s">
        <v>142</v>
      </c>
      <c r="B51" s="17" t="s">
        <v>143</v>
      </c>
      <c r="C51" s="18" t="s">
        <v>144</v>
      </c>
      <c r="D51" s="19">
        <v>3579</v>
      </c>
      <c r="E51" s="19">
        <v>3586</v>
      </c>
      <c r="F51" s="19">
        <v>3595</v>
      </c>
      <c r="G51" s="19"/>
      <c r="H51" s="19"/>
      <c r="I51" s="19"/>
      <c r="J51" s="19"/>
      <c r="K51" s="19"/>
      <c r="L51" s="19"/>
      <c r="M51" s="19"/>
      <c r="N51" s="19"/>
      <c r="O51"/>
    </row>
    <row r="52" spans="1:15" ht="15" x14ac:dyDescent="0.25">
      <c r="A52" s="17" t="s">
        <v>145</v>
      </c>
      <c r="B52" s="17" t="s">
        <v>146</v>
      </c>
      <c r="C52" s="18" t="s">
        <v>147</v>
      </c>
      <c r="D52" s="19">
        <v>16132</v>
      </c>
      <c r="E52" s="19">
        <v>16235</v>
      </c>
      <c r="F52" s="19">
        <v>16288</v>
      </c>
      <c r="G52" s="19"/>
      <c r="H52" s="19"/>
      <c r="I52" s="19"/>
      <c r="J52" s="19"/>
      <c r="K52" s="19"/>
      <c r="L52" s="19"/>
      <c r="M52" s="19"/>
      <c r="N52" s="19"/>
      <c r="O52"/>
    </row>
    <row r="53" spans="1:15" ht="15" x14ac:dyDescent="0.25">
      <c r="A53" s="17" t="s">
        <v>148</v>
      </c>
      <c r="B53" s="17" t="s">
        <v>149</v>
      </c>
      <c r="C53" s="18" t="s">
        <v>150</v>
      </c>
      <c r="D53" s="19">
        <v>24248</v>
      </c>
      <c r="E53" s="19">
        <v>24305</v>
      </c>
      <c r="F53" s="19">
        <v>24329</v>
      </c>
      <c r="G53" s="19"/>
      <c r="H53" s="19"/>
      <c r="I53" s="19"/>
      <c r="J53" s="19"/>
      <c r="K53" s="19"/>
      <c r="L53" s="19"/>
      <c r="M53" s="19"/>
      <c r="N53" s="19"/>
      <c r="O53"/>
    </row>
    <row r="54" spans="1:15" ht="15" x14ac:dyDescent="0.25">
      <c r="A54" s="17" t="s">
        <v>151</v>
      </c>
      <c r="B54" s="17" t="s">
        <v>152</v>
      </c>
      <c r="C54" s="18" t="s">
        <v>153</v>
      </c>
      <c r="D54" s="19">
        <v>30054</v>
      </c>
      <c r="E54" s="19">
        <v>30289</v>
      </c>
      <c r="F54" s="19">
        <v>30468</v>
      </c>
      <c r="G54" s="19"/>
      <c r="H54" s="19"/>
      <c r="I54" s="19"/>
      <c r="J54" s="19"/>
      <c r="K54" s="19"/>
      <c r="L54" s="19"/>
      <c r="M54" s="19"/>
      <c r="N54" s="19"/>
      <c r="O54"/>
    </row>
    <row r="55" spans="1:15" ht="15" x14ac:dyDescent="0.25">
      <c r="A55" s="17" t="s">
        <v>154</v>
      </c>
      <c r="B55" s="17" t="s">
        <v>155</v>
      </c>
      <c r="C55" s="18" t="s">
        <v>156</v>
      </c>
      <c r="D55" s="19">
        <v>11120</v>
      </c>
      <c r="E55" s="19">
        <v>11175</v>
      </c>
      <c r="F55" s="19">
        <v>11201</v>
      </c>
      <c r="G55" s="19"/>
      <c r="H55" s="19"/>
      <c r="I55" s="19"/>
      <c r="J55" s="19"/>
      <c r="K55" s="19"/>
      <c r="L55" s="19"/>
      <c r="M55" s="19"/>
      <c r="N55" s="19"/>
      <c r="O55"/>
    </row>
    <row r="56" spans="1:15" ht="15" x14ac:dyDescent="0.25">
      <c r="A56" s="17" t="s">
        <v>157</v>
      </c>
      <c r="B56" s="17" t="s">
        <v>158</v>
      </c>
      <c r="C56" s="18" t="s">
        <v>159</v>
      </c>
      <c r="D56" s="19">
        <v>82164</v>
      </c>
      <c r="E56" s="19">
        <v>82270</v>
      </c>
      <c r="F56" s="19">
        <v>82399</v>
      </c>
      <c r="G56" s="19"/>
      <c r="H56" s="19"/>
      <c r="I56" s="19"/>
      <c r="J56" s="19"/>
      <c r="K56" s="19"/>
      <c r="L56" s="19"/>
      <c r="M56" s="19"/>
      <c r="N56" s="19"/>
      <c r="O56"/>
    </row>
    <row r="57" spans="1:15" ht="15" x14ac:dyDescent="0.25">
      <c r="A57" s="17" t="s">
        <v>160</v>
      </c>
      <c r="B57" s="17" t="s">
        <v>161</v>
      </c>
      <c r="C57" s="18" t="s">
        <v>162</v>
      </c>
      <c r="D57" s="19">
        <v>8868</v>
      </c>
      <c r="E57" s="19">
        <v>8893</v>
      </c>
      <c r="F57" s="19">
        <v>8904</v>
      </c>
      <c r="G57" s="19"/>
      <c r="H57" s="19"/>
      <c r="I57" s="19"/>
      <c r="J57" s="19"/>
      <c r="K57" s="19"/>
      <c r="L57" s="19"/>
      <c r="M57" s="19"/>
      <c r="N57" s="19"/>
      <c r="O57"/>
    </row>
    <row r="58" spans="1:15" ht="15" x14ac:dyDescent="0.25">
      <c r="A58" s="17" t="s">
        <v>163</v>
      </c>
      <c r="B58" s="17" t="s">
        <v>164</v>
      </c>
      <c r="C58" s="18" t="s">
        <v>165</v>
      </c>
      <c r="D58" s="19">
        <v>68422</v>
      </c>
      <c r="E58" s="19">
        <v>68474</v>
      </c>
      <c r="F58" s="19">
        <v>68487</v>
      </c>
      <c r="G58" s="19"/>
      <c r="H58" s="19"/>
      <c r="I58" s="19"/>
      <c r="J58" s="19"/>
      <c r="K58" s="19"/>
      <c r="L58" s="19"/>
      <c r="M58" s="19"/>
      <c r="N58" s="19"/>
      <c r="O58"/>
    </row>
    <row r="59" spans="1:15" ht="15" x14ac:dyDescent="0.25">
      <c r="A59" s="17" t="s">
        <v>166</v>
      </c>
      <c r="B59" s="17" t="s">
        <v>167</v>
      </c>
      <c r="C59" s="18" t="s">
        <v>168</v>
      </c>
      <c r="D59" s="19">
        <v>8883</v>
      </c>
      <c r="E59" s="19">
        <v>8919</v>
      </c>
      <c r="F59" s="19">
        <v>8958</v>
      </c>
      <c r="G59" s="19"/>
      <c r="H59" s="19"/>
      <c r="I59" s="19"/>
      <c r="J59" s="19"/>
      <c r="K59" s="19"/>
      <c r="L59" s="19"/>
      <c r="M59" s="19"/>
      <c r="N59" s="19"/>
      <c r="O59"/>
    </row>
    <row r="60" spans="1:15" ht="15" x14ac:dyDescent="0.25">
      <c r="A60" s="17" t="s">
        <v>169</v>
      </c>
      <c r="B60" s="17" t="s">
        <v>170</v>
      </c>
      <c r="C60" s="18" t="s">
        <v>171</v>
      </c>
      <c r="D60" s="19">
        <v>33983</v>
      </c>
      <c r="E60" s="19">
        <v>34120</v>
      </c>
      <c r="F60" s="19">
        <v>34355</v>
      </c>
      <c r="G60" s="19"/>
      <c r="H60" s="19"/>
      <c r="I60" s="19"/>
      <c r="J60" s="19"/>
      <c r="K60" s="19"/>
      <c r="L60" s="19"/>
      <c r="M60" s="19"/>
      <c r="N60" s="19"/>
      <c r="O60"/>
    </row>
    <row r="61" spans="1:15" ht="15" x14ac:dyDescent="0.25">
      <c r="A61" s="17" t="s">
        <v>172</v>
      </c>
      <c r="B61" s="17" t="s">
        <v>173</v>
      </c>
      <c r="C61" s="18" t="s">
        <v>174</v>
      </c>
      <c r="D61" s="19">
        <v>29708</v>
      </c>
      <c r="E61" s="19">
        <v>29760</v>
      </c>
      <c r="F61" s="19">
        <v>29865</v>
      </c>
      <c r="G61" s="19"/>
      <c r="H61" s="19"/>
      <c r="I61" s="19"/>
      <c r="J61" s="19"/>
      <c r="K61" s="19"/>
      <c r="L61" s="19"/>
      <c r="M61" s="19"/>
      <c r="N61" s="19"/>
      <c r="O61"/>
    </row>
    <row r="62" spans="1:15" ht="15" x14ac:dyDescent="0.25">
      <c r="A62" s="17" t="s">
        <v>175</v>
      </c>
      <c r="B62" s="17" t="s">
        <v>176</v>
      </c>
      <c r="C62" s="18" t="s">
        <v>177</v>
      </c>
      <c r="D62" s="19">
        <v>15975</v>
      </c>
      <c r="E62" s="19">
        <v>16061</v>
      </c>
      <c r="F62" s="19">
        <v>16155</v>
      </c>
      <c r="G62" s="19"/>
      <c r="H62" s="19"/>
      <c r="I62" s="19"/>
      <c r="J62" s="19"/>
      <c r="K62" s="19"/>
      <c r="L62" s="19"/>
      <c r="M62" s="19"/>
      <c r="N62" s="19"/>
      <c r="O62"/>
    </row>
    <row r="63" spans="1:15" ht="15" x14ac:dyDescent="0.25">
      <c r="A63" s="17" t="s">
        <v>178</v>
      </c>
      <c r="B63" s="17" t="s">
        <v>179</v>
      </c>
      <c r="C63" s="18" t="s">
        <v>180</v>
      </c>
      <c r="D63" s="19">
        <v>20720</v>
      </c>
      <c r="E63" s="19">
        <v>20762</v>
      </c>
      <c r="F63" s="19">
        <v>20790</v>
      </c>
      <c r="G63" s="19"/>
      <c r="H63" s="19"/>
      <c r="I63" s="19"/>
      <c r="J63" s="19"/>
      <c r="K63" s="19"/>
      <c r="L63" s="19"/>
      <c r="M63" s="19"/>
      <c r="N63" s="19"/>
      <c r="O63"/>
    </row>
    <row r="64" spans="1:15" ht="15" x14ac:dyDescent="0.25">
      <c r="A64" s="17" t="s">
        <v>181</v>
      </c>
      <c r="B64" s="17" t="s">
        <v>182</v>
      </c>
      <c r="C64" s="18" t="s">
        <v>183</v>
      </c>
      <c r="D64" s="19">
        <v>50766</v>
      </c>
      <c r="E64" s="19">
        <v>50871</v>
      </c>
      <c r="F64" s="19">
        <v>50984</v>
      </c>
      <c r="G64" s="19"/>
      <c r="H64" s="19"/>
      <c r="I64" s="19"/>
      <c r="J64" s="19"/>
      <c r="K64" s="19"/>
      <c r="L64" s="19"/>
      <c r="M64" s="19"/>
      <c r="N64" s="19"/>
      <c r="O64"/>
    </row>
    <row r="65" spans="1:15" ht="15" x14ac:dyDescent="0.25">
      <c r="A65" s="17" t="s">
        <v>184</v>
      </c>
      <c r="B65" s="17" t="s">
        <v>185</v>
      </c>
      <c r="C65" s="18" t="s">
        <v>186</v>
      </c>
      <c r="D65" s="19">
        <v>10582</v>
      </c>
      <c r="E65" s="19">
        <v>10600</v>
      </c>
      <c r="F65" s="19">
        <v>10636</v>
      </c>
      <c r="G65" s="19"/>
      <c r="H65" s="19"/>
      <c r="I65" s="19"/>
      <c r="J65" s="19"/>
      <c r="K65" s="19"/>
      <c r="L65" s="19"/>
      <c r="M65" s="19"/>
      <c r="N65" s="19"/>
      <c r="O65"/>
    </row>
    <row r="66" spans="1:15" ht="15" x14ac:dyDescent="0.25">
      <c r="A66" s="17" t="s">
        <v>187</v>
      </c>
      <c r="B66" s="17" t="s">
        <v>188</v>
      </c>
      <c r="C66" s="18" t="s">
        <v>189</v>
      </c>
      <c r="D66" s="19">
        <v>12619</v>
      </c>
      <c r="E66" s="19">
        <v>12687</v>
      </c>
      <c r="F66" s="19">
        <v>12738</v>
      </c>
      <c r="G66" s="19"/>
      <c r="H66" s="19"/>
      <c r="I66" s="19"/>
      <c r="J66" s="19"/>
      <c r="K66" s="19"/>
      <c r="L66" s="19"/>
      <c r="M66" s="19"/>
      <c r="N66" s="19"/>
      <c r="O66"/>
    </row>
    <row r="67" spans="1:15" ht="15" x14ac:dyDescent="0.25">
      <c r="A67" s="17" t="s">
        <v>190</v>
      </c>
      <c r="B67" s="17" t="s">
        <v>191</v>
      </c>
      <c r="C67" s="18" t="s">
        <v>192</v>
      </c>
      <c r="D67" s="19">
        <v>13720</v>
      </c>
      <c r="E67" s="19">
        <v>13785</v>
      </c>
      <c r="F67" s="19">
        <v>13824</v>
      </c>
      <c r="G67" s="19"/>
      <c r="H67" s="19"/>
      <c r="I67" s="19"/>
      <c r="J67" s="19"/>
      <c r="K67" s="19"/>
      <c r="L67" s="19"/>
      <c r="M67" s="19"/>
      <c r="N67" s="19"/>
      <c r="O67"/>
    </row>
    <row r="68" spans="1:15" ht="15" x14ac:dyDescent="0.25">
      <c r="A68" s="17" t="s">
        <v>193</v>
      </c>
      <c r="B68" s="17" t="s">
        <v>194</v>
      </c>
      <c r="C68" s="18" t="s">
        <v>195</v>
      </c>
      <c r="D68" s="19">
        <v>25116</v>
      </c>
      <c r="E68" s="19">
        <v>25200</v>
      </c>
      <c r="F68" s="19">
        <v>25290</v>
      </c>
      <c r="G68" s="19"/>
      <c r="H68" s="19"/>
      <c r="I68" s="19"/>
      <c r="J68" s="19"/>
      <c r="K68" s="19"/>
      <c r="L68" s="19"/>
      <c r="M68" s="19"/>
      <c r="N68" s="19"/>
      <c r="O68"/>
    </row>
    <row r="69" spans="1:15" ht="15" x14ac:dyDescent="0.25">
      <c r="A69" s="17" t="s">
        <v>196</v>
      </c>
      <c r="B69" s="17" t="s">
        <v>197</v>
      </c>
      <c r="C69" s="18" t="s">
        <v>198</v>
      </c>
      <c r="D69" s="19">
        <v>51531</v>
      </c>
      <c r="E69" s="19">
        <v>51601</v>
      </c>
      <c r="F69" s="19">
        <v>51664</v>
      </c>
      <c r="G69" s="19"/>
      <c r="H69" s="19"/>
      <c r="I69" s="19"/>
      <c r="J69" s="19"/>
      <c r="K69" s="19"/>
      <c r="L69" s="19"/>
      <c r="M69" s="19"/>
      <c r="N69" s="19"/>
      <c r="O69"/>
    </row>
    <row r="70" spans="1:15" ht="15" x14ac:dyDescent="0.25">
      <c r="A70" s="17" t="s">
        <v>199</v>
      </c>
      <c r="B70" s="17" t="s">
        <v>200</v>
      </c>
      <c r="C70" s="18" t="s">
        <v>201</v>
      </c>
      <c r="D70" s="19">
        <v>12979</v>
      </c>
      <c r="E70" s="19">
        <v>13019</v>
      </c>
      <c r="F70" s="19">
        <v>13055</v>
      </c>
      <c r="G70" s="19"/>
      <c r="H70" s="19"/>
      <c r="I70" s="19"/>
      <c r="J70" s="19"/>
      <c r="K70" s="19"/>
      <c r="L70" s="19"/>
      <c r="M70" s="19"/>
      <c r="N70" s="19"/>
      <c r="O70"/>
    </row>
    <row r="71" spans="1:15" ht="15" x14ac:dyDescent="0.25">
      <c r="A71" s="17" t="s">
        <v>202</v>
      </c>
      <c r="B71" s="17" t="s">
        <v>203</v>
      </c>
      <c r="C71" s="18" t="s">
        <v>204</v>
      </c>
      <c r="D71" s="19">
        <v>54695</v>
      </c>
      <c r="E71" s="19">
        <v>54960</v>
      </c>
      <c r="F71" s="19">
        <v>55138</v>
      </c>
      <c r="G71" s="19"/>
      <c r="H71" s="19"/>
      <c r="I71" s="19"/>
      <c r="J71" s="19"/>
      <c r="K71" s="19"/>
      <c r="L71" s="19"/>
      <c r="M71" s="19"/>
      <c r="N71" s="19"/>
      <c r="O71"/>
    </row>
    <row r="72" spans="1:15" ht="15" x14ac:dyDescent="0.25">
      <c r="A72" s="17" t="s">
        <v>205</v>
      </c>
      <c r="B72" s="17" t="s">
        <v>206</v>
      </c>
      <c r="C72" s="18" t="s">
        <v>207</v>
      </c>
      <c r="D72" s="19">
        <v>160864</v>
      </c>
      <c r="E72" s="19">
        <v>161302</v>
      </c>
      <c r="F72" s="19">
        <v>161868</v>
      </c>
      <c r="G72" s="19"/>
      <c r="H72" s="19"/>
      <c r="I72" s="19"/>
      <c r="J72" s="19"/>
      <c r="K72" s="19"/>
      <c r="L72" s="19"/>
      <c r="M72" s="19"/>
      <c r="N72" s="19"/>
      <c r="O72"/>
    </row>
    <row r="73" spans="1:15" ht="15" x14ac:dyDescent="0.25">
      <c r="A73" s="17" t="s">
        <v>208</v>
      </c>
      <c r="B73" s="17" t="s">
        <v>209</v>
      </c>
      <c r="C73" s="18" t="s">
        <v>210</v>
      </c>
      <c r="D73" s="19">
        <v>25396</v>
      </c>
      <c r="E73" s="19">
        <v>25462</v>
      </c>
      <c r="F73" s="19">
        <v>25501</v>
      </c>
      <c r="G73" s="19"/>
      <c r="H73" s="19"/>
      <c r="I73" s="19"/>
      <c r="J73" s="19"/>
      <c r="K73" s="19"/>
      <c r="L73" s="19"/>
      <c r="M73" s="19"/>
      <c r="N73" s="19"/>
      <c r="O73"/>
    </row>
    <row r="74" spans="1:15" ht="15" x14ac:dyDescent="0.25">
      <c r="A74" s="17" t="s">
        <v>211</v>
      </c>
      <c r="B74" s="17" t="s">
        <v>212</v>
      </c>
      <c r="C74" s="18" t="s">
        <v>213</v>
      </c>
      <c r="D74" s="19">
        <v>14843</v>
      </c>
      <c r="E74" s="19">
        <v>14897</v>
      </c>
      <c r="F74" s="19">
        <v>14913</v>
      </c>
      <c r="G74" s="19"/>
      <c r="H74" s="19"/>
      <c r="I74" s="19"/>
      <c r="J74" s="19"/>
      <c r="K74" s="19"/>
      <c r="L74" s="19"/>
      <c r="M74" s="19"/>
      <c r="N74" s="19"/>
      <c r="O74"/>
    </row>
    <row r="75" spans="1:15" ht="15" x14ac:dyDescent="0.25">
      <c r="A75" s="17" t="s">
        <v>214</v>
      </c>
      <c r="B75" s="17" t="s">
        <v>215</v>
      </c>
      <c r="C75" s="18" t="s">
        <v>216</v>
      </c>
      <c r="D75" s="19">
        <v>73329</v>
      </c>
      <c r="E75" s="19">
        <v>73650</v>
      </c>
      <c r="F75" s="19">
        <v>74025</v>
      </c>
      <c r="G75" s="19"/>
      <c r="H75" s="19"/>
      <c r="I75" s="19"/>
      <c r="J75" s="19"/>
      <c r="K75" s="19"/>
      <c r="L75" s="19"/>
      <c r="M75" s="19"/>
      <c r="N75" s="19"/>
      <c r="O75"/>
    </row>
    <row r="76" spans="1:15" ht="15" x14ac:dyDescent="0.25">
      <c r="A76" s="17" t="s">
        <v>217</v>
      </c>
      <c r="B76" s="17" t="s">
        <v>218</v>
      </c>
      <c r="C76" s="18" t="s">
        <v>219</v>
      </c>
      <c r="D76" s="19">
        <v>34088</v>
      </c>
      <c r="E76" s="19">
        <v>34120</v>
      </c>
      <c r="F76" s="19">
        <v>34127</v>
      </c>
      <c r="G76" s="19"/>
      <c r="H76" s="19"/>
      <c r="I76" s="19"/>
      <c r="J76" s="19"/>
      <c r="K76" s="19"/>
      <c r="L76" s="19"/>
      <c r="M76" s="19"/>
      <c r="N76" s="19"/>
      <c r="O76"/>
    </row>
    <row r="77" spans="1:15" ht="15" x14ac:dyDescent="0.25">
      <c r="A77" s="20"/>
      <c r="B77" s="20"/>
      <c r="C77" s="21" t="s">
        <v>220</v>
      </c>
      <c r="D77" s="22">
        <f t="shared" ref="D77:N77" si="0">SUM(D5:D76)</f>
        <v>2624358</v>
      </c>
      <c r="E77" s="22">
        <f t="shared" si="0"/>
        <v>2633597</v>
      </c>
      <c r="F77" s="22">
        <f t="shared" si="0"/>
        <v>2641831</v>
      </c>
      <c r="G77" s="22">
        <f t="shared" si="0"/>
        <v>0</v>
      </c>
      <c r="H77" s="22">
        <f t="shared" si="0"/>
        <v>0</v>
      </c>
      <c r="I77" s="22">
        <f t="shared" si="0"/>
        <v>0</v>
      </c>
      <c r="J77" s="22">
        <f t="shared" si="0"/>
        <v>0</v>
      </c>
      <c r="K77" s="22">
        <f t="shared" si="0"/>
        <v>0</v>
      </c>
      <c r="L77" s="22">
        <f t="shared" si="0"/>
        <v>0</v>
      </c>
      <c r="M77" s="23">
        <f t="shared" si="0"/>
        <v>0</v>
      </c>
      <c r="N77" s="23">
        <f t="shared" si="0"/>
        <v>0</v>
      </c>
      <c r="O77" s="2"/>
    </row>
    <row r="78" spans="1:15" x14ac:dyDescent="0.2">
      <c r="E78" s="2"/>
    </row>
    <row r="79" spans="1:15" ht="12.75" customHeight="1" x14ac:dyDescent="0.2">
      <c r="A79" s="3" t="s">
        <v>221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5"/>
    </row>
    <row r="80" spans="1: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</row>
    <row r="81" spans="1:14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5"/>
    </row>
    <row r="82" spans="1:14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5"/>
    </row>
  </sheetData>
  <mergeCells count="5">
    <mergeCell ref="A2:B2"/>
    <mergeCell ref="A79:N82"/>
    <mergeCell ref="A1:N1"/>
    <mergeCell ref="C2:N3"/>
    <mergeCell ref="A3:B3"/>
  </mergeCells>
  <phoneticPr fontId="1" type="noConversion"/>
  <printOptions horizontalCentered="1" gridLines="1"/>
  <pageMargins left="0.5" right="0.5" top="1" bottom="1" header="0.5" footer="0.5"/>
  <pageSetup scale="98" fitToHeight="0" orientation="landscape" r:id="rId1"/>
  <headerFooter alignWithMargins="0">
    <oddFooter>&amp;L&amp;"Arial,Regular"&amp;9Workbook: &amp;F&amp;C&amp;"Arial,Regular"&amp;9page &amp;P of &amp;N&amp;R&amp;"Arial,Regular"&amp;9WI Demographic Services Center
October 2012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Co_Est_HUs</vt:lpstr>
      <vt:lpstr>Co_Est_HUs!Print_Area</vt:lpstr>
      <vt:lpstr>Co_Est_HUs!Print_Titles</vt:lpstr>
    </vt:vector>
  </TitlesOfParts>
  <Manager>Demographic Services Center</Manager>
  <Company>WI Dept. of Administration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Estimated Cumulative Housing Units by County, 2010s</dc:title>
  <dc:subject>Housing Data</dc:subject>
  <dc:creator>David Egan-Robertson</dc:creator>
  <dc:description>extracted from PopEst housing data set using Q_DER_HU by Co Cumulative_00s</dc:description>
  <cp:lastModifiedBy>Egan-Robertson, David</cp:lastModifiedBy>
  <cp:lastPrinted>2012-10-02T16:04:25Z</cp:lastPrinted>
  <dcterms:created xsi:type="dcterms:W3CDTF">2007-12-14T15:14:06Z</dcterms:created>
  <dcterms:modified xsi:type="dcterms:W3CDTF">2012-10-02T16:04:56Z</dcterms:modified>
</cp:coreProperties>
</file>