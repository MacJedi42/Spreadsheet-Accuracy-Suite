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0" yWindow="0" windowWidth="9165" windowHeight="7725" tabRatio="700"/>
  </bookViews>
  <sheets>
    <sheet name="budynki" sheetId="2" r:id="rId1"/>
    <sheet name="elektronika" sheetId="4" r:id="rId2"/>
    <sheet name="śr. trwałe" sheetId="8" r:id="rId3"/>
    <sheet name="pojazdy" sheetId="6" r:id="rId4"/>
    <sheet name="szkody" sheetId="11" r:id="rId5"/>
    <sheet name="Informacje Ogólne" sheetId="13" r:id="rId6"/>
    <sheet name="lokalizacje" sheetId="10" r:id="rId7"/>
  </sheets>
  <definedNames>
    <definedName name="_xlnm.Print_Area" localSheetId="0">budynki!$A$1:$X$69</definedName>
    <definedName name="_xlnm.Print_Area" localSheetId="1">elektronika!$A$1:$D$262</definedName>
    <definedName name="_xlnm.Print_Area" localSheetId="6">lokalizacje!$A$1:$C$11</definedName>
    <definedName name="_xlnm.Print_Area" localSheetId="3">pojazdy!$A$1:$AA$24</definedName>
    <definedName name="_xlnm.Print_Area" localSheetId="2">'śr. trwałe'!$A$1:$D$15</definedName>
  </definedNames>
  <calcPr calcId="144525"/>
</workbook>
</file>

<file path=xl/calcChain.xml><?xml version="1.0" encoding="utf-8"?>
<calcChain xmlns="http://schemas.openxmlformats.org/spreadsheetml/2006/main">
  <c r="G69" i="2"/>
  <c r="D77" i="4"/>
  <c r="D122"/>
  <c r="D138"/>
  <c r="D167"/>
  <c r="D175"/>
  <c r="D193"/>
  <c r="D200"/>
  <c r="D211"/>
  <c r="D216"/>
  <c r="D230"/>
  <c r="D233"/>
  <c r="D240"/>
  <c r="C15" i="8"/>
  <c r="G8" i="2"/>
  <c r="G25"/>
  <c r="G28"/>
  <c r="G33"/>
  <c r="G36"/>
  <c r="G40"/>
  <c r="G52"/>
  <c r="G66"/>
  <c r="G58"/>
  <c r="L31"/>
  <c r="L30"/>
  <c r="G11"/>
  <c r="G14"/>
  <c r="D258" i="4"/>
  <c r="D257"/>
  <c r="D255"/>
  <c r="D256"/>
  <c r="V14" i="6"/>
  <c r="V10"/>
  <c r="V11"/>
  <c r="V12"/>
  <c r="V13"/>
  <c r="V9"/>
  <c r="D250" i="4"/>
  <c r="D225"/>
  <c r="D170"/>
  <c r="D29"/>
  <c r="D16"/>
  <c r="V25" i="2"/>
  <c r="V28"/>
  <c r="V40"/>
  <c r="X18"/>
  <c r="W19"/>
  <c r="X19"/>
  <c r="C14" i="8"/>
  <c r="A12" i="11"/>
  <c r="C12"/>
  <c r="M40" i="2"/>
  <c r="N40"/>
  <c r="L40"/>
  <c r="C10" i="8"/>
  <c r="C9"/>
  <c r="D219" i="4"/>
  <c r="C8" i="8"/>
  <c r="D253" i="4"/>
  <c r="D246"/>
  <c r="C5" i="8"/>
  <c r="D15"/>
</calcChain>
</file>

<file path=xl/sharedStrings.xml><?xml version="1.0" encoding="utf-8"?>
<sst xmlns="http://schemas.openxmlformats.org/spreadsheetml/2006/main" count="896" uniqueCount="529">
  <si>
    <t>Tabela nr 1</t>
  </si>
  <si>
    <t>lp.</t>
  </si>
  <si>
    <t>rok budowy</t>
  </si>
  <si>
    <t>zabezpieczenia
(znane zabiezpieczenia p-poż i przeciw kradzieżowe)                                      (2)</t>
  </si>
  <si>
    <t>lokalizacja (adres)</t>
  </si>
  <si>
    <t>ilość kondygnacji</t>
  </si>
  <si>
    <t>Rodzaj materiałów budowlanych, z jakich wykonano budynek</t>
  </si>
  <si>
    <t>(szacunkowa wartość odtworzeniowa)   (3)</t>
  </si>
  <si>
    <t>mury</t>
  </si>
  <si>
    <t>stropy</t>
  </si>
  <si>
    <t>dach (konstrukcja i pokrycie)</t>
  </si>
  <si>
    <t>RAZEM</t>
  </si>
  <si>
    <t>Nazwa jednostki</t>
  </si>
  <si>
    <t>Tabela nr 2</t>
  </si>
  <si>
    <t xml:space="preserve">nazwa  </t>
  </si>
  <si>
    <t>rok produkcji</t>
  </si>
  <si>
    <t>wartość (początkowa) - księgowa brutto</t>
  </si>
  <si>
    <t>nazwa środka trwałego</t>
  </si>
  <si>
    <r>
      <t xml:space="preserve">nazwa środka trwałego oraz informacja, czy urządzenie zainstalowane jest </t>
    </r>
    <r>
      <rPr>
        <b/>
        <u/>
        <sz val="10"/>
        <rFont val="Arial"/>
        <family val="2"/>
        <charset val="238"/>
      </rPr>
      <t>wewnątrz budynku</t>
    </r>
    <r>
      <rPr>
        <b/>
        <sz val="10"/>
        <rFont val="Arial"/>
        <family val="2"/>
        <charset val="238"/>
      </rPr>
      <t xml:space="preserve">, czy </t>
    </r>
    <r>
      <rPr>
        <b/>
        <u/>
        <sz val="10"/>
        <rFont val="Arial"/>
        <family val="2"/>
        <charset val="238"/>
      </rPr>
      <t>na zewnątrz</t>
    </r>
  </si>
  <si>
    <t>Tabela nr 3</t>
  </si>
  <si>
    <t>Razem</t>
  </si>
  <si>
    <t>Tabela nr 5</t>
  </si>
  <si>
    <t>Dane pojazdów/ pojazdów wolnobieżnych</t>
  </si>
  <si>
    <t>Lp.</t>
  </si>
  <si>
    <t>Marka</t>
  </si>
  <si>
    <t>Typ, model</t>
  </si>
  <si>
    <t>Nr podw./ nadw.</t>
  </si>
  <si>
    <t>Nr rej.</t>
  </si>
  <si>
    <t>Rodzaj         (osobowy/ ciężarowy/ specjalny)</t>
  </si>
  <si>
    <t>Wyposażenie pojazdu specjalnego*</t>
  </si>
  <si>
    <t>Poj.</t>
  </si>
  <si>
    <t>Rok prod.</t>
  </si>
  <si>
    <t>Data I rejestracji</t>
  </si>
  <si>
    <t>Ilość miejsc</t>
  </si>
  <si>
    <t>Ładowność</t>
  </si>
  <si>
    <t>Dopuszczalna masa całkowita</t>
  </si>
  <si>
    <t>Przebieg</t>
  </si>
  <si>
    <t>Zabezpieczenia przeciwkradzieżowe</t>
  </si>
  <si>
    <r>
      <t xml:space="preserve">Rodzaj wartości pojazdu               </t>
    </r>
    <r>
      <rPr>
        <sz val="10"/>
        <rFont val="Arial"/>
        <family val="2"/>
        <charset val="238"/>
      </rPr>
      <t xml:space="preserve"> (z VAT / Bez VAT)</t>
    </r>
  </si>
  <si>
    <t>Okres ubezpieczenia OC i NW</t>
  </si>
  <si>
    <t>Okres ubezpieczenia AC i KR</t>
  </si>
  <si>
    <r>
      <t>Zielona Karta***</t>
    </r>
    <r>
      <rPr>
        <sz val="10"/>
        <rFont val="Arial"/>
        <family val="2"/>
        <charset val="238"/>
      </rPr>
      <t xml:space="preserve"> (kraj)</t>
    </r>
  </si>
  <si>
    <t>rodzaj</t>
  </si>
  <si>
    <t>wartość</t>
  </si>
  <si>
    <t>Od</t>
  </si>
  <si>
    <t>Do</t>
  </si>
  <si>
    <r>
      <t>UWAGA:</t>
    </r>
    <r>
      <rPr>
        <b/>
        <sz val="11"/>
        <rFont val="Arial"/>
        <family val="2"/>
      </rPr>
      <t xml:space="preserve"> tabela dotyczy budynków/lokali nie będących własnością jednostki, a jednocześnie nie jest wymagane (np. w odrębnych umowach najmu itp.) ich ubezpieczanie od ognia i innych zdarzeń losowych</t>
    </r>
  </si>
  <si>
    <t>Lokalizacja (adres)</t>
  </si>
  <si>
    <t>Zabezpieczenia (znane zabezpieczenia p-poż i przeciw kradzieżowe)</t>
  </si>
  <si>
    <t xml:space="preserve">nazwa budynku/ budowli </t>
  </si>
  <si>
    <t>WYKAZ WSZYSTKICH LOKALIZACJI, W KTÓRYCH PROWADZONA JEST DZIAŁALNOŚĆ ORAZ LOKALIZACJI, GDZIE ZNAJDUJE SIĘ MIENIE NALEŻĄCE DO PAŃSTWA JEDNOSTKI (nie wykazane w tabeli dotyczacej budynków i budowli)</t>
  </si>
  <si>
    <t xml:space="preserve">przeznaczenie budynku/ budowli </t>
  </si>
  <si>
    <t>czy budynek jest podpiwniczony?</t>
  </si>
  <si>
    <t>czy znajdują się w nim instalacje sanitarne? (TAK/NIE)</t>
  </si>
  <si>
    <t>czy jest wyposażony w windę? (TAK/NIE)</t>
  </si>
  <si>
    <t>czy budynek jest użytkowany? (TAK/NIE)</t>
  </si>
  <si>
    <t>Tabela nr 6</t>
  </si>
  <si>
    <t>Informacje o szkodach w ostatnich 3 latach</t>
  </si>
  <si>
    <t>NIP</t>
  </si>
  <si>
    <t>REGON</t>
  </si>
  <si>
    <t>Tabela nr 7</t>
  </si>
  <si>
    <t>powierzchnia użytkowa (w m²)**</t>
  </si>
  <si>
    <t>powierzchnia zabudowy (w m²)*</t>
  </si>
  <si>
    <t>Czy pojazd służy do nauki jazdy? (TAK/NIE)</t>
  </si>
  <si>
    <t>3. Wykaz monitoringu wizyjnego - system kamer itp. (do 5 lat) - rok 2006 i młodszy</t>
  </si>
  <si>
    <t>czy jest to budynkek zabytkowy, podlegający nadzorowi konserwatora zabytków?</t>
  </si>
  <si>
    <t>Wykaz budynków i budowli- str. 1</t>
  </si>
  <si>
    <t>Wykaz budynków i budowli - str. 3</t>
  </si>
  <si>
    <t>Jednostka</t>
  </si>
  <si>
    <t>Urządzenia i wyposażenie</t>
  </si>
  <si>
    <t>W tym zbiory bibioteczne</t>
  </si>
  <si>
    <t>Szkoła Podstawowa im. Mikołaja Kopernika</t>
  </si>
  <si>
    <t>ZOZ LUBAWA</t>
  </si>
  <si>
    <t>podstawowa opieka zdrowotna</t>
  </si>
  <si>
    <t>tak</t>
  </si>
  <si>
    <t>nie</t>
  </si>
  <si>
    <t>alarm i monitoring</t>
  </si>
  <si>
    <t>ul.Rzepnikowskiego 20 14-260 Lubawa</t>
  </si>
  <si>
    <t>zestaw komputerowy</t>
  </si>
  <si>
    <t>aparat USG</t>
  </si>
  <si>
    <t>spiromatr MICROLOB</t>
  </si>
  <si>
    <t>centrala telefoniczna</t>
  </si>
  <si>
    <t>defibrylator</t>
  </si>
  <si>
    <t>urządzenia klimatyzacyjne</t>
  </si>
  <si>
    <t>system monitoringu</t>
  </si>
  <si>
    <t>Budynek OsiR</t>
  </si>
  <si>
    <t>Stadion piłkarsko-lekkoatletyczny wraz z kortami tenisowymi ziemnymi</t>
  </si>
  <si>
    <t>Hala widowiskowo-sportowa</t>
  </si>
  <si>
    <t>Boisko treningowe piłkarskie</t>
  </si>
  <si>
    <t>Gaśnice ABC (20kg); Hydranty – 4 zewn, 4 wewn.; Drzwi główne, drzwi awaryjne; Zamki Yale podwójne; Dozór pracowniczy całodobowy; Monitoring całodobowy</t>
  </si>
  <si>
    <t>Hydranty – 4 zewn, 4 wewn.; Monitoring całodobowy; Dozór pracowniczy całodobowy;</t>
  </si>
  <si>
    <t>Dozór pracowniczy – część doby; 3 wejścia zewn, 2 wewn; Zamki typu yale pdwójne; Czujniki dymu; Hydranty – 5 wewn.; Gaśnice ABC (42 kg)</t>
  </si>
  <si>
    <t>dozór pracowniczy całodobowy, monitoring całodobowy</t>
  </si>
  <si>
    <t>ul. Łąkowa 8, 14-260 Lubawa</t>
  </si>
  <si>
    <t>ul. Św. Barbary 45, 14-260 Lubawa</t>
  </si>
  <si>
    <t>2. Ośrodek Sportu i Rekreacji</t>
  </si>
  <si>
    <t>1. ZOZ Lubawa</t>
  </si>
  <si>
    <t>1. ZOZ</t>
  </si>
  <si>
    <t>2. OSiR</t>
  </si>
  <si>
    <t>Zestaw komputerowy recepcja</t>
  </si>
  <si>
    <t>Zestaw sprzętu nagłaśniającego</t>
  </si>
  <si>
    <t>Dekoder SAMSUNG h370g nr XRJG6SCQ416757A</t>
  </si>
  <si>
    <t>Drukarka HP COLOR LASERJET CP2025N</t>
  </si>
  <si>
    <t>Zestaw komputerowy księgowość</t>
  </si>
  <si>
    <t>Instalacja TV</t>
  </si>
  <si>
    <t>Kasa fiskalna Novitus BRAVO Bazar</t>
  </si>
  <si>
    <t xml:space="preserve">Kasa fiskalna BRAVO </t>
  </si>
  <si>
    <t>Laptop HP 4710s</t>
  </si>
  <si>
    <t>Wieża LG LM-M0140D</t>
  </si>
  <si>
    <t>Urządzenie wielofunkcyjne HP Deskjet 2050</t>
  </si>
  <si>
    <t>Telefax Panasonic KX-FP207</t>
  </si>
  <si>
    <t>Elektroniczny pomiar czasu</t>
  </si>
  <si>
    <t>Zestaw do monitoringu (w tym trzy kamery na zewnątrz budynku)</t>
  </si>
  <si>
    <t>Rozbudowa zestawu do monitoringu (rejestrator BCS, 5 kamer -  w tym jedna na zewnątrz, dysk twardy)</t>
  </si>
  <si>
    <t>Ośrodek Sportu i Rekreacji w Lubawie</t>
  </si>
  <si>
    <t>3. Szkoła Podstawowa</t>
  </si>
  <si>
    <t>Komputer celeron+monitor 4 szt</t>
  </si>
  <si>
    <t>Skaner,drukarka,kopiarka</t>
  </si>
  <si>
    <t>Monitor LG lcd 1717</t>
  </si>
  <si>
    <t>Zestaw komputerowy celeron</t>
  </si>
  <si>
    <t>Monitor LG 1752</t>
  </si>
  <si>
    <t>Centrala telefoniczna</t>
  </si>
  <si>
    <t>Telewozor Philips</t>
  </si>
  <si>
    <t>Telewizor samsung</t>
  </si>
  <si>
    <t>Telewizor Philips</t>
  </si>
  <si>
    <t>Drukarka Hp psc 1510</t>
  </si>
  <si>
    <t>Power Mikser Yamaha EMX-512S</t>
  </si>
  <si>
    <t>Kolumna Yamaha S-115V 2 szt</t>
  </si>
  <si>
    <t>Mikrofony Samson stage 2 szt</t>
  </si>
  <si>
    <t>Drukarka HP LaserJet P2015n</t>
  </si>
  <si>
    <t>Zestaw komputerowy</t>
  </si>
  <si>
    <t>Monitor Flatron LCP 17"</t>
  </si>
  <si>
    <t>LG Monitor Flatron LCD 19"</t>
  </si>
  <si>
    <t xml:space="preserve">DVD-VCR Philips DVP- 3100V </t>
  </si>
  <si>
    <t>DVD-VCR THOMSON DTH- 6350</t>
  </si>
  <si>
    <t>Telewizor DAEWOO DTL- 2950K SLIM 50H</t>
  </si>
  <si>
    <t>Telewizor DAEWOO 29" DTK29U3K</t>
  </si>
  <si>
    <t>Zestaw CERTUM USB- podpis elektroniczny</t>
  </si>
  <si>
    <t>Telefax Panasonic</t>
  </si>
  <si>
    <t>Monitor</t>
  </si>
  <si>
    <t>Urzadzenie wielofunkcyjne SAMSUNG</t>
  </si>
  <si>
    <t>Karta komputerowa</t>
  </si>
  <si>
    <t>Elektroniczna woźna</t>
  </si>
  <si>
    <t>kserokopiarka Gestetner MP 1500</t>
  </si>
  <si>
    <t>Serwer</t>
  </si>
  <si>
    <t>Monitor 24</t>
  </si>
  <si>
    <t>Komputer nauczycielski</t>
  </si>
  <si>
    <t>Komputer uczniowski</t>
  </si>
  <si>
    <t>Projektor multimedialny</t>
  </si>
  <si>
    <t>Tablica interaktywna</t>
  </si>
  <si>
    <t>Szafa z chłodzeniem dla serwera</t>
  </si>
  <si>
    <t>Aparat fotograficzny cyfrowy</t>
  </si>
  <si>
    <t>Urządzenie wielofunkcyjne 4 w 1</t>
  </si>
  <si>
    <t>Platforma e-larningowa</t>
  </si>
  <si>
    <t>Drukarka HP Color LaserJet</t>
  </si>
  <si>
    <t>Wizualizer AverMedia</t>
  </si>
  <si>
    <t>Monitor 18,5</t>
  </si>
  <si>
    <t>Telewizor LCD Samsung (2 szt)</t>
  </si>
  <si>
    <t>Aparat cyfrowy Canon DSC- A560</t>
  </si>
  <si>
    <t>Kamera</t>
  </si>
  <si>
    <t>Zasilacz</t>
  </si>
  <si>
    <t>Kamera kolorowa</t>
  </si>
  <si>
    <t>Kamera kopułowa kolorowa</t>
  </si>
  <si>
    <t>Kamera cyfrowa</t>
  </si>
  <si>
    <t>Notebook HP 6830s DC MV T3400</t>
  </si>
  <si>
    <t>3. Szkoła Podstawowa im. Mikołaja Kopernika</t>
  </si>
  <si>
    <t xml:space="preserve">Urząd Miasta Lubawa </t>
  </si>
  <si>
    <t xml:space="preserve">Budynek biurowy </t>
  </si>
  <si>
    <t>14 – 260 Lubawa ul. Rzepnikowskiego 9A</t>
  </si>
  <si>
    <t xml:space="preserve">nie </t>
  </si>
  <si>
    <t xml:space="preserve">Cegła wapienno – paskowa </t>
  </si>
  <si>
    <t>Żelbetowe</t>
  </si>
  <si>
    <t>Żelbetowy</t>
  </si>
  <si>
    <r>
      <t xml:space="preserve">1. </t>
    </r>
    <r>
      <rPr>
        <u/>
        <sz val="10"/>
        <rFont val="Arial"/>
        <family val="2"/>
        <charset val="238"/>
      </rPr>
      <t xml:space="preserve">Przeciwpożarowe:  </t>
    </r>
    <r>
      <rPr>
        <sz val="10"/>
        <rFont val="Arial"/>
        <family val="2"/>
        <charset val="238"/>
      </rPr>
      <t xml:space="preserve">-gaśnice ( 6 szt. )  , hydranty ( 2 szt. )                   2. </t>
    </r>
    <r>
      <rPr>
        <u/>
        <sz val="10"/>
        <rFont val="Arial"/>
        <family val="2"/>
        <charset val="238"/>
      </rPr>
      <t>Przeciwkradzieżowe:</t>
    </r>
    <r>
      <rPr>
        <sz val="10"/>
        <rFont val="Arial"/>
        <family val="2"/>
        <charset val="238"/>
      </rPr>
      <t xml:space="preserve">  - kraty w oknach na niższej kondygnacji , alarm, dozór firmy ochroniarskiej </t>
    </r>
  </si>
  <si>
    <t>Drukarka igłowa PANASONIC</t>
  </si>
  <si>
    <t>Drukarka LASERJET</t>
  </si>
  <si>
    <t xml:space="preserve">Zestaw Komputerowy </t>
  </si>
  <si>
    <t>Zestaw Komputerowy</t>
  </si>
  <si>
    <t>Zasilacz UPS MGE ELLIPSE</t>
  </si>
  <si>
    <t xml:space="preserve">Sprzęt komputerowy i teleinformatyczny – Projekt” Wrota Warmii i Mazur „ </t>
  </si>
  <si>
    <t>Urządzenie HSM do podpisów elektronicznych</t>
  </si>
  <si>
    <t xml:space="preserve">Listwa podtrzymująca napięcie UPS ACP do serwera </t>
  </si>
  <si>
    <t xml:space="preserve">Sprzęt nagłaśniający BOSCH </t>
  </si>
  <si>
    <t>Zasilacz UPS EASY ACTIVE POWER</t>
  </si>
  <si>
    <t>Drukarka BROTHER – urządzenie wielofunkcyjne</t>
  </si>
  <si>
    <t>MONITOR ACER A4 1916W</t>
  </si>
  <si>
    <t xml:space="preserve">KLIMATYZATOR ŚCIENNY 3,5 kWlg Inverter Neoplasma  </t>
  </si>
  <si>
    <t xml:space="preserve">ZASILACZ UPS FIDELTRONIK LUPUS 1600 </t>
  </si>
  <si>
    <t>PRZEŁĄCZNIK SIECIOWY 8 portowy PLANET 1000 Mb/ S</t>
  </si>
  <si>
    <t>ZESTAW KOMPUTEROWY HP COMPAQ                    HP DX 2400 MTE 5300/ 2G / 250/ DVD</t>
  </si>
  <si>
    <t>KLIMATYZATOR SPLIT</t>
  </si>
  <si>
    <t>Urządzenie zgrzewające</t>
  </si>
  <si>
    <t>Telefax</t>
  </si>
  <si>
    <t>Tablica informacyjna zewnętrzna podświetlana</t>
  </si>
  <si>
    <t xml:space="preserve">Zestaw Komputerowy  </t>
  </si>
  <si>
    <t xml:space="preserve">Urządzenie wielofunkcyjne- zestaw do stworzenia sieci zasilaczy </t>
  </si>
  <si>
    <t>Drukarka HP LASERJET</t>
  </si>
  <si>
    <t xml:space="preserve">Drukarka Laserowa OKI </t>
  </si>
  <si>
    <t xml:space="preserve">Zestaw prezentacji multimedialnych </t>
  </si>
  <si>
    <t>Aparat fotograficzny cyfrowy FUJI FINEPIX</t>
  </si>
  <si>
    <t>NOTEBOK HP 6735s  RM70/ 2GB/ 160/DVRW/ 15,4/ VB</t>
  </si>
  <si>
    <t>4. Urząd Miasta</t>
  </si>
  <si>
    <t xml:space="preserve">KAMERA MONITORUJĄCA ( UMIESZCZONA PRZY BUDYNKU GIMNAZJUM ) </t>
  </si>
  <si>
    <t>Urząd Miasta</t>
  </si>
  <si>
    <t>SAM.POŻ.- STAR</t>
  </si>
  <si>
    <t>WMAL70ZZ36160476</t>
  </si>
  <si>
    <t>NIL 99HX</t>
  </si>
  <si>
    <t>SPECJALNY</t>
  </si>
  <si>
    <t>P.POŻ</t>
  </si>
  <si>
    <t>X</t>
  </si>
  <si>
    <t>12000KG</t>
  </si>
  <si>
    <t>NIE</t>
  </si>
  <si>
    <t>SAM.PODNOŚNIK-STAR</t>
  </si>
  <si>
    <t>OLP9585</t>
  </si>
  <si>
    <t>x</t>
  </si>
  <si>
    <t>PEUGEOT BOXER – RATOWNIK</t>
  </si>
  <si>
    <t>VF3YCBMHC11616821</t>
  </si>
  <si>
    <t>NIL 07500</t>
  </si>
  <si>
    <t>900KG</t>
  </si>
  <si>
    <t>SAM.POŻ.RATOWNIK-LUBLIN III</t>
  </si>
  <si>
    <t>SUL055424</t>
  </si>
  <si>
    <t>NILG799</t>
  </si>
  <si>
    <t>3500KG</t>
  </si>
  <si>
    <t>SAM.POŻ.KARETKA-LUBLIN II</t>
  </si>
  <si>
    <t>SUL3584117W0003060</t>
  </si>
  <si>
    <t>OTI0535</t>
  </si>
  <si>
    <t>5000KG</t>
  </si>
  <si>
    <t>Ośrodek zdrowia</t>
  </si>
  <si>
    <t>L.p.</t>
  </si>
  <si>
    <t>Liczba pracowników</t>
  </si>
  <si>
    <t>744-10-22-075</t>
  </si>
  <si>
    <t>000674773</t>
  </si>
  <si>
    <t>744-15-16-966</t>
  </si>
  <si>
    <t>510891688</t>
  </si>
  <si>
    <t>Adres</t>
  </si>
  <si>
    <t>14-260 LUBAWA UL.RZEPNIKOWSKIEGO 20</t>
  </si>
  <si>
    <t>ZOZ</t>
  </si>
  <si>
    <t>744-13-14-257</t>
  </si>
  <si>
    <t>744- 000-55-54  /   744-166-08-58    ( Urząd / Miasto )</t>
  </si>
  <si>
    <t xml:space="preserve">510011569 / 5107433479 ( Urząd / Miasto ) </t>
  </si>
  <si>
    <t>14- 260 Lubawa ul. Rzepnikowskiego 9A</t>
  </si>
  <si>
    <t>MIASTO LUBAWA</t>
  </si>
  <si>
    <t>Tabela nr 9</t>
  </si>
  <si>
    <t>hala sportowa, siłownia, sauna,szatnie dla klientów, pomieszczenia biurowe, pomieszczenia socjalne i magazynowe, kawiarnia</t>
  </si>
  <si>
    <t>boisko piłkarskie z nawierzchnią z trawy naturalnej</t>
  </si>
  <si>
    <t>boisko piłkarskie z nawierzchnią z trawy naturalnej, bieżnia syntetyczna, urządzenia lekkoatletyczne: do skoku w dal i trójskoku, wzwyż, pchnięcia kulą, rzutu oszczepem, młotem i dyskiem, korty tenisowe</t>
  </si>
  <si>
    <t>Czy od 199 r wystepowały powodzie?</t>
  </si>
  <si>
    <t>Szkoła</t>
  </si>
  <si>
    <t>edukacja</t>
  </si>
  <si>
    <t>Zabezpieczenie p-poż:</t>
  </si>
  <si>
    <t>ul.Rzepnikowskiego 7 14-260 Lubawa</t>
  </si>
  <si>
    <t>Zwiększenie wartości budynku w związku z adaptacją pomieszczenia na potrzeby pracowni komputerowej</t>
  </si>
  <si>
    <t>Kompleks boisk wielofunkcyjnych wybudowanych w ramach projektu Moje Boisko ORLIK 2012 wraz z zapleczem</t>
  </si>
  <si>
    <t>Ogrodzenie</t>
  </si>
  <si>
    <t>1/gaśnica proszkowa 13 szt GO-6x ABC, 7 szt GP-4x ABC, 3 szt GP-2x ABC</t>
  </si>
  <si>
    <t>2/ hydranty - 12 szt</t>
  </si>
  <si>
    <t>3/ główny wyłącznik prądu ręczny</t>
  </si>
  <si>
    <t>Zabezpieczenia przeciw kradzieży:</t>
  </si>
  <si>
    <t>1/kraty na oknach parter - księgowość, pracownia multimedialna</t>
  </si>
  <si>
    <t>2/ alarm-pracownie komputerowe, czujnik sygnał świetlny i dzwiękowy, powiadomienie policji i zarządcy budynku</t>
  </si>
  <si>
    <t>3/zamki szyfrowe elektroniczne w pracowniach komputerowych i pokoju nauczycielskim,</t>
  </si>
  <si>
    <t>4/ drzwi wejściowe: 7 szt aluminium bezpieczne, 1 szt aluminium antywłamaniowe, 3 szt profil drewniany, zamki zwykłe bezpieczne</t>
  </si>
  <si>
    <t>cegła, beton</t>
  </si>
  <si>
    <t>żelbeton</t>
  </si>
  <si>
    <t>steropapa-budynek</t>
  </si>
  <si>
    <t>(płyty betonowe)</t>
  </si>
  <si>
    <t>szkoły</t>
  </si>
  <si>
    <t>steropapa i blacha-</t>
  </si>
  <si>
    <t>sala gimnastyczna</t>
  </si>
  <si>
    <t xml:space="preserve">Microsoft OEM Windows XP </t>
  </si>
  <si>
    <t>MS Office 2007 STD EDU</t>
  </si>
  <si>
    <t>Ubezpieczyc w wart. Odtw</t>
  </si>
  <si>
    <t xml:space="preserve">3 140,01 zl </t>
  </si>
  <si>
    <t>Miejski Ośrodek Kultury</t>
  </si>
  <si>
    <t>744-13-08-357</t>
  </si>
  <si>
    <t>Kino "POKÓJ" (dzierżawiony przez MOK)</t>
  </si>
  <si>
    <t>biblioteka (własność Urzedu miasta i tam w ewidencji)</t>
  </si>
  <si>
    <t>5. Miejski Ośrodek Kultury</t>
  </si>
  <si>
    <t>ul. Rzepnikowskiego 44</t>
  </si>
  <si>
    <t>ul. Kupnera 27</t>
  </si>
  <si>
    <t>ul. Kupnera 17</t>
  </si>
  <si>
    <t>srx kolumna frontowa jbl 4 szt.</t>
  </si>
  <si>
    <t>srx 728 subbas kolumna głośnikowa jbl 2 szt.</t>
  </si>
  <si>
    <t>srx 512m dwudr 12 kolumna głośnikowa jbl 4 szt</t>
  </si>
  <si>
    <t>xti 4000 wzmacniacz mocy crown 4 szt.</t>
  </si>
  <si>
    <t>xti 2000 wzmacniacz mocy crown 1 szt</t>
  </si>
  <si>
    <t>mx 400 xlr procesor dźwieku lexicon 1 szt</t>
  </si>
  <si>
    <t>dbx 1074 poczwórna bramka szumów 2 szt</t>
  </si>
  <si>
    <t>dbx 266 xl podwójny kompresor 2 szt</t>
  </si>
  <si>
    <t>dbx 2231 korektor graficzny 31</t>
  </si>
  <si>
    <t>dbx 231 podwójny 31 torowy korektor</t>
  </si>
  <si>
    <t>futerał transportowy 3 szt</t>
  </si>
  <si>
    <t>okablowanie</t>
  </si>
  <si>
    <t>multimix 16 usb mikser z procesorem efektów</t>
  </si>
  <si>
    <t>Dvd LG DVX 492</t>
  </si>
  <si>
    <t>notebook acer ex7620g t5450</t>
  </si>
  <si>
    <t>5. Miejski Osrodek Kultury</t>
  </si>
  <si>
    <t>ośw. O rezygnacji</t>
  </si>
  <si>
    <t>Miejski Ośrodek Pomocy Społecznej</t>
  </si>
  <si>
    <t>UPS APC Smart sc</t>
  </si>
  <si>
    <t>UPS Fideltronik ARES</t>
  </si>
  <si>
    <t>Komputer Optitech DP200 XP</t>
  </si>
  <si>
    <t>Monitor LG LCD L11770 17"</t>
  </si>
  <si>
    <t>Monitor LG LCD L1752</t>
  </si>
  <si>
    <t>Zestaw komputerowy Intel C 2 D</t>
  </si>
  <si>
    <t>Zestaw komputerowy 2DUO</t>
  </si>
  <si>
    <t>Monitor LG</t>
  </si>
  <si>
    <t>Serwer Optimus wraz z oprogramowaniem</t>
  </si>
  <si>
    <t>Klimatyzator Zelmer</t>
  </si>
  <si>
    <t>Komputer Intel z monitorem</t>
  </si>
  <si>
    <t>Drukarka HPLJP 1505</t>
  </si>
  <si>
    <t xml:space="preserve">Telefax Panasonic 773 </t>
  </si>
  <si>
    <t>Zestaw komputerowy z oprogramowaniem</t>
  </si>
  <si>
    <t>Drukarka HP LASER JET</t>
  </si>
  <si>
    <t>Kopiarka RICOH 2020D</t>
  </si>
  <si>
    <t>UPS Fideltronik -Inigo LUPUS 500</t>
  </si>
  <si>
    <t>Projektor Acer P1270</t>
  </si>
  <si>
    <t>Ekran projekcyjny NOBO na trójnogu 200X151</t>
  </si>
  <si>
    <t>Laminator FELLOWES SATURN A4</t>
  </si>
  <si>
    <t>Roll-up</t>
  </si>
  <si>
    <t>Niszczarka FELLOWES PS-60</t>
  </si>
  <si>
    <t>UPS APC SMART SC420</t>
  </si>
  <si>
    <t>Hyundai X93Sd [TN DV Głośnik]</t>
  </si>
  <si>
    <t>Komutronik Pro DX-250 7 Pro {K004] C2D E7500RA</t>
  </si>
  <si>
    <t>UPS FIDELTRONIK LUPUS 700 420W</t>
  </si>
  <si>
    <t>6. Miejski Osrodek Pomocy Społecznej</t>
  </si>
  <si>
    <t>Aparat cyfrowy</t>
  </si>
  <si>
    <t>Notebook</t>
  </si>
  <si>
    <t>Kamera Samsung z wyposażeniem</t>
  </si>
  <si>
    <t>Laptop z oprogramowaniem</t>
  </si>
  <si>
    <r>
      <t xml:space="preserve">1. Wykaz sprzętu elektronicznego </t>
    </r>
    <r>
      <rPr>
        <b/>
        <i/>
        <u/>
        <sz val="10"/>
        <rFont val="Arial"/>
        <family val="2"/>
        <charset val="238"/>
      </rPr>
      <t>stacjonarnego</t>
    </r>
    <r>
      <rPr>
        <b/>
        <i/>
        <sz val="10"/>
        <rFont val="Arial"/>
        <family val="2"/>
        <charset val="238"/>
      </rPr>
      <t xml:space="preserve"> (do 5 lat) - rok 2006 i młodszy</t>
    </r>
  </si>
  <si>
    <r>
      <t xml:space="preserve">2. Wykaz sprzętu elektronicznego </t>
    </r>
    <r>
      <rPr>
        <b/>
        <i/>
        <u/>
        <sz val="10"/>
        <rFont val="Arial"/>
        <family val="2"/>
        <charset val="238"/>
      </rPr>
      <t>przenośnego</t>
    </r>
    <r>
      <rPr>
        <b/>
        <i/>
        <sz val="10"/>
        <rFont val="Arial"/>
        <family val="2"/>
        <charset val="238"/>
      </rPr>
      <t xml:space="preserve"> (do 5 lat) - rok 2006 i młodszy</t>
    </r>
  </si>
  <si>
    <t>kubatura (w m³)***</t>
  </si>
  <si>
    <t>budynek właśności Miasta</t>
  </si>
  <si>
    <t>gasnice, hydranty, monitoring, drzwi wejściowe do budynku 3 szt.</t>
  </si>
  <si>
    <t>ul. Kupner 18, Lubawa</t>
  </si>
  <si>
    <t>744 128 62 59</t>
  </si>
  <si>
    <t>280574310</t>
  </si>
  <si>
    <t>Lubawa, ul.Rzepnikowskiego 9</t>
  </si>
  <si>
    <t>Lubawa, ul. Rzepnikowskiego 9</t>
  </si>
  <si>
    <t>Place zabaw</t>
  </si>
  <si>
    <t>Przedszkole Miejskie w Lubawie</t>
  </si>
  <si>
    <t xml:space="preserve">przedszkole </t>
  </si>
  <si>
    <t>gaśnice- 5 szt., hydranty- 2 szt.</t>
  </si>
  <si>
    <t>tak (towarowa)</t>
  </si>
  <si>
    <t>cegła,beton (płyty betonowe)</t>
  </si>
  <si>
    <t>steropapa</t>
  </si>
  <si>
    <t>Urządzenie wielofunkcyjne</t>
  </si>
  <si>
    <t>Kolumny i mikrofon</t>
  </si>
  <si>
    <t>Laptop</t>
  </si>
  <si>
    <t>7. Przedszkole Miejskie</t>
  </si>
  <si>
    <t>Przedszkole Miejskie</t>
  </si>
  <si>
    <t>Budynek produkcyjny</t>
  </si>
  <si>
    <t>3 gaśnice proszkowe, 2 hydranty.dozór pracowniczy do godz.22,00</t>
  </si>
  <si>
    <t>14-260 Lubawa ul. Kopernika 48</t>
  </si>
  <si>
    <t>Budynek uzdatniania wody</t>
  </si>
  <si>
    <t>2 gaśnice proszkowe</t>
  </si>
  <si>
    <t>Budynek hydroforni</t>
  </si>
  <si>
    <t>Budynek stacji transformatorowej</t>
  </si>
  <si>
    <t>5 gaśnic proszkowych</t>
  </si>
  <si>
    <t>14-260 Lubawa ul. Toruńska 18</t>
  </si>
  <si>
    <t>Budynek agregatów prądotwórczych</t>
  </si>
  <si>
    <t>agregat proszkowy, koc azbestowy</t>
  </si>
  <si>
    <t>Osłona śmietnika</t>
  </si>
  <si>
    <t>Budynek administracyjny</t>
  </si>
  <si>
    <t>4 gaśnice proszkowe,hydrant,całodobowy dozór pracowniczy</t>
  </si>
  <si>
    <t>Budynek sprężarkowni</t>
  </si>
  <si>
    <t>Garaż</t>
  </si>
  <si>
    <t>1 gaśnica proszkowa</t>
  </si>
  <si>
    <t>Zbiornik żelbetowy popłuczyn</t>
  </si>
  <si>
    <t>Budynek mieszkalny 24 - rodziny</t>
  </si>
  <si>
    <t>3 gaśnice proszkowe, hydrant</t>
  </si>
  <si>
    <t>ul. Łąkowa 2 A, 14-260 Lubawa</t>
  </si>
  <si>
    <t>Lokal użytkowy</t>
  </si>
  <si>
    <t>ul. Rynek, 14-260 Lubawa</t>
  </si>
  <si>
    <t>ul. Łąkowa 2, 14-260 Lubawa</t>
  </si>
  <si>
    <t>Zestaw komputerowy-3 szt.</t>
  </si>
  <si>
    <t>Zestaw komputerowy-1 szt.</t>
  </si>
  <si>
    <t>kserokopiarka</t>
  </si>
  <si>
    <t>8. Przedsiębiorstwo Wodociagów i Kanalizacji Sp. Z o.o.</t>
  </si>
  <si>
    <t>9. Lubawskie Towarzystwo Budownictwa Społecznego Sp. Z o.o.</t>
  </si>
  <si>
    <t>6. Miejski Ośrodek Pomocy Społecznej</t>
  </si>
  <si>
    <t xml:space="preserve">Laptop </t>
  </si>
  <si>
    <t>8. Przedsiębiorstwo Wodociągów i Kanalizacji Sp. Z o.o.</t>
  </si>
  <si>
    <t>VW Transporter</t>
  </si>
  <si>
    <t>WV1ZZZ70Z2H022508</t>
  </si>
  <si>
    <t>NIL31RV</t>
  </si>
  <si>
    <t>ciężarowy</t>
  </si>
  <si>
    <t>24.07.2001</t>
  </si>
  <si>
    <t>URSUS</t>
  </si>
  <si>
    <t>NIL M 752</t>
  </si>
  <si>
    <t>ciągnik</t>
  </si>
  <si>
    <t>15.11.1985</t>
  </si>
  <si>
    <t>1/-</t>
  </si>
  <si>
    <t>OLH 9458</t>
  </si>
  <si>
    <t>25.03.1994</t>
  </si>
  <si>
    <t>asenizacyjna</t>
  </si>
  <si>
    <t>OLW 7670</t>
  </si>
  <si>
    <t>przyczepa</t>
  </si>
  <si>
    <t>01.02.1993</t>
  </si>
  <si>
    <t>ciągnikowa</t>
  </si>
  <si>
    <t>18.12.1973</t>
  </si>
  <si>
    <t>11.01.1994</t>
  </si>
  <si>
    <t>jednoosiowa</t>
  </si>
  <si>
    <t>TO 2202556</t>
  </si>
  <si>
    <t>OLY 3714</t>
  </si>
  <si>
    <t>10.04.1996</t>
  </si>
  <si>
    <t>DAEWOO</t>
  </si>
  <si>
    <t>SUL 3300714N0032019</t>
  </si>
  <si>
    <t>ONE 3500</t>
  </si>
  <si>
    <t>14.01.1999</t>
  </si>
  <si>
    <t>3/1,1</t>
  </si>
  <si>
    <t>1. Urząd Miasta</t>
  </si>
  <si>
    <t>2. Przedsiębiorstwo Wodociagów i Kanalizacji Sp. Z o.o.</t>
  </si>
  <si>
    <t>01.01.2012</t>
  </si>
  <si>
    <t>31.12.2012</t>
  </si>
  <si>
    <t>17.01.2012</t>
  </si>
  <si>
    <t>16.01.2013</t>
  </si>
  <si>
    <t>Przedsiebiorstwo Wodociągów i Kanalizacji Sp. Z o.o.</t>
  </si>
  <si>
    <t>Lubawskie Towarzystwo Budownictwa Społecznego Sp. Z o.o.</t>
  </si>
  <si>
    <t>SP</t>
  </si>
  <si>
    <t>Przedszkole</t>
  </si>
  <si>
    <t>744-000-96-87</t>
  </si>
  <si>
    <t>744-167-46-65</t>
  </si>
  <si>
    <t>ul. Rzepnikowskiego 44 14- 260 Lubawa</t>
  </si>
  <si>
    <t>ul. Toruńska 18, 14-260 Lubawa</t>
  </si>
  <si>
    <t>zastanowią się nad wartościa do ub, kontakt 07.07.2011</t>
  </si>
  <si>
    <t xml:space="preserve">RAZEM </t>
  </si>
  <si>
    <t>sprzet stacjonarny</t>
  </si>
  <si>
    <t>sprzet przenośny</t>
  </si>
  <si>
    <t>monitoring wizyjny</t>
  </si>
  <si>
    <t>OC komunikacyjne</t>
  </si>
  <si>
    <t>22.06.2008-21.06.2011</t>
  </si>
  <si>
    <t>ilość szkód</t>
  </si>
  <si>
    <t>kradzież z włamaniem i rabunek</t>
  </si>
  <si>
    <t>rodzaj szkody</t>
  </si>
  <si>
    <t>wysokość wypłaty odszkodowania</t>
  </si>
  <si>
    <t>Gimnzajum w Lubawie</t>
  </si>
  <si>
    <t>Budynek szkoły</t>
  </si>
  <si>
    <t>10. Gimnazjum w Lubawie</t>
  </si>
  <si>
    <t>gaśnice, czujniki dymu, hydranty, monitoring</t>
  </si>
  <si>
    <t>drzwi wejściowych o budynku: 4szt</t>
  </si>
  <si>
    <t>3 szt. drzwi aluminiowych</t>
  </si>
  <si>
    <t>z podwójnymi zamkami</t>
  </si>
  <si>
    <t>oraz 1 szt. drzwi drewnianych</t>
  </si>
  <si>
    <t>ul. Św.Barbary 45,     14-260 Lubawa</t>
  </si>
  <si>
    <t>Zestaw do monitoringu</t>
  </si>
  <si>
    <t>Zestaw komputerowy Celeron   4 szt.</t>
  </si>
  <si>
    <t>Wielofunkcyjne urządzenie sieciowe</t>
  </si>
  <si>
    <t>Centrala telefoniczna CA2/6</t>
  </si>
  <si>
    <t>Komputer Pentium</t>
  </si>
  <si>
    <t>Drukarka HP LJ 2605</t>
  </si>
  <si>
    <t>Drukarka HP LJ 3052</t>
  </si>
  <si>
    <t>Monitor LG LCD</t>
  </si>
  <si>
    <t>Komputer Pentium E 2160</t>
  </si>
  <si>
    <t>Komputer HP</t>
  </si>
  <si>
    <t>Wyświetlacz tekstu</t>
  </si>
  <si>
    <t>Drukarka HP</t>
  </si>
  <si>
    <t>Zestawy komputerowe</t>
  </si>
  <si>
    <t>Notebook ASUS</t>
  </si>
  <si>
    <t>Notebook OPTIMUS</t>
  </si>
  <si>
    <t>Projektor ACER</t>
  </si>
  <si>
    <t>Notebook ASUS K50IJ-SX151</t>
  </si>
  <si>
    <t>Notebook TOSHIBA L500-1EK W7 HP</t>
  </si>
  <si>
    <t>Gimnazjum w Lubawie</t>
  </si>
  <si>
    <t>744-15-13-169</t>
  </si>
  <si>
    <t>OLW9751</t>
  </si>
  <si>
    <t>NIL99NL</t>
  </si>
  <si>
    <t>Ciężki samochód ratowniczo gaśniczy z napędęm 4 na 4</t>
  </si>
  <si>
    <t>YS2P4X40002057557</t>
  </si>
  <si>
    <t>17.08.2011</t>
  </si>
  <si>
    <t>Scania 4X4 P360</t>
  </si>
  <si>
    <t>wartośc wyposażenia w wartości pojazdu</t>
  </si>
  <si>
    <t>18000 kg</t>
  </si>
  <si>
    <t>17.08.2012</t>
  </si>
  <si>
    <t>16.08.2013</t>
  </si>
  <si>
    <t>8 Przedsiebiorstwo Wodociągów i Kanalizacji Sp. Z o.o.</t>
  </si>
  <si>
    <t>budynek ma więcej niż 50 lat</t>
  </si>
  <si>
    <t>działanośc MOK</t>
  </si>
  <si>
    <t>Łączna wartośc do ubezpieczenia w AC razem z wartościa wyposażenia dodatkowego</t>
  </si>
  <si>
    <t>NIL122OO</t>
  </si>
  <si>
    <t>Tabela nr 4</t>
  </si>
  <si>
    <t xml:space="preserve"> OC delikt, szkoda w mieniu</t>
  </si>
  <si>
    <t>delikt, obrażenia ciała</t>
  </si>
  <si>
    <t>budynek kina posiada jedne drzwi wejściowe okratowane z podwójnym zamkiem,ponadto jest osobne wejście z zewnątrz do pomieszczenia kinooperatora - drzwi te posiadaja podwójny zamek, są też dwa wyjścia awaryjne - jedno zamykane tylko od wewnątrz, drugie zamykane od wewnatrz, oraz posiadają dwa zamki zewnętrzne</t>
  </si>
  <si>
    <t xml:space="preserve">budynek biblioteki posiada jedne drzwi wejściowe z pojedyńczym zamkiem, na parterze budynku zainstalowany jest alarm oraz prowadzony jest monitoring parteru budynku, teren jest ogrodzony z bramka wejściową zamykaną na jeden zamek, na parterze znajduję się jedno okratowane okno od łazenki. Budynek znajduje się w strefie A - podlega Wojewódzkiemu Konserwatorowi Budynków, </t>
  </si>
  <si>
    <t xml:space="preserve">budynek MOK posiada dwie pary drzwi wejsciowych z podwójnymi zamkami, ponadto w pomieszczeniu na parterze znajduje się alarm , przejście z parteru na pietro jest okratowane, </t>
  </si>
  <si>
    <t>budynek ma mniej niż 50 lat</t>
  </si>
  <si>
    <t>lokal uzytkowy</t>
  </si>
  <si>
    <t>2009 rozbudowa</t>
  </si>
  <si>
    <t>wartośc do ubezpieczenia</t>
  </si>
  <si>
    <t>rodzaj wartości</t>
  </si>
  <si>
    <t>wartość księgowa brutto</t>
  </si>
  <si>
    <t>wartość odtworzeniowa</t>
  </si>
  <si>
    <t>wartość ksiegowa brutto</t>
  </si>
  <si>
    <t>wartość odwtorzeniowa</t>
  </si>
  <si>
    <t>technologia tradycyjna</t>
  </si>
  <si>
    <t>tech.tradycyjna</t>
  </si>
  <si>
    <t>drewniane krokwie,blachodachówka</t>
  </si>
  <si>
    <t>konstrukcja betonowa, ocieplenie żużlem,papa</t>
  </si>
  <si>
    <t>cegła i pustak</t>
  </si>
  <si>
    <t>wylewka betonowa</t>
  </si>
  <si>
    <t>konstrukcja metalowa, pokrycie blachą</t>
  </si>
  <si>
    <t>bloczki betonowe, cegła silikatowa,ocieplone styropianem</t>
  </si>
  <si>
    <t>stropy kanałowe o gr. 24,0 i 26,5 cm</t>
  </si>
  <si>
    <t>drewniany dwuspadowy,krokwie drewniane,deski,papa asfaltowa,blachodachówka</t>
  </si>
  <si>
    <t>wartośc odtworzeniowa</t>
  </si>
  <si>
    <t xml:space="preserve">cegła i płyta żelbetonowa </t>
  </si>
  <si>
    <t>płyta żelbet.</t>
  </si>
  <si>
    <t>styropapapłyta żel.</t>
  </si>
  <si>
    <t>3 plus piwnica (piwnica, parter, I p, II p.)</t>
  </si>
  <si>
    <t>cegla</t>
  </si>
  <si>
    <t>płyta betoniowa</t>
  </si>
  <si>
    <t>belki drewniane, blachodachówka</t>
  </si>
  <si>
    <t>pokryty papą</t>
  </si>
  <si>
    <t xml:space="preserve">cegła </t>
  </si>
  <si>
    <t>żelbetonowe</t>
  </si>
  <si>
    <t>betonowe</t>
  </si>
  <si>
    <t>płyta betonowa, papa</t>
  </si>
  <si>
    <t>28.02.2012</t>
  </si>
  <si>
    <t xml:space="preserve"> 27.02.2013</t>
  </si>
  <si>
    <t>ściany osłonowe zewn i wewn nośne: murowane gr 25cm; ściany działowe murowane gr 12cm.</t>
  </si>
  <si>
    <t>Kanałowe częściowo wylewane żelbet</t>
  </si>
  <si>
    <t>Dwuspadowy, nad halą sportową konstrukcja stalowa (wiązary), nad częścią hotelową-drewniany</t>
  </si>
  <si>
    <t>ściany nośne fundamentowe-żelbetowe, gr 25cm,wylewane.Ściany zewn-cegła pełna gr 25cm+styropian gr 10cm oraz cegła wapienno-piaskowa gr 25cm.Ściany nośne wewn-bloczek3NFD gr 25cm cegła pełna gr 25 cm.</t>
  </si>
  <si>
    <t>Płyty kanałowe typu Żerań, nad widownią strop żelbetowy</t>
  </si>
  <si>
    <t>Stropodach-żelbetowy. Papa termozgrzewalna  nad salą i komunikacją, nad strefą socjalną-blachodachówka.</t>
  </si>
  <si>
    <t>26.08.2012</t>
  </si>
  <si>
    <t>25.08.2013</t>
  </si>
</sst>
</file>

<file path=xl/styles.xml><?xml version="1.0" encoding="utf-8"?>
<styleSheet xmlns="http://schemas.openxmlformats.org/spreadsheetml/2006/main">
  <numFmts count="4">
    <numFmt numFmtId="8" formatCode="#,##0.00\ &quot;zł&quot;;[Red]\-#,##0.00\ &quot;zł&quot;"/>
    <numFmt numFmtId="44" formatCode="_-* #,##0.00\ &quot;zł&quot;_-;\-* #,##0.00\ &quot;zł&quot;_-;_-* &quot;-&quot;??\ &quot;zł&quot;_-;_-@_-"/>
    <numFmt numFmtId="168" formatCode="#,##0.00\ &quot;zł&quot;"/>
    <numFmt numFmtId="170" formatCode="_-* #,##0.00&quot; zł&quot;_-;\-* #,##0.00&quot; zł&quot;_-;_-* \-??&quot; zł&quot;_-;_-@_-"/>
  </numFmts>
  <fonts count="55">
    <font>
      <sz val="10"/>
      <name val="Arial"/>
      <charset val="238"/>
    </font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u/>
      <sz val="10"/>
      <color indexed="12"/>
      <name val="Arial"/>
      <family val="2"/>
      <charset val="238"/>
    </font>
    <font>
      <b/>
      <i/>
      <sz val="10"/>
      <name val="Arial"/>
      <family val="2"/>
      <charset val="238"/>
    </font>
    <font>
      <b/>
      <sz val="16"/>
      <name val="Arial"/>
      <family val="2"/>
      <charset val="238"/>
    </font>
    <font>
      <i/>
      <sz val="10"/>
      <name val="Arial"/>
      <family val="2"/>
      <charset val="238"/>
    </font>
    <font>
      <u/>
      <sz val="10"/>
      <name val="Arial"/>
      <family val="2"/>
      <charset val="238"/>
    </font>
    <font>
      <b/>
      <u/>
      <sz val="10"/>
      <name val="Arial"/>
      <family val="2"/>
      <charset val="238"/>
    </font>
    <font>
      <sz val="8"/>
      <name val="Arial"/>
      <family val="2"/>
      <charset val="238"/>
    </font>
    <font>
      <b/>
      <sz val="14"/>
      <name val="Arial"/>
      <family val="2"/>
    </font>
    <font>
      <b/>
      <sz val="11"/>
      <name val="Arial"/>
      <family val="2"/>
    </font>
    <font>
      <b/>
      <i/>
      <sz val="9"/>
      <name val="Arial"/>
      <family val="2"/>
      <charset val="238"/>
    </font>
    <font>
      <b/>
      <sz val="10"/>
      <name val="Arial"/>
      <family val="2"/>
    </font>
    <font>
      <b/>
      <i/>
      <sz val="14"/>
      <name val="Arial"/>
      <family val="2"/>
    </font>
    <font>
      <b/>
      <sz val="16"/>
      <name val="Arial"/>
      <family val="2"/>
    </font>
    <font>
      <b/>
      <i/>
      <sz val="14"/>
      <name val="Arial"/>
      <family val="2"/>
      <charset val="238"/>
    </font>
    <font>
      <b/>
      <i/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  <charset val="238"/>
    </font>
    <font>
      <b/>
      <sz val="13"/>
      <name val="Arial"/>
      <family val="2"/>
    </font>
    <font>
      <b/>
      <sz val="11"/>
      <name val="Arial"/>
      <family val="2"/>
      <charset val="238"/>
    </font>
    <font>
      <b/>
      <i/>
      <sz val="10"/>
      <name val="Arial"/>
      <family val="2"/>
    </font>
    <font>
      <b/>
      <sz val="12"/>
      <name val="Arial"/>
      <family val="2"/>
    </font>
    <font>
      <b/>
      <u/>
      <sz val="11"/>
      <name val="Arial"/>
      <family val="2"/>
      <charset val="238"/>
    </font>
    <font>
      <b/>
      <i/>
      <sz val="8"/>
      <name val="Arial"/>
      <family val="2"/>
    </font>
    <font>
      <sz val="10"/>
      <name val="Arial CE"/>
      <charset val="238"/>
    </font>
    <font>
      <sz val="10"/>
      <name val="Arial"/>
      <family val="2"/>
      <charset val="238"/>
    </font>
    <font>
      <b/>
      <sz val="8"/>
      <name val="Verdana"/>
      <family val="2"/>
      <charset val="238"/>
    </font>
    <font>
      <sz val="8"/>
      <name val="Verdana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20"/>
      <name val="Czcionka tekstu podstawowego"/>
      <family val="2"/>
      <charset val="238"/>
    </font>
    <font>
      <b/>
      <i/>
      <sz val="8"/>
      <name val="Verdan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10"/>
      <name val="Arial CE"/>
      <family val="2"/>
      <charset val="238"/>
    </font>
    <font>
      <b/>
      <i/>
      <u/>
      <sz val="10"/>
      <name val="Arial"/>
      <family val="2"/>
      <charset val="238"/>
    </font>
    <font>
      <sz val="10"/>
      <name val="Arial"/>
      <family val="2"/>
      <charset val="238"/>
    </font>
    <font>
      <u/>
      <sz val="10"/>
      <color indexed="12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60">
    <xf numFmtId="0" fontId="0" fillId="0" borderId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5" borderId="0" applyNumberFormat="0" applyBorder="0" applyAlignment="0" applyProtection="0"/>
    <xf numFmtId="0" fontId="31" fillId="8" borderId="0" applyNumberFormat="0" applyBorder="0" applyAlignment="0" applyProtection="0"/>
    <xf numFmtId="0" fontId="31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9" borderId="0" applyNumberFormat="0" applyBorder="0" applyAlignment="0" applyProtection="0"/>
    <xf numFmtId="0" fontId="33" fillId="7" borderId="1" applyNumberFormat="0" applyAlignment="0" applyProtection="0"/>
    <xf numFmtId="0" fontId="34" fillId="20" borderId="2" applyNumberFormat="0" applyAlignment="0" applyProtection="0"/>
    <xf numFmtId="0" fontId="35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6" fillId="0" borderId="3" applyNumberFormat="0" applyFill="0" applyAlignment="0" applyProtection="0"/>
    <xf numFmtId="0" fontId="37" fillId="21" borderId="4" applyNumberFormat="0" applyAlignment="0" applyProtection="0"/>
    <xf numFmtId="0" fontId="38" fillId="0" borderId="5" applyNumberFormat="0" applyFill="0" applyAlignment="0" applyProtection="0"/>
    <xf numFmtId="0" fontId="39" fillId="0" borderId="6" applyNumberFormat="0" applyFill="0" applyAlignment="0" applyProtection="0"/>
    <xf numFmtId="0" fontId="40" fillId="0" borderId="7" applyNumberFormat="0" applyFill="0" applyAlignment="0" applyProtection="0"/>
    <xf numFmtId="0" fontId="40" fillId="0" borderId="0" applyNumberFormat="0" applyFill="0" applyBorder="0" applyAlignment="0" applyProtection="0"/>
    <xf numFmtId="0" fontId="41" fillId="22" borderId="0" applyNumberFormat="0" applyBorder="0" applyAlignment="0" applyProtection="0"/>
    <xf numFmtId="0" fontId="27" fillId="0" borderId="0"/>
    <xf numFmtId="0" fontId="51" fillId="0" borderId="0"/>
    <xf numFmtId="0" fontId="3" fillId="0" borderId="0"/>
    <xf numFmtId="0" fontId="42" fillId="20" borderId="1" applyNumberFormat="0" applyAlignment="0" applyProtection="0"/>
    <xf numFmtId="0" fontId="43" fillId="0" borderId="8" applyNumberFormat="0" applyFill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23" borderId="9" applyNumberFormat="0" applyAlignment="0" applyProtection="0"/>
    <xf numFmtId="44" fontId="1" fillId="0" borderId="0" applyFont="0" applyFill="0" applyBorder="0" applyAlignment="0" applyProtection="0"/>
    <xf numFmtId="44" fontId="27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44" fontId="3" fillId="0" borderId="0" applyFont="0" applyFill="0" applyBorder="0" applyAlignment="0" applyProtection="0"/>
    <xf numFmtId="170" fontId="3" fillId="0" borderId="0" applyFill="0" applyBorder="0" applyAlignment="0" applyProtection="0"/>
    <xf numFmtId="44" fontId="53" fillId="0" borderId="0" applyFont="0" applyFill="0" applyBorder="0" applyAlignment="0" applyProtection="0"/>
    <xf numFmtId="44" fontId="3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0" fontId="47" fillId="3" borderId="0" applyNumberFormat="0" applyBorder="0" applyAlignment="0" applyProtection="0"/>
  </cellStyleXfs>
  <cellXfs count="271">
    <xf numFmtId="0" fontId="0" fillId="0" borderId="0" xfId="0"/>
    <xf numFmtId="0" fontId="3" fillId="0" borderId="0" xfId="0" applyFont="1" applyFill="1"/>
    <xf numFmtId="0" fontId="3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6" fillId="0" borderId="10" xfId="0" applyFont="1" applyFill="1" applyBorder="1"/>
    <xf numFmtId="0" fontId="3" fillId="0" borderId="11" xfId="0" applyFont="1" applyFill="1" applyBorder="1"/>
    <xf numFmtId="0" fontId="3" fillId="0" borderId="12" xfId="0" applyFont="1" applyFill="1" applyBorder="1"/>
    <xf numFmtId="0" fontId="2" fillId="0" borderId="0" xfId="0" applyFont="1" applyFill="1"/>
    <xf numFmtId="0" fontId="2" fillId="0" borderId="13" xfId="0" applyFont="1" applyFill="1" applyBorder="1" applyAlignment="1">
      <alignment horizontal="center" vertical="center" wrapText="1"/>
    </xf>
    <xf numFmtId="0" fontId="3" fillId="0" borderId="13" xfId="0" applyFont="1" applyFill="1" applyBorder="1"/>
    <xf numFmtId="0" fontId="3" fillId="0" borderId="13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vertical="center" wrapText="1"/>
    </xf>
    <xf numFmtId="0" fontId="5" fillId="0" borderId="0" xfId="0" applyFont="1" applyFill="1" applyAlignment="1">
      <alignment horizontal="right" vertical="center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1" fillId="0" borderId="10" xfId="0" applyFont="1" applyFill="1" applyBorder="1"/>
    <xf numFmtId="0" fontId="3" fillId="0" borderId="13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right" vertical="center"/>
    </xf>
    <xf numFmtId="0" fontId="18" fillId="0" borderId="0" xfId="0" applyFont="1" applyFill="1" applyAlignment="1">
      <alignment horizontal="right" vertical="center"/>
    </xf>
    <xf numFmtId="0" fontId="15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Fill="1" applyAlignment="1">
      <alignment horizontal="right"/>
    </xf>
    <xf numFmtId="0" fontId="0" fillId="0" borderId="12" xfId="0" applyBorder="1"/>
    <xf numFmtId="0" fontId="23" fillId="0" borderId="0" xfId="0" applyFont="1" applyAlignment="1"/>
    <xf numFmtId="0" fontId="24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14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3" xfId="0" applyBorder="1" applyAlignment="1">
      <alignment horizontal="center"/>
    </xf>
    <xf numFmtId="0" fontId="3" fillId="0" borderId="0" xfId="0" applyFont="1" applyFill="1" applyAlignment="1">
      <alignment vertical="center"/>
    </xf>
    <xf numFmtId="0" fontId="26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14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/>
    </xf>
    <xf numFmtId="0" fontId="29" fillId="0" borderId="13" xfId="0" applyFont="1" applyBorder="1" applyAlignment="1">
      <alignment horizontal="center"/>
    </xf>
    <xf numFmtId="168" fontId="29" fillId="0" borderId="13" xfId="0" applyNumberFormat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/>
    </xf>
    <xf numFmtId="0" fontId="30" fillId="0" borderId="13" xfId="0" applyFont="1" applyFill="1" applyBorder="1" applyAlignment="1">
      <alignment horizontal="center" vertical="center"/>
    </xf>
    <xf numFmtId="0" fontId="30" fillId="0" borderId="13" xfId="0" applyFont="1" applyFill="1" applyBorder="1" applyAlignment="1">
      <alignment vertical="center" wrapText="1"/>
    </xf>
    <xf numFmtId="0" fontId="30" fillId="0" borderId="13" xfId="0" applyFont="1" applyBorder="1" applyAlignment="1">
      <alignment horizontal="center"/>
    </xf>
    <xf numFmtId="0" fontId="29" fillId="0" borderId="13" xfId="0" applyFont="1" applyFill="1" applyBorder="1" applyAlignment="1">
      <alignment horizontal="right"/>
    </xf>
    <xf numFmtId="168" fontId="29" fillId="0" borderId="13" xfId="0" applyNumberFormat="1" applyFont="1" applyFill="1" applyBorder="1" applyAlignment="1">
      <alignment vertical="center"/>
    </xf>
    <xf numFmtId="0" fontId="3" fillId="0" borderId="0" xfId="0" applyFont="1" applyFill="1" applyAlignment="1">
      <alignment horizont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3" fillId="0" borderId="16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vertical="center"/>
    </xf>
    <xf numFmtId="168" fontId="3" fillId="0" borderId="13" xfId="0" applyNumberFormat="1" applyFont="1" applyFill="1" applyBorder="1" applyAlignment="1">
      <alignment horizontal="right" vertical="center" wrapText="1"/>
    </xf>
    <xf numFmtId="49" fontId="3" fillId="0" borderId="13" xfId="0" applyNumberFormat="1" applyFont="1" applyFill="1" applyBorder="1" applyAlignment="1">
      <alignment vertical="center" wrapText="1"/>
    </xf>
    <xf numFmtId="168" fontId="3" fillId="0" borderId="13" xfId="0" applyNumberFormat="1" applyFont="1" applyFill="1" applyBorder="1" applyAlignment="1">
      <alignment horizontal="righ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3" xfId="0" applyNumberFormat="1" applyFont="1" applyBorder="1" applyAlignment="1">
      <alignment horizontal="center" vertical="center" wrapText="1"/>
    </xf>
    <xf numFmtId="0" fontId="28" fillId="0" borderId="0" xfId="0" applyFont="1" applyFill="1"/>
    <xf numFmtId="44" fontId="3" fillId="0" borderId="13" xfId="0" applyNumberFormat="1" applyFont="1" applyFill="1" applyBorder="1" applyAlignment="1">
      <alignment horizontal="right" vertical="center"/>
    </xf>
    <xf numFmtId="44" fontId="3" fillId="0" borderId="16" xfId="0" applyNumberFormat="1" applyFont="1" applyFill="1" applyBorder="1" applyAlignment="1">
      <alignment horizontal="right" vertical="center" wrapText="1"/>
    </xf>
    <xf numFmtId="0" fontId="30" fillId="0" borderId="0" xfId="0" applyFont="1"/>
    <xf numFmtId="0" fontId="29" fillId="0" borderId="13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 wrapText="1"/>
    </xf>
    <xf numFmtId="0" fontId="49" fillId="0" borderId="0" xfId="0" applyFont="1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3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4" fontId="7" fillId="0" borderId="13" xfId="0" applyNumberFormat="1" applyFont="1" applyFill="1" applyBorder="1" applyAlignment="1">
      <alignment vertical="center" wrapText="1"/>
    </xf>
    <xf numFmtId="168" fontId="2" fillId="0" borderId="13" xfId="0" applyNumberFormat="1" applyFont="1" applyFill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6" fillId="0" borderId="10" xfId="0" applyFont="1" applyFill="1" applyBorder="1" applyAlignment="1">
      <alignment wrapText="1"/>
    </xf>
    <xf numFmtId="0" fontId="0" fillId="0" borderId="0" xfId="0" applyAlignment="1">
      <alignment wrapText="1"/>
    </xf>
    <xf numFmtId="0" fontId="26" fillId="0" borderId="0" xfId="0" applyFont="1" applyFill="1" applyBorder="1" applyAlignment="1">
      <alignment horizontal="right" vertical="center" wrapText="1"/>
    </xf>
    <xf numFmtId="0" fontId="48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0" fillId="0" borderId="0" xfId="0" applyFont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wrapText="1"/>
    </xf>
    <xf numFmtId="0" fontId="3" fillId="0" borderId="13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 wrapText="1"/>
    </xf>
    <xf numFmtId="0" fontId="29" fillId="0" borderId="13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26" borderId="13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vertical="center" wrapText="1"/>
    </xf>
    <xf numFmtId="0" fontId="2" fillId="24" borderId="13" xfId="42" applyFont="1" applyFill="1" applyBorder="1" applyAlignment="1">
      <alignment horizontal="center" vertical="center" wrapText="1"/>
    </xf>
    <xf numFmtId="0" fontId="2" fillId="26" borderId="1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26" borderId="13" xfId="0" applyFont="1" applyFill="1" applyBorder="1" applyAlignment="1">
      <alignment wrapText="1"/>
    </xf>
    <xf numFmtId="0" fontId="3" fillId="0" borderId="13" xfId="0" applyNumberFormat="1" applyFont="1" applyFill="1" applyBorder="1" applyAlignment="1">
      <alignment horizontal="center" vertical="center" wrapText="1"/>
    </xf>
    <xf numFmtId="0" fontId="3" fillId="0" borderId="17" xfId="42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 vertical="center" wrapText="1"/>
    </xf>
    <xf numFmtId="0" fontId="2" fillId="0" borderId="10" xfId="0" applyFont="1" applyFill="1" applyBorder="1"/>
    <xf numFmtId="0" fontId="3" fillId="0" borderId="12" xfId="0" applyFont="1" applyFill="1" applyBorder="1" applyAlignment="1">
      <alignment horizontal="center"/>
    </xf>
    <xf numFmtId="0" fontId="3" fillId="0" borderId="13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3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13" xfId="0" applyFont="1" applyFill="1" applyBorder="1" applyAlignment="1">
      <alignment horizontal="center" vertical="center"/>
    </xf>
    <xf numFmtId="0" fontId="2" fillId="26" borderId="13" xfId="0" applyFont="1" applyFill="1" applyBorder="1" applyAlignment="1">
      <alignment horizontal="left" vertical="center" wrapText="1"/>
    </xf>
    <xf numFmtId="0" fontId="0" fillId="26" borderId="13" xfId="0" applyFill="1" applyBorder="1" applyAlignment="1">
      <alignment horizontal="center"/>
    </xf>
    <xf numFmtId="0" fontId="0" fillId="26" borderId="13" xfId="0" applyFill="1" applyBorder="1" applyAlignment="1">
      <alignment horizontal="right"/>
    </xf>
    <xf numFmtId="0" fontId="3" fillId="0" borderId="21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Fill="1"/>
    <xf numFmtId="0" fontId="10" fillId="26" borderId="13" xfId="0" applyFont="1" applyFill="1" applyBorder="1"/>
    <xf numFmtId="44" fontId="3" fillId="0" borderId="0" xfId="0" applyNumberFormat="1" applyFont="1" applyFill="1"/>
    <xf numFmtId="44" fontId="3" fillId="0" borderId="13" xfId="0" applyNumberFormat="1" applyFont="1" applyFill="1" applyBorder="1" applyAlignment="1">
      <alignment vertical="center" wrapText="1"/>
    </xf>
    <xf numFmtId="44" fontId="2" fillId="0" borderId="13" xfId="0" applyNumberFormat="1" applyFont="1" applyFill="1" applyBorder="1" applyAlignment="1">
      <alignment vertical="center" wrapText="1"/>
    </xf>
    <xf numFmtId="44" fontId="2" fillId="0" borderId="13" xfId="0" applyNumberFormat="1" applyFont="1" applyFill="1" applyBorder="1" applyAlignment="1">
      <alignment horizontal="right" vertical="center" wrapText="1"/>
    </xf>
    <xf numFmtId="44" fontId="3" fillId="27" borderId="13" xfId="0" applyNumberFormat="1" applyFont="1" applyFill="1" applyBorder="1" applyAlignment="1">
      <alignment vertical="center" wrapText="1"/>
    </xf>
    <xf numFmtId="0" fontId="30" fillId="0" borderId="0" xfId="0" applyFont="1" applyFill="1"/>
    <xf numFmtId="168" fontId="30" fillId="24" borderId="13" xfId="0" applyNumberFormat="1" applyFont="1" applyFill="1" applyBorder="1" applyAlignment="1">
      <alignment horizontal="center" vertical="center"/>
    </xf>
    <xf numFmtId="0" fontId="30" fillId="24" borderId="13" xfId="0" applyFont="1" applyFill="1" applyBorder="1" applyAlignment="1">
      <alignment vertical="center"/>
    </xf>
    <xf numFmtId="0" fontId="3" fillId="0" borderId="22" xfId="42" applyFont="1" applyFill="1" applyBorder="1" applyAlignment="1">
      <alignment wrapText="1"/>
    </xf>
    <xf numFmtId="0" fontId="3" fillId="0" borderId="22" xfId="0" applyFont="1" applyFill="1" applyBorder="1"/>
    <xf numFmtId="44" fontId="0" fillId="0" borderId="0" xfId="0" applyNumberFormat="1" applyFill="1" applyAlignment="1">
      <alignment vertical="center"/>
    </xf>
    <xf numFmtId="44" fontId="30" fillId="24" borderId="13" xfId="0" applyNumberFormat="1" applyFont="1" applyFill="1" applyBorder="1" applyAlignment="1">
      <alignment vertical="center"/>
    </xf>
    <xf numFmtId="44" fontId="3" fillId="26" borderId="13" xfId="0" applyNumberFormat="1" applyFont="1" applyFill="1" applyBorder="1"/>
    <xf numFmtId="44" fontId="3" fillId="26" borderId="13" xfId="0" applyNumberFormat="1" applyFont="1" applyFill="1" applyBorder="1" applyAlignment="1">
      <alignment vertical="center" wrapText="1"/>
    </xf>
    <xf numFmtId="10" fontId="3" fillId="0" borderId="0" xfId="0" applyNumberFormat="1" applyFont="1" applyFill="1"/>
    <xf numFmtId="44" fontId="3" fillId="0" borderId="13" xfId="0" applyNumberFormat="1" applyFont="1" applyFill="1" applyBorder="1" applyAlignment="1">
      <alignment horizontal="center" vertical="center" wrapText="1"/>
    </xf>
    <xf numFmtId="44" fontId="2" fillId="0" borderId="0" xfId="0" applyNumberFormat="1" applyFont="1" applyFill="1" applyBorder="1"/>
    <xf numFmtId="0" fontId="2" fillId="0" borderId="0" xfId="0" applyFont="1" applyFill="1" applyBorder="1" applyAlignment="1">
      <alignment horizontal="center" vertical="center"/>
    </xf>
    <xf numFmtId="44" fontId="2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wrapText="1"/>
    </xf>
    <xf numFmtId="44" fontId="3" fillId="0" borderId="13" xfId="0" applyNumberFormat="1" applyFont="1" applyFill="1" applyBorder="1"/>
    <xf numFmtId="0" fontId="30" fillId="0" borderId="0" xfId="0" applyFont="1" applyBorder="1" applyAlignment="1">
      <alignment vertical="center"/>
    </xf>
    <xf numFmtId="0" fontId="3" fillId="0" borderId="0" xfId="0" applyFont="1" applyFill="1" applyBorder="1" applyAlignment="1">
      <alignment wrapText="1"/>
    </xf>
    <xf numFmtId="44" fontId="3" fillId="0" borderId="0" xfId="0" applyNumberFormat="1" applyFont="1" applyFill="1" applyBorder="1"/>
    <xf numFmtId="0" fontId="3" fillId="0" borderId="1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24" xfId="0" applyFont="1" applyFill="1" applyBorder="1" applyAlignment="1">
      <alignment horizontal="center"/>
    </xf>
    <xf numFmtId="0" fontId="2" fillId="26" borderId="25" xfId="0" applyFont="1" applyFill="1" applyBorder="1" applyAlignment="1">
      <alignment horizontal="center"/>
    </xf>
    <xf numFmtId="44" fontId="5" fillId="0" borderId="0" xfId="0" applyNumberFormat="1" applyFont="1" applyFill="1" applyAlignment="1">
      <alignment horizontal="right" vertical="center"/>
    </xf>
    <xf numFmtId="44" fontId="3" fillId="0" borderId="0" xfId="0" applyNumberFormat="1" applyFont="1" applyFill="1" applyAlignment="1">
      <alignment horizontal="right"/>
    </xf>
    <xf numFmtId="44" fontId="3" fillId="0" borderId="13" xfId="0" applyNumberFormat="1" applyFont="1" applyFill="1" applyBorder="1" applyAlignment="1">
      <alignment horizontal="right" vertical="center" wrapText="1"/>
    </xf>
    <xf numFmtId="44" fontId="3" fillId="0" borderId="13" xfId="0" applyNumberFormat="1" applyFont="1" applyBorder="1" applyAlignment="1">
      <alignment horizontal="right" vertical="center" wrapText="1"/>
    </xf>
    <xf numFmtId="44" fontId="3" fillId="0" borderId="13" xfId="53" applyNumberFormat="1" applyFont="1" applyFill="1" applyBorder="1" applyAlignment="1" applyProtection="1">
      <alignment horizontal="right" vertical="center"/>
    </xf>
    <xf numFmtId="44" fontId="3" fillId="0" borderId="13" xfId="0" applyNumberFormat="1" applyFont="1" applyBorder="1" applyAlignment="1">
      <alignment horizontal="right"/>
    </xf>
    <xf numFmtId="44" fontId="3" fillId="0" borderId="15" xfId="0" applyNumberFormat="1" applyFont="1" applyFill="1" applyBorder="1" applyAlignment="1">
      <alignment horizontal="right" vertical="center" wrapText="1"/>
    </xf>
    <xf numFmtId="44" fontId="3" fillId="0" borderId="19" xfId="0" applyNumberFormat="1" applyFont="1" applyFill="1" applyBorder="1" applyAlignment="1">
      <alignment horizontal="right" vertical="center" wrapText="1"/>
    </xf>
    <xf numFmtId="44" fontId="3" fillId="0" borderId="16" xfId="0" applyNumberFormat="1" applyFont="1" applyBorder="1" applyAlignment="1">
      <alignment horizontal="right" vertical="center" wrapText="1"/>
    </xf>
    <xf numFmtId="44" fontId="3" fillId="0" borderId="19" xfId="0" applyNumberFormat="1" applyFont="1" applyBorder="1" applyAlignment="1">
      <alignment horizontal="right" vertical="center" wrapText="1"/>
    </xf>
    <xf numFmtId="44" fontId="3" fillId="0" borderId="23" xfId="0" applyNumberFormat="1" applyFont="1" applyBorder="1" applyAlignment="1">
      <alignment horizontal="right" vertical="center" wrapText="1"/>
    </xf>
    <xf numFmtId="44" fontId="3" fillId="0" borderId="21" xfId="0" applyNumberFormat="1" applyFont="1" applyBorder="1" applyAlignment="1">
      <alignment horizontal="right" vertical="center" wrapText="1"/>
    </xf>
    <xf numFmtId="44" fontId="2" fillId="0" borderId="26" xfId="0" applyNumberFormat="1" applyFont="1" applyFill="1" applyBorder="1" applyAlignment="1">
      <alignment horizontal="right" vertical="center" wrapText="1"/>
    </xf>
    <xf numFmtId="44" fontId="3" fillId="0" borderId="13" xfId="49" applyNumberFormat="1" applyFont="1" applyFill="1" applyBorder="1" applyAlignment="1" applyProtection="1">
      <alignment horizontal="right" vertical="center"/>
    </xf>
    <xf numFmtId="44" fontId="2" fillId="0" borderId="16" xfId="0" applyNumberFormat="1" applyFont="1" applyFill="1" applyBorder="1" applyAlignment="1">
      <alignment horizontal="right" vertical="center" wrapText="1"/>
    </xf>
    <xf numFmtId="44" fontId="2" fillId="26" borderId="27" xfId="0" applyNumberFormat="1" applyFont="1" applyFill="1" applyBorder="1" applyAlignment="1">
      <alignment horizontal="right"/>
    </xf>
    <xf numFmtId="44" fontId="3" fillId="0" borderId="28" xfId="0" applyNumberFormat="1" applyFont="1" applyFill="1" applyBorder="1" applyAlignment="1">
      <alignment horizontal="right"/>
    </xf>
    <xf numFmtId="44" fontId="3" fillId="0" borderId="29" xfId="0" applyNumberFormat="1" applyFont="1" applyFill="1" applyBorder="1" applyAlignment="1">
      <alignment horizontal="right"/>
    </xf>
    <xf numFmtId="0" fontId="3" fillId="0" borderId="11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13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top" wrapText="1"/>
    </xf>
    <xf numFmtId="0" fontId="3" fillId="0" borderId="19" xfId="0" applyFont="1" applyFill="1" applyBorder="1" applyAlignment="1">
      <alignment horizontal="left" vertical="center" wrapText="1"/>
    </xf>
    <xf numFmtId="0" fontId="3" fillId="0" borderId="21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2" fillId="26" borderId="30" xfId="0" applyFont="1" applyFill="1" applyBorder="1" applyAlignment="1">
      <alignment horizontal="left"/>
    </xf>
    <xf numFmtId="0" fontId="3" fillId="0" borderId="31" xfId="0" applyFont="1" applyFill="1" applyBorder="1" applyAlignment="1">
      <alignment horizontal="left"/>
    </xf>
    <xf numFmtId="0" fontId="3" fillId="0" borderId="32" xfId="0" applyFont="1" applyFill="1" applyBorder="1" applyAlignment="1">
      <alignment horizontal="left"/>
    </xf>
    <xf numFmtId="0" fontId="3" fillId="0" borderId="0" xfId="0" applyFont="1"/>
    <xf numFmtId="0" fontId="2" fillId="0" borderId="33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8" fontId="2" fillId="0" borderId="35" xfId="0" applyNumberFormat="1" applyFont="1" applyFill="1" applyBorder="1" applyAlignment="1">
      <alignment horizontal="center" vertical="center"/>
    </xf>
    <xf numFmtId="8" fontId="3" fillId="0" borderId="13" xfId="0" applyNumberFormat="1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8" fontId="3" fillId="0" borderId="23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168" fontId="3" fillId="0" borderId="0" xfId="0" applyNumberFormat="1" applyFont="1" applyFill="1" applyAlignment="1">
      <alignment horizontal="center"/>
    </xf>
    <xf numFmtId="44" fontId="2" fillId="0" borderId="0" xfId="0" applyNumberFormat="1" applyFont="1" applyFill="1"/>
    <xf numFmtId="44" fontId="2" fillId="26" borderId="13" xfId="0" applyNumberFormat="1" applyFont="1" applyFill="1" applyBorder="1" applyAlignment="1">
      <alignment vertical="center" wrapText="1"/>
    </xf>
    <xf numFmtId="44" fontId="2" fillId="0" borderId="14" xfId="0" applyNumberFormat="1" applyFont="1" applyFill="1" applyBorder="1"/>
    <xf numFmtId="44" fontId="2" fillId="0" borderId="0" xfId="0" applyNumberFormat="1" applyFont="1" applyFill="1" applyAlignment="1">
      <alignment horizontal="left"/>
    </xf>
    <xf numFmtId="44" fontId="2" fillId="0" borderId="13" xfId="0" applyNumberFormat="1" applyFont="1" applyFill="1" applyBorder="1" applyAlignment="1">
      <alignment horizontal="left" vertical="center" wrapText="1"/>
    </xf>
    <xf numFmtId="44" fontId="2" fillId="26" borderId="13" xfId="0" applyNumberFormat="1" applyFont="1" applyFill="1" applyBorder="1" applyAlignment="1">
      <alignment horizontal="left" vertical="center" wrapText="1"/>
    </xf>
    <xf numFmtId="44" fontId="2" fillId="0" borderId="14" xfId="0" applyNumberFormat="1" applyFont="1" applyFill="1" applyBorder="1" applyAlignment="1">
      <alignment horizontal="left"/>
    </xf>
    <xf numFmtId="44" fontId="2" fillId="0" borderId="0" xfId="0" applyNumberFormat="1" applyFont="1" applyFill="1" applyBorder="1" applyAlignment="1">
      <alignment horizontal="left"/>
    </xf>
    <xf numFmtId="0" fontId="3" fillId="0" borderId="13" xfId="42" applyFont="1" applyFill="1" applyBorder="1" applyAlignment="1">
      <alignment vertical="center" wrapText="1"/>
    </xf>
    <xf numFmtId="0" fontId="3" fillId="26" borderId="13" xfId="42" applyFont="1" applyFill="1" applyBorder="1" applyAlignment="1">
      <alignment vertical="center" wrapText="1"/>
    </xf>
    <xf numFmtId="1" fontId="3" fillId="0" borderId="13" xfId="0" applyNumberFormat="1" applyFont="1" applyFill="1" applyBorder="1" applyAlignment="1">
      <alignment vertical="center" wrapText="1"/>
    </xf>
    <xf numFmtId="0" fontId="3" fillId="0" borderId="13" xfId="42" applyFont="1" applyFill="1" applyBorder="1"/>
    <xf numFmtId="0" fontId="3" fillId="0" borderId="13" xfId="42" applyFont="1" applyFill="1" applyBorder="1" applyAlignment="1">
      <alignment wrapText="1"/>
    </xf>
    <xf numFmtId="0" fontId="2" fillId="26" borderId="14" xfId="0" applyFont="1" applyFill="1" applyBorder="1" applyAlignment="1">
      <alignment vertical="center" wrapText="1"/>
    </xf>
    <xf numFmtId="168" fontId="2" fillId="26" borderId="13" xfId="0" applyNumberFormat="1" applyFont="1" applyFill="1" applyBorder="1" applyAlignment="1">
      <alignment horizontal="center"/>
    </xf>
    <xf numFmtId="44" fontId="2" fillId="0" borderId="36" xfId="0" applyNumberFormat="1" applyFont="1" applyFill="1" applyBorder="1"/>
    <xf numFmtId="44" fontId="2" fillId="0" borderId="36" xfId="0" applyNumberFormat="1" applyFont="1" applyFill="1" applyBorder="1" applyAlignment="1">
      <alignment horizontal="left"/>
    </xf>
    <xf numFmtId="168" fontId="2" fillId="0" borderId="0" xfId="0" applyNumberFormat="1" applyFont="1" applyFill="1" applyAlignment="1">
      <alignment horizontal="left"/>
    </xf>
    <xf numFmtId="0" fontId="3" fillId="0" borderId="16" xfId="42" applyFont="1" applyFill="1" applyBorder="1" applyAlignment="1">
      <alignment horizontal="left" vertical="center" wrapText="1"/>
    </xf>
    <xf numFmtId="0" fontId="3" fillId="0" borderId="16" xfId="42" applyFont="1" applyFill="1" applyBorder="1" applyAlignment="1">
      <alignment horizontal="right" vertical="center" wrapText="1"/>
    </xf>
    <xf numFmtId="0" fontId="3" fillId="0" borderId="16" xfId="42" applyFont="1" applyFill="1" applyBorder="1" applyAlignment="1">
      <alignment vertical="center" wrapText="1"/>
    </xf>
    <xf numFmtId="0" fontId="3" fillId="0" borderId="16" xfId="42" applyFont="1" applyFill="1" applyBorder="1" applyAlignment="1">
      <alignment horizontal="center" vertical="center" wrapText="1"/>
    </xf>
    <xf numFmtId="0" fontId="29" fillId="24" borderId="13" xfId="0" applyFont="1" applyFill="1" applyBorder="1" applyAlignment="1">
      <alignment horizontal="left" vertical="center" wrapText="1"/>
    </xf>
    <xf numFmtId="0" fontId="2" fillId="25" borderId="13" xfId="0" applyFont="1" applyFill="1" applyBorder="1" applyAlignment="1">
      <alignment horizontal="left" vertical="center" wrapText="1"/>
    </xf>
    <xf numFmtId="0" fontId="2" fillId="25" borderId="14" xfId="0" applyFont="1" applyFill="1" applyBorder="1" applyAlignment="1">
      <alignment horizontal="left" vertical="center" wrapText="1"/>
    </xf>
    <xf numFmtId="44" fontId="2" fillId="0" borderId="23" xfId="0" applyNumberFormat="1" applyFont="1" applyFill="1" applyBorder="1" applyAlignment="1">
      <alignment horizontal="center" vertical="center" wrapText="1"/>
    </xf>
    <xf numFmtId="44" fontId="2" fillId="0" borderId="21" xfId="0" applyNumberFormat="1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44" fontId="2" fillId="0" borderId="23" xfId="42" applyNumberFormat="1" applyFont="1" applyFill="1" applyBorder="1" applyAlignment="1">
      <alignment horizontal="center" vertical="center" wrapText="1"/>
    </xf>
    <xf numFmtId="44" fontId="2" fillId="0" borderId="21" xfId="42" applyNumberFormat="1" applyFont="1" applyFill="1" applyBorder="1" applyAlignment="1">
      <alignment horizontal="center" vertical="center" wrapText="1"/>
    </xf>
    <xf numFmtId="44" fontId="2" fillId="0" borderId="23" xfId="42" applyNumberFormat="1" applyFont="1" applyFill="1" applyBorder="1" applyAlignment="1">
      <alignment horizontal="left" vertical="center" wrapText="1"/>
    </xf>
    <xf numFmtId="44" fontId="2" fillId="0" borderId="21" xfId="42" applyNumberFormat="1" applyFont="1" applyFill="1" applyBorder="1" applyAlignment="1">
      <alignment horizontal="left" vertical="center" wrapText="1"/>
    </xf>
    <xf numFmtId="44" fontId="2" fillId="0" borderId="23" xfId="0" applyNumberFormat="1" applyFont="1" applyFill="1" applyBorder="1" applyAlignment="1">
      <alignment horizontal="left" vertical="center" wrapText="1"/>
    </xf>
    <xf numFmtId="44" fontId="2" fillId="0" borderId="21" xfId="0" applyNumberFormat="1" applyFont="1" applyFill="1" applyBorder="1" applyAlignment="1">
      <alignment horizontal="left" vertical="center" wrapText="1"/>
    </xf>
    <xf numFmtId="0" fontId="2" fillId="24" borderId="13" xfId="42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2" fillId="26" borderId="13" xfId="0" applyFont="1" applyFill="1" applyBorder="1" applyAlignment="1">
      <alignment horizontal="left" vertical="center" wrapText="1"/>
    </xf>
    <xf numFmtId="0" fontId="2" fillId="24" borderId="14" xfId="0" applyFont="1" applyFill="1" applyBorder="1" applyAlignment="1">
      <alignment horizontal="left" vertical="center" wrapText="1"/>
    </xf>
    <xf numFmtId="0" fontId="2" fillId="24" borderId="18" xfId="0" applyFont="1" applyFill="1" applyBorder="1" applyAlignment="1">
      <alignment horizontal="left" vertical="center" wrapText="1"/>
    </xf>
    <xf numFmtId="0" fontId="2" fillId="24" borderId="26" xfId="0" applyFont="1" applyFill="1" applyBorder="1" applyAlignment="1">
      <alignment horizontal="left" vertical="center" wrapText="1"/>
    </xf>
    <xf numFmtId="0" fontId="2" fillId="0" borderId="37" xfId="0" applyFont="1" applyFill="1" applyBorder="1" applyAlignment="1">
      <alignment horizontal="center" vertical="center" wrapText="1"/>
    </xf>
    <xf numFmtId="0" fontId="2" fillId="0" borderId="38" xfId="0" applyFont="1" applyFill="1" applyBorder="1" applyAlignment="1">
      <alignment horizontal="center" vertical="center" wrapText="1"/>
    </xf>
    <xf numFmtId="0" fontId="11" fillId="0" borderId="39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left" vertical="center"/>
    </xf>
    <xf numFmtId="0" fontId="16" fillId="0" borderId="11" xfId="0" applyFont="1" applyFill="1" applyBorder="1" applyAlignment="1">
      <alignment horizontal="left" vertical="center"/>
    </xf>
    <xf numFmtId="0" fontId="16" fillId="0" borderId="12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right" vertical="center"/>
    </xf>
    <xf numFmtId="0" fontId="21" fillId="0" borderId="13" xfId="0" applyFont="1" applyFill="1" applyBorder="1" applyAlignment="1">
      <alignment horizontal="center" vertical="center"/>
    </xf>
    <xf numFmtId="44" fontId="2" fillId="0" borderId="13" xfId="0" applyNumberFormat="1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left" vertical="center"/>
    </xf>
    <xf numFmtId="0" fontId="14" fillId="0" borderId="11" xfId="0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left" vertical="center"/>
    </xf>
    <xf numFmtId="0" fontId="2" fillId="26" borderId="14" xfId="0" applyFont="1" applyFill="1" applyBorder="1" applyAlignment="1">
      <alignment horizontal="center" vertical="center"/>
    </xf>
    <xf numFmtId="0" fontId="2" fillId="26" borderId="18" xfId="0" applyFont="1" applyFill="1" applyBorder="1" applyAlignment="1">
      <alignment horizontal="center" vertical="center"/>
    </xf>
    <xf numFmtId="0" fontId="2" fillId="26" borderId="2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4" fillId="0" borderId="0" xfId="0" applyFont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60">
    <cellStyle name="20% - akcent 1 2" xfId="1"/>
    <cellStyle name="20% - akcent 2 2" xfId="2"/>
    <cellStyle name="20% - akcent 3 2" xfId="3"/>
    <cellStyle name="20% - akcent 4 2" xfId="4"/>
    <cellStyle name="20% - akcent 5 2" xfId="5"/>
    <cellStyle name="20% - akcent 6 2" xfId="6"/>
    <cellStyle name="40% - akcent 1 2" xfId="7"/>
    <cellStyle name="40% - akcent 2 2" xfId="8"/>
    <cellStyle name="40% - akcent 3 2" xfId="9"/>
    <cellStyle name="40% - akcent 4 2" xfId="10"/>
    <cellStyle name="40% - akcent 5 2" xfId="11"/>
    <cellStyle name="40% - akcent 6 2" xfId="12"/>
    <cellStyle name="60% - akcent 1 2" xfId="13"/>
    <cellStyle name="60% - akcent 2 2" xfId="14"/>
    <cellStyle name="60% - akcent 3 2" xfId="15"/>
    <cellStyle name="60% - akcent 4 2" xfId="16"/>
    <cellStyle name="60% - akcent 5 2" xfId="17"/>
    <cellStyle name="60% - akcent 6 2" xfId="18"/>
    <cellStyle name="Akcent 1 2" xfId="19"/>
    <cellStyle name="Akcent 2 2" xfId="20"/>
    <cellStyle name="Akcent 3 2" xfId="21"/>
    <cellStyle name="Akcent 4 2" xfId="22"/>
    <cellStyle name="Akcent 5 2" xfId="23"/>
    <cellStyle name="Akcent 6 2" xfId="24"/>
    <cellStyle name="Dane wejściowe 2" xfId="25"/>
    <cellStyle name="Dane wyjściowe 2" xfId="26"/>
    <cellStyle name="Dobre 2" xfId="27"/>
    <cellStyle name="Hiperłącze 2" xfId="28"/>
    <cellStyle name="Hiperłącze 3" xfId="29"/>
    <cellStyle name="Hiperłącze 3 2" xfId="30"/>
    <cellStyle name="Hiperłącze 3 2 2" xfId="31"/>
    <cellStyle name="Hiperłącze 3 3" xfId="32"/>
    <cellStyle name="Komórka połączona 2" xfId="33"/>
    <cellStyle name="Komórka zaznaczona 2" xfId="34"/>
    <cellStyle name="Nagłówek 1 2" xfId="35"/>
    <cellStyle name="Nagłówek 2 2" xfId="36"/>
    <cellStyle name="Nagłówek 3 2" xfId="37"/>
    <cellStyle name="Nagłówek 4 2" xfId="38"/>
    <cellStyle name="Neutralne 2" xfId="39"/>
    <cellStyle name="Normalny" xfId="0" builtinId="0"/>
    <cellStyle name="Normalny 2" xfId="40"/>
    <cellStyle name="Normalny 2 2" xfId="41"/>
    <cellStyle name="Normalny 3" xfId="42"/>
    <cellStyle name="Obliczenia 2" xfId="43"/>
    <cellStyle name="Suma 2" xfId="44"/>
    <cellStyle name="Tekst objaśnienia 2" xfId="45"/>
    <cellStyle name="Tekst ostrzeżenia 2" xfId="46"/>
    <cellStyle name="Tytuł 2" xfId="47"/>
    <cellStyle name="Uwaga 2" xfId="48"/>
    <cellStyle name="Walutowy" xfId="49" builtinId="4"/>
    <cellStyle name="Walutowy 2" xfId="50"/>
    <cellStyle name="Walutowy 2 2" xfId="51"/>
    <cellStyle name="Walutowy 3" xfId="52"/>
    <cellStyle name="Walutowy 4" xfId="53"/>
    <cellStyle name="Walutowy 4 2" xfId="54"/>
    <cellStyle name="Walutowy 5" xfId="55"/>
    <cellStyle name="Walutowy 5 2" xfId="56"/>
    <cellStyle name="Walutowy 5 2 2" xfId="57"/>
    <cellStyle name="Walutowy 5 3" xfId="58"/>
    <cellStyle name="Złe 2" xfId="5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0"/>
  <sheetViews>
    <sheetView tabSelected="1" view="pageBreakPreview" workbookViewId="0">
      <pane xSplit="2" topLeftCell="C1" activePane="topRight" state="frozen"/>
      <selection pane="topRight" activeCell="H70" sqref="H70"/>
    </sheetView>
  </sheetViews>
  <sheetFormatPr defaultRowHeight="12.75"/>
  <cols>
    <col min="1" max="1" width="4.140625" style="1" customWidth="1"/>
    <col min="2" max="2" width="26.85546875" style="1" customWidth="1"/>
    <col min="3" max="3" width="24.7109375" style="1" customWidth="1"/>
    <col min="4" max="4" width="12.42578125" style="1" customWidth="1"/>
    <col min="5" max="5" width="17.140625" style="1" customWidth="1"/>
    <col min="6" max="6" width="20.28515625" style="55" customWidth="1"/>
    <col min="7" max="7" width="15.85546875" style="201" customWidth="1"/>
    <col min="8" max="8" width="15.85546875" style="204" customWidth="1"/>
    <col min="9" max="9" width="35.85546875" style="1" customWidth="1"/>
    <col min="10" max="10" width="34.85546875" style="1" customWidth="1"/>
    <col min="11" max="11" width="5" style="1" customWidth="1"/>
    <col min="12" max="14" width="16.42578125" style="1" customWidth="1"/>
    <col min="15" max="15" width="15.28515625" style="1" customWidth="1"/>
    <col min="16" max="16" width="15.5703125" style="1" customWidth="1"/>
    <col min="17" max="18" width="14.42578125" style="1" customWidth="1"/>
    <col min="19" max="19" width="16.140625" style="100" customWidth="1"/>
    <col min="20" max="21" width="9.140625" style="100"/>
    <col min="22" max="22" width="15.85546875" style="120" hidden="1" customWidth="1"/>
    <col min="23" max="23" width="15" style="1" hidden="1" customWidth="1"/>
    <col min="24" max="24" width="11.28515625" style="1" hidden="1" customWidth="1"/>
    <col min="25" max="16384" width="9.140625" style="1"/>
  </cols>
  <sheetData>
    <row r="1" spans="1:24" ht="13.5" thickBot="1">
      <c r="A1" s="105" t="s">
        <v>241</v>
      </c>
      <c r="B1" s="6"/>
      <c r="C1" s="6"/>
      <c r="D1" s="6"/>
      <c r="E1" s="6"/>
      <c r="F1" s="197"/>
      <c r="G1" s="216"/>
      <c r="H1" s="217"/>
      <c r="I1" s="7"/>
      <c r="J1" s="110" t="s">
        <v>0</v>
      </c>
      <c r="K1" s="111"/>
    </row>
    <row r="2" spans="1:24">
      <c r="J2" s="1" t="s">
        <v>66</v>
      </c>
      <c r="R2" s="1" t="s">
        <v>67</v>
      </c>
    </row>
    <row r="3" spans="1:24">
      <c r="A3" s="3"/>
      <c r="B3" s="3"/>
      <c r="C3" s="3"/>
      <c r="D3" s="3"/>
      <c r="E3" s="3"/>
      <c r="F3" s="3"/>
      <c r="I3" s="2"/>
      <c r="J3" s="2"/>
      <c r="K3" s="2"/>
    </row>
    <row r="4" spans="1:24" ht="30" customHeight="1">
      <c r="A4" s="228" t="s">
        <v>1</v>
      </c>
      <c r="B4" s="228" t="s">
        <v>49</v>
      </c>
      <c r="C4" s="228" t="s">
        <v>51</v>
      </c>
      <c r="D4" s="228" t="s">
        <v>55</v>
      </c>
      <c r="E4" s="228" t="s">
        <v>65</v>
      </c>
      <c r="F4" s="228" t="s">
        <v>2</v>
      </c>
      <c r="G4" s="229" t="s">
        <v>490</v>
      </c>
      <c r="H4" s="231" t="s">
        <v>491</v>
      </c>
      <c r="I4" s="228" t="s">
        <v>3</v>
      </c>
      <c r="J4" s="236" t="s">
        <v>4</v>
      </c>
      <c r="K4" s="228" t="s">
        <v>1</v>
      </c>
      <c r="L4" s="235" t="s">
        <v>62</v>
      </c>
      <c r="M4" s="235" t="s">
        <v>61</v>
      </c>
      <c r="N4" s="235" t="s">
        <v>332</v>
      </c>
      <c r="O4" s="235" t="s">
        <v>5</v>
      </c>
      <c r="P4" s="235" t="s">
        <v>52</v>
      </c>
      <c r="Q4" s="235" t="s">
        <v>53</v>
      </c>
      <c r="R4" s="235" t="s">
        <v>54</v>
      </c>
      <c r="S4" s="235" t="s">
        <v>6</v>
      </c>
      <c r="T4" s="235"/>
      <c r="U4" s="235"/>
      <c r="V4" s="229" t="s">
        <v>7</v>
      </c>
    </row>
    <row r="5" spans="1:24" ht="64.5" customHeight="1">
      <c r="A5" s="228"/>
      <c r="B5" s="228"/>
      <c r="C5" s="228"/>
      <c r="D5" s="228"/>
      <c r="E5" s="228"/>
      <c r="F5" s="228"/>
      <c r="G5" s="230"/>
      <c r="H5" s="232"/>
      <c r="I5" s="228"/>
      <c r="J5" s="236"/>
      <c r="K5" s="228"/>
      <c r="L5" s="235"/>
      <c r="M5" s="235"/>
      <c r="N5" s="235"/>
      <c r="O5" s="235"/>
      <c r="P5" s="235"/>
      <c r="Q5" s="235"/>
      <c r="R5" s="235"/>
      <c r="S5" s="98" t="s">
        <v>8</v>
      </c>
      <c r="T5" s="98" t="s">
        <v>9</v>
      </c>
      <c r="U5" s="98" t="s">
        <v>10</v>
      </c>
      <c r="V5" s="230"/>
    </row>
    <row r="6" spans="1:24" ht="12.75" customHeight="1">
      <c r="A6" s="224" t="s">
        <v>96</v>
      </c>
      <c r="B6" s="224"/>
      <c r="C6" s="224"/>
      <c r="D6" s="224"/>
      <c r="E6" s="224"/>
      <c r="F6" s="224"/>
      <c r="G6" s="224"/>
      <c r="H6" s="224"/>
      <c r="I6" s="224"/>
      <c r="J6" s="225"/>
      <c r="K6" s="99"/>
      <c r="L6" s="99"/>
      <c r="M6" s="99"/>
      <c r="N6" s="99"/>
      <c r="O6" s="99"/>
      <c r="P6" s="99"/>
      <c r="Q6" s="99"/>
      <c r="R6" s="99"/>
      <c r="S6" s="99"/>
      <c r="T6" s="101"/>
      <c r="U6" s="101"/>
      <c r="V6" s="132"/>
    </row>
    <row r="7" spans="1:24" s="66" customFormat="1" ht="27" customHeight="1">
      <c r="A7" s="11">
        <v>1</v>
      </c>
      <c r="B7" s="11" t="s">
        <v>227</v>
      </c>
      <c r="C7" s="11" t="s">
        <v>73</v>
      </c>
      <c r="D7" s="11" t="s">
        <v>74</v>
      </c>
      <c r="E7" s="11" t="s">
        <v>75</v>
      </c>
      <c r="F7" s="14">
        <v>1972</v>
      </c>
      <c r="G7" s="122">
        <v>2741000</v>
      </c>
      <c r="H7" s="205" t="s">
        <v>506</v>
      </c>
      <c r="I7" s="11" t="s">
        <v>76</v>
      </c>
      <c r="J7" s="11" t="s">
        <v>77</v>
      </c>
      <c r="K7" s="11">
        <v>1</v>
      </c>
      <c r="L7" s="209">
        <v>795.8</v>
      </c>
      <c r="M7" s="209">
        <v>1137.5</v>
      </c>
      <c r="N7" s="209">
        <v>6202</v>
      </c>
      <c r="O7" s="209">
        <v>2.5</v>
      </c>
      <c r="P7" s="209" t="s">
        <v>74</v>
      </c>
      <c r="Q7" s="209" t="s">
        <v>74</v>
      </c>
      <c r="R7" s="209" t="s">
        <v>75</v>
      </c>
      <c r="S7" s="209" t="s">
        <v>507</v>
      </c>
      <c r="T7" s="209" t="s">
        <v>508</v>
      </c>
      <c r="U7" s="209" t="s">
        <v>509</v>
      </c>
      <c r="V7" s="121"/>
      <c r="W7" s="1"/>
      <c r="X7" s="1"/>
    </row>
    <row r="8" spans="1:24" s="66" customFormat="1" ht="27" customHeight="1">
      <c r="A8" s="11"/>
      <c r="B8" s="11"/>
      <c r="C8" s="11"/>
      <c r="D8" s="11"/>
      <c r="E8" s="11"/>
      <c r="F8" s="9" t="s">
        <v>11</v>
      </c>
      <c r="G8" s="122">
        <f>SUM(G7)</f>
        <v>2741000</v>
      </c>
      <c r="H8" s="205"/>
      <c r="I8" s="78"/>
      <c r="J8" s="97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21"/>
      <c r="W8" s="1"/>
      <c r="X8" s="1"/>
    </row>
    <row r="9" spans="1:24" ht="12.75" customHeight="1">
      <c r="A9" s="224" t="s">
        <v>95</v>
      </c>
      <c r="B9" s="224"/>
      <c r="C9" s="224"/>
      <c r="D9" s="224"/>
      <c r="E9" s="224"/>
      <c r="F9" s="224"/>
      <c r="G9" s="224"/>
      <c r="H9" s="224"/>
      <c r="I9" s="224"/>
      <c r="J9" s="225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133"/>
    </row>
    <row r="10" spans="1:24" ht="165.75">
      <c r="A10" s="11">
        <v>1</v>
      </c>
      <c r="B10" s="11" t="s">
        <v>85</v>
      </c>
      <c r="C10" s="11" t="s">
        <v>243</v>
      </c>
      <c r="D10" s="11" t="s">
        <v>74</v>
      </c>
      <c r="E10" s="11" t="s">
        <v>75</v>
      </c>
      <c r="F10" s="14">
        <v>1997</v>
      </c>
      <c r="G10" s="121">
        <v>4794000</v>
      </c>
      <c r="H10" s="205" t="s">
        <v>493</v>
      </c>
      <c r="I10" s="11" t="s">
        <v>89</v>
      </c>
      <c r="J10" s="11" t="s">
        <v>93</v>
      </c>
      <c r="K10" s="11">
        <v>1</v>
      </c>
      <c r="L10" s="221">
        <v>1189.0999999999999</v>
      </c>
      <c r="M10" s="220">
        <v>1700</v>
      </c>
      <c r="N10" s="221">
        <v>6900</v>
      </c>
      <c r="O10" s="222">
        <v>2</v>
      </c>
      <c r="P10" s="222" t="s">
        <v>75</v>
      </c>
      <c r="Q10" s="222" t="s">
        <v>74</v>
      </c>
      <c r="R10" s="222" t="s">
        <v>75</v>
      </c>
      <c r="S10" s="219" t="s">
        <v>521</v>
      </c>
      <c r="T10" s="219" t="s">
        <v>522</v>
      </c>
      <c r="U10" s="219" t="s">
        <v>523</v>
      </c>
      <c r="V10" s="121"/>
    </row>
    <row r="11" spans="1:24" ht="114.75">
      <c r="A11" s="11">
        <v>2</v>
      </c>
      <c r="B11" s="11" t="s">
        <v>86</v>
      </c>
      <c r="C11" s="11" t="s">
        <v>245</v>
      </c>
      <c r="D11" s="11" t="s">
        <v>74</v>
      </c>
      <c r="E11" s="11" t="s">
        <v>75</v>
      </c>
      <c r="F11" s="14">
        <v>2006</v>
      </c>
      <c r="G11" s="122">
        <f>5259059.69+15000</f>
        <v>5274059.6900000004</v>
      </c>
      <c r="H11" s="205" t="s">
        <v>494</v>
      </c>
      <c r="I11" s="11" t="s">
        <v>90</v>
      </c>
      <c r="J11" s="11" t="s">
        <v>93</v>
      </c>
      <c r="K11" s="11">
        <v>2</v>
      </c>
      <c r="L11" s="221"/>
      <c r="M11" s="221"/>
      <c r="N11" s="221"/>
      <c r="O11" s="221"/>
      <c r="P11" s="221"/>
      <c r="Q11" s="221"/>
      <c r="R11" s="221"/>
      <c r="S11" s="221"/>
      <c r="T11" s="221"/>
      <c r="U11" s="221"/>
      <c r="V11" s="121"/>
    </row>
    <row r="12" spans="1:24" ht="191.25">
      <c r="A12" s="11">
        <v>3</v>
      </c>
      <c r="B12" s="11" t="s">
        <v>87</v>
      </c>
      <c r="C12" s="11"/>
      <c r="D12" s="11" t="s">
        <v>74</v>
      </c>
      <c r="E12" s="11" t="s">
        <v>75</v>
      </c>
      <c r="F12" s="14">
        <v>2006</v>
      </c>
      <c r="G12" s="122">
        <v>7920689</v>
      </c>
      <c r="H12" s="205" t="s">
        <v>494</v>
      </c>
      <c r="I12" s="11" t="s">
        <v>91</v>
      </c>
      <c r="J12" s="11" t="s">
        <v>94</v>
      </c>
      <c r="K12" s="11">
        <v>3</v>
      </c>
      <c r="L12" s="221">
        <v>2259</v>
      </c>
      <c r="M12" s="221">
        <v>2748.9</v>
      </c>
      <c r="N12" s="221">
        <v>19757</v>
      </c>
      <c r="O12" s="222">
        <v>2</v>
      </c>
      <c r="P12" s="222" t="s">
        <v>75</v>
      </c>
      <c r="Q12" s="222" t="s">
        <v>74</v>
      </c>
      <c r="R12" s="222" t="s">
        <v>75</v>
      </c>
      <c r="S12" s="221" t="s">
        <v>524</v>
      </c>
      <c r="T12" s="219" t="s">
        <v>525</v>
      </c>
      <c r="U12" s="219" t="s">
        <v>526</v>
      </c>
      <c r="V12" s="121"/>
    </row>
    <row r="13" spans="1:24" ht="38.25">
      <c r="A13" s="11">
        <v>4</v>
      </c>
      <c r="B13" s="11" t="s">
        <v>88</v>
      </c>
      <c r="C13" s="11" t="s">
        <v>244</v>
      </c>
      <c r="D13" s="11" t="s">
        <v>74</v>
      </c>
      <c r="E13" s="11" t="s">
        <v>75</v>
      </c>
      <c r="F13" s="14">
        <v>2010</v>
      </c>
      <c r="G13" s="122">
        <v>350000</v>
      </c>
      <c r="H13" s="205" t="s">
        <v>494</v>
      </c>
      <c r="I13" s="11" t="s">
        <v>92</v>
      </c>
      <c r="J13" s="11" t="s">
        <v>93</v>
      </c>
      <c r="K13" s="11">
        <v>4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21"/>
    </row>
    <row r="14" spans="1:24">
      <c r="A14" s="11"/>
      <c r="B14" s="80"/>
      <c r="C14" s="11"/>
      <c r="D14" s="11"/>
      <c r="E14" s="11"/>
      <c r="F14" s="9" t="s">
        <v>11</v>
      </c>
      <c r="G14" s="122">
        <f>SUM(G10:G13)</f>
        <v>18338748.690000001</v>
      </c>
      <c r="H14" s="205"/>
      <c r="I14" s="80"/>
      <c r="J14" s="97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21"/>
    </row>
    <row r="15" spans="1:24">
      <c r="A15" s="224" t="s">
        <v>115</v>
      </c>
      <c r="B15" s="224"/>
      <c r="C15" s="224"/>
      <c r="D15" s="224"/>
      <c r="E15" s="224"/>
      <c r="F15" s="224"/>
      <c r="G15" s="224"/>
      <c r="H15" s="224"/>
      <c r="I15" s="224"/>
      <c r="J15" s="225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133"/>
    </row>
    <row r="16" spans="1:24" s="66" customFormat="1">
      <c r="A16" s="11">
        <v>1</v>
      </c>
      <c r="B16" s="11" t="s">
        <v>247</v>
      </c>
      <c r="C16" s="11" t="s">
        <v>248</v>
      </c>
      <c r="D16" s="11" t="s">
        <v>74</v>
      </c>
      <c r="E16" s="11" t="s">
        <v>75</v>
      </c>
      <c r="F16" s="14">
        <v>1975</v>
      </c>
      <c r="G16" s="226">
        <v>10653000</v>
      </c>
      <c r="H16" s="233" t="s">
        <v>493</v>
      </c>
      <c r="I16" s="11" t="s">
        <v>249</v>
      </c>
      <c r="J16" s="11" t="s">
        <v>250</v>
      </c>
      <c r="K16" s="11">
        <v>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21"/>
      <c r="W16" s="1" t="s">
        <v>426</v>
      </c>
      <c r="X16" s="1"/>
    </row>
    <row r="17" spans="1:24" s="66" customFormat="1" ht="51">
      <c r="A17" s="11">
        <v>2</v>
      </c>
      <c r="B17" s="11" t="s">
        <v>251</v>
      </c>
      <c r="C17" s="11"/>
      <c r="D17" s="11" t="s">
        <v>74</v>
      </c>
      <c r="E17" s="11" t="s">
        <v>75</v>
      </c>
      <c r="F17" s="14">
        <v>2010</v>
      </c>
      <c r="G17" s="227"/>
      <c r="H17" s="234"/>
      <c r="I17" s="11" t="s">
        <v>254</v>
      </c>
      <c r="J17" s="11" t="s">
        <v>250</v>
      </c>
      <c r="K17" s="11">
        <v>2</v>
      </c>
      <c r="L17" s="11">
        <v>3090.19</v>
      </c>
      <c r="M17" s="11">
        <v>5490.04</v>
      </c>
      <c r="N17" s="11">
        <v>34050.949999999997</v>
      </c>
      <c r="O17" s="11">
        <v>3</v>
      </c>
      <c r="P17" s="11" t="s">
        <v>74</v>
      </c>
      <c r="Q17" s="11" t="s">
        <v>74</v>
      </c>
      <c r="R17" s="11" t="s">
        <v>75</v>
      </c>
      <c r="S17" s="11" t="s">
        <v>262</v>
      </c>
      <c r="T17" s="11" t="s">
        <v>263</v>
      </c>
      <c r="U17" s="11" t="s">
        <v>264</v>
      </c>
      <c r="V17" s="124">
        <v>10653000</v>
      </c>
      <c r="W17" s="128" t="s">
        <v>420</v>
      </c>
      <c r="X17" s="134">
        <v>4.4999999999999999E-4</v>
      </c>
    </row>
    <row r="18" spans="1:24" s="66" customFormat="1" ht="63.75">
      <c r="A18" s="11">
        <v>3</v>
      </c>
      <c r="B18" s="11" t="s">
        <v>252</v>
      </c>
      <c r="C18" s="11"/>
      <c r="D18" s="11" t="s">
        <v>74</v>
      </c>
      <c r="E18" s="11" t="s">
        <v>75</v>
      </c>
      <c r="F18" s="14">
        <v>2009</v>
      </c>
      <c r="G18" s="122">
        <v>1328819.78</v>
      </c>
      <c r="H18" s="205" t="s">
        <v>494</v>
      </c>
      <c r="I18" s="11" t="s">
        <v>255</v>
      </c>
      <c r="J18" s="11" t="s">
        <v>250</v>
      </c>
      <c r="K18" s="11">
        <v>3</v>
      </c>
      <c r="L18" s="11"/>
      <c r="M18" s="11"/>
      <c r="N18" s="11"/>
      <c r="O18" s="11"/>
      <c r="P18" s="11"/>
      <c r="Q18" s="11"/>
      <c r="R18" s="11"/>
      <c r="S18" s="11" t="s">
        <v>265</v>
      </c>
      <c r="T18" s="11"/>
      <c r="U18" s="11" t="s">
        <v>266</v>
      </c>
      <c r="V18" s="121"/>
      <c r="W18" s="1"/>
      <c r="X18" s="120">
        <f>V17*X17</f>
        <v>4793.8499999999995</v>
      </c>
    </row>
    <row r="19" spans="1:24" s="66" customFormat="1" ht="25.5">
      <c r="A19" s="11">
        <v>4</v>
      </c>
      <c r="B19" s="11" t="s">
        <v>253</v>
      </c>
      <c r="C19" s="11"/>
      <c r="D19" s="11" t="s">
        <v>74</v>
      </c>
      <c r="E19" s="11" t="s">
        <v>75</v>
      </c>
      <c r="F19" s="14">
        <v>1958</v>
      </c>
      <c r="G19" s="122">
        <v>9897.7999999999993</v>
      </c>
      <c r="H19" s="205" t="s">
        <v>494</v>
      </c>
      <c r="I19" s="11" t="s">
        <v>256</v>
      </c>
      <c r="J19" s="11" t="s">
        <v>250</v>
      </c>
      <c r="K19" s="11">
        <v>4</v>
      </c>
      <c r="L19" s="11"/>
      <c r="M19" s="11"/>
      <c r="N19" s="11"/>
      <c r="O19" s="11"/>
      <c r="P19" s="11"/>
      <c r="Q19" s="11"/>
      <c r="R19" s="11"/>
      <c r="S19" s="11"/>
      <c r="T19" s="11"/>
      <c r="U19" s="11" t="s">
        <v>267</v>
      </c>
      <c r="V19" s="121"/>
      <c r="W19" s="120" t="e">
        <f>#REF!+#REF!</f>
        <v>#REF!</v>
      </c>
      <c r="X19" s="120" t="e">
        <f>X17*W19</f>
        <v>#REF!</v>
      </c>
    </row>
    <row r="20" spans="1:24" s="66" customFormat="1" ht="38.25">
      <c r="A20" s="11"/>
      <c r="B20" s="11"/>
      <c r="C20" s="11"/>
      <c r="D20" s="11"/>
      <c r="E20" s="11"/>
      <c r="F20" s="14"/>
      <c r="G20" s="122"/>
      <c r="H20" s="205"/>
      <c r="I20" s="11" t="s">
        <v>257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268</v>
      </c>
      <c r="V20" s="121"/>
      <c r="W20" s="1"/>
      <c r="X20" s="1"/>
    </row>
    <row r="21" spans="1:24" s="66" customFormat="1" ht="25.5">
      <c r="A21" s="11"/>
      <c r="B21" s="11"/>
      <c r="C21" s="11"/>
      <c r="D21" s="11"/>
      <c r="E21" s="11"/>
      <c r="F21" s="14"/>
      <c r="G21" s="122"/>
      <c r="H21" s="205"/>
      <c r="I21" s="11" t="s">
        <v>258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1"/>
      <c r="W21" s="1"/>
      <c r="X21" s="1"/>
    </row>
    <row r="22" spans="1:24" s="66" customFormat="1" ht="51">
      <c r="A22" s="11"/>
      <c r="B22" s="11"/>
      <c r="C22" s="11"/>
      <c r="D22" s="11"/>
      <c r="E22" s="11"/>
      <c r="F22" s="14"/>
      <c r="G22" s="122"/>
      <c r="H22" s="205"/>
      <c r="I22" s="11" t="s">
        <v>259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21"/>
      <c r="W22" s="1"/>
      <c r="X22" s="1"/>
    </row>
    <row r="23" spans="1:24" s="66" customFormat="1" ht="38.25">
      <c r="A23" s="11"/>
      <c r="B23" s="11"/>
      <c r="C23" s="11"/>
      <c r="D23" s="11"/>
      <c r="E23" s="11"/>
      <c r="F23" s="14"/>
      <c r="G23" s="122"/>
      <c r="H23" s="205"/>
      <c r="I23" s="11" t="s">
        <v>260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21"/>
      <c r="W23" s="1"/>
      <c r="X23" s="1"/>
    </row>
    <row r="24" spans="1:24" s="66" customFormat="1" ht="51">
      <c r="A24" s="11"/>
      <c r="B24" s="11"/>
      <c r="C24" s="11"/>
      <c r="D24" s="11"/>
      <c r="E24" s="11"/>
      <c r="F24" s="14"/>
      <c r="G24" s="122"/>
      <c r="H24" s="205"/>
      <c r="I24" s="11" t="s">
        <v>261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21"/>
      <c r="W24" s="1"/>
      <c r="X24" s="1"/>
    </row>
    <row r="25" spans="1:24" s="66" customFormat="1">
      <c r="A25" s="11"/>
      <c r="B25" s="11"/>
      <c r="C25" s="11"/>
      <c r="D25" s="11"/>
      <c r="E25" s="11"/>
      <c r="F25" s="9" t="s">
        <v>11</v>
      </c>
      <c r="G25" s="123">
        <f>SUM(G16:G24)</f>
        <v>11991717.58</v>
      </c>
      <c r="H25" s="205"/>
      <c r="I25" s="12"/>
      <c r="J25" s="97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21">
        <f>SUM(V17:V24)</f>
        <v>10653000</v>
      </c>
      <c r="W25" s="1"/>
      <c r="X25" s="1"/>
    </row>
    <row r="26" spans="1:24">
      <c r="A26" s="224" t="s">
        <v>201</v>
      </c>
      <c r="B26" s="224"/>
      <c r="C26" s="224"/>
      <c r="D26" s="224"/>
      <c r="E26" s="224"/>
      <c r="F26" s="224"/>
      <c r="G26" s="224"/>
      <c r="H26" s="224"/>
      <c r="I26" s="224"/>
      <c r="J26" s="225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133"/>
    </row>
    <row r="27" spans="1:24" ht="63.75">
      <c r="A27" s="11">
        <v>1</v>
      </c>
      <c r="B27" s="11" t="s">
        <v>166</v>
      </c>
      <c r="C27" s="11" t="s">
        <v>167</v>
      </c>
      <c r="D27" s="11" t="s">
        <v>74</v>
      </c>
      <c r="E27" s="11" t="s">
        <v>75</v>
      </c>
      <c r="F27" s="14">
        <v>1975</v>
      </c>
      <c r="G27" s="122">
        <v>2550000</v>
      </c>
      <c r="H27" s="205" t="s">
        <v>495</v>
      </c>
      <c r="I27" s="11" t="s">
        <v>173</v>
      </c>
      <c r="J27" s="11" t="s">
        <v>168</v>
      </c>
      <c r="K27" s="11">
        <v>1</v>
      </c>
      <c r="L27" s="11">
        <v>602</v>
      </c>
      <c r="M27" s="11">
        <v>960</v>
      </c>
      <c r="N27" s="11">
        <v>2976</v>
      </c>
      <c r="O27" s="11">
        <v>2</v>
      </c>
      <c r="P27" s="11" t="s">
        <v>75</v>
      </c>
      <c r="Q27" s="11" t="s">
        <v>74</v>
      </c>
      <c r="R27" s="11" t="s">
        <v>169</v>
      </c>
      <c r="S27" s="11" t="s">
        <v>170</v>
      </c>
      <c r="T27" s="11" t="s">
        <v>171</v>
      </c>
      <c r="U27" s="11" t="s">
        <v>172</v>
      </c>
      <c r="V27" s="124">
        <v>2550000</v>
      </c>
      <c r="W27" s="103" t="s">
        <v>271</v>
      </c>
    </row>
    <row r="28" spans="1:24" ht="12.75" customHeight="1">
      <c r="A28" s="15"/>
      <c r="B28" s="79"/>
      <c r="C28" s="15"/>
      <c r="D28" s="79"/>
      <c r="E28" s="15"/>
      <c r="F28" s="198" t="s">
        <v>11</v>
      </c>
      <c r="G28" s="122">
        <f>SUM(G27)</f>
        <v>2550000</v>
      </c>
      <c r="H28" s="205"/>
      <c r="I28" s="12"/>
      <c r="J28" s="97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21">
        <f>SUM(V27)</f>
        <v>2550000</v>
      </c>
    </row>
    <row r="29" spans="1:24">
      <c r="A29" s="224" t="s">
        <v>277</v>
      </c>
      <c r="B29" s="224"/>
      <c r="C29" s="224"/>
      <c r="D29" s="224"/>
      <c r="E29" s="224"/>
      <c r="F29" s="224"/>
      <c r="G29" s="224"/>
      <c r="H29" s="224"/>
      <c r="I29" s="224"/>
      <c r="J29" s="225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133"/>
    </row>
    <row r="30" spans="1:24" ht="63.75">
      <c r="A30" s="11">
        <v>1</v>
      </c>
      <c r="B30" s="11" t="s">
        <v>273</v>
      </c>
      <c r="C30" s="11" t="s">
        <v>478</v>
      </c>
      <c r="D30" s="11" t="s">
        <v>74</v>
      </c>
      <c r="E30" s="11" t="s">
        <v>75</v>
      </c>
      <c r="F30" s="14">
        <v>1977</v>
      </c>
      <c r="G30" s="122">
        <v>2230000</v>
      </c>
      <c r="H30" s="205" t="s">
        <v>495</v>
      </c>
      <c r="I30" s="11" t="s">
        <v>486</v>
      </c>
      <c r="J30" s="11" t="s">
        <v>278</v>
      </c>
      <c r="K30" s="11">
        <v>1</v>
      </c>
      <c r="L30" s="11">
        <f>M30/O30/0.8</f>
        <v>500</v>
      </c>
      <c r="M30" s="11">
        <v>800</v>
      </c>
      <c r="N30" s="11"/>
      <c r="O30" s="11">
        <v>2</v>
      </c>
      <c r="P30" s="11" t="s">
        <v>75</v>
      </c>
      <c r="Q30" s="11" t="s">
        <v>74</v>
      </c>
      <c r="R30" s="11" t="s">
        <v>75</v>
      </c>
      <c r="S30" s="11" t="s">
        <v>515</v>
      </c>
      <c r="T30" s="11" t="s">
        <v>516</v>
      </c>
      <c r="U30" s="11" t="s">
        <v>518</v>
      </c>
      <c r="V30" s="121"/>
    </row>
    <row r="31" spans="1:24" ht="127.5">
      <c r="A31" s="11">
        <v>2</v>
      </c>
      <c r="B31" s="11" t="s">
        <v>275</v>
      </c>
      <c r="C31" s="11" t="s">
        <v>478</v>
      </c>
      <c r="D31" s="11" t="s">
        <v>74</v>
      </c>
      <c r="E31" s="11" t="s">
        <v>75</v>
      </c>
      <c r="F31" s="14" t="s">
        <v>487</v>
      </c>
      <c r="G31" s="122">
        <v>2916000</v>
      </c>
      <c r="H31" s="205" t="s">
        <v>495</v>
      </c>
      <c r="I31" s="11" t="s">
        <v>484</v>
      </c>
      <c r="J31" s="11" t="s">
        <v>279</v>
      </c>
      <c r="K31" s="11">
        <v>2</v>
      </c>
      <c r="L31" s="211">
        <f>M31/O31/0.8</f>
        <v>244.58333333333331</v>
      </c>
      <c r="M31" s="11">
        <v>587</v>
      </c>
      <c r="N31" s="11"/>
      <c r="O31" s="11">
        <v>3</v>
      </c>
      <c r="P31" s="11" t="s">
        <v>74</v>
      </c>
      <c r="Q31" s="11" t="s">
        <v>74</v>
      </c>
      <c r="R31" s="11" t="s">
        <v>75</v>
      </c>
      <c r="S31" s="11" t="s">
        <v>515</v>
      </c>
      <c r="T31" s="11" t="s">
        <v>517</v>
      </c>
      <c r="U31" s="11" t="s">
        <v>518</v>
      </c>
      <c r="V31" s="121"/>
    </row>
    <row r="32" spans="1:24" ht="140.25">
      <c r="A32" s="11">
        <v>3</v>
      </c>
      <c r="B32" s="11" t="s">
        <v>276</v>
      </c>
      <c r="C32" s="11" t="s">
        <v>478</v>
      </c>
      <c r="D32" s="11" t="s">
        <v>74</v>
      </c>
      <c r="E32" s="11" t="s">
        <v>74</v>
      </c>
      <c r="F32" s="14" t="s">
        <v>477</v>
      </c>
      <c r="G32" s="122">
        <v>363947</v>
      </c>
      <c r="H32" s="205" t="s">
        <v>494</v>
      </c>
      <c r="I32" s="11" t="s">
        <v>485</v>
      </c>
      <c r="J32" s="11" t="s">
        <v>280</v>
      </c>
      <c r="K32" s="11">
        <v>3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21"/>
    </row>
    <row r="33" spans="1:23" ht="12.75" customHeight="1">
      <c r="A33" s="15"/>
      <c r="B33" s="79"/>
      <c r="C33" s="15"/>
      <c r="D33" s="79"/>
      <c r="E33" s="15"/>
      <c r="F33" s="198" t="s">
        <v>11</v>
      </c>
      <c r="G33" s="122">
        <f>SUM(G30:G32)</f>
        <v>5509947</v>
      </c>
      <c r="H33" s="205"/>
      <c r="I33" s="12"/>
      <c r="J33" s="97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21"/>
    </row>
    <row r="34" spans="1:23">
      <c r="A34" s="224" t="s">
        <v>381</v>
      </c>
      <c r="B34" s="224"/>
      <c r="C34" s="224"/>
      <c r="D34" s="224"/>
      <c r="E34" s="224"/>
      <c r="F34" s="224"/>
      <c r="G34" s="224"/>
      <c r="H34" s="224"/>
      <c r="I34" s="224"/>
      <c r="J34" s="225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133"/>
    </row>
    <row r="35" spans="1:23" ht="25.5">
      <c r="A35" s="11">
        <v>1</v>
      </c>
      <c r="B35" s="11" t="s">
        <v>333</v>
      </c>
      <c r="C35" s="11"/>
      <c r="D35" s="11" t="s">
        <v>74</v>
      </c>
      <c r="E35" s="11"/>
      <c r="F35" s="14">
        <v>1995</v>
      </c>
      <c r="G35" s="122">
        <v>2183000</v>
      </c>
      <c r="H35" s="205" t="s">
        <v>506</v>
      </c>
      <c r="I35" s="11" t="s">
        <v>334</v>
      </c>
      <c r="J35" s="11" t="s">
        <v>335</v>
      </c>
      <c r="K35" s="11">
        <v>1</v>
      </c>
      <c r="L35" s="209">
        <v>878.9</v>
      </c>
      <c r="M35" s="209">
        <v>716.2</v>
      </c>
      <c r="N35" s="209">
        <v>3110.4</v>
      </c>
      <c r="O35" s="209">
        <v>1</v>
      </c>
      <c r="P35" s="209" t="s">
        <v>74</v>
      </c>
      <c r="Q35" s="209" t="s">
        <v>74</v>
      </c>
      <c r="R35" s="209" t="s">
        <v>75</v>
      </c>
      <c r="S35" s="209" t="s">
        <v>74</v>
      </c>
      <c r="T35" s="209" t="s">
        <v>74</v>
      </c>
      <c r="U35" s="209" t="s">
        <v>514</v>
      </c>
      <c r="V35" s="121"/>
      <c r="W35" s="1" t="s">
        <v>297</v>
      </c>
    </row>
    <row r="36" spans="1:23" ht="12.75" customHeight="1">
      <c r="A36" s="15"/>
      <c r="B36" s="79"/>
      <c r="C36" s="15"/>
      <c r="D36" s="79"/>
      <c r="E36" s="15"/>
      <c r="F36" s="198" t="s">
        <v>11</v>
      </c>
      <c r="G36" s="122">
        <f>SUM(G35)</f>
        <v>2183000</v>
      </c>
      <c r="H36" s="205"/>
      <c r="I36" s="12"/>
      <c r="J36" s="97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21"/>
    </row>
    <row r="37" spans="1:23">
      <c r="A37" s="224" t="s">
        <v>350</v>
      </c>
      <c r="B37" s="224"/>
      <c r="C37" s="224"/>
      <c r="D37" s="224"/>
      <c r="E37" s="224"/>
      <c r="F37" s="224"/>
      <c r="G37" s="224"/>
      <c r="H37" s="224"/>
      <c r="I37" s="224"/>
      <c r="J37" s="225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133"/>
    </row>
    <row r="38" spans="1:23" ht="25.5">
      <c r="A38" s="10">
        <v>1</v>
      </c>
      <c r="B38" s="11" t="s">
        <v>341</v>
      </c>
      <c r="C38" s="11" t="s">
        <v>342</v>
      </c>
      <c r="D38" s="11" t="s">
        <v>74</v>
      </c>
      <c r="E38" s="11" t="s">
        <v>75</v>
      </c>
      <c r="F38" s="14">
        <v>1977</v>
      </c>
      <c r="G38" s="122">
        <v>1327429.71</v>
      </c>
      <c r="H38" s="233" t="s">
        <v>492</v>
      </c>
      <c r="I38" s="11" t="s">
        <v>343</v>
      </c>
      <c r="J38" s="11" t="s">
        <v>339</v>
      </c>
      <c r="K38" s="11">
        <v>1</v>
      </c>
      <c r="L38" s="11">
        <v>435.5</v>
      </c>
      <c r="M38" s="11">
        <v>908.38</v>
      </c>
      <c r="N38" s="11">
        <v>3945</v>
      </c>
      <c r="O38" s="11">
        <v>2</v>
      </c>
      <c r="P38" s="11" t="s">
        <v>74</v>
      </c>
      <c r="Q38" s="11" t="s">
        <v>74</v>
      </c>
      <c r="R38" s="11" t="s">
        <v>344</v>
      </c>
      <c r="S38" s="11" t="s">
        <v>345</v>
      </c>
      <c r="T38" s="11" t="s">
        <v>263</v>
      </c>
      <c r="U38" s="11" t="s">
        <v>346</v>
      </c>
      <c r="V38" s="124">
        <v>3004000</v>
      </c>
      <c r="W38" s="129" t="s">
        <v>421</v>
      </c>
    </row>
    <row r="39" spans="1:23">
      <c r="A39" s="10"/>
      <c r="B39" s="10"/>
      <c r="C39" s="10"/>
      <c r="D39" s="10"/>
      <c r="E39" s="10"/>
      <c r="F39" s="14" t="s">
        <v>489</v>
      </c>
      <c r="G39" s="122">
        <v>2228964.69</v>
      </c>
      <c r="H39" s="234"/>
      <c r="I39" s="10"/>
      <c r="J39" s="10"/>
      <c r="K39" s="11">
        <v>2</v>
      </c>
      <c r="L39" s="11">
        <v>243.4</v>
      </c>
      <c r="M39" s="11">
        <v>203.1</v>
      </c>
      <c r="N39" s="11">
        <v>1101</v>
      </c>
      <c r="O39" s="11"/>
      <c r="P39" s="11"/>
      <c r="Q39" s="11"/>
      <c r="R39" s="11"/>
      <c r="S39" s="11"/>
      <c r="T39" s="11"/>
      <c r="U39" s="11"/>
      <c r="V39" s="121"/>
    </row>
    <row r="40" spans="1:23" ht="12.75" customHeight="1">
      <c r="A40" s="15"/>
      <c r="B40" s="79"/>
      <c r="C40" s="15"/>
      <c r="D40" s="79"/>
      <c r="E40" s="15"/>
      <c r="F40" s="198" t="s">
        <v>11</v>
      </c>
      <c r="G40" s="122">
        <f>SUM(G38:G39)</f>
        <v>3556394.4</v>
      </c>
      <c r="H40" s="205"/>
      <c r="I40" s="12"/>
      <c r="J40" s="97"/>
      <c r="K40" s="11"/>
      <c r="L40" s="11">
        <f>SUM(L38:L39)</f>
        <v>678.9</v>
      </c>
      <c r="M40" s="11">
        <f>SUM(M38:M39)</f>
        <v>1111.48</v>
      </c>
      <c r="N40" s="11">
        <f>SUM(N38:N39)</f>
        <v>5046</v>
      </c>
      <c r="O40" s="11"/>
      <c r="P40" s="11"/>
      <c r="Q40" s="11"/>
      <c r="R40" s="11"/>
      <c r="S40" s="11"/>
      <c r="T40" s="11"/>
      <c r="U40" s="11"/>
      <c r="V40" s="121">
        <f>SUM(V38:V39)</f>
        <v>3004000</v>
      </c>
    </row>
    <row r="41" spans="1:23" s="117" customFormat="1">
      <c r="A41" s="223" t="s">
        <v>476</v>
      </c>
      <c r="B41" s="223"/>
      <c r="C41" s="223"/>
      <c r="D41" s="223"/>
      <c r="E41" s="223"/>
      <c r="F41" s="223"/>
      <c r="G41" s="202"/>
      <c r="H41" s="206"/>
      <c r="I41" s="119"/>
      <c r="J41" s="119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133"/>
    </row>
    <row r="42" spans="1:23" s="118" customFormat="1" ht="63.75">
      <c r="A42" s="11">
        <v>1</v>
      </c>
      <c r="B42" s="11" t="s">
        <v>352</v>
      </c>
      <c r="C42" s="11"/>
      <c r="D42" s="11" t="s">
        <v>74</v>
      </c>
      <c r="E42" s="11" t="s">
        <v>75</v>
      </c>
      <c r="F42" s="14">
        <v>2005</v>
      </c>
      <c r="G42" s="122">
        <v>630000</v>
      </c>
      <c r="H42" s="205" t="s">
        <v>493</v>
      </c>
      <c r="I42" s="11" t="s">
        <v>353</v>
      </c>
      <c r="J42" s="11" t="s">
        <v>354</v>
      </c>
      <c r="K42" s="11">
        <v>1</v>
      </c>
      <c r="L42" s="209">
        <v>360.6</v>
      </c>
      <c r="M42" s="209">
        <v>365.2</v>
      </c>
      <c r="N42" s="209">
        <v>1830.8</v>
      </c>
      <c r="O42" s="209">
        <v>1</v>
      </c>
      <c r="P42" s="209" t="s">
        <v>75</v>
      </c>
      <c r="Q42" s="209" t="s">
        <v>74</v>
      </c>
      <c r="R42" s="209" t="s">
        <v>75</v>
      </c>
      <c r="S42" s="209" t="s">
        <v>496</v>
      </c>
      <c r="T42" s="209" t="s">
        <v>497</v>
      </c>
      <c r="U42" s="209" t="s">
        <v>498</v>
      </c>
      <c r="V42" s="121"/>
    </row>
    <row r="43" spans="1:23" s="118" customFormat="1" ht="25.5">
      <c r="A43" s="11">
        <v>2</v>
      </c>
      <c r="B43" s="11" t="s">
        <v>355</v>
      </c>
      <c r="C43" s="11"/>
      <c r="D43" s="11" t="s">
        <v>74</v>
      </c>
      <c r="E43" s="11" t="s">
        <v>75</v>
      </c>
      <c r="F43" s="14">
        <v>2005</v>
      </c>
      <c r="G43" s="122">
        <v>339092.11</v>
      </c>
      <c r="H43" s="205" t="s">
        <v>492</v>
      </c>
      <c r="I43" s="11" t="s">
        <v>356</v>
      </c>
      <c r="J43" s="11" t="s">
        <v>354</v>
      </c>
      <c r="K43" s="11">
        <v>2</v>
      </c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121"/>
    </row>
    <row r="44" spans="1:23" s="118" customFormat="1" ht="25.5">
      <c r="A44" s="11">
        <v>3</v>
      </c>
      <c r="B44" s="11" t="s">
        <v>357</v>
      </c>
      <c r="C44" s="11"/>
      <c r="D44" s="11" t="s">
        <v>74</v>
      </c>
      <c r="E44" s="11" t="s">
        <v>75</v>
      </c>
      <c r="F44" s="14">
        <v>2005</v>
      </c>
      <c r="G44" s="122">
        <v>7441.49</v>
      </c>
      <c r="H44" s="205" t="s">
        <v>492</v>
      </c>
      <c r="I44" s="11" t="s">
        <v>356</v>
      </c>
      <c r="J44" s="11" t="s">
        <v>354</v>
      </c>
      <c r="K44" s="11">
        <v>3</v>
      </c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121"/>
    </row>
    <row r="45" spans="1:23" s="118" customFormat="1" ht="25.5">
      <c r="A45" s="11">
        <v>4</v>
      </c>
      <c r="B45" s="11" t="s">
        <v>358</v>
      </c>
      <c r="C45" s="11"/>
      <c r="D45" s="11" t="s">
        <v>74</v>
      </c>
      <c r="E45" s="11" t="s">
        <v>75</v>
      </c>
      <c r="F45" s="14">
        <v>1986</v>
      </c>
      <c r="G45" s="122">
        <v>33492.39</v>
      </c>
      <c r="H45" s="205" t="s">
        <v>492</v>
      </c>
      <c r="I45" s="11" t="s">
        <v>359</v>
      </c>
      <c r="J45" s="11" t="s">
        <v>360</v>
      </c>
      <c r="K45" s="11">
        <v>4</v>
      </c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121"/>
    </row>
    <row r="46" spans="1:23" s="118" customFormat="1" ht="25.5">
      <c r="A46" s="11">
        <v>5</v>
      </c>
      <c r="B46" s="11" t="s">
        <v>361</v>
      </c>
      <c r="C46" s="11"/>
      <c r="D46" s="11" t="s">
        <v>74</v>
      </c>
      <c r="E46" s="11" t="s">
        <v>75</v>
      </c>
      <c r="F46" s="14">
        <v>1986</v>
      </c>
      <c r="G46" s="122">
        <v>9480.77</v>
      </c>
      <c r="H46" s="205" t="s">
        <v>492</v>
      </c>
      <c r="I46" s="11" t="s">
        <v>362</v>
      </c>
      <c r="J46" s="11" t="s">
        <v>360</v>
      </c>
      <c r="K46" s="11">
        <v>5</v>
      </c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121"/>
    </row>
    <row r="47" spans="1:23" s="118" customFormat="1" ht="25.5">
      <c r="A47" s="11">
        <v>6</v>
      </c>
      <c r="B47" s="11" t="s">
        <v>363</v>
      </c>
      <c r="C47" s="11"/>
      <c r="D47" s="11" t="s">
        <v>74</v>
      </c>
      <c r="E47" s="11" t="s">
        <v>75</v>
      </c>
      <c r="F47" s="14">
        <v>1988</v>
      </c>
      <c r="G47" s="122">
        <v>1266.8</v>
      </c>
      <c r="H47" s="205" t="s">
        <v>492</v>
      </c>
      <c r="I47" s="11"/>
      <c r="J47" s="11" t="s">
        <v>360</v>
      </c>
      <c r="K47" s="11">
        <v>6</v>
      </c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121"/>
    </row>
    <row r="48" spans="1:23" s="118" customFormat="1" ht="102">
      <c r="A48" s="11">
        <v>7</v>
      </c>
      <c r="B48" s="11" t="s">
        <v>364</v>
      </c>
      <c r="C48" s="11"/>
      <c r="D48" s="11" t="s">
        <v>74</v>
      </c>
      <c r="E48" s="11" t="s">
        <v>75</v>
      </c>
      <c r="F48" s="14">
        <v>1988</v>
      </c>
      <c r="G48" s="122">
        <v>489000</v>
      </c>
      <c r="H48" s="205" t="s">
        <v>493</v>
      </c>
      <c r="I48" s="11" t="s">
        <v>365</v>
      </c>
      <c r="J48" s="11" t="s">
        <v>360</v>
      </c>
      <c r="K48" s="11">
        <v>7</v>
      </c>
      <c r="L48" s="209">
        <v>180</v>
      </c>
      <c r="M48" s="209">
        <v>182</v>
      </c>
      <c r="N48" s="209">
        <v>1351</v>
      </c>
      <c r="O48" s="209">
        <v>2</v>
      </c>
      <c r="P48" s="209" t="s">
        <v>75</v>
      </c>
      <c r="Q48" s="209" t="s">
        <v>74</v>
      </c>
      <c r="R48" s="209" t="s">
        <v>75</v>
      </c>
      <c r="S48" s="209" t="s">
        <v>496</v>
      </c>
      <c r="T48" s="209" t="s">
        <v>496</v>
      </c>
      <c r="U48" s="209" t="s">
        <v>499</v>
      </c>
      <c r="V48" s="121"/>
    </row>
    <row r="49" spans="1:22" s="118" customFormat="1" ht="25.5">
      <c r="A49" s="11">
        <v>8</v>
      </c>
      <c r="B49" s="11" t="s">
        <v>366</v>
      </c>
      <c r="C49" s="11"/>
      <c r="D49" s="11" t="s">
        <v>74</v>
      </c>
      <c r="E49" s="11" t="s">
        <v>75</v>
      </c>
      <c r="F49" s="14">
        <v>1990</v>
      </c>
      <c r="G49" s="122">
        <v>12717.44</v>
      </c>
      <c r="H49" s="205" t="s">
        <v>492</v>
      </c>
      <c r="I49" s="11"/>
      <c r="J49" s="11" t="s">
        <v>360</v>
      </c>
      <c r="K49" s="11">
        <v>8</v>
      </c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121"/>
    </row>
    <row r="50" spans="1:22" s="118" customFormat="1" ht="63.75">
      <c r="A50" s="11">
        <v>9</v>
      </c>
      <c r="B50" s="11" t="s">
        <v>367</v>
      </c>
      <c r="C50" s="11"/>
      <c r="D50" s="11" t="s">
        <v>74</v>
      </c>
      <c r="E50" s="11" t="s">
        <v>75</v>
      </c>
      <c r="F50" s="14">
        <v>1992</v>
      </c>
      <c r="G50" s="122">
        <v>299000</v>
      </c>
      <c r="H50" s="205" t="s">
        <v>493</v>
      </c>
      <c r="I50" s="11" t="s">
        <v>368</v>
      </c>
      <c r="J50" s="11" t="s">
        <v>360</v>
      </c>
      <c r="K50" s="11">
        <v>9</v>
      </c>
      <c r="L50" s="209">
        <v>90</v>
      </c>
      <c r="M50" s="209">
        <v>91.5</v>
      </c>
      <c r="N50" s="209">
        <v>680</v>
      </c>
      <c r="O50" s="209">
        <v>1</v>
      </c>
      <c r="P50" s="209" t="s">
        <v>75</v>
      </c>
      <c r="Q50" s="209" t="s">
        <v>75</v>
      </c>
      <c r="R50" s="209" t="s">
        <v>75</v>
      </c>
      <c r="S50" s="209" t="s">
        <v>500</v>
      </c>
      <c r="T50" s="209" t="s">
        <v>501</v>
      </c>
      <c r="U50" s="209" t="s">
        <v>502</v>
      </c>
      <c r="V50" s="121"/>
    </row>
    <row r="51" spans="1:22" s="118" customFormat="1" ht="25.5">
      <c r="A51" s="11">
        <v>10</v>
      </c>
      <c r="B51" s="11" t="s">
        <v>369</v>
      </c>
      <c r="C51" s="11"/>
      <c r="D51" s="11" t="s">
        <v>74</v>
      </c>
      <c r="E51" s="11" t="s">
        <v>75</v>
      </c>
      <c r="F51" s="14">
        <v>2005</v>
      </c>
      <c r="G51" s="122">
        <v>35803</v>
      </c>
      <c r="H51" s="205" t="s">
        <v>492</v>
      </c>
      <c r="I51" s="11"/>
      <c r="J51" s="11" t="s">
        <v>354</v>
      </c>
      <c r="K51" s="11">
        <v>10</v>
      </c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121"/>
    </row>
    <row r="52" spans="1:22" ht="12.75" customHeight="1">
      <c r="A52" s="15"/>
      <c r="B52" s="79"/>
      <c r="C52" s="15"/>
      <c r="D52" s="79"/>
      <c r="E52" s="15"/>
      <c r="F52" s="198" t="s">
        <v>11</v>
      </c>
      <c r="G52" s="122">
        <f>SUM(G42:G51)</f>
        <v>1857294</v>
      </c>
      <c r="H52" s="205"/>
      <c r="I52" s="12"/>
      <c r="J52" s="97"/>
      <c r="K52" s="11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121"/>
    </row>
    <row r="53" spans="1:22" s="117" customFormat="1">
      <c r="A53" s="223" t="s">
        <v>380</v>
      </c>
      <c r="B53" s="223"/>
      <c r="C53" s="223"/>
      <c r="D53" s="223"/>
      <c r="E53" s="223"/>
      <c r="F53" s="223"/>
      <c r="G53" s="202"/>
      <c r="H53" s="206"/>
      <c r="I53" s="119"/>
      <c r="J53" s="119"/>
      <c r="K53" s="96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133"/>
    </row>
    <row r="54" spans="1:22" s="117" customFormat="1" ht="140.25">
      <c r="A54" s="11">
        <v>1</v>
      </c>
      <c r="B54" s="11" t="s">
        <v>370</v>
      </c>
      <c r="C54" s="11"/>
      <c r="D54" s="11" t="s">
        <v>74</v>
      </c>
      <c r="E54" s="11" t="s">
        <v>75</v>
      </c>
      <c r="F54" s="14">
        <v>2006</v>
      </c>
      <c r="G54" s="122">
        <v>4649000</v>
      </c>
      <c r="H54" s="205" t="s">
        <v>506</v>
      </c>
      <c r="I54" s="11" t="s">
        <v>371</v>
      </c>
      <c r="J54" s="11" t="s">
        <v>372</v>
      </c>
      <c r="K54" s="11">
        <v>1</v>
      </c>
      <c r="L54" s="209">
        <v>450</v>
      </c>
      <c r="M54" s="209">
        <v>1591.2</v>
      </c>
      <c r="N54" s="209">
        <v>6142.23</v>
      </c>
      <c r="O54" s="209">
        <v>3</v>
      </c>
      <c r="P54" s="209" t="s">
        <v>74</v>
      </c>
      <c r="Q54" s="209" t="s">
        <v>74</v>
      </c>
      <c r="R54" s="209" t="s">
        <v>75</v>
      </c>
      <c r="S54" s="209" t="s">
        <v>503</v>
      </c>
      <c r="T54" s="209" t="s">
        <v>504</v>
      </c>
      <c r="U54" s="209" t="s">
        <v>505</v>
      </c>
      <c r="V54" s="121"/>
    </row>
    <row r="55" spans="1:22" s="117" customFormat="1" ht="25.5">
      <c r="A55" s="11">
        <v>2</v>
      </c>
      <c r="B55" s="11" t="s">
        <v>373</v>
      </c>
      <c r="C55" s="11"/>
      <c r="D55" s="11" t="s">
        <v>74</v>
      </c>
      <c r="E55" s="11" t="s">
        <v>75</v>
      </c>
      <c r="F55" s="14">
        <v>1960</v>
      </c>
      <c r="G55" s="122">
        <v>168674</v>
      </c>
      <c r="H55" s="205" t="s">
        <v>492</v>
      </c>
      <c r="I55" s="11" t="s">
        <v>368</v>
      </c>
      <c r="J55" s="11" t="s">
        <v>374</v>
      </c>
      <c r="K55" s="11">
        <v>2</v>
      </c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121"/>
    </row>
    <row r="56" spans="1:22" s="117" customFormat="1" ht="25.5">
      <c r="A56" s="11">
        <v>3</v>
      </c>
      <c r="B56" s="11" t="s">
        <v>488</v>
      </c>
      <c r="C56" s="11"/>
      <c r="D56" s="11" t="s">
        <v>74</v>
      </c>
      <c r="E56" s="11" t="s">
        <v>75</v>
      </c>
      <c r="F56" s="14">
        <v>1960</v>
      </c>
      <c r="G56" s="122">
        <v>183600</v>
      </c>
      <c r="H56" s="205" t="s">
        <v>492</v>
      </c>
      <c r="I56" s="11" t="s">
        <v>368</v>
      </c>
      <c r="J56" s="11" t="s">
        <v>374</v>
      </c>
      <c r="K56" s="11">
        <v>3</v>
      </c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1"/>
    </row>
    <row r="57" spans="1:22" s="117" customFormat="1" ht="140.25">
      <c r="A57" s="11">
        <v>4</v>
      </c>
      <c r="B57" s="11" t="s">
        <v>370</v>
      </c>
      <c r="C57" s="11"/>
      <c r="D57" s="11" t="s">
        <v>74</v>
      </c>
      <c r="E57" s="11" t="s">
        <v>75</v>
      </c>
      <c r="F57" s="14">
        <v>2009</v>
      </c>
      <c r="G57" s="122">
        <v>4812000</v>
      </c>
      <c r="H57" s="205" t="s">
        <v>493</v>
      </c>
      <c r="I57" s="11"/>
      <c r="J57" s="11" t="s">
        <v>375</v>
      </c>
      <c r="K57" s="11">
        <v>4</v>
      </c>
      <c r="L57" s="209">
        <v>460.67</v>
      </c>
      <c r="M57" s="209">
        <v>1648.74</v>
      </c>
      <c r="N57" s="209">
        <v>6533.3</v>
      </c>
      <c r="O57" s="209">
        <v>3</v>
      </c>
      <c r="P57" s="209" t="s">
        <v>74</v>
      </c>
      <c r="Q57" s="209" t="s">
        <v>74</v>
      </c>
      <c r="R57" s="209" t="s">
        <v>75</v>
      </c>
      <c r="S57" s="209" t="s">
        <v>503</v>
      </c>
      <c r="T57" s="209" t="s">
        <v>504</v>
      </c>
      <c r="U57" s="209" t="s">
        <v>505</v>
      </c>
      <c r="V57" s="121"/>
    </row>
    <row r="58" spans="1:22" ht="12.75" customHeight="1">
      <c r="A58" s="15"/>
      <c r="B58" s="79"/>
      <c r="C58" s="15"/>
      <c r="D58" s="79"/>
      <c r="E58" s="15"/>
      <c r="F58" s="198" t="s">
        <v>11</v>
      </c>
      <c r="G58" s="122">
        <f>SUM(G54:G57)</f>
        <v>9813274</v>
      </c>
      <c r="H58" s="205"/>
      <c r="I58" s="12"/>
      <c r="J58" s="97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21"/>
    </row>
    <row r="59" spans="1:22" s="117" customFormat="1">
      <c r="A59" s="223" t="s">
        <v>439</v>
      </c>
      <c r="B59" s="223"/>
      <c r="C59" s="223"/>
      <c r="D59" s="223"/>
      <c r="E59" s="223"/>
      <c r="F59" s="223"/>
      <c r="G59" s="202"/>
      <c r="H59" s="206"/>
      <c r="I59" s="119"/>
      <c r="J59" s="119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133"/>
    </row>
    <row r="60" spans="1:22" ht="63.75">
      <c r="A60" s="10"/>
      <c r="B60" s="76" t="s">
        <v>438</v>
      </c>
      <c r="C60" s="10"/>
      <c r="D60" s="11"/>
      <c r="E60" s="11"/>
      <c r="F60" s="21">
        <v>1999</v>
      </c>
      <c r="G60" s="79">
        <v>12463073.220000001</v>
      </c>
      <c r="H60" s="205" t="s">
        <v>494</v>
      </c>
      <c r="I60" s="149" t="s">
        <v>440</v>
      </c>
      <c r="J60" s="76" t="s">
        <v>445</v>
      </c>
      <c r="K60" s="10">
        <v>1</v>
      </c>
      <c r="L60" s="212"/>
      <c r="M60" s="212"/>
      <c r="N60" s="212"/>
      <c r="O60" s="212" t="s">
        <v>510</v>
      </c>
      <c r="P60" s="212" t="s">
        <v>74</v>
      </c>
      <c r="Q60" s="212" t="s">
        <v>74</v>
      </c>
      <c r="R60" s="212" t="s">
        <v>74</v>
      </c>
      <c r="S60" s="213" t="s">
        <v>511</v>
      </c>
      <c r="T60" s="213" t="s">
        <v>512</v>
      </c>
      <c r="U60" s="213" t="s">
        <v>513</v>
      </c>
      <c r="V60" s="140"/>
    </row>
    <row r="61" spans="1:22" ht="12.75" customHeight="1">
      <c r="A61" s="15"/>
      <c r="B61" s="79"/>
      <c r="C61" s="15"/>
      <c r="D61" s="79"/>
      <c r="E61" s="15"/>
      <c r="F61" s="21"/>
      <c r="G61" s="122"/>
      <c r="H61" s="205"/>
      <c r="I61" s="149" t="s">
        <v>441</v>
      </c>
      <c r="J61" s="97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21"/>
    </row>
    <row r="62" spans="1:22">
      <c r="A62" s="10"/>
      <c r="B62" s="10"/>
      <c r="C62" s="10"/>
      <c r="D62" s="11"/>
      <c r="E62" s="11"/>
      <c r="F62" s="21"/>
      <c r="G62" s="203"/>
      <c r="H62" s="207"/>
      <c r="I62" s="150" t="s">
        <v>442</v>
      </c>
      <c r="J62" s="10"/>
      <c r="K62" s="10"/>
      <c r="L62" s="10"/>
      <c r="M62" s="10"/>
      <c r="N62" s="10"/>
      <c r="O62" s="10"/>
      <c r="P62" s="10"/>
      <c r="Q62" s="10"/>
      <c r="R62" s="10"/>
      <c r="S62" s="139"/>
      <c r="T62" s="139"/>
      <c r="U62" s="139"/>
      <c r="V62" s="140"/>
    </row>
    <row r="63" spans="1:22">
      <c r="A63" s="10"/>
      <c r="B63" s="10"/>
      <c r="C63" s="10"/>
      <c r="D63" s="11"/>
      <c r="E63" s="11"/>
      <c r="F63" s="21"/>
      <c r="G63" s="203"/>
      <c r="H63" s="207"/>
      <c r="I63" s="150" t="s">
        <v>443</v>
      </c>
      <c r="J63" s="10"/>
      <c r="K63" s="10"/>
      <c r="L63" s="10"/>
      <c r="M63" s="10"/>
      <c r="N63" s="10"/>
      <c r="O63" s="10"/>
      <c r="P63" s="10"/>
      <c r="Q63" s="10"/>
      <c r="R63" s="10"/>
      <c r="S63" s="139"/>
      <c r="T63" s="139"/>
      <c r="U63" s="139"/>
      <c r="V63" s="140"/>
    </row>
    <row r="64" spans="1:22">
      <c r="A64" s="10"/>
      <c r="B64" s="10"/>
      <c r="C64" s="10"/>
      <c r="D64" s="11"/>
      <c r="E64" s="11"/>
      <c r="F64" s="21"/>
      <c r="G64" s="203"/>
      <c r="H64" s="207"/>
      <c r="I64" s="150" t="s">
        <v>444</v>
      </c>
      <c r="J64" s="10"/>
      <c r="K64" s="10"/>
      <c r="L64" s="10"/>
      <c r="M64" s="10"/>
      <c r="N64" s="10"/>
      <c r="O64" s="10"/>
      <c r="P64" s="10"/>
      <c r="Q64" s="10"/>
      <c r="R64" s="10"/>
      <c r="S64" s="139"/>
      <c r="T64" s="139"/>
      <c r="U64" s="139"/>
      <c r="V64" s="140"/>
    </row>
    <row r="65" spans="1:22">
      <c r="A65" s="10"/>
      <c r="B65" s="10"/>
      <c r="C65" s="10"/>
      <c r="D65" s="11"/>
      <c r="E65" s="11"/>
      <c r="F65" s="198"/>
      <c r="G65" s="203"/>
      <c r="H65" s="207"/>
      <c r="I65" s="150" t="s">
        <v>443</v>
      </c>
      <c r="J65" s="10"/>
      <c r="K65" s="10"/>
      <c r="L65" s="10"/>
      <c r="M65" s="10"/>
      <c r="N65" s="10"/>
      <c r="O65" s="10"/>
      <c r="P65" s="10"/>
      <c r="Q65" s="10"/>
      <c r="R65" s="10"/>
      <c r="S65" s="139"/>
      <c r="T65" s="139"/>
      <c r="U65" s="139"/>
      <c r="V65" s="140"/>
    </row>
    <row r="66" spans="1:22" ht="12.75" customHeight="1">
      <c r="A66" s="15"/>
      <c r="B66" s="79"/>
      <c r="C66" s="15"/>
      <c r="D66" s="79"/>
      <c r="E66" s="15"/>
      <c r="F66" s="198" t="s">
        <v>11</v>
      </c>
      <c r="G66" s="79">
        <f>SUM(G60:G65)</f>
        <v>12463073.220000001</v>
      </c>
      <c r="H66" s="205"/>
      <c r="I66" s="12"/>
      <c r="J66" s="97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21"/>
    </row>
    <row r="67" spans="1:22">
      <c r="A67" s="57"/>
      <c r="B67" s="57"/>
      <c r="C67" s="57"/>
      <c r="D67" s="4"/>
      <c r="E67" s="4"/>
      <c r="F67" s="199"/>
      <c r="G67" s="136"/>
      <c r="H67" s="208"/>
      <c r="I67" s="141"/>
      <c r="J67" s="57"/>
      <c r="K67" s="57"/>
      <c r="L67" s="57"/>
      <c r="M67" s="57"/>
      <c r="N67" s="57"/>
      <c r="O67" s="57"/>
      <c r="P67" s="57"/>
      <c r="Q67" s="57"/>
      <c r="R67" s="57"/>
      <c r="S67" s="142"/>
      <c r="T67" s="142"/>
      <c r="U67" s="142"/>
      <c r="V67" s="143"/>
    </row>
    <row r="68" spans="1:22">
      <c r="D68" s="4"/>
      <c r="E68" s="4"/>
      <c r="F68" s="199"/>
    </row>
    <row r="69" spans="1:22">
      <c r="F69" s="214" t="s">
        <v>427</v>
      </c>
      <c r="G69" s="215">
        <f>G66+G58+G52+G40+G36+G33+G28+G25+G14+G8</f>
        <v>71004448.890000001</v>
      </c>
      <c r="H69" s="218"/>
      <c r="I69" s="195"/>
      <c r="J69" s="136"/>
      <c r="L69" s="120"/>
    </row>
    <row r="70" spans="1:22" ht="51" customHeight="1">
      <c r="F70" s="200"/>
      <c r="I70" s="196"/>
      <c r="J70" s="136"/>
    </row>
  </sheetData>
  <mergeCells count="33">
    <mergeCell ref="V4:V5"/>
    <mergeCell ref="Q4:Q5"/>
    <mergeCell ref="R4:R5"/>
    <mergeCell ref="S4:U4"/>
    <mergeCell ref="L4:L5"/>
    <mergeCell ref="C4:C5"/>
    <mergeCell ref="E4:E5"/>
    <mergeCell ref="P4:P5"/>
    <mergeCell ref="N4:N5"/>
    <mergeCell ref="O4:O5"/>
    <mergeCell ref="M4:M5"/>
    <mergeCell ref="B4:B5"/>
    <mergeCell ref="F4:F5"/>
    <mergeCell ref="J4:J5"/>
    <mergeCell ref="K4:K5"/>
    <mergeCell ref="I4:I5"/>
    <mergeCell ref="D4:D5"/>
    <mergeCell ref="A4:A5"/>
    <mergeCell ref="A26:J26"/>
    <mergeCell ref="A29:J29"/>
    <mergeCell ref="A6:J6"/>
    <mergeCell ref="A9:J9"/>
    <mergeCell ref="A41:F41"/>
    <mergeCell ref="G4:G5"/>
    <mergeCell ref="H4:H5"/>
    <mergeCell ref="H16:H17"/>
    <mergeCell ref="H38:H39"/>
    <mergeCell ref="A53:F53"/>
    <mergeCell ref="A34:J34"/>
    <mergeCell ref="A15:J15"/>
    <mergeCell ref="A37:J37"/>
    <mergeCell ref="A59:F59"/>
    <mergeCell ref="G16:G17"/>
  </mergeCells>
  <phoneticPr fontId="10" type="noConversion"/>
  <pageMargins left="0.75" right="0.75" top="1" bottom="1" header="0.5" footer="0.5"/>
  <pageSetup paperSize="9" scale="38" orientation="landscape" r:id="rId1"/>
  <headerFooter alignWithMargins="0"/>
  <rowBreaks count="2" manualBreakCount="2">
    <brk id="25" max="25" man="1"/>
    <brk id="69" max="25" man="1"/>
  </rowBreaks>
  <colBreaks count="1" manualBreakCount="1">
    <brk id="10" max="69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8"/>
  <sheetViews>
    <sheetView topLeftCell="A235" workbookViewId="0">
      <selection activeCell="B62" sqref="B62"/>
    </sheetView>
  </sheetViews>
  <sheetFormatPr defaultRowHeight="12.75"/>
  <cols>
    <col min="1" max="1" width="5" style="1" customWidth="1"/>
    <col min="2" max="2" width="47.85546875" style="172" customWidth="1"/>
    <col min="3" max="3" width="17" style="55" customWidth="1"/>
    <col min="4" max="4" width="26" style="154" customWidth="1"/>
    <col min="5" max="5" width="11.28515625" style="1" bestFit="1" customWidth="1"/>
    <col min="6" max="6" width="15" style="1" bestFit="1" customWidth="1"/>
    <col min="7" max="16384" width="9.140625" style="1"/>
  </cols>
  <sheetData>
    <row r="1" spans="1:4" ht="13.5" thickBot="1">
      <c r="A1" s="105" t="s">
        <v>241</v>
      </c>
      <c r="B1" s="171"/>
      <c r="C1" s="106"/>
      <c r="D1" s="153" t="s">
        <v>13</v>
      </c>
    </row>
    <row r="2" spans="1:4">
      <c r="A2" s="8"/>
    </row>
    <row r="4" spans="1:4" ht="24.75" customHeight="1">
      <c r="A4" s="237" t="s">
        <v>330</v>
      </c>
      <c r="B4" s="237"/>
      <c r="C4" s="237"/>
      <c r="D4" s="237"/>
    </row>
    <row r="5" spans="1:4" ht="25.5">
      <c r="A5" s="9" t="s">
        <v>1</v>
      </c>
      <c r="B5" s="173" t="s">
        <v>14</v>
      </c>
      <c r="C5" s="9" t="s">
        <v>15</v>
      </c>
      <c r="D5" s="123" t="s">
        <v>16</v>
      </c>
    </row>
    <row r="6" spans="1:4">
      <c r="A6" s="224" t="s">
        <v>97</v>
      </c>
      <c r="B6" s="224"/>
      <c r="C6" s="224"/>
      <c r="D6" s="224"/>
    </row>
    <row r="7" spans="1:4">
      <c r="A7" s="14">
        <v>1</v>
      </c>
      <c r="B7" s="76" t="s">
        <v>78</v>
      </c>
      <c r="C7" s="14">
        <v>2007</v>
      </c>
      <c r="D7" s="155">
        <v>3866.5</v>
      </c>
    </row>
    <row r="8" spans="1:4">
      <c r="A8" s="14">
        <v>2</v>
      </c>
      <c r="B8" s="76" t="s">
        <v>78</v>
      </c>
      <c r="C8" s="14">
        <v>2008</v>
      </c>
      <c r="D8" s="155">
        <v>2295.08</v>
      </c>
    </row>
    <row r="9" spans="1:4">
      <c r="A9" s="14">
        <v>3</v>
      </c>
      <c r="B9" s="76" t="s">
        <v>78</v>
      </c>
      <c r="C9" s="14">
        <v>2008</v>
      </c>
      <c r="D9" s="155">
        <v>2295.08</v>
      </c>
    </row>
    <row r="10" spans="1:4">
      <c r="A10" s="14">
        <v>4</v>
      </c>
      <c r="B10" s="76" t="s">
        <v>78</v>
      </c>
      <c r="C10" s="14">
        <v>2008</v>
      </c>
      <c r="D10" s="155">
        <v>3148.03</v>
      </c>
    </row>
    <row r="11" spans="1:4">
      <c r="A11" s="14">
        <v>5</v>
      </c>
      <c r="B11" s="76" t="s">
        <v>79</v>
      </c>
      <c r="C11" s="14">
        <v>2006</v>
      </c>
      <c r="D11" s="155">
        <v>25233.65</v>
      </c>
    </row>
    <row r="12" spans="1:4">
      <c r="A12" s="14">
        <v>6</v>
      </c>
      <c r="B12" s="76" t="s">
        <v>80</v>
      </c>
      <c r="C12" s="14">
        <v>2008</v>
      </c>
      <c r="D12" s="155">
        <v>7265.32</v>
      </c>
    </row>
    <row r="13" spans="1:4">
      <c r="A13" s="14">
        <v>8</v>
      </c>
      <c r="B13" s="76" t="s">
        <v>81</v>
      </c>
      <c r="C13" s="14">
        <v>2009</v>
      </c>
      <c r="D13" s="155">
        <v>11559.5</v>
      </c>
    </row>
    <row r="14" spans="1:4">
      <c r="A14" s="14">
        <v>9</v>
      </c>
      <c r="B14" s="76" t="s">
        <v>82</v>
      </c>
      <c r="C14" s="14">
        <v>2006</v>
      </c>
      <c r="D14" s="155">
        <v>6955</v>
      </c>
    </row>
    <row r="15" spans="1:4">
      <c r="A15" s="14">
        <v>10</v>
      </c>
      <c r="B15" s="76" t="s">
        <v>83</v>
      </c>
      <c r="C15" s="14">
        <v>2010</v>
      </c>
      <c r="D15" s="155">
        <v>26742.400000000001</v>
      </c>
    </row>
    <row r="16" spans="1:4">
      <c r="A16" s="14"/>
      <c r="B16" s="76"/>
      <c r="C16" s="9" t="s">
        <v>11</v>
      </c>
      <c r="D16" s="123">
        <f>SUM(D7:D15)</f>
        <v>89360.56</v>
      </c>
    </row>
    <row r="17" spans="1:4">
      <c r="A17" s="224" t="s">
        <v>98</v>
      </c>
      <c r="B17" s="224"/>
      <c r="C17" s="224"/>
      <c r="D17" s="224"/>
    </row>
    <row r="18" spans="1:4">
      <c r="A18" s="14">
        <v>1</v>
      </c>
      <c r="B18" s="88" t="s">
        <v>99</v>
      </c>
      <c r="C18" s="74">
        <v>2006</v>
      </c>
      <c r="D18" s="156">
        <v>2900</v>
      </c>
    </row>
    <row r="19" spans="1:4">
      <c r="A19" s="14">
        <v>2</v>
      </c>
      <c r="B19" s="88" t="s">
        <v>100</v>
      </c>
      <c r="C19" s="74">
        <v>2008</v>
      </c>
      <c r="D19" s="156">
        <v>12636.81</v>
      </c>
    </row>
    <row r="20" spans="1:4">
      <c r="A20" s="14">
        <v>3</v>
      </c>
      <c r="B20" s="88" t="s">
        <v>101</v>
      </c>
      <c r="C20" s="74">
        <v>2008</v>
      </c>
      <c r="D20" s="156">
        <v>500</v>
      </c>
    </row>
    <row r="21" spans="1:4">
      <c r="A21" s="14">
        <v>4</v>
      </c>
      <c r="B21" s="88" t="s">
        <v>102</v>
      </c>
      <c r="C21" s="74">
        <v>2008</v>
      </c>
      <c r="D21" s="156">
        <v>1382.79</v>
      </c>
    </row>
    <row r="22" spans="1:4">
      <c r="A22" s="14">
        <v>5</v>
      </c>
      <c r="B22" s="88" t="s">
        <v>103</v>
      </c>
      <c r="C22" s="74">
        <v>2008</v>
      </c>
      <c r="D22" s="156">
        <v>1494.26</v>
      </c>
    </row>
    <row r="23" spans="1:4">
      <c r="A23" s="14">
        <v>6</v>
      </c>
      <c r="B23" s="88" t="s">
        <v>104</v>
      </c>
      <c r="C23" s="74">
        <v>2009</v>
      </c>
      <c r="D23" s="156">
        <v>6557.38</v>
      </c>
    </row>
    <row r="24" spans="1:4">
      <c r="A24" s="14">
        <v>7</v>
      </c>
      <c r="B24" s="88" t="s">
        <v>105</v>
      </c>
      <c r="C24" s="74">
        <v>2008</v>
      </c>
      <c r="D24" s="156">
        <v>999</v>
      </c>
    </row>
    <row r="25" spans="1:4">
      <c r="A25" s="14">
        <v>8</v>
      </c>
      <c r="B25" s="88" t="s">
        <v>106</v>
      </c>
      <c r="C25" s="74">
        <v>2009</v>
      </c>
      <c r="D25" s="156">
        <v>999</v>
      </c>
    </row>
    <row r="26" spans="1:4">
      <c r="A26" s="14">
        <v>9</v>
      </c>
      <c r="B26" s="88" t="s">
        <v>108</v>
      </c>
      <c r="C26" s="74">
        <v>2008</v>
      </c>
      <c r="D26" s="156">
        <v>549</v>
      </c>
    </row>
    <row r="27" spans="1:4">
      <c r="A27" s="14">
        <v>10</v>
      </c>
      <c r="B27" s="76" t="s">
        <v>109</v>
      </c>
      <c r="C27" s="14">
        <v>2011</v>
      </c>
      <c r="D27" s="155">
        <v>178.86</v>
      </c>
    </row>
    <row r="28" spans="1:4">
      <c r="A28" s="14">
        <v>11</v>
      </c>
      <c r="B28" s="76" t="s">
        <v>110</v>
      </c>
      <c r="C28" s="14">
        <v>2009</v>
      </c>
      <c r="D28" s="155">
        <v>299</v>
      </c>
    </row>
    <row r="29" spans="1:4">
      <c r="A29" s="14"/>
      <c r="B29" s="76"/>
      <c r="C29" s="9" t="s">
        <v>11</v>
      </c>
      <c r="D29" s="123">
        <f>SUM(D18:D28)</f>
        <v>28496.1</v>
      </c>
    </row>
    <row r="30" spans="1:4" ht="12.75" customHeight="1">
      <c r="A30" s="241" t="s">
        <v>115</v>
      </c>
      <c r="B30" s="241"/>
      <c r="C30" s="241"/>
      <c r="D30" s="241"/>
    </row>
    <row r="31" spans="1:4">
      <c r="A31" s="14">
        <v>1</v>
      </c>
      <c r="B31" s="88" t="s">
        <v>116</v>
      </c>
      <c r="C31" s="74">
        <v>2006</v>
      </c>
      <c r="D31" s="156">
        <v>10612</v>
      </c>
    </row>
    <row r="32" spans="1:4">
      <c r="A32" s="14">
        <v>2</v>
      </c>
      <c r="B32" s="88" t="s">
        <v>117</v>
      </c>
      <c r="C32" s="74">
        <v>2006</v>
      </c>
      <c r="D32" s="156">
        <v>1793</v>
      </c>
    </row>
    <row r="33" spans="1:4">
      <c r="A33" s="14">
        <v>3</v>
      </c>
      <c r="B33" s="88" t="s">
        <v>118</v>
      </c>
      <c r="C33" s="74">
        <v>2006</v>
      </c>
      <c r="D33" s="156">
        <v>860.33</v>
      </c>
    </row>
    <row r="34" spans="1:4" ht="13.5" customHeight="1">
      <c r="A34" s="14">
        <v>4</v>
      </c>
      <c r="B34" s="88" t="s">
        <v>119</v>
      </c>
      <c r="C34" s="74">
        <v>2006</v>
      </c>
      <c r="D34" s="156">
        <v>1770</v>
      </c>
    </row>
    <row r="35" spans="1:4" ht="13.5" customHeight="1">
      <c r="A35" s="14">
        <v>5</v>
      </c>
      <c r="B35" s="88" t="s">
        <v>120</v>
      </c>
      <c r="C35" s="74">
        <v>2006</v>
      </c>
      <c r="D35" s="156">
        <v>812.25</v>
      </c>
    </row>
    <row r="36" spans="1:4">
      <c r="A36" s="14">
        <v>6</v>
      </c>
      <c r="B36" s="88" t="s">
        <v>121</v>
      </c>
      <c r="C36" s="74">
        <v>2007</v>
      </c>
      <c r="D36" s="156">
        <v>860.1</v>
      </c>
    </row>
    <row r="37" spans="1:4">
      <c r="A37" s="14">
        <v>7</v>
      </c>
      <c r="B37" s="88" t="s">
        <v>122</v>
      </c>
      <c r="C37" s="74">
        <v>2006</v>
      </c>
      <c r="D37" s="156">
        <v>990</v>
      </c>
    </row>
    <row r="38" spans="1:4">
      <c r="A38" s="14">
        <v>8</v>
      </c>
      <c r="B38" s="88" t="s">
        <v>123</v>
      </c>
      <c r="C38" s="74">
        <v>2006</v>
      </c>
      <c r="D38" s="156">
        <v>2200</v>
      </c>
    </row>
    <row r="39" spans="1:4">
      <c r="A39" s="14">
        <v>9</v>
      </c>
      <c r="B39" s="88" t="s">
        <v>124</v>
      </c>
      <c r="C39" s="74">
        <v>2006</v>
      </c>
      <c r="D39" s="156">
        <v>990</v>
      </c>
    </row>
    <row r="40" spans="1:4">
      <c r="A40" s="14">
        <v>10</v>
      </c>
      <c r="B40" s="88" t="s">
        <v>124</v>
      </c>
      <c r="C40" s="74">
        <v>2006</v>
      </c>
      <c r="D40" s="156">
        <v>990</v>
      </c>
    </row>
    <row r="41" spans="1:4">
      <c r="A41" s="14">
        <v>11</v>
      </c>
      <c r="B41" s="88" t="s">
        <v>125</v>
      </c>
      <c r="C41" s="74">
        <v>2006</v>
      </c>
      <c r="D41" s="156">
        <v>319.67</v>
      </c>
    </row>
    <row r="42" spans="1:4">
      <c r="A42" s="14">
        <v>12</v>
      </c>
      <c r="B42" s="88" t="s">
        <v>126</v>
      </c>
      <c r="C42" s="74">
        <v>2006</v>
      </c>
      <c r="D42" s="156">
        <v>1990</v>
      </c>
    </row>
    <row r="43" spans="1:4">
      <c r="A43" s="14">
        <v>13</v>
      </c>
      <c r="B43" s="88" t="s">
        <v>127</v>
      </c>
      <c r="C43" s="74">
        <v>2006</v>
      </c>
      <c r="D43" s="156">
        <v>2612</v>
      </c>
    </row>
    <row r="44" spans="1:4">
      <c r="A44" s="14">
        <v>14</v>
      </c>
      <c r="B44" s="88" t="s">
        <v>128</v>
      </c>
      <c r="C44" s="74">
        <v>2006</v>
      </c>
      <c r="D44" s="156">
        <v>828</v>
      </c>
    </row>
    <row r="45" spans="1:4">
      <c r="A45" s="14">
        <v>15</v>
      </c>
      <c r="B45" s="88" t="s">
        <v>129</v>
      </c>
      <c r="C45" s="74">
        <v>2007</v>
      </c>
      <c r="D45" s="156">
        <v>1114.99</v>
      </c>
    </row>
    <row r="46" spans="1:4">
      <c r="A46" s="14">
        <v>16</v>
      </c>
      <c r="B46" s="88" t="s">
        <v>130</v>
      </c>
      <c r="C46" s="74">
        <v>2007</v>
      </c>
      <c r="D46" s="156">
        <v>1700</v>
      </c>
    </row>
    <row r="47" spans="1:4">
      <c r="A47" s="14">
        <v>17</v>
      </c>
      <c r="B47" s="88" t="s">
        <v>130</v>
      </c>
      <c r="C47" s="74">
        <v>2007</v>
      </c>
      <c r="D47" s="156">
        <v>1870</v>
      </c>
    </row>
    <row r="48" spans="1:4">
      <c r="A48" s="14">
        <v>18</v>
      </c>
      <c r="B48" s="88" t="s">
        <v>131</v>
      </c>
      <c r="C48" s="74">
        <v>2007</v>
      </c>
      <c r="D48" s="156">
        <v>632</v>
      </c>
    </row>
    <row r="49" spans="1:4">
      <c r="A49" s="14">
        <v>19</v>
      </c>
      <c r="B49" s="88" t="s">
        <v>132</v>
      </c>
      <c r="C49" s="74">
        <v>2007</v>
      </c>
      <c r="D49" s="156">
        <v>610</v>
      </c>
    </row>
    <row r="50" spans="1:4" ht="12.75" customHeight="1">
      <c r="A50" s="14">
        <v>20</v>
      </c>
      <c r="B50" s="88" t="s">
        <v>133</v>
      </c>
      <c r="C50" s="74">
        <v>2007</v>
      </c>
      <c r="D50" s="156">
        <v>580</v>
      </c>
    </row>
    <row r="51" spans="1:4">
      <c r="A51" s="14">
        <v>21</v>
      </c>
      <c r="B51" s="88" t="s">
        <v>134</v>
      </c>
      <c r="C51" s="74">
        <v>2007</v>
      </c>
      <c r="D51" s="156">
        <v>580</v>
      </c>
    </row>
    <row r="52" spans="1:4" ht="12.75" customHeight="1">
      <c r="A52" s="14">
        <v>22</v>
      </c>
      <c r="B52" s="88" t="s">
        <v>135</v>
      </c>
      <c r="C52" s="74">
        <v>2007</v>
      </c>
      <c r="D52" s="156">
        <v>990</v>
      </c>
    </row>
    <row r="53" spans="1:4">
      <c r="A53" s="14">
        <v>23</v>
      </c>
      <c r="B53" s="88" t="s">
        <v>136</v>
      </c>
      <c r="C53" s="74">
        <v>2007</v>
      </c>
      <c r="D53" s="156">
        <v>1780</v>
      </c>
    </row>
    <row r="54" spans="1:4">
      <c r="A54" s="14">
        <v>24</v>
      </c>
      <c r="B54" s="88" t="s">
        <v>130</v>
      </c>
      <c r="C54" s="74">
        <v>2008</v>
      </c>
      <c r="D54" s="156">
        <v>1473</v>
      </c>
    </row>
    <row r="55" spans="1:4">
      <c r="A55" s="14">
        <v>25</v>
      </c>
      <c r="B55" s="88" t="s">
        <v>269</v>
      </c>
      <c r="C55" s="74">
        <v>2008</v>
      </c>
      <c r="D55" s="156">
        <v>427</v>
      </c>
    </row>
    <row r="56" spans="1:4">
      <c r="A56" s="14">
        <v>26</v>
      </c>
      <c r="B56" s="88" t="s">
        <v>270</v>
      </c>
      <c r="C56" s="74">
        <v>2008</v>
      </c>
      <c r="D56" s="156">
        <v>605</v>
      </c>
    </row>
    <row r="57" spans="1:4">
      <c r="A57" s="14">
        <v>27</v>
      </c>
      <c r="B57" s="88" t="s">
        <v>137</v>
      </c>
      <c r="C57" s="74">
        <v>2008</v>
      </c>
      <c r="D57" s="156">
        <v>557.54</v>
      </c>
    </row>
    <row r="58" spans="1:4">
      <c r="A58" s="14">
        <v>28</v>
      </c>
      <c r="B58" s="64" t="s">
        <v>138</v>
      </c>
      <c r="C58" s="65">
        <v>2007</v>
      </c>
      <c r="D58" s="157">
        <v>649</v>
      </c>
    </row>
    <row r="59" spans="1:4">
      <c r="A59" s="14">
        <v>29</v>
      </c>
      <c r="B59" s="64" t="s">
        <v>139</v>
      </c>
      <c r="C59" s="65">
        <v>2008</v>
      </c>
      <c r="D59" s="157">
        <v>580</v>
      </c>
    </row>
    <row r="60" spans="1:4">
      <c r="A60" s="14">
        <v>30</v>
      </c>
      <c r="B60" s="64" t="s">
        <v>140</v>
      </c>
      <c r="C60" s="65">
        <v>2009</v>
      </c>
      <c r="D60" s="157">
        <v>900</v>
      </c>
    </row>
    <row r="61" spans="1:4" ht="14.25" customHeight="1">
      <c r="A61" s="14">
        <v>31</v>
      </c>
      <c r="B61" s="88" t="s">
        <v>141</v>
      </c>
      <c r="C61" s="74">
        <v>2007</v>
      </c>
      <c r="D61" s="156">
        <v>4392</v>
      </c>
    </row>
    <row r="62" spans="1:4">
      <c r="A62" s="14">
        <v>32</v>
      </c>
      <c r="B62" s="64" t="s">
        <v>142</v>
      </c>
      <c r="C62" s="65">
        <v>2008</v>
      </c>
      <c r="D62" s="157">
        <v>597.79999999999995</v>
      </c>
    </row>
    <row r="63" spans="1:4">
      <c r="A63" s="14">
        <v>33</v>
      </c>
      <c r="B63" s="64" t="s">
        <v>143</v>
      </c>
      <c r="C63" s="65">
        <v>2008</v>
      </c>
      <c r="D63" s="157">
        <v>3965</v>
      </c>
    </row>
    <row r="64" spans="1:4">
      <c r="A64" s="14">
        <v>34</v>
      </c>
      <c r="B64" s="64" t="s">
        <v>144</v>
      </c>
      <c r="C64" s="65">
        <v>2010</v>
      </c>
      <c r="D64" s="158">
        <v>26188.5</v>
      </c>
    </row>
    <row r="65" spans="1:4">
      <c r="A65" s="14">
        <v>35</v>
      </c>
      <c r="B65" s="64" t="s">
        <v>145</v>
      </c>
      <c r="C65" s="65">
        <v>2010</v>
      </c>
      <c r="D65" s="157">
        <v>4462.5</v>
      </c>
    </row>
    <row r="66" spans="1:4">
      <c r="A66" s="14">
        <v>36</v>
      </c>
      <c r="B66" s="64" t="s">
        <v>146</v>
      </c>
      <c r="C66" s="65">
        <v>2010</v>
      </c>
      <c r="D66" s="157">
        <v>9203.68</v>
      </c>
    </row>
    <row r="67" spans="1:4">
      <c r="A67" s="14">
        <v>37</v>
      </c>
      <c r="B67" s="64" t="s">
        <v>147</v>
      </c>
      <c r="C67" s="65">
        <v>2010</v>
      </c>
      <c r="D67" s="157">
        <v>106170.5</v>
      </c>
    </row>
    <row r="68" spans="1:4">
      <c r="A68" s="14">
        <v>38</v>
      </c>
      <c r="B68" s="64" t="s">
        <v>148</v>
      </c>
      <c r="C68" s="65">
        <v>2010</v>
      </c>
      <c r="D68" s="157">
        <v>4033.32</v>
      </c>
    </row>
    <row r="69" spans="1:4">
      <c r="A69" s="14">
        <v>39</v>
      </c>
      <c r="B69" s="64" t="s">
        <v>149</v>
      </c>
      <c r="C69" s="65">
        <v>2010</v>
      </c>
      <c r="D69" s="157">
        <v>10145.52</v>
      </c>
    </row>
    <row r="70" spans="1:4">
      <c r="A70" s="14">
        <v>40</v>
      </c>
      <c r="B70" s="64" t="s">
        <v>150</v>
      </c>
      <c r="C70" s="65">
        <v>2010</v>
      </c>
      <c r="D70" s="157">
        <v>2956.06</v>
      </c>
    </row>
    <row r="71" spans="1:4">
      <c r="A71" s="14">
        <v>41</v>
      </c>
      <c r="B71" s="64" t="s">
        <v>152</v>
      </c>
      <c r="C71" s="65">
        <v>2010</v>
      </c>
      <c r="D71" s="157">
        <v>2931.5</v>
      </c>
    </row>
    <row r="72" spans="1:4">
      <c r="A72" s="14">
        <v>42</v>
      </c>
      <c r="B72" s="64" t="s">
        <v>153</v>
      </c>
      <c r="C72" s="65">
        <v>2010</v>
      </c>
      <c r="D72" s="157">
        <v>75792.5</v>
      </c>
    </row>
    <row r="73" spans="1:4">
      <c r="A73" s="14">
        <v>43</v>
      </c>
      <c r="B73" s="64" t="s">
        <v>154</v>
      </c>
      <c r="C73" s="65">
        <v>2010</v>
      </c>
      <c r="D73" s="157">
        <v>705</v>
      </c>
    </row>
    <row r="74" spans="1:4">
      <c r="A74" s="14">
        <v>44</v>
      </c>
      <c r="B74" s="64" t="s">
        <v>155</v>
      </c>
      <c r="C74" s="65">
        <v>2010</v>
      </c>
      <c r="D74" s="157">
        <v>3100.01</v>
      </c>
    </row>
    <row r="75" spans="1:4">
      <c r="A75" s="14">
        <v>45</v>
      </c>
      <c r="B75" s="64" t="s">
        <v>156</v>
      </c>
      <c r="C75" s="65">
        <v>2010</v>
      </c>
      <c r="D75" s="157">
        <v>558.77</v>
      </c>
    </row>
    <row r="76" spans="1:4">
      <c r="A76" s="14">
        <v>46</v>
      </c>
      <c r="B76" s="64" t="s">
        <v>157</v>
      </c>
      <c r="C76" s="65">
        <v>2010</v>
      </c>
      <c r="D76" s="157">
        <v>3918.01</v>
      </c>
    </row>
    <row r="77" spans="1:4">
      <c r="A77" s="14"/>
      <c r="B77" s="64"/>
      <c r="C77" s="9" t="s">
        <v>11</v>
      </c>
      <c r="D77" s="123">
        <f>SUM(D31:D76)</f>
        <v>301796.55000000005</v>
      </c>
    </row>
    <row r="78" spans="1:4">
      <c r="A78" s="241" t="s">
        <v>201</v>
      </c>
      <c r="B78" s="241"/>
      <c r="C78" s="241"/>
      <c r="D78" s="241"/>
    </row>
    <row r="79" spans="1:4">
      <c r="A79" s="14">
        <v>1</v>
      </c>
      <c r="B79" s="174" t="s">
        <v>174</v>
      </c>
      <c r="C79" s="56">
        <v>2006</v>
      </c>
      <c r="D79" s="159">
        <v>721.47</v>
      </c>
    </row>
    <row r="80" spans="1:4">
      <c r="A80" s="14">
        <v>2</v>
      </c>
      <c r="B80" s="174" t="s">
        <v>175</v>
      </c>
      <c r="C80" s="56">
        <v>2006</v>
      </c>
      <c r="D80" s="159">
        <v>435</v>
      </c>
    </row>
    <row r="81" spans="1:4">
      <c r="A81" s="14">
        <v>3</v>
      </c>
      <c r="B81" s="175" t="s">
        <v>175</v>
      </c>
      <c r="C81" s="58">
        <v>2006</v>
      </c>
      <c r="D81" s="68">
        <v>424</v>
      </c>
    </row>
    <row r="82" spans="1:4">
      <c r="A82" s="14">
        <v>4</v>
      </c>
      <c r="B82" s="175" t="s">
        <v>175</v>
      </c>
      <c r="C82" s="58">
        <v>2006</v>
      </c>
      <c r="D82" s="68">
        <v>424</v>
      </c>
    </row>
    <row r="83" spans="1:4">
      <c r="A83" s="14">
        <v>10</v>
      </c>
      <c r="B83" s="175" t="s">
        <v>176</v>
      </c>
      <c r="C83" s="58">
        <v>2006</v>
      </c>
      <c r="D83" s="68">
        <v>3538.88</v>
      </c>
    </row>
    <row r="84" spans="1:4">
      <c r="A84" s="14">
        <v>11</v>
      </c>
      <c r="B84" s="175" t="s">
        <v>176</v>
      </c>
      <c r="C84" s="58">
        <v>2006</v>
      </c>
      <c r="D84" s="68">
        <v>3538.88</v>
      </c>
    </row>
    <row r="85" spans="1:4">
      <c r="A85" s="14">
        <v>12</v>
      </c>
      <c r="B85" s="175" t="s">
        <v>176</v>
      </c>
      <c r="C85" s="58">
        <v>2006</v>
      </c>
      <c r="D85" s="68">
        <v>3538.88</v>
      </c>
    </row>
    <row r="86" spans="1:4">
      <c r="A86" s="14">
        <v>13</v>
      </c>
      <c r="B86" s="175" t="s">
        <v>177</v>
      </c>
      <c r="C86" s="58">
        <v>2007</v>
      </c>
      <c r="D86" s="68">
        <v>3042.5</v>
      </c>
    </row>
    <row r="87" spans="1:4">
      <c r="A87" s="14">
        <v>14</v>
      </c>
      <c r="B87" s="175" t="s">
        <v>177</v>
      </c>
      <c r="C87" s="58">
        <v>2007</v>
      </c>
      <c r="D87" s="68">
        <v>3042.5</v>
      </c>
    </row>
    <row r="88" spans="1:4">
      <c r="A88" s="14">
        <v>15</v>
      </c>
      <c r="B88" s="175" t="s">
        <v>177</v>
      </c>
      <c r="C88" s="58">
        <v>2007</v>
      </c>
      <c r="D88" s="68">
        <v>6936.02</v>
      </c>
    </row>
    <row r="89" spans="1:4">
      <c r="A89" s="14">
        <v>16</v>
      </c>
      <c r="B89" s="175" t="s">
        <v>178</v>
      </c>
      <c r="C89" s="58">
        <v>2007</v>
      </c>
      <c r="D89" s="68">
        <v>745.01</v>
      </c>
    </row>
    <row r="90" spans="1:4" ht="25.5">
      <c r="A90" s="14">
        <v>18</v>
      </c>
      <c r="B90" s="175" t="s">
        <v>179</v>
      </c>
      <c r="C90" s="58">
        <v>2007</v>
      </c>
      <c r="D90" s="68">
        <v>51747.21</v>
      </c>
    </row>
    <row r="91" spans="1:4">
      <c r="A91" s="14">
        <v>19</v>
      </c>
      <c r="B91" s="175" t="s">
        <v>177</v>
      </c>
      <c r="C91" s="58">
        <v>2007</v>
      </c>
      <c r="D91" s="68">
        <v>3656</v>
      </c>
    </row>
    <row r="92" spans="1:4">
      <c r="A92" s="14">
        <v>20</v>
      </c>
      <c r="B92" s="175" t="s">
        <v>180</v>
      </c>
      <c r="C92" s="58">
        <v>2007</v>
      </c>
      <c r="D92" s="68">
        <v>1040.18</v>
      </c>
    </row>
    <row r="93" spans="1:4">
      <c r="A93" s="14">
        <v>21</v>
      </c>
      <c r="B93" s="175" t="s">
        <v>177</v>
      </c>
      <c r="C93" s="58">
        <v>2007</v>
      </c>
      <c r="D93" s="68">
        <v>2989.45</v>
      </c>
    </row>
    <row r="94" spans="1:4">
      <c r="A94" s="14">
        <v>22</v>
      </c>
      <c r="B94" s="175" t="s">
        <v>181</v>
      </c>
      <c r="C94" s="58">
        <v>2007</v>
      </c>
      <c r="D94" s="68">
        <v>1204.29</v>
      </c>
    </row>
    <row r="95" spans="1:4">
      <c r="A95" s="14">
        <v>23</v>
      </c>
      <c r="B95" s="175" t="s">
        <v>182</v>
      </c>
      <c r="C95" s="58">
        <v>2008</v>
      </c>
      <c r="D95" s="68">
        <v>25000</v>
      </c>
    </row>
    <row r="96" spans="1:4" ht="29.25" customHeight="1">
      <c r="A96" s="14">
        <v>24</v>
      </c>
      <c r="B96" s="175" t="s">
        <v>183</v>
      </c>
      <c r="C96" s="58">
        <v>2008</v>
      </c>
      <c r="D96" s="68">
        <v>536.48</v>
      </c>
    </row>
    <row r="97" spans="1:4">
      <c r="A97" s="14">
        <v>25</v>
      </c>
      <c r="B97" s="175" t="s">
        <v>184</v>
      </c>
      <c r="C97" s="58">
        <v>2008</v>
      </c>
      <c r="D97" s="68">
        <v>844.18</v>
      </c>
    </row>
    <row r="98" spans="1:4" ht="12.75" customHeight="1">
      <c r="A98" s="14">
        <v>26</v>
      </c>
      <c r="B98" s="175" t="s">
        <v>185</v>
      </c>
      <c r="C98" s="58">
        <v>2008</v>
      </c>
      <c r="D98" s="68">
        <v>782</v>
      </c>
    </row>
    <row r="99" spans="1:4">
      <c r="A99" s="14">
        <v>27</v>
      </c>
      <c r="B99" s="175" t="s">
        <v>177</v>
      </c>
      <c r="C99" s="58">
        <v>2008</v>
      </c>
      <c r="D99" s="68">
        <v>3059.32</v>
      </c>
    </row>
    <row r="100" spans="1:4" ht="12.75" customHeight="1">
      <c r="A100" s="14">
        <v>28</v>
      </c>
      <c r="B100" s="175" t="s">
        <v>186</v>
      </c>
      <c r="C100" s="58">
        <v>2008</v>
      </c>
      <c r="D100" s="68">
        <v>2759.27</v>
      </c>
    </row>
    <row r="101" spans="1:4">
      <c r="A101" s="14">
        <v>29</v>
      </c>
      <c r="B101" s="175" t="s">
        <v>187</v>
      </c>
      <c r="C101" s="58">
        <v>2009</v>
      </c>
      <c r="D101" s="68">
        <v>1906.99</v>
      </c>
    </row>
    <row r="102" spans="1:4" ht="25.5">
      <c r="A102" s="14">
        <v>30</v>
      </c>
      <c r="B102" s="175" t="s">
        <v>188</v>
      </c>
      <c r="C102" s="58">
        <v>2009</v>
      </c>
      <c r="D102" s="68">
        <v>693</v>
      </c>
    </row>
    <row r="103" spans="1:4" ht="25.5">
      <c r="A103" s="14">
        <v>31</v>
      </c>
      <c r="B103" s="175" t="s">
        <v>189</v>
      </c>
      <c r="C103" s="58">
        <v>2009</v>
      </c>
      <c r="D103" s="68">
        <v>3116.41</v>
      </c>
    </row>
    <row r="104" spans="1:4" ht="25.5">
      <c r="A104" s="14">
        <v>32</v>
      </c>
      <c r="B104" s="175" t="s">
        <v>189</v>
      </c>
      <c r="C104" s="58">
        <v>2009</v>
      </c>
      <c r="D104" s="68">
        <v>3116.41</v>
      </c>
    </row>
    <row r="105" spans="1:4" ht="25.5">
      <c r="A105" s="14">
        <v>33</v>
      </c>
      <c r="B105" s="175" t="s">
        <v>189</v>
      </c>
      <c r="C105" s="58">
        <v>2009</v>
      </c>
      <c r="D105" s="68">
        <v>3116.41</v>
      </c>
    </row>
    <row r="106" spans="1:4" ht="25.5">
      <c r="A106" s="14">
        <v>34</v>
      </c>
      <c r="B106" s="175" t="s">
        <v>189</v>
      </c>
      <c r="C106" s="58">
        <v>2009</v>
      </c>
      <c r="D106" s="68">
        <v>3116.41</v>
      </c>
    </row>
    <row r="107" spans="1:4" ht="25.5">
      <c r="A107" s="14">
        <v>35</v>
      </c>
      <c r="B107" s="175" t="s">
        <v>189</v>
      </c>
      <c r="C107" s="58">
        <v>2009</v>
      </c>
      <c r="D107" s="68">
        <v>3116.41</v>
      </c>
    </row>
    <row r="108" spans="1:4">
      <c r="A108" s="14">
        <v>36</v>
      </c>
      <c r="B108" s="175" t="s">
        <v>190</v>
      </c>
      <c r="C108" s="58">
        <v>2009</v>
      </c>
      <c r="D108" s="68">
        <v>699</v>
      </c>
    </row>
    <row r="109" spans="1:4" ht="12.75" customHeight="1">
      <c r="A109" s="14">
        <v>37</v>
      </c>
      <c r="B109" s="175" t="s">
        <v>177</v>
      </c>
      <c r="C109" s="58">
        <v>2010</v>
      </c>
      <c r="D109" s="68">
        <v>3490</v>
      </c>
    </row>
    <row r="110" spans="1:4">
      <c r="A110" s="14">
        <v>38</v>
      </c>
      <c r="B110" s="175" t="s">
        <v>177</v>
      </c>
      <c r="C110" s="58">
        <v>2010</v>
      </c>
      <c r="D110" s="68">
        <v>3190</v>
      </c>
    </row>
    <row r="111" spans="1:4" ht="14.25" customHeight="1">
      <c r="A111" s="14">
        <v>39</v>
      </c>
      <c r="B111" s="175" t="s">
        <v>177</v>
      </c>
      <c r="C111" s="58">
        <v>2010</v>
      </c>
      <c r="D111" s="68">
        <v>3190</v>
      </c>
    </row>
    <row r="112" spans="1:4" ht="12.75" customHeight="1">
      <c r="A112" s="14">
        <v>40</v>
      </c>
      <c r="B112" s="175" t="s">
        <v>177</v>
      </c>
      <c r="C112" s="58">
        <v>2010</v>
      </c>
      <c r="D112" s="68">
        <v>3189.99</v>
      </c>
    </row>
    <row r="113" spans="1:4">
      <c r="A113" s="14">
        <v>41</v>
      </c>
      <c r="B113" s="175" t="s">
        <v>191</v>
      </c>
      <c r="C113" s="58">
        <v>2010</v>
      </c>
      <c r="D113" s="68">
        <v>2071.56</v>
      </c>
    </row>
    <row r="114" spans="1:4">
      <c r="A114" s="14">
        <v>42</v>
      </c>
      <c r="B114" s="175" t="s">
        <v>192</v>
      </c>
      <c r="C114" s="58">
        <v>2010</v>
      </c>
      <c r="D114" s="68">
        <v>1218.78</v>
      </c>
    </row>
    <row r="115" spans="1:4">
      <c r="A115" s="14">
        <v>44</v>
      </c>
      <c r="B115" s="175" t="s">
        <v>193</v>
      </c>
      <c r="C115" s="58">
        <v>2010</v>
      </c>
      <c r="D115" s="68">
        <v>4507.8999999999996</v>
      </c>
    </row>
    <row r="116" spans="1:4">
      <c r="A116" s="14">
        <v>45</v>
      </c>
      <c r="B116" s="175" t="s">
        <v>144</v>
      </c>
      <c r="C116" s="58">
        <v>2010</v>
      </c>
      <c r="D116" s="68">
        <v>10000</v>
      </c>
    </row>
    <row r="117" spans="1:4">
      <c r="A117" s="14">
        <v>46</v>
      </c>
      <c r="B117" s="175" t="s">
        <v>194</v>
      </c>
      <c r="C117" s="58">
        <v>2010</v>
      </c>
      <c r="D117" s="68">
        <v>2810</v>
      </c>
    </row>
    <row r="118" spans="1:4" ht="25.5">
      <c r="A118" s="14">
        <v>47</v>
      </c>
      <c r="B118" s="175" t="s">
        <v>195</v>
      </c>
      <c r="C118" s="58">
        <v>2010</v>
      </c>
      <c r="D118" s="68">
        <v>6105.01</v>
      </c>
    </row>
    <row r="119" spans="1:4">
      <c r="A119" s="14">
        <v>48</v>
      </c>
      <c r="B119" s="175" t="s">
        <v>196</v>
      </c>
      <c r="C119" s="58">
        <v>2011</v>
      </c>
      <c r="D119" s="68">
        <v>1625</v>
      </c>
    </row>
    <row r="120" spans="1:4">
      <c r="A120" s="14">
        <v>49</v>
      </c>
      <c r="B120" s="175" t="s">
        <v>197</v>
      </c>
      <c r="C120" s="58">
        <v>2011</v>
      </c>
      <c r="D120" s="68">
        <v>850</v>
      </c>
    </row>
    <row r="121" spans="1:4">
      <c r="A121" s="14">
        <v>50</v>
      </c>
      <c r="B121" s="175" t="s">
        <v>176</v>
      </c>
      <c r="C121" s="58">
        <v>2011</v>
      </c>
      <c r="D121" s="68" t="s">
        <v>272</v>
      </c>
    </row>
    <row r="122" spans="1:4">
      <c r="A122" s="14"/>
      <c r="B122" s="173"/>
      <c r="C122" s="9" t="s">
        <v>11</v>
      </c>
      <c r="D122" s="123">
        <f>SUM(D79:D121)</f>
        <v>181134.8</v>
      </c>
    </row>
    <row r="123" spans="1:4">
      <c r="A123" s="242" t="s">
        <v>296</v>
      </c>
      <c r="B123" s="243"/>
      <c r="C123" s="243"/>
      <c r="D123" s="244"/>
    </row>
    <row r="124" spans="1:4">
      <c r="A124" s="74">
        <v>5</v>
      </c>
      <c r="B124" s="76" t="s">
        <v>281</v>
      </c>
      <c r="C124" s="14">
        <v>2008</v>
      </c>
      <c r="D124" s="155">
        <v>22172</v>
      </c>
    </row>
    <row r="125" spans="1:4">
      <c r="A125" s="74">
        <v>6</v>
      </c>
      <c r="B125" s="76" t="s">
        <v>282</v>
      </c>
      <c r="C125" s="14">
        <v>2008</v>
      </c>
      <c r="D125" s="155">
        <v>9212</v>
      </c>
    </row>
    <row r="126" spans="1:4">
      <c r="A126" s="74">
        <v>7</v>
      </c>
      <c r="B126" s="76" t="s">
        <v>283</v>
      </c>
      <c r="C126" s="14">
        <v>2008</v>
      </c>
      <c r="D126" s="155">
        <v>13733.88</v>
      </c>
    </row>
    <row r="127" spans="1:4">
      <c r="A127" s="74">
        <v>8</v>
      </c>
      <c r="B127" s="92" t="s">
        <v>284</v>
      </c>
      <c r="C127" s="93">
        <v>2008</v>
      </c>
      <c r="D127" s="156">
        <v>15268</v>
      </c>
    </row>
    <row r="128" spans="1:4">
      <c r="A128" s="74">
        <v>9</v>
      </c>
      <c r="B128" s="176" t="s">
        <v>285</v>
      </c>
      <c r="C128" s="93">
        <v>2008</v>
      </c>
      <c r="D128" s="156">
        <v>2733</v>
      </c>
    </row>
    <row r="129" spans="1:4">
      <c r="A129" s="74">
        <v>10</v>
      </c>
      <c r="B129" s="176" t="s">
        <v>286</v>
      </c>
      <c r="C129" s="93">
        <v>2008</v>
      </c>
      <c r="D129" s="156">
        <v>1928</v>
      </c>
    </row>
    <row r="130" spans="1:4">
      <c r="A130" s="74">
        <v>11</v>
      </c>
      <c r="B130" s="176" t="s">
        <v>287</v>
      </c>
      <c r="C130" s="93">
        <v>2008</v>
      </c>
      <c r="D130" s="156">
        <v>4004</v>
      </c>
    </row>
    <row r="131" spans="1:4">
      <c r="A131" s="74">
        <v>12</v>
      </c>
      <c r="B131" s="176" t="s">
        <v>288</v>
      </c>
      <c r="C131" s="93">
        <v>2008</v>
      </c>
      <c r="D131" s="156">
        <v>1150</v>
      </c>
    </row>
    <row r="132" spans="1:4">
      <c r="A132" s="74">
        <v>13</v>
      </c>
      <c r="B132" s="176" t="s">
        <v>289</v>
      </c>
      <c r="C132" s="93">
        <v>2008</v>
      </c>
      <c r="D132" s="156">
        <v>2049.04</v>
      </c>
    </row>
    <row r="133" spans="1:4">
      <c r="A133" s="74">
        <v>14</v>
      </c>
      <c r="B133" s="176" t="s">
        <v>290</v>
      </c>
      <c r="C133" s="93">
        <v>2008</v>
      </c>
      <c r="D133" s="156">
        <v>806</v>
      </c>
    </row>
    <row r="134" spans="1:4">
      <c r="A134" s="74">
        <v>15</v>
      </c>
      <c r="B134" s="176" t="s">
        <v>291</v>
      </c>
      <c r="C134" s="93">
        <v>2008</v>
      </c>
      <c r="D134" s="156">
        <v>2400</v>
      </c>
    </row>
    <row r="135" spans="1:4">
      <c r="A135" s="74">
        <v>16</v>
      </c>
      <c r="B135" s="176" t="s">
        <v>292</v>
      </c>
      <c r="C135" s="93">
        <v>2008</v>
      </c>
      <c r="D135" s="156">
        <v>1500</v>
      </c>
    </row>
    <row r="136" spans="1:4">
      <c r="A136" s="74">
        <v>17</v>
      </c>
      <c r="B136" s="176" t="s">
        <v>293</v>
      </c>
      <c r="C136" s="93">
        <v>2008</v>
      </c>
      <c r="D136" s="156">
        <v>737.7</v>
      </c>
    </row>
    <row r="137" spans="1:4">
      <c r="A137" s="74">
        <v>18</v>
      </c>
      <c r="B137" s="176" t="s">
        <v>294</v>
      </c>
      <c r="C137" s="93">
        <v>2010</v>
      </c>
      <c r="D137" s="156">
        <v>204.92</v>
      </c>
    </row>
    <row r="138" spans="1:4">
      <c r="A138" s="108"/>
      <c r="B138" s="173" t="s">
        <v>11</v>
      </c>
      <c r="C138" s="9"/>
      <c r="D138" s="123">
        <f>SUM(D124:D137)</f>
        <v>77898.539999999994</v>
      </c>
    </row>
    <row r="139" spans="1:4">
      <c r="A139" s="242" t="s">
        <v>325</v>
      </c>
      <c r="B139" s="243"/>
      <c r="C139" s="243"/>
      <c r="D139" s="244"/>
    </row>
    <row r="140" spans="1:4">
      <c r="A140" s="14">
        <v>2</v>
      </c>
      <c r="B140" s="175" t="s">
        <v>299</v>
      </c>
      <c r="C140" s="58">
        <v>2007</v>
      </c>
      <c r="D140" s="68">
        <v>650</v>
      </c>
    </row>
    <row r="141" spans="1:4">
      <c r="A141" s="14">
        <v>3</v>
      </c>
      <c r="B141" s="175" t="s">
        <v>300</v>
      </c>
      <c r="C141" s="58">
        <v>2006</v>
      </c>
      <c r="D141" s="68">
        <v>1559.99</v>
      </c>
    </row>
    <row r="142" spans="1:4">
      <c r="A142" s="14">
        <v>4</v>
      </c>
      <c r="B142" s="175" t="s">
        <v>301</v>
      </c>
      <c r="C142" s="58">
        <v>2006</v>
      </c>
      <c r="D142" s="68">
        <v>2123.25</v>
      </c>
    </row>
    <row r="143" spans="1:4">
      <c r="A143" s="14">
        <v>5</v>
      </c>
      <c r="B143" s="175" t="s">
        <v>302</v>
      </c>
      <c r="C143" s="58">
        <v>2006</v>
      </c>
      <c r="D143" s="68">
        <v>997.51</v>
      </c>
    </row>
    <row r="144" spans="1:4">
      <c r="A144" s="14">
        <v>6</v>
      </c>
      <c r="B144" s="175" t="s">
        <v>303</v>
      </c>
      <c r="C144" s="58">
        <v>2006</v>
      </c>
      <c r="D144" s="68">
        <v>800.02</v>
      </c>
    </row>
    <row r="145" spans="1:4">
      <c r="A145" s="14">
        <v>8</v>
      </c>
      <c r="B145" s="175" t="s">
        <v>304</v>
      </c>
      <c r="C145" s="58">
        <v>2007</v>
      </c>
      <c r="D145" s="68">
        <v>3060.1</v>
      </c>
    </row>
    <row r="146" spans="1:4">
      <c r="A146" s="14">
        <v>9</v>
      </c>
      <c r="B146" s="175" t="s">
        <v>304</v>
      </c>
      <c r="C146" s="58">
        <v>2007</v>
      </c>
      <c r="D146" s="68">
        <v>3005.1</v>
      </c>
    </row>
    <row r="147" spans="1:4">
      <c r="A147" s="14">
        <v>10</v>
      </c>
      <c r="B147" s="175" t="s">
        <v>305</v>
      </c>
      <c r="C147" s="58">
        <v>2007</v>
      </c>
      <c r="D147" s="68">
        <v>3230</v>
      </c>
    </row>
    <row r="148" spans="1:4">
      <c r="A148" s="14">
        <v>11</v>
      </c>
      <c r="B148" s="175" t="s">
        <v>306</v>
      </c>
      <c r="C148" s="58">
        <v>2007</v>
      </c>
      <c r="D148" s="68">
        <v>2415.3000000000002</v>
      </c>
    </row>
    <row r="149" spans="1:4">
      <c r="A149" s="14">
        <v>12</v>
      </c>
      <c r="B149" s="175" t="s">
        <v>307</v>
      </c>
      <c r="C149" s="58">
        <v>2007</v>
      </c>
      <c r="D149" s="68">
        <v>9500</v>
      </c>
    </row>
    <row r="150" spans="1:4">
      <c r="A150" s="14">
        <v>13</v>
      </c>
      <c r="B150" s="175" t="s">
        <v>308</v>
      </c>
      <c r="C150" s="58">
        <v>2008</v>
      </c>
      <c r="D150" s="68">
        <v>1350</v>
      </c>
    </row>
    <row r="151" spans="1:4">
      <c r="A151" s="14">
        <v>14</v>
      </c>
      <c r="B151" s="175" t="s">
        <v>309</v>
      </c>
      <c r="C151" s="58">
        <v>2008</v>
      </c>
      <c r="D151" s="68">
        <v>3499</v>
      </c>
    </row>
    <row r="152" spans="1:4">
      <c r="A152" s="14">
        <v>15</v>
      </c>
      <c r="B152" s="175" t="s">
        <v>310</v>
      </c>
      <c r="C152" s="58">
        <v>2008</v>
      </c>
      <c r="D152" s="68">
        <v>1001</v>
      </c>
    </row>
    <row r="153" spans="1:4">
      <c r="A153" s="14">
        <v>16</v>
      </c>
      <c r="B153" s="175" t="s">
        <v>311</v>
      </c>
      <c r="C153" s="58">
        <v>2008</v>
      </c>
      <c r="D153" s="68">
        <v>889</v>
      </c>
    </row>
    <row r="154" spans="1:4">
      <c r="A154" s="14">
        <v>17</v>
      </c>
      <c r="B154" s="175" t="s">
        <v>312</v>
      </c>
      <c r="C154" s="58">
        <v>2008</v>
      </c>
      <c r="D154" s="68">
        <v>3399.99</v>
      </c>
    </row>
    <row r="155" spans="1:4">
      <c r="A155" s="14">
        <v>18</v>
      </c>
      <c r="B155" s="175" t="s">
        <v>313</v>
      </c>
      <c r="C155" s="58">
        <v>2008</v>
      </c>
      <c r="D155" s="68">
        <v>533.01</v>
      </c>
    </row>
    <row r="156" spans="1:4">
      <c r="A156" s="14">
        <v>19</v>
      </c>
      <c r="B156" s="175" t="s">
        <v>314</v>
      </c>
      <c r="C156" s="58">
        <v>2008</v>
      </c>
      <c r="D156" s="68">
        <v>3489.99</v>
      </c>
    </row>
    <row r="157" spans="1:4">
      <c r="A157" s="14">
        <v>20</v>
      </c>
      <c r="B157" s="175" t="s">
        <v>315</v>
      </c>
      <c r="C157" s="58">
        <v>2009</v>
      </c>
      <c r="D157" s="68">
        <v>250</v>
      </c>
    </row>
    <row r="158" spans="1:4">
      <c r="A158" s="14">
        <v>21</v>
      </c>
      <c r="B158" s="175" t="s">
        <v>316</v>
      </c>
      <c r="C158" s="58">
        <v>2009</v>
      </c>
      <c r="D158" s="68">
        <v>2723</v>
      </c>
    </row>
    <row r="159" spans="1:4">
      <c r="A159" s="14">
        <v>22</v>
      </c>
      <c r="B159" s="175" t="s">
        <v>317</v>
      </c>
      <c r="C159" s="58">
        <v>2009</v>
      </c>
      <c r="D159" s="68">
        <v>370</v>
      </c>
    </row>
    <row r="160" spans="1:4">
      <c r="A160" s="14">
        <v>23</v>
      </c>
      <c r="B160" s="175" t="s">
        <v>318</v>
      </c>
      <c r="C160" s="58">
        <v>2009</v>
      </c>
      <c r="D160" s="68">
        <v>239</v>
      </c>
    </row>
    <row r="161" spans="1:4">
      <c r="A161" s="14">
        <v>24</v>
      </c>
      <c r="B161" s="177" t="s">
        <v>319</v>
      </c>
      <c r="C161" s="109">
        <v>2009</v>
      </c>
      <c r="D161" s="160">
        <v>579.5</v>
      </c>
    </row>
    <row r="162" spans="1:4">
      <c r="A162" s="14">
        <v>25</v>
      </c>
      <c r="B162" s="76" t="s">
        <v>320</v>
      </c>
      <c r="C162" s="14">
        <v>2009</v>
      </c>
      <c r="D162" s="155">
        <v>457</v>
      </c>
    </row>
    <row r="163" spans="1:4">
      <c r="A163" s="14">
        <v>26</v>
      </c>
      <c r="B163" s="76" t="s">
        <v>321</v>
      </c>
      <c r="C163" s="14">
        <v>2010</v>
      </c>
      <c r="D163" s="155">
        <v>590</v>
      </c>
    </row>
    <row r="164" spans="1:4">
      <c r="A164" s="14">
        <v>27</v>
      </c>
      <c r="B164" s="76" t="s">
        <v>322</v>
      </c>
      <c r="C164" s="14">
        <v>2010</v>
      </c>
      <c r="D164" s="155">
        <v>620</v>
      </c>
    </row>
    <row r="165" spans="1:4">
      <c r="A165" s="14">
        <v>28</v>
      </c>
      <c r="B165" s="76" t="s">
        <v>323</v>
      </c>
      <c r="C165" s="14">
        <v>2010</v>
      </c>
      <c r="D165" s="155">
        <v>2280</v>
      </c>
    </row>
    <row r="166" spans="1:4">
      <c r="A166" s="14">
        <v>29</v>
      </c>
      <c r="B166" s="76" t="s">
        <v>324</v>
      </c>
      <c r="C166" s="14">
        <v>2010</v>
      </c>
      <c r="D166" s="155">
        <v>450</v>
      </c>
    </row>
    <row r="167" spans="1:4">
      <c r="A167" s="14"/>
      <c r="B167" s="173" t="s">
        <v>11</v>
      </c>
      <c r="C167" s="14"/>
      <c r="D167" s="123">
        <f>SUM(D140:D166)</f>
        <v>50061.760000000002</v>
      </c>
    </row>
    <row r="168" spans="1:4">
      <c r="A168" s="242" t="s">
        <v>350</v>
      </c>
      <c r="B168" s="243"/>
      <c r="C168" s="243"/>
      <c r="D168" s="244"/>
    </row>
    <row r="169" spans="1:4">
      <c r="A169" s="116">
        <v>1</v>
      </c>
      <c r="B169" s="178" t="s">
        <v>347</v>
      </c>
      <c r="C169" s="116">
        <v>2009</v>
      </c>
      <c r="D169" s="155">
        <v>966</v>
      </c>
    </row>
    <row r="170" spans="1:4">
      <c r="A170" s="14"/>
      <c r="B170" s="173" t="s">
        <v>11</v>
      </c>
      <c r="C170" s="14"/>
      <c r="D170" s="123">
        <f>SUM(D169)</f>
        <v>966</v>
      </c>
    </row>
    <row r="171" spans="1:4" s="125" customFormat="1">
      <c r="A171" s="242" t="s">
        <v>379</v>
      </c>
      <c r="B171" s="243"/>
      <c r="C171" s="243"/>
      <c r="D171" s="244"/>
    </row>
    <row r="172" spans="1:4" s="125" customFormat="1">
      <c r="A172" s="14">
        <v>1</v>
      </c>
      <c r="B172" s="179" t="s">
        <v>376</v>
      </c>
      <c r="C172" s="58">
        <v>2009</v>
      </c>
      <c r="D172" s="161">
        <v>8106.57</v>
      </c>
    </row>
    <row r="173" spans="1:4" s="125" customFormat="1">
      <c r="A173" s="14">
        <v>2</v>
      </c>
      <c r="B173" s="179" t="s">
        <v>377</v>
      </c>
      <c r="C173" s="58">
        <v>2009</v>
      </c>
      <c r="D173" s="161">
        <v>4786.07</v>
      </c>
    </row>
    <row r="174" spans="1:4" s="125" customFormat="1">
      <c r="A174" s="14">
        <v>3</v>
      </c>
      <c r="B174" s="179" t="s">
        <v>378</v>
      </c>
      <c r="C174" s="58">
        <v>2009</v>
      </c>
      <c r="D174" s="161">
        <v>8190</v>
      </c>
    </row>
    <row r="175" spans="1:4" s="125" customFormat="1" ht="21" customHeight="1">
      <c r="A175" s="245" t="s">
        <v>11</v>
      </c>
      <c r="B175" s="246"/>
      <c r="C175" s="14"/>
      <c r="D175" s="123">
        <f>SUM(D172:D174)</f>
        <v>21082.639999999999</v>
      </c>
    </row>
    <row r="176" spans="1:4" s="125" customFormat="1">
      <c r="A176" s="242" t="s">
        <v>439</v>
      </c>
      <c r="B176" s="243"/>
      <c r="C176" s="243"/>
      <c r="D176" s="244"/>
    </row>
    <row r="177" spans="1:4">
      <c r="A177" s="14">
        <v>1</v>
      </c>
      <c r="B177" s="179" t="s">
        <v>446</v>
      </c>
      <c r="C177" s="144">
        <v>2006</v>
      </c>
      <c r="D177" s="161">
        <v>17580.2</v>
      </c>
    </row>
    <row r="178" spans="1:4">
      <c r="A178" s="14">
        <v>8</v>
      </c>
      <c r="B178" s="179" t="s">
        <v>447</v>
      </c>
      <c r="C178" s="144">
        <v>2006</v>
      </c>
      <c r="D178" s="161">
        <v>2653</v>
      </c>
    </row>
    <row r="179" spans="1:4">
      <c r="A179" s="14">
        <v>9</v>
      </c>
      <c r="B179" s="179" t="s">
        <v>448</v>
      </c>
      <c r="C179" s="144">
        <v>2006</v>
      </c>
      <c r="D179" s="161">
        <v>1793</v>
      </c>
    </row>
    <row r="180" spans="1:4">
      <c r="A180" s="14">
        <v>10</v>
      </c>
      <c r="B180" s="180" t="s">
        <v>449</v>
      </c>
      <c r="C180" s="145">
        <v>2005</v>
      </c>
      <c r="D180" s="162">
        <v>730.78</v>
      </c>
    </row>
    <row r="181" spans="1:4">
      <c r="A181" s="14">
        <v>11</v>
      </c>
      <c r="B181" s="179" t="s">
        <v>450</v>
      </c>
      <c r="C181" s="144">
        <v>2007</v>
      </c>
      <c r="D181" s="161">
        <v>1629.99</v>
      </c>
    </row>
    <row r="182" spans="1:4">
      <c r="A182" s="14">
        <v>12</v>
      </c>
      <c r="B182" s="179" t="s">
        <v>451</v>
      </c>
      <c r="C182" s="144">
        <v>2007</v>
      </c>
      <c r="D182" s="161">
        <v>1200</v>
      </c>
    </row>
    <row r="183" spans="1:4">
      <c r="A183" s="14">
        <v>13</v>
      </c>
      <c r="B183" s="179" t="s">
        <v>452</v>
      </c>
      <c r="C183" s="144">
        <v>2007</v>
      </c>
      <c r="D183" s="161">
        <v>1450.01</v>
      </c>
    </row>
    <row r="184" spans="1:4">
      <c r="A184" s="14">
        <v>14</v>
      </c>
      <c r="B184" s="179" t="s">
        <v>453</v>
      </c>
      <c r="C184" s="144">
        <v>2007</v>
      </c>
      <c r="D184" s="161">
        <v>965</v>
      </c>
    </row>
    <row r="185" spans="1:4">
      <c r="A185" s="14">
        <v>15</v>
      </c>
      <c r="B185" s="179" t="s">
        <v>454</v>
      </c>
      <c r="C185" s="144">
        <v>2007</v>
      </c>
      <c r="D185" s="161">
        <v>1212.01</v>
      </c>
    </row>
    <row r="186" spans="1:4">
      <c r="A186" s="14">
        <v>16</v>
      </c>
      <c r="B186" s="179" t="s">
        <v>455</v>
      </c>
      <c r="C186" s="144">
        <v>2008</v>
      </c>
      <c r="D186" s="161">
        <v>2174</v>
      </c>
    </row>
    <row r="187" spans="1:4">
      <c r="A187" s="14">
        <v>17</v>
      </c>
      <c r="B187" s="179" t="s">
        <v>453</v>
      </c>
      <c r="C187" s="144">
        <v>2008</v>
      </c>
      <c r="D187" s="161">
        <v>498.2</v>
      </c>
    </row>
    <row r="188" spans="1:4">
      <c r="A188" s="14">
        <v>18</v>
      </c>
      <c r="B188" s="179" t="s">
        <v>149</v>
      </c>
      <c r="C188" s="144">
        <v>2008</v>
      </c>
      <c r="D188" s="161">
        <v>2900</v>
      </c>
    </row>
    <row r="189" spans="1:4">
      <c r="A189" s="14">
        <v>19</v>
      </c>
      <c r="B189" s="179" t="s">
        <v>456</v>
      </c>
      <c r="C189" s="145">
        <v>2009</v>
      </c>
      <c r="D189" s="162">
        <v>2280.5500000000002</v>
      </c>
    </row>
    <row r="190" spans="1:4">
      <c r="A190" s="14">
        <v>20</v>
      </c>
      <c r="B190" s="181" t="s">
        <v>457</v>
      </c>
      <c r="C190" s="146">
        <v>2010</v>
      </c>
      <c r="D190" s="163">
        <v>494</v>
      </c>
    </row>
    <row r="191" spans="1:4">
      <c r="A191" s="14">
        <v>21</v>
      </c>
      <c r="B191" s="182" t="s">
        <v>149</v>
      </c>
      <c r="C191" s="74">
        <v>2011</v>
      </c>
      <c r="D191" s="156">
        <v>15000</v>
      </c>
    </row>
    <row r="192" spans="1:4">
      <c r="A192" s="14">
        <v>22</v>
      </c>
      <c r="B192" s="181" t="s">
        <v>458</v>
      </c>
      <c r="C192" s="147">
        <v>2011</v>
      </c>
      <c r="D192" s="164">
        <v>35000</v>
      </c>
    </row>
    <row r="193" spans="1:4">
      <c r="A193" s="14"/>
      <c r="B193" s="173" t="s">
        <v>11</v>
      </c>
      <c r="C193" s="14"/>
      <c r="D193" s="123">
        <f>SUM(D177:D192)</f>
        <v>87560.74</v>
      </c>
    </row>
    <row r="194" spans="1:4">
      <c r="A194" s="45"/>
      <c r="B194" s="183"/>
      <c r="C194" s="104"/>
      <c r="D194" s="165"/>
    </row>
    <row r="195" spans="1:4">
      <c r="A195" s="238" t="s">
        <v>331</v>
      </c>
      <c r="B195" s="239"/>
      <c r="C195" s="239"/>
      <c r="D195" s="240"/>
    </row>
    <row r="196" spans="1:4" ht="25.5">
      <c r="A196" s="9" t="s">
        <v>1</v>
      </c>
      <c r="B196" s="173" t="s">
        <v>17</v>
      </c>
      <c r="C196" s="9" t="s">
        <v>15</v>
      </c>
      <c r="D196" s="123" t="s">
        <v>16</v>
      </c>
    </row>
    <row r="197" spans="1:4">
      <c r="A197" s="224" t="s">
        <v>98</v>
      </c>
      <c r="B197" s="224"/>
      <c r="C197" s="224"/>
      <c r="D197" s="224"/>
    </row>
    <row r="198" spans="1:4">
      <c r="A198" s="14">
        <v>1</v>
      </c>
      <c r="B198" s="88" t="s">
        <v>111</v>
      </c>
      <c r="C198" s="74">
        <v>2007</v>
      </c>
      <c r="D198" s="156">
        <v>6457.46</v>
      </c>
    </row>
    <row r="199" spans="1:4">
      <c r="A199" s="14">
        <v>2</v>
      </c>
      <c r="B199" s="88" t="s">
        <v>107</v>
      </c>
      <c r="C199" s="74">
        <v>2009</v>
      </c>
      <c r="D199" s="156">
        <v>2654.92</v>
      </c>
    </row>
    <row r="200" spans="1:4">
      <c r="A200" s="14"/>
      <c r="B200" s="88"/>
      <c r="C200" s="9" t="s">
        <v>11</v>
      </c>
      <c r="D200" s="123">
        <f>SUM(D198:D199)</f>
        <v>9112.380000000001</v>
      </c>
    </row>
    <row r="201" spans="1:4">
      <c r="A201" s="241" t="s">
        <v>165</v>
      </c>
      <c r="B201" s="241"/>
      <c r="C201" s="241"/>
      <c r="D201" s="241"/>
    </row>
    <row r="202" spans="1:4">
      <c r="A202" s="14">
        <v>1</v>
      </c>
      <c r="B202" s="64" t="s">
        <v>151</v>
      </c>
      <c r="C202" s="102">
        <v>2010</v>
      </c>
      <c r="D202" s="157">
        <v>3954.02</v>
      </c>
    </row>
    <row r="203" spans="1:4">
      <c r="A203" s="14">
        <v>2</v>
      </c>
      <c r="B203" s="88" t="s">
        <v>158</v>
      </c>
      <c r="C203" s="74">
        <v>2007</v>
      </c>
      <c r="D203" s="156">
        <v>590</v>
      </c>
    </row>
    <row r="204" spans="1:4">
      <c r="A204" s="14">
        <v>3</v>
      </c>
      <c r="B204" s="88" t="s">
        <v>159</v>
      </c>
      <c r="C204" s="74">
        <v>2007</v>
      </c>
      <c r="D204" s="156">
        <v>3050</v>
      </c>
    </row>
    <row r="205" spans="1:4">
      <c r="A205" s="14">
        <v>4</v>
      </c>
      <c r="B205" s="88" t="s">
        <v>160</v>
      </c>
      <c r="C205" s="74">
        <v>2007</v>
      </c>
      <c r="D205" s="156">
        <v>700</v>
      </c>
    </row>
    <row r="206" spans="1:4">
      <c r="A206" s="14">
        <v>5</v>
      </c>
      <c r="B206" s="88" t="s">
        <v>161</v>
      </c>
      <c r="C206" s="74">
        <v>2007</v>
      </c>
      <c r="D206" s="156">
        <v>1927.6</v>
      </c>
    </row>
    <row r="207" spans="1:4">
      <c r="A207" s="14">
        <v>6</v>
      </c>
      <c r="B207" s="88" t="s">
        <v>162</v>
      </c>
      <c r="C207" s="74">
        <v>2007</v>
      </c>
      <c r="D207" s="156">
        <v>3689.28</v>
      </c>
    </row>
    <row r="208" spans="1:4">
      <c r="A208" s="14">
        <v>7</v>
      </c>
      <c r="B208" s="64" t="s">
        <v>163</v>
      </c>
      <c r="C208" s="65">
        <v>2010</v>
      </c>
      <c r="D208" s="166">
        <v>3156.14</v>
      </c>
    </row>
    <row r="209" spans="1:4">
      <c r="A209" s="14">
        <v>8</v>
      </c>
      <c r="B209" s="64" t="s">
        <v>164</v>
      </c>
      <c r="C209" s="65">
        <v>2009</v>
      </c>
      <c r="D209" s="166">
        <v>3465</v>
      </c>
    </row>
    <row r="210" spans="1:4">
      <c r="A210" s="14">
        <v>9</v>
      </c>
      <c r="B210" s="64" t="s">
        <v>164</v>
      </c>
      <c r="C210" s="65">
        <v>2009</v>
      </c>
      <c r="D210" s="166">
        <v>3465</v>
      </c>
    </row>
    <row r="211" spans="1:4">
      <c r="A211" s="14"/>
      <c r="B211" s="64"/>
      <c r="C211" s="9" t="s">
        <v>11</v>
      </c>
      <c r="D211" s="123">
        <f>SUM(D202:D210)</f>
        <v>23997.040000000001</v>
      </c>
    </row>
    <row r="212" spans="1:4">
      <c r="A212" s="241" t="s">
        <v>201</v>
      </c>
      <c r="B212" s="241"/>
      <c r="C212" s="241"/>
      <c r="D212" s="241"/>
    </row>
    <row r="213" spans="1:4">
      <c r="A213" s="14">
        <v>1</v>
      </c>
      <c r="B213" s="76" t="s">
        <v>198</v>
      </c>
      <c r="C213" s="14">
        <v>2007</v>
      </c>
      <c r="D213" s="155">
        <v>7292.92</v>
      </c>
    </row>
    <row r="214" spans="1:4">
      <c r="A214" s="14">
        <v>2</v>
      </c>
      <c r="B214" s="76" t="s">
        <v>199</v>
      </c>
      <c r="C214" s="14">
        <v>2007</v>
      </c>
      <c r="D214" s="155">
        <v>1799.54</v>
      </c>
    </row>
    <row r="215" spans="1:4" ht="25.5">
      <c r="A215" s="14">
        <v>3</v>
      </c>
      <c r="B215" s="76" t="s">
        <v>200</v>
      </c>
      <c r="C215" s="14">
        <v>2009</v>
      </c>
      <c r="D215" s="155">
        <v>3049.67</v>
      </c>
    </row>
    <row r="216" spans="1:4">
      <c r="A216" s="14"/>
      <c r="B216" s="173"/>
      <c r="C216" s="9" t="s">
        <v>11</v>
      </c>
      <c r="D216" s="123">
        <f>SUM(D213:D215)</f>
        <v>12142.13</v>
      </c>
    </row>
    <row r="217" spans="1:4">
      <c r="A217" s="242" t="s">
        <v>296</v>
      </c>
      <c r="B217" s="243"/>
      <c r="C217" s="243"/>
      <c r="D217" s="244"/>
    </row>
    <row r="218" spans="1:4">
      <c r="A218" s="74">
        <v>3</v>
      </c>
      <c r="B218" s="76" t="s">
        <v>295</v>
      </c>
      <c r="C218" s="14">
        <v>2008</v>
      </c>
      <c r="D218" s="155">
        <v>2418.25</v>
      </c>
    </row>
    <row r="219" spans="1:4">
      <c r="A219" s="108"/>
      <c r="B219" s="173" t="s">
        <v>11</v>
      </c>
      <c r="C219" s="9"/>
      <c r="D219" s="123">
        <f>SUM(D218:D218)</f>
        <v>2418.25</v>
      </c>
    </row>
    <row r="220" spans="1:4">
      <c r="A220" s="242" t="s">
        <v>325</v>
      </c>
      <c r="B220" s="243"/>
      <c r="C220" s="243"/>
      <c r="D220" s="244"/>
    </row>
    <row r="221" spans="1:4">
      <c r="A221" s="14">
        <v>1</v>
      </c>
      <c r="B221" s="175" t="s">
        <v>326</v>
      </c>
      <c r="C221" s="58">
        <v>2007</v>
      </c>
      <c r="D221" s="68">
        <v>1700</v>
      </c>
    </row>
    <row r="222" spans="1:4">
      <c r="A222" s="14">
        <v>2</v>
      </c>
      <c r="B222" s="175" t="s">
        <v>327</v>
      </c>
      <c r="C222" s="58">
        <v>2006</v>
      </c>
      <c r="D222" s="68">
        <v>3490.01</v>
      </c>
    </row>
    <row r="223" spans="1:4">
      <c r="A223" s="14">
        <v>3</v>
      </c>
      <c r="B223" s="175" t="s">
        <v>328</v>
      </c>
      <c r="C223" s="58">
        <v>2008</v>
      </c>
      <c r="D223" s="68">
        <v>1068</v>
      </c>
    </row>
    <row r="224" spans="1:4">
      <c r="A224" s="14">
        <v>4</v>
      </c>
      <c r="B224" s="175" t="s">
        <v>329</v>
      </c>
      <c r="C224" s="58">
        <v>2008</v>
      </c>
      <c r="D224" s="68">
        <v>2800</v>
      </c>
    </row>
    <row r="225" spans="1:4">
      <c r="A225" s="14"/>
      <c r="B225" s="173" t="s">
        <v>11</v>
      </c>
      <c r="C225" s="14"/>
      <c r="D225" s="123">
        <f>SUM(D221:D224)</f>
        <v>9058.01</v>
      </c>
    </row>
    <row r="226" spans="1:4">
      <c r="A226" s="242" t="s">
        <v>350</v>
      </c>
      <c r="B226" s="243"/>
      <c r="C226" s="243"/>
      <c r="D226" s="244"/>
    </row>
    <row r="227" spans="1:4">
      <c r="A227" s="14">
        <v>1</v>
      </c>
      <c r="B227" s="76" t="s">
        <v>348</v>
      </c>
      <c r="C227" s="14">
        <v>2006</v>
      </c>
      <c r="D227" s="68">
        <v>2995</v>
      </c>
    </row>
    <row r="228" spans="1:4">
      <c r="A228" s="14">
        <v>2</v>
      </c>
      <c r="B228" s="76" t="s">
        <v>349</v>
      </c>
      <c r="C228" s="14">
        <v>2007</v>
      </c>
      <c r="D228" s="68">
        <v>3640</v>
      </c>
    </row>
    <row r="229" spans="1:4">
      <c r="A229" s="14">
        <v>3</v>
      </c>
      <c r="B229" s="76" t="s">
        <v>148</v>
      </c>
      <c r="C229" s="14">
        <v>2009</v>
      </c>
      <c r="D229" s="68">
        <v>2575.0100000000002</v>
      </c>
    </row>
    <row r="230" spans="1:4">
      <c r="A230" s="14"/>
      <c r="B230" s="173" t="s">
        <v>11</v>
      </c>
      <c r="C230" s="14"/>
      <c r="D230" s="167">
        <f>SUM(D227:D229)</f>
        <v>9210.01</v>
      </c>
    </row>
    <row r="231" spans="1:4" s="69" customFormat="1" ht="10.5" customHeight="1">
      <c r="A231" s="242" t="s">
        <v>383</v>
      </c>
      <c r="B231" s="243"/>
      <c r="C231" s="243"/>
      <c r="D231" s="244"/>
    </row>
    <row r="232" spans="1:4" s="69" customFormat="1">
      <c r="A232" s="14">
        <v>1</v>
      </c>
      <c r="B232" s="76" t="s">
        <v>382</v>
      </c>
      <c r="C232" s="14">
        <v>2007</v>
      </c>
      <c r="D232" s="155">
        <v>3000</v>
      </c>
    </row>
    <row r="233" spans="1:4">
      <c r="A233" s="14"/>
      <c r="B233" s="173" t="s">
        <v>11</v>
      </c>
      <c r="C233" s="14"/>
      <c r="D233" s="167">
        <f>SUM(D232)</f>
        <v>3000</v>
      </c>
    </row>
    <row r="234" spans="1:4" s="125" customFormat="1">
      <c r="A234" s="242" t="s">
        <v>439</v>
      </c>
      <c r="B234" s="243"/>
      <c r="C234" s="243"/>
      <c r="D234" s="244"/>
    </row>
    <row r="235" spans="1:4">
      <c r="A235" s="14">
        <v>3</v>
      </c>
      <c r="B235" s="179" t="s">
        <v>459</v>
      </c>
      <c r="C235" s="144">
        <v>2006</v>
      </c>
      <c r="D235" s="161">
        <v>3450</v>
      </c>
    </row>
    <row r="236" spans="1:4">
      <c r="A236" s="14">
        <v>4</v>
      </c>
      <c r="B236" s="179" t="s">
        <v>460</v>
      </c>
      <c r="C236" s="144">
        <v>2006</v>
      </c>
      <c r="D236" s="161">
        <v>3400</v>
      </c>
    </row>
    <row r="237" spans="1:4">
      <c r="A237" s="14">
        <v>6</v>
      </c>
      <c r="B237" s="179" t="s">
        <v>461</v>
      </c>
      <c r="C237" s="144">
        <v>2006</v>
      </c>
      <c r="D237" s="161">
        <v>6740</v>
      </c>
    </row>
    <row r="238" spans="1:4">
      <c r="A238" s="14">
        <v>7</v>
      </c>
      <c r="B238" s="179" t="s">
        <v>462</v>
      </c>
      <c r="C238" s="144">
        <v>2009</v>
      </c>
      <c r="D238" s="161">
        <v>2705.57</v>
      </c>
    </row>
    <row r="239" spans="1:4">
      <c r="A239" s="14">
        <v>8</v>
      </c>
      <c r="B239" s="179" t="s">
        <v>463</v>
      </c>
      <c r="C239" s="144">
        <v>2009</v>
      </c>
      <c r="D239" s="161">
        <v>3229.02</v>
      </c>
    </row>
    <row r="240" spans="1:4">
      <c r="A240" s="14"/>
      <c r="B240" s="173" t="s">
        <v>11</v>
      </c>
      <c r="C240" s="14"/>
      <c r="D240" s="123">
        <f>SUM(D235:D239)</f>
        <v>19524.59</v>
      </c>
    </row>
    <row r="241" spans="1:6">
      <c r="A241" s="45"/>
      <c r="B241" s="183"/>
      <c r="C241" s="148"/>
      <c r="D241" s="165"/>
    </row>
    <row r="242" spans="1:6">
      <c r="A242" s="238" t="s">
        <v>64</v>
      </c>
      <c r="B242" s="239"/>
      <c r="C242" s="239"/>
      <c r="D242" s="240"/>
    </row>
    <row r="243" spans="1:6" ht="38.25">
      <c r="A243" s="9" t="s">
        <v>1</v>
      </c>
      <c r="B243" s="173" t="s">
        <v>18</v>
      </c>
      <c r="C243" s="9" t="s">
        <v>15</v>
      </c>
      <c r="D243" s="123" t="s">
        <v>16</v>
      </c>
    </row>
    <row r="244" spans="1:6">
      <c r="A244" s="224" t="s">
        <v>97</v>
      </c>
      <c r="B244" s="224"/>
      <c r="C244" s="224"/>
      <c r="D244" s="224"/>
    </row>
    <row r="245" spans="1:6">
      <c r="A245" s="14">
        <v>1</v>
      </c>
      <c r="B245" s="76" t="s">
        <v>84</v>
      </c>
      <c r="C245" s="14">
        <v>2009</v>
      </c>
      <c r="D245" s="155">
        <v>16719.740000000002</v>
      </c>
    </row>
    <row r="246" spans="1:6">
      <c r="A246" s="14"/>
      <c r="B246" s="76"/>
      <c r="C246" s="9" t="s">
        <v>11</v>
      </c>
      <c r="D246" s="123">
        <f>SUM(D245)</f>
        <v>16719.740000000002</v>
      </c>
    </row>
    <row r="247" spans="1:6">
      <c r="A247" s="224" t="s">
        <v>98</v>
      </c>
      <c r="B247" s="224"/>
      <c r="C247" s="224"/>
      <c r="D247" s="224"/>
    </row>
    <row r="248" spans="1:6" ht="25.5">
      <c r="A248" s="74">
        <v>2</v>
      </c>
      <c r="B248" s="88" t="s">
        <v>112</v>
      </c>
      <c r="C248" s="74">
        <v>2006</v>
      </c>
      <c r="D248" s="156">
        <v>8903.1</v>
      </c>
    </row>
    <row r="249" spans="1:6" ht="25.5">
      <c r="A249" s="74">
        <v>3</v>
      </c>
      <c r="B249" s="88" t="s">
        <v>113</v>
      </c>
      <c r="C249" s="74">
        <v>2009</v>
      </c>
      <c r="D249" s="156">
        <v>6657</v>
      </c>
    </row>
    <row r="250" spans="1:6">
      <c r="A250" s="74"/>
      <c r="B250" s="88"/>
      <c r="C250" s="9" t="s">
        <v>11</v>
      </c>
      <c r="D250" s="123">
        <f>SUM(D248:D249)</f>
        <v>15560.1</v>
      </c>
    </row>
    <row r="251" spans="1:6">
      <c r="A251" s="241" t="s">
        <v>201</v>
      </c>
      <c r="B251" s="241"/>
      <c r="C251" s="241"/>
      <c r="D251" s="241"/>
    </row>
    <row r="252" spans="1:6" ht="25.5">
      <c r="A252" s="14">
        <v>4</v>
      </c>
      <c r="B252" s="76" t="s">
        <v>202</v>
      </c>
      <c r="C252" s="14">
        <v>2008</v>
      </c>
      <c r="D252" s="155">
        <v>6999.99</v>
      </c>
    </row>
    <row r="253" spans="1:6">
      <c r="A253" s="14"/>
      <c r="B253" s="173" t="s">
        <v>11</v>
      </c>
      <c r="C253" s="9" t="s">
        <v>11</v>
      </c>
      <c r="D253" s="123">
        <f>SUM(D252)</f>
        <v>6999.99</v>
      </c>
    </row>
    <row r="254" spans="1:6" ht="24.75" customHeight="1" thickBot="1"/>
    <row r="255" spans="1:6">
      <c r="B255" s="184" t="s">
        <v>11</v>
      </c>
      <c r="C255" s="152"/>
      <c r="D255" s="168">
        <f>SUM(D256:D258)</f>
        <v>966099.92999999993</v>
      </c>
      <c r="F255" s="120"/>
    </row>
    <row r="256" spans="1:6">
      <c r="B256" s="185" t="s">
        <v>428</v>
      </c>
      <c r="C256" s="21"/>
      <c r="D256" s="169">
        <f>D175+D170+D167+D138+D122+D77+D29+D16+D193</f>
        <v>838357.69</v>
      </c>
    </row>
    <row r="257" spans="2:4">
      <c r="B257" s="185" t="s">
        <v>429</v>
      </c>
      <c r="C257" s="21"/>
      <c r="D257" s="169">
        <f>D233+D230+D225+D219+D216+D211+D200+D240</f>
        <v>88462.41</v>
      </c>
    </row>
    <row r="258" spans="2:4" ht="13.5" thickBot="1">
      <c r="B258" s="186" t="s">
        <v>430</v>
      </c>
      <c r="C258" s="151"/>
      <c r="D258" s="170">
        <f>D253+D250+D246</f>
        <v>39279.83</v>
      </c>
    </row>
  </sheetData>
  <mergeCells count="24">
    <mergeCell ref="A242:D242"/>
    <mergeCell ref="A247:D247"/>
    <mergeCell ref="A244:D244"/>
    <mergeCell ref="A226:D226"/>
    <mergeCell ref="A123:D123"/>
    <mergeCell ref="A78:D78"/>
    <mergeCell ref="A171:D171"/>
    <mergeCell ref="A139:D139"/>
    <mergeCell ref="A251:D251"/>
    <mergeCell ref="A197:D197"/>
    <mergeCell ref="A168:D168"/>
    <mergeCell ref="A217:D217"/>
    <mergeCell ref="A176:D176"/>
    <mergeCell ref="A175:B175"/>
    <mergeCell ref="A234:D234"/>
    <mergeCell ref="A231:D231"/>
    <mergeCell ref="A220:D220"/>
    <mergeCell ref="A212:D212"/>
    <mergeCell ref="A4:D4"/>
    <mergeCell ref="A195:D195"/>
    <mergeCell ref="A6:D6"/>
    <mergeCell ref="A17:D17"/>
    <mergeCell ref="A30:D30"/>
    <mergeCell ref="A201:D201"/>
  </mergeCells>
  <phoneticPr fontId="10" type="noConversion"/>
  <pageMargins left="0.75" right="0.75" top="0.61" bottom="1" header="0.5" footer="0.5"/>
  <pageSetup paperSize="9" scale="70" orientation="portrait" r:id="rId1"/>
  <headerFooter alignWithMargins="0"/>
  <rowBreaks count="3" manualBreakCount="3">
    <brk id="77" max="3" man="1"/>
    <brk id="138" max="3" man="1"/>
    <brk id="216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selection activeCell="C16" sqref="C16"/>
    </sheetView>
  </sheetViews>
  <sheetFormatPr defaultRowHeight="12.75"/>
  <cols>
    <col min="1" max="1" width="4" style="16" customWidth="1"/>
    <col min="2" max="2" width="38.140625" style="16" bestFit="1" customWidth="1"/>
    <col min="3" max="3" width="15.28515625" style="16" bestFit="1" customWidth="1"/>
    <col min="4" max="4" width="13.42578125" style="16" bestFit="1" customWidth="1"/>
    <col min="5" max="16384" width="9.140625" style="16"/>
  </cols>
  <sheetData>
    <row r="1" spans="1:4" ht="18">
      <c r="A1" s="247" t="s">
        <v>241</v>
      </c>
      <c r="B1" s="248"/>
      <c r="C1" s="13" t="s">
        <v>19</v>
      </c>
    </row>
    <row r="2" spans="1:4" ht="15">
      <c r="A2" s="17"/>
      <c r="B2" s="13"/>
    </row>
    <row r="3" spans="1:4">
      <c r="A3" s="18"/>
    </row>
    <row r="4" spans="1:4" ht="21">
      <c r="A4" s="47" t="s">
        <v>23</v>
      </c>
      <c r="B4" s="47" t="s">
        <v>68</v>
      </c>
      <c r="C4" s="48" t="s">
        <v>69</v>
      </c>
      <c r="D4" s="48" t="s">
        <v>70</v>
      </c>
    </row>
    <row r="5" spans="1:4" ht="23.1" customHeight="1">
      <c r="A5" s="49">
        <v>1</v>
      </c>
      <c r="B5" s="60" t="s">
        <v>72</v>
      </c>
      <c r="C5" s="67">
        <f>122075.52+7331.75</f>
        <v>129407.27</v>
      </c>
      <c r="D5" s="61">
        <v>0</v>
      </c>
    </row>
    <row r="6" spans="1:4" ht="23.1" customHeight="1">
      <c r="A6" s="50">
        <v>2</v>
      </c>
      <c r="B6" s="59" t="s">
        <v>114</v>
      </c>
      <c r="C6" s="68">
        <v>340302.65</v>
      </c>
      <c r="D6" s="61">
        <v>0</v>
      </c>
    </row>
    <row r="7" spans="1:4" ht="23.1" customHeight="1">
      <c r="A7" s="49">
        <v>3</v>
      </c>
      <c r="B7" s="11" t="s">
        <v>71</v>
      </c>
      <c r="C7" s="67">
        <v>559334.47</v>
      </c>
      <c r="D7" s="61">
        <v>55289.29</v>
      </c>
    </row>
    <row r="8" spans="1:4" ht="23.1" customHeight="1">
      <c r="A8" s="50">
        <v>4</v>
      </c>
      <c r="B8" s="62" t="s">
        <v>203</v>
      </c>
      <c r="C8" s="68">
        <f>472902.95+15152.4+20770.5+8869.4+1366.4</f>
        <v>519061.65000000008</v>
      </c>
      <c r="D8" s="63">
        <v>0</v>
      </c>
    </row>
    <row r="9" spans="1:4" ht="23.1" customHeight="1">
      <c r="A9" s="49">
        <v>5</v>
      </c>
      <c r="B9" s="62" t="s">
        <v>273</v>
      </c>
      <c r="C9" s="68">
        <f>422955.74+2639.37+13160.37</f>
        <v>438755.48</v>
      </c>
      <c r="D9" s="63">
        <v>138328.79</v>
      </c>
    </row>
    <row r="10" spans="1:4" ht="23.1" customHeight="1">
      <c r="A10" s="50">
        <v>6</v>
      </c>
      <c r="B10" s="62" t="s">
        <v>298</v>
      </c>
      <c r="C10" s="68">
        <f>30000+7901.98</f>
        <v>37901.979999999996</v>
      </c>
      <c r="D10" s="63">
        <v>0</v>
      </c>
    </row>
    <row r="11" spans="1:4" ht="26.25" customHeight="1">
      <c r="A11" s="49">
        <v>7</v>
      </c>
      <c r="B11" s="62" t="s">
        <v>351</v>
      </c>
      <c r="C11" s="68">
        <v>174707.4</v>
      </c>
      <c r="D11" s="63">
        <v>0</v>
      </c>
    </row>
    <row r="12" spans="1:4" ht="23.1" customHeight="1">
      <c r="A12" s="50">
        <v>8</v>
      </c>
      <c r="B12" s="62" t="s">
        <v>418</v>
      </c>
      <c r="C12" s="68">
        <v>1378309.15</v>
      </c>
      <c r="D12" s="63">
        <v>0</v>
      </c>
    </row>
    <row r="13" spans="1:4" ht="23.1" customHeight="1">
      <c r="A13" s="49">
        <v>9</v>
      </c>
      <c r="B13" s="62" t="s">
        <v>419</v>
      </c>
      <c r="C13" s="68">
        <v>0</v>
      </c>
      <c r="D13" s="63">
        <v>0</v>
      </c>
    </row>
    <row r="14" spans="1:4" ht="21" customHeight="1">
      <c r="A14" s="49">
        <v>10</v>
      </c>
      <c r="B14" s="51" t="s">
        <v>464</v>
      </c>
      <c r="C14" s="68">
        <f>576399.36+5805.98+17297.26+1951.5</f>
        <v>601454.1</v>
      </c>
      <c r="D14" s="63">
        <v>44224.78</v>
      </c>
    </row>
    <row r="15" spans="1:4" ht="15.95" customHeight="1">
      <c r="A15" s="52"/>
      <c r="B15" s="53" t="s">
        <v>20</v>
      </c>
      <c r="C15" s="54">
        <f>SUM(C5:C14)</f>
        <v>4179234.15</v>
      </c>
      <c r="D15" s="54">
        <f>SUM(D5:D13)</f>
        <v>193618.08000000002</v>
      </c>
    </row>
  </sheetData>
  <mergeCells count="1">
    <mergeCell ref="A1:B1"/>
  </mergeCells>
  <phoneticPr fontId="10" type="noConversion"/>
  <pageMargins left="0.75" right="0.75" top="1" bottom="1" header="0.5" footer="0.5"/>
  <pageSetup paperSize="9" scale="9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52"/>
  <sheetViews>
    <sheetView view="pageBreakPreview" topLeftCell="A4" workbookViewId="0">
      <selection activeCell="Z15" sqref="Z15"/>
    </sheetView>
  </sheetViews>
  <sheetFormatPr defaultRowHeight="12.75"/>
  <cols>
    <col min="1" max="1" width="4.5703125" style="16" customWidth="1"/>
    <col min="2" max="2" width="24.5703125" style="16" customWidth="1"/>
    <col min="3" max="3" width="12.85546875" style="16" customWidth="1"/>
    <col min="4" max="4" width="21.7109375" style="16" customWidth="1"/>
    <col min="5" max="5" width="9.28515625" style="16" bestFit="1" customWidth="1"/>
    <col min="6" max="6" width="16.7109375" style="16" customWidth="1"/>
    <col min="7" max="7" width="14.85546875" style="16" customWidth="1"/>
    <col min="8" max="8" width="16.28515625" style="16" customWidth="1"/>
    <col min="9" max="9" width="8.85546875" style="16" customWidth="1"/>
    <col min="10" max="10" width="9.140625" style="16"/>
    <col min="11" max="11" width="12.5703125" style="16" customWidth="1"/>
    <col min="12" max="13" width="16" style="16" customWidth="1"/>
    <col min="14" max="14" width="5.140625" style="16" bestFit="1" customWidth="1"/>
    <col min="15" max="15" width="16" style="16" customWidth="1"/>
    <col min="16" max="16" width="12.85546875" style="16" customWidth="1"/>
    <col min="17" max="17" width="11.140625" style="16" customWidth="1"/>
    <col min="18" max="18" width="20.28515625" style="16" customWidth="1"/>
    <col min="19" max="19" width="17" style="130" customWidth="1"/>
    <col min="20" max="20" width="14.85546875" style="16" customWidth="1"/>
    <col min="21" max="21" width="16.28515625" style="16" customWidth="1"/>
    <col min="22" max="22" width="19.85546875" style="16" customWidth="1"/>
    <col min="23" max="23" width="11.5703125" style="16" customWidth="1"/>
    <col min="24" max="24" width="11" style="16" customWidth="1"/>
    <col min="25" max="25" width="11.7109375" style="16" customWidth="1"/>
    <col min="26" max="26" width="11.140625" style="16" customWidth="1"/>
    <col min="27" max="27" width="12.28515625" style="26" customWidth="1"/>
    <col min="28" max="16384" width="9.140625" style="16"/>
  </cols>
  <sheetData>
    <row r="1" spans="1:29" ht="21" thickBot="1">
      <c r="A1" s="250" t="s">
        <v>241</v>
      </c>
      <c r="B1" s="251"/>
      <c r="C1" s="251"/>
      <c r="D1" s="251"/>
      <c r="E1" s="252"/>
      <c r="Z1" s="22"/>
      <c r="AA1" s="23" t="s">
        <v>481</v>
      </c>
    </row>
    <row r="2" spans="1:29" ht="18.75">
      <c r="A2" s="24"/>
      <c r="B2" s="24"/>
      <c r="C2" s="25"/>
      <c r="D2" s="25"/>
      <c r="E2" s="25"/>
    </row>
    <row r="3" spans="1:29" ht="13.5" customHeight="1">
      <c r="B3" s="27"/>
      <c r="Z3" s="253"/>
      <c r="AA3" s="253"/>
      <c r="AB3" s="28"/>
      <c r="AC3" s="28"/>
    </row>
    <row r="4" spans="1:29" ht="23.25" customHeight="1">
      <c r="A4" s="254" t="s">
        <v>22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 t="s">
        <v>22</v>
      </c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46"/>
      <c r="AC4" s="46"/>
    </row>
    <row r="5" spans="1:29" ht="12.75" customHeight="1">
      <c r="A5" s="249" t="s">
        <v>23</v>
      </c>
      <c r="B5" s="228" t="s">
        <v>24</v>
      </c>
      <c r="C5" s="228" t="s">
        <v>25</v>
      </c>
      <c r="D5" s="228" t="s">
        <v>26</v>
      </c>
      <c r="E5" s="228" t="s">
        <v>27</v>
      </c>
      <c r="F5" s="228" t="s">
        <v>28</v>
      </c>
      <c r="G5" s="228" t="s">
        <v>29</v>
      </c>
      <c r="H5" s="228"/>
      <c r="I5" s="228" t="s">
        <v>30</v>
      </c>
      <c r="J5" s="228" t="s">
        <v>31</v>
      </c>
      <c r="K5" s="228" t="s">
        <v>32</v>
      </c>
      <c r="L5" s="228" t="s">
        <v>33</v>
      </c>
      <c r="M5" s="228" t="s">
        <v>34</v>
      </c>
      <c r="N5" s="249" t="s">
        <v>23</v>
      </c>
      <c r="O5" s="228" t="s">
        <v>35</v>
      </c>
      <c r="P5" s="228" t="s">
        <v>63</v>
      </c>
      <c r="Q5" s="228" t="s">
        <v>36</v>
      </c>
      <c r="R5" s="228" t="s">
        <v>37</v>
      </c>
      <c r="S5" s="255" t="s">
        <v>38</v>
      </c>
      <c r="T5" s="228" t="s">
        <v>29</v>
      </c>
      <c r="U5" s="228"/>
      <c r="V5" s="256" t="s">
        <v>479</v>
      </c>
      <c r="W5" s="228" t="s">
        <v>39</v>
      </c>
      <c r="X5" s="228"/>
      <c r="Y5" s="228" t="s">
        <v>40</v>
      </c>
      <c r="Z5" s="228"/>
      <c r="AA5" s="228" t="s">
        <v>41</v>
      </c>
      <c r="AB5" s="28"/>
      <c r="AC5" s="28"/>
    </row>
    <row r="6" spans="1:29" ht="18.75" customHeight="1">
      <c r="A6" s="249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49"/>
      <c r="O6" s="228"/>
      <c r="P6" s="228"/>
      <c r="Q6" s="228"/>
      <c r="R6" s="228"/>
      <c r="S6" s="255"/>
      <c r="T6" s="228"/>
      <c r="U6" s="228"/>
      <c r="V6" s="257"/>
      <c r="W6" s="228"/>
      <c r="X6" s="228"/>
      <c r="Y6" s="228"/>
      <c r="Z6" s="228"/>
      <c r="AA6" s="228"/>
    </row>
    <row r="7" spans="1:29" ht="34.5" customHeight="1">
      <c r="A7" s="249"/>
      <c r="B7" s="228"/>
      <c r="C7" s="228"/>
      <c r="D7" s="228"/>
      <c r="E7" s="228"/>
      <c r="F7" s="228"/>
      <c r="G7" s="9" t="s">
        <v>42</v>
      </c>
      <c r="H7" s="9" t="s">
        <v>43</v>
      </c>
      <c r="I7" s="228"/>
      <c r="J7" s="228"/>
      <c r="K7" s="228"/>
      <c r="L7" s="228"/>
      <c r="M7" s="228"/>
      <c r="N7" s="249"/>
      <c r="O7" s="228"/>
      <c r="P7" s="228"/>
      <c r="Q7" s="228"/>
      <c r="R7" s="228"/>
      <c r="S7" s="255"/>
      <c r="T7" s="9" t="s">
        <v>42</v>
      </c>
      <c r="U7" s="9" t="s">
        <v>43</v>
      </c>
      <c r="V7" s="258"/>
      <c r="W7" s="9" t="s">
        <v>44</v>
      </c>
      <c r="X7" s="9" t="s">
        <v>45</v>
      </c>
      <c r="Y7" s="9" t="s">
        <v>44</v>
      </c>
      <c r="Z7" s="9" t="s">
        <v>45</v>
      </c>
      <c r="AA7" s="228"/>
    </row>
    <row r="8" spans="1:29" s="41" customFormat="1" ht="18.75" customHeight="1">
      <c r="A8" s="223" t="s">
        <v>412</v>
      </c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126"/>
      <c r="O8" s="127"/>
      <c r="P8" s="127"/>
      <c r="Q8" s="127"/>
      <c r="R8" s="127"/>
      <c r="S8" s="131"/>
      <c r="T8" s="127"/>
      <c r="U8" s="127"/>
      <c r="V8" s="127"/>
      <c r="W8" s="127"/>
      <c r="X8" s="127"/>
      <c r="Y8" s="127"/>
      <c r="Z8" s="127"/>
      <c r="AA8" s="127"/>
    </row>
    <row r="9" spans="1:29" s="41" customFormat="1" ht="24.95" customHeight="1">
      <c r="A9" s="14">
        <v>1</v>
      </c>
      <c r="B9" s="14" t="s">
        <v>204</v>
      </c>
      <c r="C9" s="14"/>
      <c r="D9" s="14" t="s">
        <v>205</v>
      </c>
      <c r="E9" s="14" t="s">
        <v>206</v>
      </c>
      <c r="F9" s="14" t="s">
        <v>207</v>
      </c>
      <c r="G9" s="14" t="s">
        <v>208</v>
      </c>
      <c r="H9" s="135">
        <v>30000</v>
      </c>
      <c r="I9" s="14">
        <v>4580</v>
      </c>
      <c r="J9" s="14">
        <v>2005</v>
      </c>
      <c r="K9" s="14">
        <v>2005</v>
      </c>
      <c r="L9" s="14">
        <v>6</v>
      </c>
      <c r="M9" s="14" t="s">
        <v>209</v>
      </c>
      <c r="N9" s="14">
        <v>1</v>
      </c>
      <c r="O9" s="14" t="s">
        <v>210</v>
      </c>
      <c r="P9" s="14" t="s">
        <v>211</v>
      </c>
      <c r="Q9" s="14">
        <v>5120</v>
      </c>
      <c r="R9" s="14"/>
      <c r="S9" s="135">
        <v>149700</v>
      </c>
      <c r="T9" s="14" t="s">
        <v>208</v>
      </c>
      <c r="U9" s="135">
        <v>30000</v>
      </c>
      <c r="V9" s="138">
        <f>U9+S9</f>
        <v>179700</v>
      </c>
      <c r="W9" s="74" t="s">
        <v>519</v>
      </c>
      <c r="X9" s="74" t="s">
        <v>520</v>
      </c>
      <c r="Y9" s="74" t="s">
        <v>519</v>
      </c>
      <c r="Z9" s="74" t="s">
        <v>520</v>
      </c>
      <c r="AA9" s="20"/>
    </row>
    <row r="10" spans="1:29" s="41" customFormat="1" ht="24.95" customHeight="1">
      <c r="A10" s="14">
        <v>2</v>
      </c>
      <c r="B10" s="14" t="s">
        <v>212</v>
      </c>
      <c r="C10" s="14"/>
      <c r="D10" s="14">
        <v>11082</v>
      </c>
      <c r="E10" s="14" t="s">
        <v>213</v>
      </c>
      <c r="F10" s="14" t="s">
        <v>207</v>
      </c>
      <c r="G10" s="14" t="s">
        <v>208</v>
      </c>
      <c r="H10" s="135">
        <v>25000</v>
      </c>
      <c r="I10" s="14">
        <v>6842</v>
      </c>
      <c r="J10" s="14">
        <v>1996</v>
      </c>
      <c r="K10" s="14">
        <v>1996</v>
      </c>
      <c r="L10" s="14" t="s">
        <v>209</v>
      </c>
      <c r="M10" s="14" t="s">
        <v>209</v>
      </c>
      <c r="N10" s="14">
        <v>2</v>
      </c>
      <c r="O10" s="14" t="s">
        <v>209</v>
      </c>
      <c r="P10" s="14" t="s">
        <v>211</v>
      </c>
      <c r="Q10" s="14"/>
      <c r="R10" s="14"/>
      <c r="S10" s="135"/>
      <c r="T10" s="14" t="s">
        <v>208</v>
      </c>
      <c r="U10" s="135">
        <v>25000</v>
      </c>
      <c r="V10" s="138">
        <f>U10+S10</f>
        <v>25000</v>
      </c>
      <c r="W10" s="74" t="s">
        <v>414</v>
      </c>
      <c r="X10" s="74" t="s">
        <v>415</v>
      </c>
      <c r="Y10" s="74" t="s">
        <v>214</v>
      </c>
      <c r="Z10" s="74" t="s">
        <v>214</v>
      </c>
      <c r="AA10" s="20"/>
    </row>
    <row r="11" spans="1:29" s="41" customFormat="1" ht="24.95" customHeight="1">
      <c r="A11" s="14">
        <v>3</v>
      </c>
      <c r="B11" s="14" t="s">
        <v>215</v>
      </c>
      <c r="C11" s="14"/>
      <c r="D11" s="14" t="s">
        <v>216</v>
      </c>
      <c r="E11" s="14" t="s">
        <v>217</v>
      </c>
      <c r="F11" s="14" t="s">
        <v>207</v>
      </c>
      <c r="G11" s="14" t="s">
        <v>208</v>
      </c>
      <c r="H11" s="135">
        <v>119000</v>
      </c>
      <c r="I11" s="14">
        <v>2198</v>
      </c>
      <c r="J11" s="14">
        <v>2009</v>
      </c>
      <c r="K11" s="14">
        <v>2009</v>
      </c>
      <c r="L11" s="14">
        <v>5</v>
      </c>
      <c r="M11" s="14" t="s">
        <v>209</v>
      </c>
      <c r="N11" s="14">
        <v>3</v>
      </c>
      <c r="O11" s="14" t="s">
        <v>218</v>
      </c>
      <c r="P11" s="14" t="s">
        <v>211</v>
      </c>
      <c r="Q11" s="14">
        <v>8235</v>
      </c>
      <c r="R11" s="14"/>
      <c r="S11" s="135">
        <v>104720</v>
      </c>
      <c r="T11" s="14" t="s">
        <v>208</v>
      </c>
      <c r="U11" s="135">
        <v>119000</v>
      </c>
      <c r="V11" s="138">
        <f>U11+S11</f>
        <v>223720</v>
      </c>
      <c r="W11" s="74" t="s">
        <v>416</v>
      </c>
      <c r="X11" s="74" t="s">
        <v>417</v>
      </c>
      <c r="Y11" s="74" t="s">
        <v>416</v>
      </c>
      <c r="Z11" s="74" t="s">
        <v>417</v>
      </c>
      <c r="AA11" s="20"/>
    </row>
    <row r="12" spans="1:29" s="41" customFormat="1" ht="24.95" customHeight="1">
      <c r="A12" s="14">
        <v>4</v>
      </c>
      <c r="B12" s="14" t="s">
        <v>219</v>
      </c>
      <c r="C12" s="14"/>
      <c r="D12" s="14" t="s">
        <v>220</v>
      </c>
      <c r="E12" s="14" t="s">
        <v>221</v>
      </c>
      <c r="F12" s="14" t="s">
        <v>207</v>
      </c>
      <c r="G12" s="14" t="s">
        <v>208</v>
      </c>
      <c r="H12" s="135">
        <v>30000</v>
      </c>
      <c r="I12" s="14">
        <v>2417</v>
      </c>
      <c r="J12" s="14">
        <v>2000</v>
      </c>
      <c r="K12" s="14">
        <v>2000</v>
      </c>
      <c r="L12" s="14">
        <v>3</v>
      </c>
      <c r="M12" s="14" t="s">
        <v>209</v>
      </c>
      <c r="N12" s="14">
        <v>4</v>
      </c>
      <c r="O12" s="14" t="s">
        <v>222</v>
      </c>
      <c r="P12" s="14" t="s">
        <v>211</v>
      </c>
      <c r="Q12" s="14">
        <v>5200</v>
      </c>
      <c r="R12" s="14"/>
      <c r="S12" s="135">
        <v>28000</v>
      </c>
      <c r="T12" s="14" t="s">
        <v>208</v>
      </c>
      <c r="U12" s="135">
        <v>30000</v>
      </c>
      <c r="V12" s="138">
        <f>U12+S12</f>
        <v>58000</v>
      </c>
      <c r="W12" s="74" t="s">
        <v>414</v>
      </c>
      <c r="X12" s="74" t="s">
        <v>415</v>
      </c>
      <c r="Y12" s="74" t="s">
        <v>414</v>
      </c>
      <c r="Z12" s="74" t="s">
        <v>415</v>
      </c>
      <c r="AA12" s="20"/>
    </row>
    <row r="13" spans="1:29" s="41" customFormat="1" ht="24.95" customHeight="1">
      <c r="A13" s="14">
        <v>5</v>
      </c>
      <c r="B13" s="14" t="s">
        <v>223</v>
      </c>
      <c r="C13" s="14"/>
      <c r="D13" s="14" t="s">
        <v>224</v>
      </c>
      <c r="E13" s="14" t="s">
        <v>225</v>
      </c>
      <c r="F13" s="14" t="s">
        <v>207</v>
      </c>
      <c r="G13" s="14" t="s">
        <v>208</v>
      </c>
      <c r="H13" s="135">
        <v>30000</v>
      </c>
      <c r="I13" s="14">
        <v>2400</v>
      </c>
      <c r="J13" s="14">
        <v>1998</v>
      </c>
      <c r="K13" s="14" t="s">
        <v>209</v>
      </c>
      <c r="L13" s="14">
        <v>5</v>
      </c>
      <c r="M13" s="14" t="s">
        <v>209</v>
      </c>
      <c r="N13" s="14">
        <v>5</v>
      </c>
      <c r="O13" s="14" t="s">
        <v>226</v>
      </c>
      <c r="P13" s="14" t="s">
        <v>211</v>
      </c>
      <c r="Q13" s="14">
        <v>321000</v>
      </c>
      <c r="R13" s="14"/>
      <c r="S13" s="135">
        <v>64950</v>
      </c>
      <c r="T13" s="14" t="s">
        <v>208</v>
      </c>
      <c r="U13" s="135">
        <v>30000</v>
      </c>
      <c r="V13" s="138">
        <f>U13+S13</f>
        <v>94950</v>
      </c>
      <c r="W13" s="74" t="s">
        <v>414</v>
      </c>
      <c r="X13" s="74" t="s">
        <v>415</v>
      </c>
      <c r="Y13" s="74" t="s">
        <v>414</v>
      </c>
      <c r="Z13" s="74" t="s">
        <v>415</v>
      </c>
      <c r="AA13" s="20"/>
    </row>
    <row r="14" spans="1:29" s="41" customFormat="1" ht="60" customHeight="1">
      <c r="A14" s="14">
        <v>6</v>
      </c>
      <c r="B14" s="14" t="s">
        <v>471</v>
      </c>
      <c r="C14" s="14"/>
      <c r="D14" s="14" t="s">
        <v>469</v>
      </c>
      <c r="E14" s="14" t="s">
        <v>480</v>
      </c>
      <c r="F14" s="14" t="s">
        <v>468</v>
      </c>
      <c r="G14" s="14" t="s">
        <v>208</v>
      </c>
      <c r="H14" s="14"/>
      <c r="I14" s="14">
        <v>12740</v>
      </c>
      <c r="J14" s="14">
        <v>2011</v>
      </c>
      <c r="K14" s="14" t="s">
        <v>470</v>
      </c>
      <c r="L14" s="14">
        <v>6</v>
      </c>
      <c r="M14" s="14" t="s">
        <v>209</v>
      </c>
      <c r="N14" s="14"/>
      <c r="O14" s="14" t="s">
        <v>473</v>
      </c>
      <c r="P14" s="14" t="s">
        <v>211</v>
      </c>
      <c r="Q14" s="14"/>
      <c r="R14" s="14"/>
      <c r="S14" s="135">
        <v>769932</v>
      </c>
      <c r="T14" s="14" t="s">
        <v>208</v>
      </c>
      <c r="U14" s="14" t="s">
        <v>472</v>
      </c>
      <c r="V14" s="138">
        <f>S14</f>
        <v>769932</v>
      </c>
      <c r="W14" s="74" t="s">
        <v>474</v>
      </c>
      <c r="X14" s="74" t="s">
        <v>475</v>
      </c>
      <c r="Y14" s="74" t="s">
        <v>527</v>
      </c>
      <c r="Z14" s="74" t="s">
        <v>528</v>
      </c>
      <c r="AA14" s="20"/>
    </row>
    <row r="15" spans="1:29" s="41" customFormat="1" ht="18.75" customHeight="1">
      <c r="A15" s="223" t="s">
        <v>413</v>
      </c>
      <c r="B15" s="223"/>
      <c r="C15" s="223"/>
      <c r="D15" s="223"/>
      <c r="E15" s="223"/>
      <c r="F15" s="223"/>
      <c r="G15" s="223"/>
      <c r="H15" s="223"/>
      <c r="I15" s="223"/>
      <c r="J15" s="223"/>
      <c r="K15" s="223"/>
      <c r="L15" s="223"/>
      <c r="M15" s="223"/>
      <c r="N15" s="126"/>
      <c r="O15" s="127"/>
      <c r="P15" s="127"/>
      <c r="Q15" s="127"/>
      <c r="R15" s="127"/>
      <c r="S15" s="131"/>
      <c r="T15" s="127"/>
      <c r="U15" s="127"/>
      <c r="V15" s="127"/>
      <c r="W15" s="127"/>
      <c r="X15" s="127"/>
      <c r="Y15" s="127"/>
      <c r="Z15" s="127"/>
      <c r="AA15" s="127"/>
    </row>
    <row r="16" spans="1:29" s="41" customFormat="1" ht="18.75" customHeight="1">
      <c r="A16" s="14">
        <v>1</v>
      </c>
      <c r="B16" s="14" t="s">
        <v>384</v>
      </c>
      <c r="C16" s="14"/>
      <c r="D16" s="14" t="s">
        <v>385</v>
      </c>
      <c r="E16" s="14" t="s">
        <v>386</v>
      </c>
      <c r="F16" s="14" t="s">
        <v>387</v>
      </c>
      <c r="G16" s="14"/>
      <c r="H16" s="14"/>
      <c r="I16" s="14">
        <v>2498</v>
      </c>
      <c r="J16" s="14">
        <v>2001</v>
      </c>
      <c r="K16" s="14" t="s">
        <v>388</v>
      </c>
      <c r="L16" s="14">
        <v>8</v>
      </c>
      <c r="M16" s="14">
        <v>1130</v>
      </c>
      <c r="N16" s="14">
        <v>1</v>
      </c>
      <c r="O16" s="14"/>
      <c r="P16" s="14" t="s">
        <v>211</v>
      </c>
      <c r="Q16" s="14"/>
      <c r="R16" s="14"/>
      <c r="S16" s="138">
        <v>37800</v>
      </c>
      <c r="T16" s="60"/>
      <c r="U16" s="60"/>
      <c r="V16" s="138">
        <v>37800</v>
      </c>
      <c r="W16" s="74" t="s">
        <v>414</v>
      </c>
      <c r="X16" s="74" t="s">
        <v>415</v>
      </c>
      <c r="Y16" s="74" t="s">
        <v>414</v>
      </c>
      <c r="Z16" s="74" t="s">
        <v>415</v>
      </c>
      <c r="AA16" s="60"/>
    </row>
    <row r="17" spans="1:27" s="41" customFormat="1" ht="18.75" customHeight="1">
      <c r="A17" s="14">
        <v>2</v>
      </c>
      <c r="B17" s="14" t="s">
        <v>389</v>
      </c>
      <c r="C17" s="14"/>
      <c r="D17" s="14">
        <v>547349</v>
      </c>
      <c r="E17" s="14" t="s">
        <v>390</v>
      </c>
      <c r="F17" s="14" t="s">
        <v>391</v>
      </c>
      <c r="G17" s="14"/>
      <c r="H17" s="14"/>
      <c r="I17" s="14">
        <v>2502</v>
      </c>
      <c r="J17" s="14">
        <v>1985</v>
      </c>
      <c r="K17" s="14" t="s">
        <v>392</v>
      </c>
      <c r="L17" s="14">
        <v>1</v>
      </c>
      <c r="M17" s="14" t="s">
        <v>393</v>
      </c>
      <c r="N17" s="14">
        <v>2</v>
      </c>
      <c r="O17" s="14"/>
      <c r="P17" s="14" t="s">
        <v>211</v>
      </c>
      <c r="Q17" s="14"/>
      <c r="R17" s="14"/>
      <c r="S17" s="138">
        <v>2450</v>
      </c>
      <c r="T17" s="60"/>
      <c r="U17" s="60"/>
      <c r="V17" s="138">
        <v>2450</v>
      </c>
      <c r="W17" s="74" t="s">
        <v>414</v>
      </c>
      <c r="X17" s="74" t="s">
        <v>415</v>
      </c>
      <c r="Y17" s="74" t="s">
        <v>414</v>
      </c>
      <c r="Z17" s="74" t="s">
        <v>415</v>
      </c>
      <c r="AA17" s="60"/>
    </row>
    <row r="18" spans="1:27" s="41" customFormat="1" ht="18.75" customHeight="1">
      <c r="A18" s="14">
        <v>3</v>
      </c>
      <c r="B18" s="14" t="s">
        <v>389</v>
      </c>
      <c r="C18" s="14"/>
      <c r="D18" s="14">
        <v>77746</v>
      </c>
      <c r="E18" s="14" t="s">
        <v>394</v>
      </c>
      <c r="F18" s="14" t="s">
        <v>391</v>
      </c>
      <c r="G18" s="14"/>
      <c r="H18" s="14"/>
      <c r="I18" s="14">
        <v>2502</v>
      </c>
      <c r="J18" s="14">
        <v>1994</v>
      </c>
      <c r="K18" s="14" t="s">
        <v>395</v>
      </c>
      <c r="L18" s="14">
        <v>1</v>
      </c>
      <c r="M18" s="14" t="s">
        <v>393</v>
      </c>
      <c r="N18" s="14">
        <v>3</v>
      </c>
      <c r="O18" s="14"/>
      <c r="P18" s="14" t="s">
        <v>211</v>
      </c>
      <c r="Q18" s="14"/>
      <c r="R18" s="14"/>
      <c r="S18" s="138">
        <v>3400</v>
      </c>
      <c r="T18" s="60"/>
      <c r="U18" s="60"/>
      <c r="V18" s="138">
        <v>3400</v>
      </c>
      <c r="W18" s="74" t="s">
        <v>414</v>
      </c>
      <c r="X18" s="74" t="s">
        <v>415</v>
      </c>
      <c r="Y18" s="74" t="s">
        <v>414</v>
      </c>
      <c r="Z18" s="74" t="s">
        <v>415</v>
      </c>
      <c r="AA18" s="60"/>
    </row>
    <row r="19" spans="1:27" s="41" customFormat="1" ht="18.75" customHeight="1">
      <c r="A19" s="14">
        <v>4</v>
      </c>
      <c r="B19" s="14" t="s">
        <v>396</v>
      </c>
      <c r="C19" s="14"/>
      <c r="D19" s="14">
        <v>14</v>
      </c>
      <c r="E19" s="14" t="s">
        <v>397</v>
      </c>
      <c r="F19" s="14" t="s">
        <v>398</v>
      </c>
      <c r="G19" s="14"/>
      <c r="H19" s="14"/>
      <c r="I19" s="14"/>
      <c r="J19" s="14">
        <v>1993</v>
      </c>
      <c r="K19" s="14" t="s">
        <v>399</v>
      </c>
      <c r="L19" s="14"/>
      <c r="M19" s="14">
        <v>2.5</v>
      </c>
      <c r="N19" s="14">
        <v>4</v>
      </c>
      <c r="O19" s="14"/>
      <c r="P19" s="14" t="s">
        <v>211</v>
      </c>
      <c r="Q19" s="14"/>
      <c r="R19" s="14"/>
      <c r="S19" s="138"/>
      <c r="T19" s="60"/>
      <c r="U19" s="60"/>
      <c r="V19" s="138"/>
      <c r="W19" s="74" t="s">
        <v>414</v>
      </c>
      <c r="X19" s="74" t="s">
        <v>415</v>
      </c>
      <c r="Y19" s="74" t="s">
        <v>414</v>
      </c>
      <c r="Z19" s="74" t="s">
        <v>415</v>
      </c>
      <c r="AA19" s="60"/>
    </row>
    <row r="20" spans="1:27" s="41" customFormat="1" ht="18.75" customHeight="1">
      <c r="A20" s="14">
        <v>5</v>
      </c>
      <c r="B20" s="14" t="s">
        <v>400</v>
      </c>
      <c r="C20" s="14"/>
      <c r="D20" s="14">
        <v>14472</v>
      </c>
      <c r="E20" s="14" t="s">
        <v>467</v>
      </c>
      <c r="F20" s="14" t="s">
        <v>398</v>
      </c>
      <c r="G20" s="14"/>
      <c r="H20" s="14"/>
      <c r="I20" s="14"/>
      <c r="J20" s="14">
        <v>1973</v>
      </c>
      <c r="K20" s="14" t="s">
        <v>401</v>
      </c>
      <c r="L20" s="14"/>
      <c r="M20" s="14">
        <v>4</v>
      </c>
      <c r="N20" s="14">
        <v>5</v>
      </c>
      <c r="O20" s="14"/>
      <c r="P20" s="14" t="s">
        <v>211</v>
      </c>
      <c r="Q20" s="14"/>
      <c r="R20" s="14"/>
      <c r="S20" s="138"/>
      <c r="T20" s="60"/>
      <c r="U20" s="60"/>
      <c r="V20" s="138"/>
      <c r="W20" s="74" t="s">
        <v>414</v>
      </c>
      <c r="X20" s="74" t="s">
        <v>415</v>
      </c>
      <c r="Y20" s="74" t="s">
        <v>414</v>
      </c>
      <c r="Z20" s="74" t="s">
        <v>415</v>
      </c>
      <c r="AA20" s="60"/>
    </row>
    <row r="21" spans="1:27" s="41" customFormat="1" ht="18.75" customHeight="1">
      <c r="A21" s="14">
        <v>6</v>
      </c>
      <c r="B21" s="14" t="s">
        <v>400</v>
      </c>
      <c r="C21" s="14"/>
      <c r="D21" s="14">
        <v>840085</v>
      </c>
      <c r="E21" s="14" t="s">
        <v>466</v>
      </c>
      <c r="F21" s="14" t="s">
        <v>398</v>
      </c>
      <c r="G21" s="14"/>
      <c r="H21" s="14"/>
      <c r="I21" s="14"/>
      <c r="J21" s="14">
        <v>1994</v>
      </c>
      <c r="K21" s="14" t="s">
        <v>402</v>
      </c>
      <c r="L21" s="14"/>
      <c r="M21" s="14">
        <v>4</v>
      </c>
      <c r="N21" s="14">
        <v>6</v>
      </c>
      <c r="O21" s="14"/>
      <c r="P21" s="14" t="s">
        <v>211</v>
      </c>
      <c r="Q21" s="14"/>
      <c r="R21" s="14"/>
      <c r="S21" s="138"/>
      <c r="T21" s="60"/>
      <c r="U21" s="60"/>
      <c r="V21" s="138"/>
      <c r="W21" s="74" t="s">
        <v>414</v>
      </c>
      <c r="X21" s="74" t="s">
        <v>415</v>
      </c>
      <c r="Y21" s="74" t="s">
        <v>414</v>
      </c>
      <c r="Z21" s="74" t="s">
        <v>415</v>
      </c>
      <c r="AA21" s="60"/>
    </row>
    <row r="22" spans="1:27" s="41" customFormat="1" ht="18.75" customHeight="1">
      <c r="A22" s="14">
        <v>7</v>
      </c>
      <c r="B22" s="14" t="s">
        <v>403</v>
      </c>
      <c r="C22" s="14"/>
      <c r="D22" s="14" t="s">
        <v>404</v>
      </c>
      <c r="E22" s="14" t="s">
        <v>405</v>
      </c>
      <c r="F22" s="14" t="s">
        <v>398</v>
      </c>
      <c r="G22" s="14"/>
      <c r="H22" s="14"/>
      <c r="I22" s="14"/>
      <c r="J22" s="14">
        <v>1996</v>
      </c>
      <c r="K22" s="14" t="s">
        <v>406</v>
      </c>
      <c r="L22" s="14"/>
      <c r="M22" s="14">
        <v>1</v>
      </c>
      <c r="N22" s="14">
        <v>7</v>
      </c>
      <c r="O22" s="14"/>
      <c r="P22" s="14" t="s">
        <v>211</v>
      </c>
      <c r="Q22" s="14"/>
      <c r="R22" s="14"/>
      <c r="S22" s="138"/>
      <c r="T22" s="60"/>
      <c r="U22" s="60"/>
      <c r="V22" s="138"/>
      <c r="W22" s="74" t="s">
        <v>414</v>
      </c>
      <c r="X22" s="74" t="s">
        <v>415</v>
      </c>
      <c r="Y22" s="74" t="s">
        <v>414</v>
      </c>
      <c r="Z22" s="74" t="s">
        <v>415</v>
      </c>
      <c r="AA22" s="60"/>
    </row>
    <row r="23" spans="1:27" s="41" customFormat="1" ht="18.75" customHeight="1">
      <c r="A23" s="14">
        <v>8</v>
      </c>
      <c r="B23" s="14" t="s">
        <v>407</v>
      </c>
      <c r="C23" s="14"/>
      <c r="D23" s="14" t="s">
        <v>408</v>
      </c>
      <c r="E23" s="14" t="s">
        <v>409</v>
      </c>
      <c r="F23" s="14" t="s">
        <v>387</v>
      </c>
      <c r="G23" s="14"/>
      <c r="H23" s="14"/>
      <c r="I23" s="14">
        <v>2198</v>
      </c>
      <c r="J23" s="14">
        <v>1998</v>
      </c>
      <c r="K23" s="14" t="s">
        <v>410</v>
      </c>
      <c r="L23" s="14">
        <v>3</v>
      </c>
      <c r="M23" s="14" t="s">
        <v>411</v>
      </c>
      <c r="N23" s="14">
        <v>8</v>
      </c>
      <c r="O23" s="14"/>
      <c r="P23" s="14" t="s">
        <v>211</v>
      </c>
      <c r="Q23" s="14"/>
      <c r="R23" s="14"/>
      <c r="S23" s="138">
        <v>19000</v>
      </c>
      <c r="T23" s="60"/>
      <c r="U23" s="60"/>
      <c r="V23" s="138">
        <v>19000</v>
      </c>
      <c r="W23" s="74" t="s">
        <v>414</v>
      </c>
      <c r="X23" s="74" t="s">
        <v>415</v>
      </c>
      <c r="Y23" s="74" t="s">
        <v>414</v>
      </c>
      <c r="Z23" s="74" t="s">
        <v>415</v>
      </c>
      <c r="AA23" s="60"/>
    </row>
    <row r="24" spans="1:27">
      <c r="A24" s="28"/>
      <c r="B24" s="28"/>
      <c r="C24" s="28"/>
      <c r="D24" s="28"/>
      <c r="E24" s="28"/>
    </row>
    <row r="26" spans="1:27">
      <c r="C26" s="29"/>
    </row>
    <row r="27" spans="1:27">
      <c r="C27"/>
    </row>
    <row r="28" spans="1:27">
      <c r="C28" s="29"/>
    </row>
    <row r="29" spans="1:27">
      <c r="C29"/>
    </row>
    <row r="30" spans="1:27">
      <c r="C30" s="29"/>
    </row>
    <row r="31" spans="1:27">
      <c r="C31"/>
    </row>
    <row r="32" spans="1:27">
      <c r="C32" s="29"/>
    </row>
    <row r="33" spans="3:3">
      <c r="C33"/>
    </row>
    <row r="34" spans="3:3">
      <c r="C34" s="29"/>
    </row>
    <row r="35" spans="3:3">
      <c r="C35"/>
    </row>
    <row r="36" spans="3:3">
      <c r="C36" s="29"/>
    </row>
    <row r="37" spans="3:3">
      <c r="C37"/>
    </row>
    <row r="38" spans="3:3">
      <c r="C38" s="29"/>
    </row>
    <row r="39" spans="3:3">
      <c r="C39"/>
    </row>
    <row r="40" spans="3:3">
      <c r="C40" s="29"/>
    </row>
    <row r="41" spans="3:3">
      <c r="C41"/>
    </row>
    <row r="42" spans="3:3">
      <c r="C42" s="29"/>
    </row>
    <row r="43" spans="3:3">
      <c r="C43"/>
    </row>
    <row r="44" spans="3:3">
      <c r="C44" s="29"/>
    </row>
    <row r="45" spans="3:3">
      <c r="C45"/>
    </row>
    <row r="46" spans="3:3">
      <c r="C46" s="29"/>
    </row>
    <row r="47" spans="3:3">
      <c r="C47"/>
    </row>
    <row r="48" spans="3:3">
      <c r="C48" s="29"/>
    </row>
    <row r="49" spans="3:3">
      <c r="C49"/>
    </row>
    <row r="50" spans="3:3">
      <c r="C50" s="29"/>
    </row>
    <row r="51" spans="3:3">
      <c r="C51"/>
    </row>
    <row r="52" spans="3:3">
      <c r="C52"/>
    </row>
  </sheetData>
  <mergeCells count="29">
    <mergeCell ref="Y5:Z6"/>
    <mergeCell ref="W5:X6"/>
    <mergeCell ref="V5:V7"/>
    <mergeCell ref="Q5:Q7"/>
    <mergeCell ref="J5:J7"/>
    <mergeCell ref="P5:P7"/>
    <mergeCell ref="L5:L7"/>
    <mergeCell ref="O5:O7"/>
    <mergeCell ref="K5:K7"/>
    <mergeCell ref="A1:E1"/>
    <mergeCell ref="Z3:AA3"/>
    <mergeCell ref="A4:M4"/>
    <mergeCell ref="N4:AA4"/>
    <mergeCell ref="AA5:AA7"/>
    <mergeCell ref="R5:R7"/>
    <mergeCell ref="G5:H6"/>
    <mergeCell ref="M5:M7"/>
    <mergeCell ref="I5:I7"/>
    <mergeCell ref="N5:N7"/>
    <mergeCell ref="T5:U6"/>
    <mergeCell ref="A15:M15"/>
    <mergeCell ref="A8:M8"/>
    <mergeCell ref="F5:F7"/>
    <mergeCell ref="B5:B7"/>
    <mergeCell ref="C5:C7"/>
    <mergeCell ref="D5:D7"/>
    <mergeCell ref="A5:A7"/>
    <mergeCell ref="E5:E7"/>
    <mergeCell ref="S5:S7"/>
  </mergeCells>
  <phoneticPr fontId="10" type="noConversion"/>
  <pageMargins left="0.75" right="0.75" top="1" bottom="1" header="0.5" footer="0.5"/>
  <pageSetup paperSize="9" scale="63" orientation="landscape" r:id="rId1"/>
  <headerFooter alignWithMargins="0"/>
  <colBreaks count="1" manualBreakCount="1">
    <brk id="13" max="31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selection activeCell="C10" sqref="C10"/>
    </sheetView>
  </sheetViews>
  <sheetFormatPr defaultRowHeight="12.75"/>
  <cols>
    <col min="1" max="1" width="16.140625" style="41" customWidth="1"/>
    <col min="2" max="2" width="28.42578125" style="2" customWidth="1"/>
    <col min="3" max="3" width="33.140625" style="41" customWidth="1"/>
    <col min="4" max="4" width="10.85546875" style="41" customWidth="1"/>
    <col min="5" max="16384" width="9.140625" style="41"/>
  </cols>
  <sheetData>
    <row r="1" spans="1:8" ht="13.5" thickBot="1">
      <c r="D1" s="42" t="s">
        <v>21</v>
      </c>
    </row>
    <row r="2" spans="1:8" ht="18.75" customHeight="1" thickBot="1">
      <c r="A2" s="259" t="s">
        <v>241</v>
      </c>
      <c r="B2" s="260"/>
      <c r="C2" s="261"/>
      <c r="D2" s="43"/>
      <c r="E2" s="43"/>
      <c r="F2" s="43"/>
      <c r="G2" s="43"/>
      <c r="H2" s="43"/>
    </row>
    <row r="3" spans="1:8" ht="18" customHeight="1">
      <c r="B3" s="4"/>
      <c r="C3" s="43"/>
      <c r="D3" s="43"/>
      <c r="E3" s="43"/>
      <c r="F3" s="43"/>
      <c r="G3" s="43"/>
      <c r="H3" s="43"/>
    </row>
    <row r="4" spans="1:8" ht="24" customHeight="1">
      <c r="A4" s="262" t="s">
        <v>57</v>
      </c>
      <c r="B4" s="263"/>
      <c r="C4" s="264"/>
      <c r="D4" s="44"/>
      <c r="E4" s="43"/>
      <c r="F4" s="43"/>
      <c r="G4" s="43"/>
      <c r="H4" s="43"/>
    </row>
    <row r="5" spans="1:8" ht="24" customHeight="1">
      <c r="A5" s="265" t="s">
        <v>432</v>
      </c>
      <c r="B5" s="266"/>
      <c r="C5" s="267"/>
      <c r="D5" s="44"/>
      <c r="E5" s="43"/>
      <c r="F5" s="43"/>
      <c r="G5" s="43"/>
      <c r="H5" s="43"/>
    </row>
    <row r="6" spans="1:8" ht="24" customHeight="1">
      <c r="A6" s="112" t="s">
        <v>433</v>
      </c>
      <c r="B6" s="112" t="s">
        <v>435</v>
      </c>
      <c r="C6" s="112" t="s">
        <v>436</v>
      </c>
      <c r="D6" s="137"/>
      <c r="E6" s="43"/>
      <c r="F6" s="43"/>
      <c r="G6" s="43"/>
      <c r="H6" s="43"/>
    </row>
    <row r="7" spans="1:8" ht="24" customHeight="1">
      <c r="A7" s="20">
        <v>1</v>
      </c>
      <c r="B7" s="14" t="s">
        <v>431</v>
      </c>
      <c r="C7" s="191">
        <v>2300</v>
      </c>
      <c r="D7" s="137"/>
      <c r="E7" s="43"/>
      <c r="F7" s="43"/>
      <c r="G7" s="43"/>
      <c r="H7" s="43"/>
    </row>
    <row r="8" spans="1:8" ht="24" customHeight="1">
      <c r="A8" s="20">
        <v>1</v>
      </c>
      <c r="B8" s="14" t="s">
        <v>431</v>
      </c>
      <c r="C8" s="191">
        <v>1454.43</v>
      </c>
      <c r="D8" s="137"/>
      <c r="E8" s="43"/>
      <c r="F8" s="43"/>
      <c r="G8" s="43"/>
      <c r="H8" s="43"/>
    </row>
    <row r="9" spans="1:8" ht="33.75" customHeight="1">
      <c r="A9" s="20">
        <v>2</v>
      </c>
      <c r="B9" s="14" t="s">
        <v>482</v>
      </c>
      <c r="C9" s="191">
        <v>10000</v>
      </c>
      <c r="D9" s="137"/>
      <c r="E9" s="43"/>
      <c r="F9" s="43"/>
      <c r="G9" s="43"/>
      <c r="H9" s="43"/>
    </row>
    <row r="10" spans="1:8" ht="36.75" customHeight="1">
      <c r="A10" s="20">
        <v>2</v>
      </c>
      <c r="B10" s="14" t="s">
        <v>483</v>
      </c>
      <c r="C10" s="191">
        <v>2899.23</v>
      </c>
      <c r="D10" s="137"/>
      <c r="E10" s="43"/>
      <c r="F10" s="43"/>
      <c r="G10" s="43"/>
      <c r="H10" s="43"/>
    </row>
    <row r="11" spans="1:8" ht="24" customHeight="1" thickBot="1">
      <c r="A11" s="192">
        <v>1</v>
      </c>
      <c r="B11" s="193" t="s">
        <v>434</v>
      </c>
      <c r="C11" s="194">
        <v>320.35000000000002</v>
      </c>
      <c r="D11" s="137"/>
      <c r="E11" s="43"/>
      <c r="F11" s="43"/>
      <c r="G11" s="43"/>
      <c r="H11" s="43"/>
    </row>
    <row r="12" spans="1:8" ht="25.5" customHeight="1" thickBot="1">
      <c r="A12" s="188">
        <f>SUM(A7:A11)</f>
        <v>7</v>
      </c>
      <c r="B12" s="189" t="s">
        <v>11</v>
      </c>
      <c r="C12" s="190">
        <f>SUM(C7:C11)</f>
        <v>16974.009999999998</v>
      </c>
      <c r="D12" s="43"/>
      <c r="E12" s="43"/>
      <c r="F12" s="43"/>
      <c r="G12" s="43"/>
      <c r="H12" s="43"/>
    </row>
  </sheetData>
  <mergeCells count="3">
    <mergeCell ref="A2:C2"/>
    <mergeCell ref="A4:C4"/>
    <mergeCell ref="A5:C5"/>
  </mergeCells>
  <phoneticPr fontId="10" type="noConversion"/>
  <pageMargins left="0.75" right="0.75" top="1" bottom="1" header="0.5" footer="0.5"/>
  <pageSetup paperSize="9" scale="7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view="pageBreakPreview" zoomScale="60" workbookViewId="0">
      <selection activeCell="G1" sqref="G1"/>
    </sheetView>
  </sheetViews>
  <sheetFormatPr defaultRowHeight="12.75"/>
  <cols>
    <col min="1" max="1" width="4.28515625" bestFit="1" customWidth="1"/>
    <col min="2" max="2" width="37.140625" style="82" bestFit="1" customWidth="1"/>
    <col min="3" max="3" width="20.42578125" style="82" customWidth="1"/>
    <col min="4" max="4" width="30" style="77" customWidth="1"/>
    <col min="5" max="5" width="23.42578125" style="77" customWidth="1"/>
    <col min="6" max="6" width="14.5703125" style="82" bestFit="1" customWidth="1"/>
    <col min="7" max="7" width="14.140625" customWidth="1"/>
  </cols>
  <sheetData>
    <row r="1" spans="1:7" ht="21" thickBot="1">
      <c r="B1" s="81" t="s">
        <v>241</v>
      </c>
      <c r="G1" s="83" t="s">
        <v>56</v>
      </c>
    </row>
    <row r="2" spans="1:7">
      <c r="D2" s="84"/>
    </row>
    <row r="3" spans="1:7">
      <c r="A3" s="69"/>
      <c r="B3" s="85"/>
      <c r="C3" s="85"/>
      <c r="D3" s="86"/>
      <c r="E3" s="86"/>
    </row>
    <row r="4" spans="1:7">
      <c r="A4" s="69"/>
      <c r="B4" s="85"/>
      <c r="C4" s="85"/>
      <c r="D4" s="86"/>
      <c r="E4" s="86"/>
      <c r="F4" s="85"/>
    </row>
    <row r="5" spans="1:7" ht="31.5">
      <c r="A5" s="70" t="s">
        <v>228</v>
      </c>
      <c r="B5" s="87" t="s">
        <v>12</v>
      </c>
      <c r="C5" s="87" t="s">
        <v>234</v>
      </c>
      <c r="D5" s="87" t="s">
        <v>58</v>
      </c>
      <c r="E5" s="87" t="s">
        <v>59</v>
      </c>
      <c r="F5" s="71" t="s">
        <v>229</v>
      </c>
      <c r="G5" s="94" t="s">
        <v>246</v>
      </c>
    </row>
    <row r="6" spans="1:7" s="72" customFormat="1" ht="38.25">
      <c r="A6" s="73">
        <v>1</v>
      </c>
      <c r="B6" s="88" t="s">
        <v>236</v>
      </c>
      <c r="C6" s="90" t="s">
        <v>235</v>
      </c>
      <c r="D6" s="14" t="s">
        <v>232</v>
      </c>
      <c r="E6" s="89" t="s">
        <v>233</v>
      </c>
      <c r="F6" s="74">
        <v>31</v>
      </c>
      <c r="G6" s="95" t="s">
        <v>75</v>
      </c>
    </row>
    <row r="7" spans="1:7" ht="25.5">
      <c r="A7" s="73">
        <v>2</v>
      </c>
      <c r="B7" s="76" t="s">
        <v>114</v>
      </c>
      <c r="C7" s="14" t="s">
        <v>93</v>
      </c>
      <c r="D7" s="14" t="s">
        <v>237</v>
      </c>
      <c r="E7" s="14">
        <v>510458916</v>
      </c>
      <c r="F7" s="14">
        <v>19</v>
      </c>
      <c r="G7" s="95" t="s">
        <v>75</v>
      </c>
    </row>
    <row r="8" spans="1:7" ht="25.5">
      <c r="A8" s="75">
        <v>3</v>
      </c>
      <c r="B8" s="76" t="s">
        <v>71</v>
      </c>
      <c r="C8" s="91"/>
      <c r="D8" s="14" t="s">
        <v>230</v>
      </c>
      <c r="E8" s="14" t="s">
        <v>231</v>
      </c>
      <c r="F8" s="14">
        <v>63</v>
      </c>
      <c r="G8" s="95" t="s">
        <v>75</v>
      </c>
    </row>
    <row r="9" spans="1:7" ht="25.5">
      <c r="A9" s="75">
        <v>4</v>
      </c>
      <c r="B9" s="92" t="s">
        <v>203</v>
      </c>
      <c r="C9" s="93" t="s">
        <v>240</v>
      </c>
      <c r="D9" s="14" t="s">
        <v>238</v>
      </c>
      <c r="E9" s="74" t="s">
        <v>239</v>
      </c>
      <c r="F9" s="93">
        <v>35</v>
      </c>
      <c r="G9" s="95" t="s">
        <v>75</v>
      </c>
    </row>
    <row r="10" spans="1:7" ht="25.5">
      <c r="A10" s="75">
        <v>5</v>
      </c>
      <c r="B10" s="88" t="s">
        <v>273</v>
      </c>
      <c r="C10" s="11" t="s">
        <v>424</v>
      </c>
      <c r="D10" s="14" t="s">
        <v>274</v>
      </c>
      <c r="E10" s="89">
        <v>1328197</v>
      </c>
      <c r="F10" s="74">
        <v>17</v>
      </c>
      <c r="G10" s="95" t="s">
        <v>75</v>
      </c>
    </row>
    <row r="11" spans="1:7" ht="25.5">
      <c r="A11" s="75">
        <v>6</v>
      </c>
      <c r="B11" s="88" t="s">
        <v>298</v>
      </c>
      <c r="C11" s="90" t="s">
        <v>240</v>
      </c>
      <c r="D11" s="14" t="s">
        <v>336</v>
      </c>
      <c r="E11" s="89">
        <v>4450190</v>
      </c>
      <c r="F11" s="74">
        <v>30</v>
      </c>
      <c r="G11" s="95" t="s">
        <v>75</v>
      </c>
    </row>
    <row r="12" spans="1:7" ht="25.5">
      <c r="A12" s="75">
        <v>7</v>
      </c>
      <c r="B12" s="88" t="s">
        <v>341</v>
      </c>
      <c r="C12" s="90" t="s">
        <v>338</v>
      </c>
      <c r="D12" s="14">
        <v>7441795883</v>
      </c>
      <c r="E12" s="89" t="s">
        <v>337</v>
      </c>
      <c r="F12" s="74">
        <v>35</v>
      </c>
      <c r="G12" s="95" t="s">
        <v>75</v>
      </c>
    </row>
    <row r="13" spans="1:7" ht="25.5">
      <c r="A13" s="75">
        <v>8</v>
      </c>
      <c r="B13" s="62" t="s">
        <v>418</v>
      </c>
      <c r="C13" s="90" t="s">
        <v>425</v>
      </c>
      <c r="D13" s="14" t="s">
        <v>422</v>
      </c>
      <c r="E13" s="89">
        <v>510255640</v>
      </c>
      <c r="F13" s="74">
        <v>24</v>
      </c>
      <c r="G13" s="95" t="s">
        <v>75</v>
      </c>
    </row>
    <row r="14" spans="1:7" ht="25.5">
      <c r="A14" s="75">
        <v>9</v>
      </c>
      <c r="B14" s="62" t="s">
        <v>419</v>
      </c>
      <c r="C14" s="90" t="s">
        <v>425</v>
      </c>
      <c r="D14" s="14" t="s">
        <v>423</v>
      </c>
      <c r="E14" s="89">
        <v>519626769</v>
      </c>
      <c r="F14" s="74">
        <v>2</v>
      </c>
      <c r="G14" s="95" t="s">
        <v>75</v>
      </c>
    </row>
    <row r="15" spans="1:7" ht="25.5">
      <c r="A15" s="75">
        <v>10</v>
      </c>
      <c r="B15" s="107" t="s">
        <v>437</v>
      </c>
      <c r="C15" s="90" t="s">
        <v>445</v>
      </c>
      <c r="D15" s="14" t="s">
        <v>465</v>
      </c>
      <c r="E15" s="89">
        <v>510884783</v>
      </c>
      <c r="F15" s="74">
        <v>48</v>
      </c>
      <c r="G15" s="95" t="s">
        <v>75</v>
      </c>
    </row>
  </sheetData>
  <phoneticPr fontId="50" type="noConversion"/>
  <pageMargins left="0.75" right="0.75" top="1" bottom="1" header="0.5" footer="0.5"/>
  <pageSetup paperSize="9" scale="6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view="pageBreakPreview" topLeftCell="A3" zoomScale="60" workbookViewId="0">
      <selection activeCell="F16" sqref="F16"/>
    </sheetView>
  </sheetViews>
  <sheetFormatPr defaultRowHeight="12.75"/>
  <cols>
    <col min="1" max="1" width="3.5703125" bestFit="1" customWidth="1"/>
    <col min="2" max="2" width="54.140625" customWidth="1"/>
    <col min="3" max="3" width="37.5703125" customWidth="1"/>
  </cols>
  <sheetData>
    <row r="1" spans="1:4" ht="13.5" thickBot="1">
      <c r="C1" s="30" t="s">
        <v>242</v>
      </c>
    </row>
    <row r="2" spans="1:4" ht="21" thickBot="1">
      <c r="A2" s="19"/>
      <c r="B2" s="5" t="s">
        <v>241</v>
      </c>
      <c r="C2" s="31"/>
      <c r="D2" s="32"/>
    </row>
    <row r="3" spans="1:4">
      <c r="C3" s="187" t="s">
        <v>60</v>
      </c>
    </row>
    <row r="4" spans="1:4" ht="79.5" customHeight="1">
      <c r="A4" s="268" t="s">
        <v>50</v>
      </c>
      <c r="B4" s="268"/>
      <c r="C4" s="268"/>
      <c r="D4" s="34"/>
    </row>
    <row r="5" spans="1:4" ht="9" customHeight="1">
      <c r="A5" s="33"/>
      <c r="B5" s="33"/>
      <c r="C5" s="33"/>
      <c r="D5" s="34"/>
    </row>
    <row r="6" spans="1:4" ht="48.75" customHeight="1">
      <c r="A6" s="269" t="s">
        <v>46</v>
      </c>
      <c r="B6" s="270"/>
      <c r="C6" s="270"/>
      <c r="D6" s="35"/>
    </row>
    <row r="8" spans="1:4" ht="30.75" customHeight="1">
      <c r="A8" s="36" t="s">
        <v>23</v>
      </c>
      <c r="B8" s="36" t="s">
        <v>47</v>
      </c>
      <c r="C8" s="37" t="s">
        <v>48</v>
      </c>
    </row>
    <row r="9" spans="1:4" ht="18" customHeight="1">
      <c r="A9" s="115"/>
      <c r="B9" s="113" t="s">
        <v>341</v>
      </c>
      <c r="C9" s="114"/>
    </row>
    <row r="10" spans="1:4" ht="18" customHeight="1">
      <c r="A10" s="38"/>
      <c r="B10" s="39" t="s">
        <v>340</v>
      </c>
      <c r="C10" s="40" t="s">
        <v>339</v>
      </c>
    </row>
  </sheetData>
  <mergeCells count="2">
    <mergeCell ref="A4:C4"/>
    <mergeCell ref="A6:C6"/>
  </mergeCells>
  <phoneticPr fontId="10" type="noConversion"/>
  <pageMargins left="0.75" right="0.75" top="1" bottom="1" header="0.5" footer="0.5"/>
  <pageSetup paperSize="9"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Zakresy nazwane</vt:lpstr>
      </vt:variant>
      <vt:variant>
        <vt:i4>5</vt:i4>
      </vt:variant>
    </vt:vector>
  </HeadingPairs>
  <TitlesOfParts>
    <vt:vector size="12" baseType="lpstr">
      <vt:lpstr>budynki</vt:lpstr>
      <vt:lpstr>elektronika</vt:lpstr>
      <vt:lpstr>śr. trwałe</vt:lpstr>
      <vt:lpstr>pojazdy</vt:lpstr>
      <vt:lpstr>szkody</vt:lpstr>
      <vt:lpstr>Informacje Ogólne</vt:lpstr>
      <vt:lpstr>lokalizacje</vt:lpstr>
      <vt:lpstr>budynki!Obszar_wydruku</vt:lpstr>
      <vt:lpstr>elektronika!Obszar_wydruku</vt:lpstr>
      <vt:lpstr>lokalizacje!Obszar_wydruku</vt:lpstr>
      <vt:lpstr>pojazdy!Obszar_wydruku</vt:lpstr>
      <vt:lpstr>'śr. trwałe'!Obszar_wydruku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</dc:creator>
  <cp:lastModifiedBy> </cp:lastModifiedBy>
  <cp:lastPrinted>2011-07-05T07:03:26Z</cp:lastPrinted>
  <dcterms:created xsi:type="dcterms:W3CDTF">2003-03-13T10:23:20Z</dcterms:created>
  <dcterms:modified xsi:type="dcterms:W3CDTF">2011-09-13T13:02:01Z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412511E1">
    <vt:lpwstr/>
  </property>
  <property fmtid="{D5CDD505-2E9C-101B-9397-08002B2CF9AE}" pid="3" name="IVID145012D5">
    <vt:lpwstr/>
  </property>
  <property fmtid="{D5CDD505-2E9C-101B-9397-08002B2CF9AE}" pid="4" name="IVID3A371DE6">
    <vt:lpwstr/>
  </property>
  <property fmtid="{D5CDD505-2E9C-101B-9397-08002B2CF9AE}" pid="5" name="IVID305908F7">
    <vt:lpwstr/>
  </property>
  <property fmtid="{D5CDD505-2E9C-101B-9397-08002B2CF9AE}" pid="6" name="IVIDEC1DB65A">
    <vt:lpwstr/>
  </property>
  <property fmtid="{D5CDD505-2E9C-101B-9397-08002B2CF9AE}" pid="7" name="IVID146313F2">
    <vt:lpwstr/>
  </property>
  <property fmtid="{D5CDD505-2E9C-101B-9397-08002B2CF9AE}" pid="8" name="IVID247C1308">
    <vt:lpwstr/>
  </property>
  <property fmtid="{D5CDD505-2E9C-101B-9397-08002B2CF9AE}" pid="9" name="IVID7D00119">
    <vt:lpwstr/>
  </property>
  <property fmtid="{D5CDD505-2E9C-101B-9397-08002B2CF9AE}" pid="10" name="IVID124B15E0">
    <vt:lpwstr/>
  </property>
  <property fmtid="{D5CDD505-2E9C-101B-9397-08002B2CF9AE}" pid="11" name="IVID343010DD">
    <vt:lpwstr/>
  </property>
  <property fmtid="{D5CDD505-2E9C-101B-9397-08002B2CF9AE}" pid="12" name="IVID55213FF">
    <vt:lpwstr/>
  </property>
  <property fmtid="{D5CDD505-2E9C-101B-9397-08002B2CF9AE}" pid="13" name="IVID372F19E9">
    <vt:lpwstr/>
  </property>
  <property fmtid="{D5CDD505-2E9C-101B-9397-08002B2CF9AE}" pid="14" name="IVIDBC9AED84">
    <vt:lpwstr/>
  </property>
  <property fmtid="{D5CDD505-2E9C-101B-9397-08002B2CF9AE}" pid="15" name="IVID363218D8">
    <vt:lpwstr/>
  </property>
  <property fmtid="{D5CDD505-2E9C-101B-9397-08002B2CF9AE}" pid="16" name="IVID17FE2478">
    <vt:lpwstr/>
  </property>
  <property fmtid="{D5CDD505-2E9C-101B-9397-08002B2CF9AE}" pid="17" name="IVID1C76DEB5">
    <vt:lpwstr/>
  </property>
  <property fmtid="{D5CDD505-2E9C-101B-9397-08002B2CF9AE}" pid="18" name="IVIDC661EF3">
    <vt:lpwstr/>
  </property>
  <property fmtid="{D5CDD505-2E9C-101B-9397-08002B2CF9AE}" pid="19" name="IVID32571C01">
    <vt:lpwstr/>
  </property>
  <property fmtid="{D5CDD505-2E9C-101B-9397-08002B2CF9AE}" pid="20" name="IVID1D391309">
    <vt:lpwstr/>
  </property>
  <property fmtid="{D5CDD505-2E9C-101B-9397-08002B2CF9AE}" pid="21" name="IVIDE5F12D2">
    <vt:lpwstr/>
  </property>
  <property fmtid="{D5CDD505-2E9C-101B-9397-08002B2CF9AE}" pid="22" name="IVID274D12D5">
    <vt:lpwstr/>
  </property>
  <property fmtid="{D5CDD505-2E9C-101B-9397-08002B2CF9AE}" pid="23" name="IVID191F0CF2">
    <vt:lpwstr/>
  </property>
  <property fmtid="{D5CDD505-2E9C-101B-9397-08002B2CF9AE}" pid="24" name="IVID202E14EF">
    <vt:lpwstr/>
  </property>
  <property fmtid="{D5CDD505-2E9C-101B-9397-08002B2CF9AE}" pid="25" name="IVID847BBDC9">
    <vt:lpwstr/>
  </property>
  <property fmtid="{D5CDD505-2E9C-101B-9397-08002B2CF9AE}" pid="26" name="IVID2B251201">
    <vt:lpwstr/>
  </property>
</Properties>
</file>