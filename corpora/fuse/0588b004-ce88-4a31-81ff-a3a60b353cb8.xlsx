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3480" yWindow="24" windowWidth="17004" windowHeight="10896" tabRatio="500"/>
  </bookViews>
  <sheets>
    <sheet name="ME Curriculum" sheetId="1" r:id="rId1"/>
    <sheet name="Flowchart" sheetId="8" r:id="rId2"/>
    <sheet name="General Education" sheetId="9" r:id="rId3"/>
    <sheet name="ABET Summary" sheetId="10" r:id="rId4"/>
  </sheets>
  <externalReferences>
    <externalReference r:id="rId5"/>
  </externalReferences>
  <definedNames>
    <definedName name="_ftn1" localSheetId="0">'ME Curriculum'!$N$43</definedName>
    <definedName name="_ftnref1" localSheetId="0">'ME Curriculum'!#REF!</definedName>
    <definedName name="flow_chart_print">Flowchart!$A$1:$P$32</definedName>
    <definedName name="_xlnm.Print_Area" localSheetId="1">Flowchart!$A$1:$P$32</definedName>
    <definedName name="_xlnm.Print_Area" localSheetId="2">'General Education'!$A$2:$L$40</definedName>
    <definedName name="_xlnm.Print_Area" localSheetId="0">'ME Curriculum'!$A$1:$L$64</definedName>
    <definedName name="_xlnm.Print_Area">#N/A</definedName>
    <definedName name="Table_5_1_Curriculum">#REF!</definedName>
    <definedName name="Workloads">#REF!</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I78" i="10" l="1"/>
  <c r="I79" i="10"/>
  <c r="I81" i="10"/>
  <c r="I85" i="10"/>
  <c r="I86" i="10"/>
  <c r="I45" i="10"/>
  <c r="I87" i="10"/>
  <c r="I88" i="10"/>
  <c r="I89" i="10"/>
  <c r="I90" i="10"/>
  <c r="I44" i="10"/>
  <c r="I51" i="10"/>
  <c r="I91" i="10"/>
  <c r="I94" i="10"/>
  <c r="H45" i="10"/>
  <c r="H87" i="10"/>
  <c r="H78" i="10"/>
  <c r="H79" i="10"/>
  <c r="H81" i="10"/>
  <c r="H85" i="10"/>
  <c r="H86" i="10"/>
  <c r="H88" i="10"/>
  <c r="H89" i="10"/>
  <c r="H90" i="10"/>
  <c r="H94" i="10"/>
  <c r="I59" i="10"/>
  <c r="I60" i="10"/>
  <c r="I61" i="10"/>
  <c r="I62" i="10"/>
  <c r="I63" i="10"/>
  <c r="I64" i="10"/>
  <c r="I65" i="10"/>
  <c r="I66" i="10"/>
  <c r="I67" i="10"/>
  <c r="I68" i="10"/>
  <c r="I69" i="10"/>
  <c r="I70" i="10"/>
  <c r="I71" i="10"/>
  <c r="I72" i="10"/>
  <c r="I73" i="10"/>
  <c r="I74" i="10"/>
  <c r="I75" i="10"/>
  <c r="H59" i="10"/>
  <c r="H60" i="10"/>
  <c r="H61" i="10"/>
  <c r="H62" i="10"/>
  <c r="H63" i="10"/>
  <c r="H64" i="10"/>
  <c r="H65" i="10"/>
  <c r="H66" i="10"/>
  <c r="H67" i="10"/>
  <c r="H68" i="10"/>
  <c r="H69" i="10"/>
  <c r="H70" i="10"/>
  <c r="H71" i="10"/>
  <c r="H72" i="10"/>
  <c r="H73" i="10"/>
  <c r="H74" i="10"/>
  <c r="H75" i="10"/>
  <c r="J74" i="10"/>
  <c r="G74" i="10"/>
  <c r="J102" i="10"/>
  <c r="H102" i="10"/>
  <c r="H101" i="10"/>
  <c r="H100" i="10"/>
  <c r="I50" i="10"/>
  <c r="I53" i="10"/>
  <c r="I52" i="10"/>
  <c r="I48" i="10"/>
  <c r="I47" i="10"/>
  <c r="I46" i="10"/>
  <c r="J90" i="10"/>
  <c r="G90" i="10"/>
  <c r="J78" i="10"/>
  <c r="J79" i="10"/>
  <c r="J81" i="10"/>
  <c r="J85" i="10"/>
  <c r="J86" i="10"/>
  <c r="J88" i="10"/>
  <c r="J89" i="10"/>
  <c r="CO155" i="1"/>
  <c r="CN155" i="1"/>
  <c r="CO154" i="1"/>
  <c r="CN154" i="1"/>
  <c r="CO153" i="1"/>
  <c r="CN153" i="1"/>
  <c r="CO152" i="1"/>
  <c r="CN152" i="1"/>
  <c r="CO151" i="1"/>
  <c r="CN151" i="1"/>
  <c r="CO150" i="1"/>
  <c r="CN150" i="1"/>
  <c r="CO149" i="1"/>
  <c r="CN149" i="1"/>
  <c r="CO148" i="1"/>
  <c r="CN148" i="1"/>
  <c r="CO147" i="1"/>
  <c r="CN147" i="1"/>
  <c r="CO146" i="1"/>
  <c r="CN146" i="1"/>
  <c r="CO145" i="1"/>
  <c r="CN145" i="1"/>
  <c r="CO144" i="1"/>
  <c r="CN144" i="1"/>
  <c r="CO143" i="1"/>
  <c r="CN143" i="1"/>
  <c r="CO142" i="1"/>
  <c r="CN142" i="1"/>
  <c r="CO141" i="1"/>
  <c r="CN141" i="1"/>
  <c r="CO140" i="1"/>
  <c r="CN140" i="1"/>
  <c r="CO139" i="1"/>
  <c r="CN139" i="1"/>
  <c r="CO138" i="1"/>
  <c r="CN138" i="1"/>
  <c r="CO137" i="1"/>
  <c r="CN137" i="1"/>
  <c r="CO136" i="1"/>
  <c r="CN136" i="1"/>
  <c r="CO135" i="1"/>
  <c r="CN135" i="1"/>
  <c r="CO134" i="1"/>
  <c r="CN134" i="1"/>
  <c r="CO133" i="1"/>
  <c r="CN133" i="1"/>
  <c r="CO132" i="1"/>
  <c r="CN132" i="1"/>
  <c r="CO131" i="1"/>
  <c r="CN131" i="1"/>
  <c r="CO130" i="1"/>
  <c r="CN130" i="1"/>
  <c r="CO129" i="1"/>
  <c r="CN129" i="1"/>
  <c r="CO128" i="1"/>
  <c r="CN128" i="1"/>
  <c r="CO127" i="1"/>
  <c r="CN127" i="1"/>
  <c r="CO126" i="1"/>
  <c r="CN126" i="1"/>
  <c r="CO125" i="1"/>
  <c r="CN125" i="1"/>
  <c r="CO124" i="1"/>
  <c r="CN124" i="1"/>
  <c r="CO123" i="1"/>
  <c r="CN123" i="1"/>
  <c r="CO122" i="1"/>
  <c r="CN122" i="1"/>
  <c r="CO121" i="1"/>
  <c r="CN121" i="1"/>
  <c r="CO120" i="1"/>
  <c r="CN120" i="1"/>
  <c r="CO119" i="1"/>
  <c r="CN119" i="1"/>
  <c r="CO118" i="1"/>
  <c r="CN118" i="1"/>
  <c r="CO117" i="1"/>
  <c r="CN117" i="1"/>
  <c r="CO116" i="1"/>
  <c r="CN116" i="1"/>
  <c r="CO115" i="1"/>
  <c r="CN115" i="1"/>
  <c r="CO114" i="1"/>
  <c r="CN114" i="1"/>
  <c r="CO113" i="1"/>
  <c r="CN113" i="1"/>
  <c r="CO112" i="1"/>
  <c r="CN112" i="1"/>
  <c r="CO111" i="1"/>
  <c r="CN111" i="1"/>
  <c r="CO110" i="1"/>
  <c r="CN110" i="1"/>
  <c r="CO109" i="1"/>
  <c r="CN109" i="1"/>
  <c r="CO108" i="1"/>
  <c r="CN108" i="1"/>
  <c r="CO107" i="1"/>
  <c r="CN107" i="1"/>
  <c r="CO106" i="1"/>
  <c r="CN106" i="1"/>
  <c r="CO105" i="1"/>
  <c r="CN105" i="1"/>
  <c r="CO104" i="1"/>
  <c r="CN104" i="1"/>
  <c r="CO103" i="1"/>
  <c r="CN103" i="1"/>
  <c r="CO102" i="1"/>
  <c r="CN102" i="1"/>
  <c r="CO101" i="1"/>
  <c r="CN101" i="1"/>
  <c r="CO100" i="1"/>
  <c r="CN100" i="1"/>
  <c r="CO99" i="1"/>
  <c r="CN99" i="1"/>
  <c r="CO98" i="1"/>
  <c r="CN98" i="1"/>
  <c r="CO97" i="1"/>
  <c r="CN97" i="1"/>
  <c r="CO96" i="1"/>
  <c r="CN96" i="1"/>
  <c r="CO95" i="1"/>
  <c r="CN95" i="1"/>
  <c r="CO94" i="1"/>
  <c r="CN94" i="1"/>
  <c r="CO93" i="1"/>
  <c r="CN93" i="1"/>
  <c r="CO92" i="1"/>
  <c r="CN92" i="1"/>
  <c r="CO91" i="1"/>
  <c r="CN91" i="1"/>
  <c r="CO90" i="1"/>
  <c r="CN90" i="1"/>
  <c r="CO89" i="1"/>
  <c r="CN89" i="1"/>
  <c r="CO88" i="1"/>
  <c r="CN88" i="1"/>
  <c r="CO87" i="1"/>
  <c r="CN87" i="1"/>
  <c r="CO86" i="1"/>
  <c r="CN86" i="1"/>
  <c r="CO85" i="1"/>
  <c r="CN85" i="1"/>
  <c r="CO84" i="1"/>
  <c r="CN84" i="1"/>
  <c r="CO83" i="1"/>
  <c r="CN83" i="1"/>
  <c r="CO82" i="1"/>
  <c r="CN82" i="1"/>
  <c r="CO81" i="1"/>
  <c r="CN81" i="1"/>
  <c r="CO80" i="1"/>
  <c r="CN80" i="1"/>
  <c r="CO79" i="1"/>
  <c r="CN79" i="1"/>
  <c r="CO78" i="1"/>
  <c r="CN78" i="1"/>
  <c r="CO77" i="1"/>
  <c r="CN77" i="1"/>
  <c r="CO76" i="1"/>
  <c r="CN76" i="1"/>
  <c r="CO75" i="1"/>
  <c r="CN75" i="1"/>
  <c r="CO74" i="1"/>
  <c r="CN74" i="1"/>
  <c r="CO73" i="1"/>
  <c r="CN73" i="1"/>
  <c r="CO72" i="1"/>
  <c r="CN72" i="1"/>
  <c r="CO71" i="1"/>
  <c r="CN71" i="1"/>
  <c r="CO70" i="1"/>
  <c r="CN70" i="1"/>
  <c r="CO69" i="1"/>
  <c r="CN69" i="1"/>
  <c r="CO68" i="1"/>
  <c r="CN68" i="1"/>
  <c r="CO67" i="1"/>
  <c r="CN67" i="1"/>
  <c r="CO66" i="1"/>
  <c r="CN66" i="1"/>
  <c r="CO65" i="1"/>
  <c r="CN65" i="1"/>
  <c r="CO64" i="1"/>
  <c r="CN64" i="1"/>
  <c r="CO63" i="1"/>
  <c r="CN63" i="1"/>
  <c r="CO62" i="1"/>
  <c r="CN62" i="1"/>
  <c r="CO61" i="1"/>
  <c r="CN61" i="1"/>
  <c r="CO60" i="1"/>
  <c r="CN60" i="1"/>
  <c r="CO59" i="1"/>
  <c r="CN59" i="1"/>
  <c r="CO58" i="1"/>
  <c r="CN58" i="1"/>
  <c r="CO57" i="1"/>
  <c r="CN57" i="1"/>
  <c r="CO56" i="1"/>
  <c r="CN56" i="1"/>
  <c r="CO55" i="1"/>
  <c r="CN55" i="1"/>
  <c r="CO54" i="1"/>
  <c r="CN54" i="1"/>
  <c r="CO53" i="1"/>
  <c r="CN53" i="1"/>
  <c r="CO52" i="1"/>
  <c r="CN52" i="1"/>
  <c r="CO51" i="1"/>
  <c r="CN51" i="1"/>
  <c r="CO50" i="1"/>
  <c r="CN50" i="1"/>
  <c r="CO49" i="1"/>
  <c r="CN49" i="1"/>
  <c r="CO48" i="1"/>
  <c r="CN48" i="1"/>
  <c r="CO47" i="1"/>
  <c r="CN47" i="1"/>
  <c r="CO46" i="1"/>
  <c r="CN46" i="1"/>
  <c r="CO45" i="1"/>
  <c r="CN45" i="1"/>
  <c r="CO44" i="1"/>
  <c r="CN44" i="1"/>
  <c r="CO43" i="1"/>
  <c r="CN43" i="1"/>
  <c r="CO42" i="1"/>
  <c r="CN42" i="1"/>
  <c r="CO41" i="1"/>
  <c r="CN41" i="1"/>
  <c r="CO40" i="1"/>
  <c r="CN40" i="1"/>
  <c r="CO39" i="1"/>
  <c r="CN39" i="1"/>
  <c r="CO38" i="1"/>
  <c r="CN38" i="1"/>
  <c r="CO37" i="1"/>
  <c r="CN37" i="1"/>
  <c r="CO36" i="1"/>
  <c r="CN36" i="1"/>
  <c r="CO35" i="1"/>
  <c r="CN35" i="1"/>
  <c r="CO34" i="1"/>
  <c r="CN34" i="1"/>
  <c r="CO33" i="1"/>
  <c r="CN33" i="1"/>
  <c r="CO32" i="1"/>
  <c r="CN32" i="1"/>
  <c r="CO31" i="1"/>
  <c r="CN31" i="1"/>
  <c r="CO30" i="1"/>
  <c r="CN30" i="1"/>
  <c r="CO29" i="1"/>
  <c r="CN29" i="1"/>
  <c r="CO28" i="1"/>
  <c r="CN28" i="1"/>
  <c r="CO27" i="1"/>
  <c r="CN27" i="1"/>
  <c r="CO26" i="1"/>
  <c r="CN26" i="1"/>
  <c r="CO25" i="1"/>
  <c r="CN25" i="1"/>
  <c r="CO24" i="1"/>
  <c r="CN24" i="1"/>
  <c r="CO23" i="1"/>
  <c r="CN23" i="1"/>
  <c r="CO22" i="1"/>
  <c r="CN22" i="1"/>
  <c r="CO21" i="1"/>
  <c r="CN21" i="1"/>
  <c r="CO20" i="1"/>
  <c r="CN20" i="1"/>
  <c r="CO19" i="1"/>
  <c r="CN19" i="1"/>
  <c r="CO18" i="1"/>
  <c r="CN18" i="1"/>
  <c r="CO17" i="1"/>
  <c r="CN17" i="1"/>
  <c r="CO16" i="1"/>
  <c r="CN16" i="1"/>
  <c r="CO15" i="1"/>
  <c r="CN15" i="1"/>
  <c r="CO14" i="1"/>
  <c r="CN14" i="1"/>
  <c r="CO13" i="1"/>
  <c r="CN13" i="1"/>
  <c r="CO12" i="1"/>
  <c r="CN12" i="1"/>
  <c r="CO11" i="1"/>
  <c r="CN11" i="1"/>
  <c r="CO10" i="1"/>
  <c r="CN10" i="1"/>
  <c r="CO9" i="1"/>
  <c r="CN9" i="1"/>
  <c r="CO8" i="1"/>
  <c r="CJ57" i="1"/>
  <c r="CI57" i="1"/>
  <c r="CJ56" i="1"/>
  <c r="CI56" i="1"/>
  <c r="CJ55" i="1"/>
  <c r="CI55" i="1"/>
  <c r="CJ54" i="1"/>
  <c r="CI54" i="1"/>
  <c r="CJ53" i="1"/>
  <c r="CI53" i="1"/>
  <c r="CJ52" i="1"/>
  <c r="CI52" i="1"/>
  <c r="CJ51" i="1"/>
  <c r="CI51" i="1"/>
  <c r="CJ50" i="1"/>
  <c r="CI50" i="1"/>
  <c r="CJ49" i="1"/>
  <c r="CI49" i="1"/>
  <c r="CJ48" i="1"/>
  <c r="CI48" i="1"/>
  <c r="CJ47" i="1"/>
  <c r="CI47" i="1"/>
  <c r="CJ46" i="1"/>
  <c r="CI46" i="1"/>
  <c r="CJ45" i="1"/>
  <c r="CI45" i="1"/>
  <c r="CJ44" i="1"/>
  <c r="CI44" i="1"/>
  <c r="CJ43" i="1"/>
  <c r="CI43" i="1"/>
  <c r="CJ42" i="1"/>
  <c r="CI42" i="1"/>
  <c r="CJ41" i="1"/>
  <c r="CI41" i="1"/>
  <c r="CJ40" i="1"/>
  <c r="CI40" i="1"/>
  <c r="CJ39" i="1"/>
  <c r="CI39" i="1"/>
  <c r="CJ38" i="1"/>
  <c r="CI38" i="1"/>
  <c r="CJ37" i="1"/>
  <c r="CI37" i="1"/>
  <c r="CJ36" i="1"/>
  <c r="CI36" i="1"/>
  <c r="CJ35" i="1"/>
  <c r="CI35" i="1"/>
  <c r="CJ34" i="1"/>
  <c r="CI34" i="1"/>
  <c r="CJ33" i="1"/>
  <c r="CI33" i="1"/>
  <c r="CJ32" i="1"/>
  <c r="CI32" i="1"/>
  <c r="CJ31" i="1"/>
  <c r="CI31" i="1"/>
  <c r="CJ30" i="1"/>
  <c r="CI30" i="1"/>
  <c r="CJ29" i="1"/>
  <c r="CI29" i="1"/>
  <c r="CJ28" i="1"/>
  <c r="CI28" i="1"/>
  <c r="CJ27" i="1"/>
  <c r="CI27" i="1"/>
  <c r="CJ26" i="1"/>
  <c r="CI26" i="1"/>
  <c r="CJ25" i="1"/>
  <c r="CI25" i="1"/>
  <c r="CJ24" i="1"/>
  <c r="CI24" i="1"/>
  <c r="CJ23" i="1"/>
  <c r="CI23" i="1"/>
  <c r="CJ22" i="1"/>
  <c r="CI22" i="1"/>
  <c r="CJ21" i="1"/>
  <c r="CI21" i="1"/>
  <c r="CJ20" i="1"/>
  <c r="CI20" i="1"/>
  <c r="CJ19" i="1"/>
  <c r="CI19" i="1"/>
  <c r="CJ18" i="1"/>
  <c r="CI18" i="1"/>
  <c r="CJ17" i="1"/>
  <c r="CI17" i="1"/>
  <c r="CJ16" i="1"/>
  <c r="CI16" i="1"/>
  <c r="CJ15" i="1"/>
  <c r="CI15" i="1"/>
  <c r="CJ14" i="1"/>
  <c r="CI14" i="1"/>
  <c r="CJ13" i="1"/>
  <c r="CI13" i="1"/>
  <c r="CJ12" i="1"/>
  <c r="CI12" i="1"/>
  <c r="CJ11" i="1"/>
  <c r="CI11" i="1"/>
  <c r="CJ10" i="1"/>
  <c r="CI10" i="1"/>
  <c r="CJ9" i="1"/>
  <c r="CI9" i="1"/>
  <c r="CJ8" i="1"/>
  <c r="CE35" i="1"/>
  <c r="CD35" i="1"/>
  <c r="CE34" i="1"/>
  <c r="CD34" i="1"/>
  <c r="CE33" i="1"/>
  <c r="CD33" i="1"/>
  <c r="CE32" i="1"/>
  <c r="CD32" i="1"/>
  <c r="CE31" i="1"/>
  <c r="CD31" i="1"/>
  <c r="CE30" i="1"/>
  <c r="CD30" i="1"/>
  <c r="CE29" i="1"/>
  <c r="CD29" i="1"/>
  <c r="CE28" i="1"/>
  <c r="CD28" i="1"/>
  <c r="CE27" i="1"/>
  <c r="CD27" i="1"/>
  <c r="CE26" i="1"/>
  <c r="CD26" i="1"/>
  <c r="CE25" i="1"/>
  <c r="CD25" i="1"/>
  <c r="CE24" i="1"/>
  <c r="CD24" i="1"/>
  <c r="CE23" i="1"/>
  <c r="CD23" i="1"/>
  <c r="CE22" i="1"/>
  <c r="CD22" i="1"/>
  <c r="CE21" i="1"/>
  <c r="CD21" i="1"/>
  <c r="CE20" i="1"/>
  <c r="CD20" i="1"/>
  <c r="CE19" i="1"/>
  <c r="CD19" i="1"/>
  <c r="CE18" i="1"/>
  <c r="CD18" i="1"/>
  <c r="CE17" i="1"/>
  <c r="CD17" i="1"/>
  <c r="CE16" i="1"/>
  <c r="CD16" i="1"/>
  <c r="CE15" i="1"/>
  <c r="CD15" i="1"/>
  <c r="CE14" i="1"/>
  <c r="CD14" i="1"/>
  <c r="CE13" i="1"/>
  <c r="CD13" i="1"/>
  <c r="CE12" i="1"/>
  <c r="CD12" i="1"/>
  <c r="CE11" i="1"/>
  <c r="CD11" i="1"/>
  <c r="CE10" i="1"/>
  <c r="CD10" i="1"/>
  <c r="CE9" i="1"/>
  <c r="CD9" i="1"/>
  <c r="CE8" i="1"/>
  <c r="CB156" i="1"/>
  <c r="CA156" i="1"/>
  <c r="CB155" i="1"/>
  <c r="CA155" i="1"/>
  <c r="CB153" i="1"/>
  <c r="CA153" i="1"/>
  <c r="CB154" i="1"/>
  <c r="CA154" i="1"/>
  <c r="CB152" i="1"/>
  <c r="CA152" i="1"/>
  <c r="CB151" i="1"/>
  <c r="CA151" i="1"/>
  <c r="CB150" i="1"/>
  <c r="CA150" i="1"/>
  <c r="CB149" i="1"/>
  <c r="CA149" i="1"/>
  <c r="CB148" i="1"/>
  <c r="CA148" i="1"/>
  <c r="CB147" i="1"/>
  <c r="CA147" i="1"/>
  <c r="CB146" i="1"/>
  <c r="CA146" i="1"/>
  <c r="CB145" i="1"/>
  <c r="CA145" i="1"/>
  <c r="CB144" i="1"/>
  <c r="CA144" i="1"/>
  <c r="CB143" i="1"/>
  <c r="CA143" i="1"/>
  <c r="CB142" i="1"/>
  <c r="CA142" i="1"/>
  <c r="CB141" i="1"/>
  <c r="CA141" i="1"/>
  <c r="CB140" i="1"/>
  <c r="CA140" i="1"/>
  <c r="CB139" i="1"/>
  <c r="CA139" i="1"/>
  <c r="CB138" i="1"/>
  <c r="CA138" i="1"/>
  <c r="CB137" i="1"/>
  <c r="CA137" i="1"/>
  <c r="CB136" i="1"/>
  <c r="CA136" i="1"/>
  <c r="CB135" i="1"/>
  <c r="CA135" i="1"/>
  <c r="CB134" i="1"/>
  <c r="CA134" i="1"/>
  <c r="CB133" i="1"/>
  <c r="CA133" i="1"/>
  <c r="CB132" i="1"/>
  <c r="CA132" i="1"/>
  <c r="CB131" i="1"/>
  <c r="CA131" i="1"/>
  <c r="CB130" i="1"/>
  <c r="CA130" i="1"/>
  <c r="CB129" i="1"/>
  <c r="CA129" i="1"/>
  <c r="CB128" i="1"/>
  <c r="CA128" i="1"/>
  <c r="CB127" i="1"/>
  <c r="CA127" i="1"/>
  <c r="CB126" i="1"/>
  <c r="CA126" i="1"/>
  <c r="CB125" i="1"/>
  <c r="CA125" i="1"/>
  <c r="CB124" i="1"/>
  <c r="CA124" i="1"/>
  <c r="CB123" i="1"/>
  <c r="CA123" i="1"/>
  <c r="CB122" i="1"/>
  <c r="CA122" i="1"/>
  <c r="CB121" i="1"/>
  <c r="CA121" i="1"/>
  <c r="CB120" i="1"/>
  <c r="CA120" i="1"/>
  <c r="CB119" i="1"/>
  <c r="CA119" i="1"/>
  <c r="CB118" i="1"/>
  <c r="CA118" i="1"/>
  <c r="CB117" i="1"/>
  <c r="CA117" i="1"/>
  <c r="CB116" i="1"/>
  <c r="CA116" i="1"/>
  <c r="CB115" i="1"/>
  <c r="CA115" i="1"/>
  <c r="CB114" i="1"/>
  <c r="CA114" i="1"/>
  <c r="CB113" i="1"/>
  <c r="CA113" i="1"/>
  <c r="CB112" i="1"/>
  <c r="CA112" i="1"/>
  <c r="CB111" i="1"/>
  <c r="CA111" i="1"/>
  <c r="CB110" i="1"/>
  <c r="CA110" i="1"/>
  <c r="CB109" i="1"/>
  <c r="CA109" i="1"/>
  <c r="CB108" i="1"/>
  <c r="CA108" i="1"/>
  <c r="CB107" i="1"/>
  <c r="CA107" i="1"/>
  <c r="CB106" i="1"/>
  <c r="CA106" i="1"/>
  <c r="CB105" i="1"/>
  <c r="CA105" i="1"/>
  <c r="CB104" i="1"/>
  <c r="CA104" i="1"/>
  <c r="CB103" i="1"/>
  <c r="CA103" i="1"/>
  <c r="CB102" i="1"/>
  <c r="CA102" i="1"/>
  <c r="CB101" i="1"/>
  <c r="CA101" i="1"/>
  <c r="CB100" i="1"/>
  <c r="CA100" i="1"/>
  <c r="CB99" i="1"/>
  <c r="CA99" i="1"/>
  <c r="CB98" i="1"/>
  <c r="CA98" i="1"/>
  <c r="CB97" i="1"/>
  <c r="CA97" i="1"/>
  <c r="CB96" i="1"/>
  <c r="CA96" i="1"/>
  <c r="CB95" i="1"/>
  <c r="CA95" i="1"/>
  <c r="CB94" i="1"/>
  <c r="CA94" i="1"/>
  <c r="CB93" i="1"/>
  <c r="CA93" i="1"/>
  <c r="CB92" i="1"/>
  <c r="CA92" i="1"/>
  <c r="CB91" i="1"/>
  <c r="CA91" i="1"/>
  <c r="CB90" i="1"/>
  <c r="CA90" i="1"/>
  <c r="CB89" i="1"/>
  <c r="CA89" i="1"/>
  <c r="CB88" i="1"/>
  <c r="CA88" i="1"/>
  <c r="CB87" i="1"/>
  <c r="CA87" i="1"/>
  <c r="CB86" i="1"/>
  <c r="CA86" i="1"/>
  <c r="CB85" i="1"/>
  <c r="CA85" i="1"/>
  <c r="CB84" i="1"/>
  <c r="CA84" i="1"/>
  <c r="CB83" i="1"/>
  <c r="CA83" i="1"/>
  <c r="CB82" i="1"/>
  <c r="CA82" i="1"/>
  <c r="CB81" i="1"/>
  <c r="CA81" i="1"/>
  <c r="CB80" i="1"/>
  <c r="CA80" i="1"/>
  <c r="CB79" i="1"/>
  <c r="CA79" i="1"/>
  <c r="CB78" i="1"/>
  <c r="CA78" i="1"/>
  <c r="CB77" i="1"/>
  <c r="CA77" i="1"/>
  <c r="CB76" i="1"/>
  <c r="CA76" i="1"/>
  <c r="CB75" i="1"/>
  <c r="CA75" i="1"/>
  <c r="CB74" i="1"/>
  <c r="CA74" i="1"/>
  <c r="CB73" i="1"/>
  <c r="CA73" i="1"/>
  <c r="CB72" i="1"/>
  <c r="CA72" i="1"/>
  <c r="CB71" i="1"/>
  <c r="CA71" i="1"/>
  <c r="CB70" i="1"/>
  <c r="CA70" i="1"/>
  <c r="CB69" i="1"/>
  <c r="CA69" i="1"/>
  <c r="CB68" i="1"/>
  <c r="CA68" i="1"/>
  <c r="CB67" i="1"/>
  <c r="CA67" i="1"/>
  <c r="CB66" i="1"/>
  <c r="CA66" i="1"/>
  <c r="CB65" i="1"/>
  <c r="CA65" i="1"/>
  <c r="CB64" i="1"/>
  <c r="CA64" i="1"/>
  <c r="CB63" i="1"/>
  <c r="CA63" i="1"/>
  <c r="CB62" i="1"/>
  <c r="CA62" i="1"/>
  <c r="CB61" i="1"/>
  <c r="CA61" i="1"/>
  <c r="CB60" i="1"/>
  <c r="CA60" i="1"/>
  <c r="CB59" i="1"/>
  <c r="CA59" i="1"/>
  <c r="CB58" i="1"/>
  <c r="CA58" i="1"/>
  <c r="CB57" i="1"/>
  <c r="CA57" i="1"/>
  <c r="CB56" i="1"/>
  <c r="CA56" i="1"/>
  <c r="CB55" i="1"/>
  <c r="CA55" i="1"/>
  <c r="CB54" i="1"/>
  <c r="CA54" i="1"/>
  <c r="CB53" i="1"/>
  <c r="CA53" i="1"/>
  <c r="CB52" i="1"/>
  <c r="CA52" i="1"/>
  <c r="CB51" i="1"/>
  <c r="CA51" i="1"/>
  <c r="CB50" i="1"/>
  <c r="CA50" i="1"/>
  <c r="CB49" i="1"/>
  <c r="CA49" i="1"/>
  <c r="CB48" i="1"/>
  <c r="CA48" i="1"/>
  <c r="CB47" i="1"/>
  <c r="CA47" i="1"/>
  <c r="CB46" i="1"/>
  <c r="CA46" i="1"/>
  <c r="CB45" i="1"/>
  <c r="CA45" i="1"/>
  <c r="CB44" i="1"/>
  <c r="CA44" i="1"/>
  <c r="CB43" i="1"/>
  <c r="CA43" i="1"/>
  <c r="CB42" i="1"/>
  <c r="CA42" i="1"/>
  <c r="CB41" i="1"/>
  <c r="CA41" i="1"/>
  <c r="CB40" i="1"/>
  <c r="CA40" i="1"/>
  <c r="CB39" i="1"/>
  <c r="CA39" i="1"/>
  <c r="CB38" i="1"/>
  <c r="CA38" i="1"/>
  <c r="CB37" i="1"/>
  <c r="CA37" i="1"/>
  <c r="CB36" i="1"/>
  <c r="CA36" i="1"/>
  <c r="CB35" i="1"/>
  <c r="CA35" i="1"/>
  <c r="CB34" i="1"/>
  <c r="CA34" i="1"/>
  <c r="CB33" i="1"/>
  <c r="CA33" i="1"/>
  <c r="CB32" i="1"/>
  <c r="CA32" i="1"/>
  <c r="CB31" i="1"/>
  <c r="CA31" i="1"/>
  <c r="CB30" i="1"/>
  <c r="CA30" i="1"/>
  <c r="CB29" i="1"/>
  <c r="CA29" i="1"/>
  <c r="CB28" i="1"/>
  <c r="CA28" i="1"/>
  <c r="CB27" i="1"/>
  <c r="CA27" i="1"/>
  <c r="CB26" i="1"/>
  <c r="CA26" i="1"/>
  <c r="CB25" i="1"/>
  <c r="CA25" i="1"/>
  <c r="CB24" i="1"/>
  <c r="CA24" i="1"/>
  <c r="CB23" i="1"/>
  <c r="CA23" i="1"/>
  <c r="CB22" i="1"/>
  <c r="CA22" i="1"/>
  <c r="CB21" i="1"/>
  <c r="CA21" i="1"/>
  <c r="CB20" i="1"/>
  <c r="CA20" i="1"/>
  <c r="CB19" i="1"/>
  <c r="CA19" i="1"/>
  <c r="CB18" i="1"/>
  <c r="CA18" i="1"/>
  <c r="CB17" i="1"/>
  <c r="CA17" i="1"/>
  <c r="CB16" i="1"/>
  <c r="CA16" i="1"/>
  <c r="CB15" i="1"/>
  <c r="CA15" i="1"/>
  <c r="CB14" i="1"/>
  <c r="CA14" i="1"/>
  <c r="CB13" i="1"/>
  <c r="CA13" i="1"/>
  <c r="CB12" i="1"/>
  <c r="CA12" i="1"/>
  <c r="CB11" i="1"/>
  <c r="CA11" i="1"/>
  <c r="CB10" i="1"/>
  <c r="CA10" i="1"/>
  <c r="CB9" i="1"/>
  <c r="CA9" i="1"/>
  <c r="CB8" i="1"/>
  <c r="AR11" i="1"/>
  <c r="C13" i="1"/>
  <c r="J13" i="1"/>
  <c r="C22" i="1"/>
  <c r="J22" i="1"/>
  <c r="C31" i="1"/>
  <c r="J31" i="1"/>
  <c r="C42" i="1"/>
  <c r="J42" i="1"/>
  <c r="H3" i="8"/>
  <c r="AA3" i="8"/>
  <c r="AB3" i="8"/>
  <c r="AC3" i="8"/>
  <c r="AD3" i="8"/>
  <c r="AH3" i="8"/>
  <c r="AI3" i="8"/>
  <c r="AJ3" i="8"/>
  <c r="AK3" i="8"/>
  <c r="O4" i="8"/>
  <c r="AA4" i="8"/>
  <c r="AB4" i="8"/>
  <c r="AC4" i="8"/>
  <c r="AD4" i="8"/>
  <c r="AH4" i="8"/>
  <c r="AI4" i="8"/>
  <c r="AJ4" i="8"/>
  <c r="AK4" i="8"/>
  <c r="O5" i="8"/>
  <c r="AA5" i="8"/>
  <c r="AB5" i="8"/>
  <c r="AC5" i="8"/>
  <c r="AD5" i="8"/>
  <c r="AH5" i="8"/>
  <c r="AI5" i="8"/>
  <c r="AJ5" i="8"/>
  <c r="AK5" i="8"/>
  <c r="B6" i="8"/>
  <c r="D6" i="8"/>
  <c r="O6" i="8"/>
  <c r="AA6" i="8"/>
  <c r="AB6" i="8"/>
  <c r="AC6" i="8"/>
  <c r="AD6" i="8"/>
  <c r="AH6" i="8"/>
  <c r="AI6" i="8"/>
  <c r="AJ6" i="8"/>
  <c r="AK6" i="8"/>
  <c r="O7" i="8"/>
  <c r="D8" i="8"/>
  <c r="L8" i="8"/>
  <c r="H10" i="8"/>
  <c r="J10" i="8"/>
  <c r="L10" i="8"/>
  <c r="B12" i="8"/>
  <c r="D12" i="8"/>
  <c r="F12" i="8"/>
  <c r="J12" i="8"/>
  <c r="AF12" i="8"/>
  <c r="S13" i="8"/>
  <c r="AA13" i="8"/>
  <c r="AB13" i="8"/>
  <c r="AC13" i="8"/>
  <c r="AD13" i="8"/>
  <c r="AH13" i="8"/>
  <c r="AI13" i="8"/>
  <c r="AJ13" i="8"/>
  <c r="AK13" i="8"/>
  <c r="B14" i="8"/>
  <c r="J14" i="8"/>
  <c r="L14" i="8"/>
  <c r="S14" i="8"/>
  <c r="AA14" i="8"/>
  <c r="AB14" i="8"/>
  <c r="AC14" i="8"/>
  <c r="AD14" i="8"/>
  <c r="AH14" i="8"/>
  <c r="AI14" i="8"/>
  <c r="AJ14" i="8"/>
  <c r="AK14" i="8"/>
  <c r="AA15" i="8"/>
  <c r="AB15" i="8"/>
  <c r="AC15" i="8"/>
  <c r="AD15" i="8"/>
  <c r="AH15" i="8"/>
  <c r="AI15" i="8"/>
  <c r="AJ15" i="8"/>
  <c r="AK15" i="8"/>
  <c r="D16" i="8"/>
  <c r="F16" i="8"/>
  <c r="H16" i="8"/>
  <c r="J16" i="8"/>
  <c r="L16" i="8"/>
  <c r="AA16" i="8"/>
  <c r="AB16" i="8"/>
  <c r="AC16" i="8"/>
  <c r="AD16" i="8"/>
  <c r="AH16" i="8"/>
  <c r="AI16" i="8"/>
  <c r="AJ16" i="8"/>
  <c r="AK16" i="8"/>
  <c r="B18" i="8"/>
  <c r="F18" i="8"/>
  <c r="J18" i="8"/>
  <c r="L18" i="8"/>
  <c r="B20" i="8"/>
  <c r="D20" i="8"/>
  <c r="F20" i="8"/>
  <c r="H20" i="8"/>
  <c r="L20" i="8"/>
  <c r="AF21" i="8"/>
  <c r="B22" i="8"/>
  <c r="J22" i="8"/>
  <c r="AA22" i="8"/>
  <c r="AB22" i="8"/>
  <c r="AC22" i="8"/>
  <c r="AD22" i="8"/>
  <c r="AH22" i="8"/>
  <c r="AI22" i="8"/>
  <c r="AJ22" i="8"/>
  <c r="AK22" i="8"/>
  <c r="AA23" i="8"/>
  <c r="AB23" i="8"/>
  <c r="AC23" i="8"/>
  <c r="AD23" i="8"/>
  <c r="AH23" i="8"/>
  <c r="AI23" i="8"/>
  <c r="AJ23" i="8"/>
  <c r="AK23" i="8"/>
  <c r="B24" i="8"/>
  <c r="L24" i="8"/>
  <c r="AA24" i="8"/>
  <c r="AB24" i="8"/>
  <c r="AC24" i="8"/>
  <c r="AD24" i="8"/>
  <c r="AH24" i="8"/>
  <c r="AI24" i="8"/>
  <c r="AJ24" i="8"/>
  <c r="AK24" i="8"/>
  <c r="AA25" i="8"/>
  <c r="AB25" i="8"/>
  <c r="AC25" i="8"/>
  <c r="AD25" i="8"/>
  <c r="AH25" i="8"/>
  <c r="AI25" i="8"/>
  <c r="AJ25" i="8"/>
  <c r="AK25" i="8"/>
  <c r="B26" i="8"/>
  <c r="F26" i="8"/>
  <c r="AA26" i="8"/>
  <c r="AB26" i="8"/>
  <c r="AC26" i="8"/>
  <c r="AD26" i="8"/>
  <c r="AH26" i="8"/>
  <c r="AI26" i="8"/>
  <c r="AJ26" i="8"/>
  <c r="AK26" i="8"/>
  <c r="B28" i="8"/>
  <c r="H28" i="8"/>
  <c r="H29" i="8"/>
  <c r="B30" i="8"/>
  <c r="AF30" i="8"/>
  <c r="AA31" i="8"/>
  <c r="AB31" i="8"/>
  <c r="AC31" i="8"/>
  <c r="AD31" i="8"/>
  <c r="AH31" i="8"/>
  <c r="AI31" i="8"/>
  <c r="AJ31" i="8"/>
  <c r="AK31" i="8"/>
  <c r="AA32" i="8"/>
  <c r="AB32" i="8"/>
  <c r="AC32" i="8"/>
  <c r="AD32" i="8"/>
  <c r="AH32" i="8"/>
  <c r="AI32" i="8"/>
  <c r="AJ32" i="8"/>
  <c r="AK32" i="8"/>
  <c r="AA33" i="8"/>
  <c r="AB33" i="8"/>
  <c r="AC33" i="8"/>
  <c r="AD33" i="8"/>
  <c r="AH33" i="8"/>
  <c r="AI33" i="8"/>
  <c r="AJ33" i="8"/>
  <c r="AK33" i="8"/>
  <c r="AA34" i="8"/>
  <c r="AB34" i="8"/>
  <c r="AC34" i="8"/>
  <c r="AD34" i="8"/>
  <c r="AH34" i="8"/>
  <c r="AI34" i="8"/>
  <c r="AJ34" i="8"/>
  <c r="AK34" i="8"/>
  <c r="AA35" i="8"/>
  <c r="AB35" i="8"/>
  <c r="AC35" i="8"/>
  <c r="AD35" i="8"/>
  <c r="AH35" i="8"/>
  <c r="AI35" i="8"/>
  <c r="AJ35" i="8"/>
  <c r="AK35" i="8"/>
  <c r="AH36" i="8"/>
  <c r="AI36" i="8"/>
  <c r="AJ36" i="8"/>
  <c r="AK36" i="8"/>
  <c r="AF37" i="8"/>
  <c r="AG37" i="8"/>
  <c r="AF38" i="8"/>
  <c r="AG38" i="8"/>
  <c r="A4" i="9"/>
  <c r="B4" i="9"/>
  <c r="C4" i="9"/>
  <c r="E4" i="9"/>
  <c r="A5" i="9"/>
  <c r="B5" i="9"/>
  <c r="C5" i="9"/>
  <c r="E5" i="9"/>
  <c r="A6" i="9"/>
  <c r="B6" i="9"/>
  <c r="C6" i="9"/>
  <c r="D6" i="9"/>
  <c r="B7" i="9"/>
  <c r="C7" i="9"/>
  <c r="D7" i="9"/>
  <c r="A11" i="9"/>
  <c r="B11" i="9"/>
  <c r="C11" i="9"/>
  <c r="E11" i="9"/>
  <c r="A12" i="9"/>
  <c r="B12" i="9"/>
  <c r="C12" i="9"/>
  <c r="D12" i="9"/>
  <c r="B13" i="9"/>
  <c r="C13" i="9"/>
  <c r="D13" i="9"/>
  <c r="A14" i="9"/>
  <c r="B14" i="9"/>
  <c r="C14" i="9"/>
  <c r="D14" i="9"/>
  <c r="A15" i="9"/>
  <c r="B15" i="9"/>
  <c r="C15" i="9"/>
  <c r="D15" i="9"/>
  <c r="E15" i="9"/>
  <c r="A16" i="9"/>
  <c r="B16" i="9"/>
  <c r="C16" i="9"/>
  <c r="D16" i="9"/>
  <c r="B18" i="9"/>
  <c r="C18" i="9"/>
  <c r="D18" i="9"/>
  <c r="B19" i="9"/>
  <c r="C19" i="9"/>
  <c r="B20" i="9"/>
  <c r="C20" i="9"/>
  <c r="D20" i="9"/>
  <c r="B21" i="9"/>
  <c r="C21" i="9"/>
  <c r="D21" i="9"/>
  <c r="D7" i="10"/>
  <c r="G44" i="10"/>
  <c r="H44" i="10"/>
  <c r="Y43" i="10"/>
  <c r="Y44" i="10"/>
  <c r="H48" i="10"/>
  <c r="Y46" i="10"/>
  <c r="Y47" i="10"/>
  <c r="H51" i="10"/>
  <c r="Y48" i="10"/>
  <c r="H52" i="10"/>
  <c r="Y51" i="10"/>
  <c r="H46" i="10"/>
  <c r="Y52" i="10"/>
  <c r="H47" i="10"/>
  <c r="Y55" i="10"/>
  <c r="H53" i="10"/>
  <c r="Y57" i="10"/>
  <c r="H54" i="10"/>
  <c r="Y60" i="10"/>
  <c r="Y79" i="10"/>
  <c r="J44" i="10"/>
  <c r="G45" i="10"/>
  <c r="I49" i="10"/>
  <c r="I54" i="10"/>
  <c r="I55" i="10"/>
  <c r="I56" i="10"/>
  <c r="F6" i="10"/>
  <c r="J45" i="10"/>
  <c r="G46" i="10"/>
  <c r="J46" i="10"/>
  <c r="G47" i="10"/>
  <c r="J47" i="10"/>
  <c r="G48" i="10"/>
  <c r="J48" i="10"/>
  <c r="H49" i="10"/>
  <c r="G68" i="10"/>
  <c r="J68" i="10"/>
  <c r="G51" i="10"/>
  <c r="J51" i="10"/>
  <c r="G52" i="10"/>
  <c r="J52" i="10"/>
  <c r="G53" i="10"/>
  <c r="J53" i="10"/>
  <c r="G54" i="10"/>
  <c r="W60" i="10"/>
  <c r="J54" i="10"/>
  <c r="H55" i="10"/>
  <c r="H56" i="10"/>
  <c r="E6" i="10"/>
  <c r="G59" i="10"/>
  <c r="F7" i="10"/>
  <c r="J59" i="10"/>
  <c r="G60" i="10"/>
  <c r="J60" i="10"/>
  <c r="G61" i="10"/>
  <c r="J61" i="10"/>
  <c r="G50" i="10"/>
  <c r="H50" i="10"/>
  <c r="J50" i="10"/>
  <c r="G62" i="10"/>
  <c r="J62" i="10"/>
  <c r="G63" i="10"/>
  <c r="Z58" i="10"/>
  <c r="Z42" i="10"/>
  <c r="Z50" i="10"/>
  <c r="Z53" i="10"/>
  <c r="Z54" i="10"/>
  <c r="Z56" i="10"/>
  <c r="Z59" i="10"/>
  <c r="Z63" i="10"/>
  <c r="Z64" i="10"/>
  <c r="Z65" i="10"/>
  <c r="Z68" i="10"/>
  <c r="Z69" i="10"/>
  <c r="Z72" i="10"/>
  <c r="Z73" i="10"/>
  <c r="Z74" i="10"/>
  <c r="Z75" i="10"/>
  <c r="Z79" i="10"/>
  <c r="J63" i="10"/>
  <c r="G64" i="10"/>
  <c r="W59" i="10"/>
  <c r="J64" i="10"/>
  <c r="G65" i="10"/>
  <c r="J65" i="10"/>
  <c r="W42" i="10"/>
  <c r="G66" i="10"/>
  <c r="J66" i="10"/>
  <c r="W43" i="10"/>
  <c r="G67" i="10"/>
  <c r="W65" i="10"/>
  <c r="J67" i="10"/>
  <c r="W44" i="10"/>
  <c r="G69" i="10"/>
  <c r="J69" i="10"/>
  <c r="W46" i="10"/>
  <c r="W47" i="10"/>
  <c r="G71" i="10"/>
  <c r="J71" i="10"/>
  <c r="W48" i="10"/>
  <c r="G72" i="10"/>
  <c r="J72" i="10"/>
  <c r="G73" i="10"/>
  <c r="J73" i="10"/>
  <c r="W50" i="10"/>
  <c r="E7" i="10"/>
  <c r="W51" i="10"/>
  <c r="W52" i="10"/>
  <c r="W53" i="10"/>
  <c r="G78" i="10"/>
  <c r="W45" i="10"/>
  <c r="AA45" i="10"/>
  <c r="AA49" i="10"/>
  <c r="AA61" i="10"/>
  <c r="AA62" i="10"/>
  <c r="AA66" i="10"/>
  <c r="H97" i="10"/>
  <c r="AA67" i="10"/>
  <c r="AA71" i="10"/>
  <c r="AA76" i="10"/>
  <c r="AA79" i="10"/>
  <c r="W54" i="10"/>
  <c r="G85" i="10"/>
  <c r="W61" i="10"/>
  <c r="I97" i="10"/>
  <c r="W55" i="10"/>
  <c r="G81" i="10"/>
  <c r="W66" i="10"/>
  <c r="W56" i="10"/>
  <c r="G79" i="10"/>
  <c r="W57" i="10"/>
  <c r="W58" i="10"/>
  <c r="G89" i="10"/>
  <c r="G88" i="10"/>
  <c r="W62" i="10"/>
  <c r="G86" i="10"/>
  <c r="W49" i="10"/>
  <c r="W63" i="10"/>
  <c r="G97" i="10"/>
  <c r="W67" i="10"/>
  <c r="J97" i="10"/>
  <c r="W64" i="10"/>
  <c r="W68" i="10"/>
  <c r="G70" i="10"/>
  <c r="J70" i="10"/>
  <c r="W69" i="10"/>
  <c r="W71" i="10"/>
  <c r="W72" i="10"/>
  <c r="W73" i="10"/>
  <c r="W74" i="10"/>
  <c r="W75" i="10"/>
  <c r="W76" i="10"/>
  <c r="AB79" i="10"/>
  <c r="E14" i="9"/>
  <c r="E6" i="9"/>
  <c r="E8" i="10"/>
  <c r="F8" i="10"/>
  <c r="C19" i="10" a="1"/>
  <c r="C19" i="10"/>
  <c r="D19" i="10"/>
  <c r="X80" i="10"/>
  <c r="AB81" i="10"/>
  <c r="C18" i="10" a="1"/>
  <c r="C18" i="10"/>
  <c r="D18" i="10"/>
  <c r="E7" i="9"/>
  <c r="E16" i="9"/>
  <c r="C17" i="10" a="1"/>
  <c r="C17" i="10"/>
  <c r="D17" i="10"/>
  <c r="C16" i="10" a="1"/>
  <c r="C16" i="10"/>
  <c r="D16" i="10"/>
  <c r="E13" i="9"/>
  <c r="E12" i="9"/>
  <c r="Z81" i="10"/>
  <c r="AA81" i="10"/>
  <c r="Y81" i="10"/>
</calcChain>
</file>

<file path=xl/sharedStrings.xml><?xml version="1.0" encoding="utf-8"?>
<sst xmlns="http://schemas.openxmlformats.org/spreadsheetml/2006/main" count="344" uniqueCount="273">
  <si>
    <t>Social Science</t>
    <phoneticPr fontId="0" type="noConversion"/>
  </si>
  <si>
    <t>Historical Studies</t>
    <phoneticPr fontId="0" type="noConversion"/>
  </si>
  <si>
    <t>ECO 1201  Introduction to Economics   </t>
  </si>
  <si>
    <t>ECO 1202  Topics in Introductory Economics </t>
  </si>
  <si>
    <t>ECO 3305  Ecological Economics</t>
  </si>
  <si>
    <t>Ethics</t>
    <phoneticPr fontId="0" type="noConversion"/>
  </si>
  <si>
    <t>F</t>
    <phoneticPr fontId="9" type="noConversion"/>
  </si>
  <si>
    <t>D+</t>
    <phoneticPr fontId="9" type="noConversion"/>
  </si>
  <si>
    <t>Engineering Topics</t>
    <phoneticPr fontId="9" type="noConversion"/>
  </si>
  <si>
    <t>D-</t>
    <phoneticPr fontId="9" type="noConversion"/>
  </si>
  <si>
    <t>D</t>
    <phoneticPr fontId="9" type="noConversion"/>
  </si>
  <si>
    <t>Table 5-1 Curriculum</t>
    <phoneticPr fontId="9" type="noConversion"/>
  </si>
  <si>
    <t>C-</t>
    <phoneticPr fontId="9" type="noConversion"/>
  </si>
  <si>
    <t>C</t>
    <phoneticPr fontId="9" type="noConversion"/>
  </si>
  <si>
    <t>B+</t>
    <phoneticPr fontId="9" type="noConversion"/>
  </si>
  <si>
    <t>Arts and Literature</t>
    <phoneticPr fontId="9" type="noConversion"/>
  </si>
  <si>
    <t>MEN 5020 Mechanical behavior of polymers</t>
  </si>
  <si>
    <t>Thermal Systems</t>
    <phoneticPr fontId="0" type="noConversion"/>
  </si>
  <si>
    <t>MEN 5040 Advanced Fluid Mechanics</t>
  </si>
  <si>
    <t>See note next page</t>
    <phoneticPr fontId="0" type="noConversion"/>
  </si>
  <si>
    <t>PHY 2212</t>
    <phoneticPr fontId="0" type="noConversion"/>
  </si>
  <si>
    <t>Physics II</t>
    <phoneticPr fontId="0" type="noConversion"/>
  </si>
  <si>
    <t>MEN 3010</t>
    <phoneticPr fontId="0" type="noConversion"/>
  </si>
  <si>
    <t>MEN 3014</t>
    <phoneticPr fontId="0" type="noConversion"/>
  </si>
  <si>
    <t>MIE 597B</t>
  </si>
  <si>
    <t>MIE 570</t>
  </si>
  <si>
    <t>MIE 573</t>
  </si>
  <si>
    <t>MIE 609</t>
  </si>
  <si>
    <r>
      <t xml:space="preserve">Engineering Topics </t>
    </r>
    <r>
      <rPr>
        <i/>
        <sz val="12"/>
        <rFont val="Times New Roman"/>
        <family val="1"/>
      </rPr>
      <t>Check if Contains Significant Design (√)</t>
    </r>
    <phoneticPr fontId="9" type="noConversion"/>
  </si>
  <si>
    <t>B-</t>
    <phoneticPr fontId="9" type="noConversion"/>
  </si>
  <si>
    <t>B</t>
    <phoneticPr fontId="9" type="noConversion"/>
  </si>
  <si>
    <t>A-</t>
    <phoneticPr fontId="9" type="noConversion"/>
  </si>
  <si>
    <t>Freshman; Fall</t>
    <phoneticPr fontId="9" type="noConversion"/>
  </si>
  <si>
    <t>Freshman; Spring</t>
    <phoneticPr fontId="9" type="noConversion"/>
  </si>
  <si>
    <t>x</t>
    <phoneticPr fontId="9" type="noConversion"/>
  </si>
  <si>
    <t>Junior; Spring</t>
    <phoneticPr fontId="9" type="noConversion"/>
  </si>
  <si>
    <t>Senior; Fall</t>
    <phoneticPr fontId="9" type="noConversion"/>
  </si>
  <si>
    <t>Technical Elective</t>
    <phoneticPr fontId="9" type="noConversion"/>
  </si>
  <si>
    <t>Senior; Spring</t>
    <phoneticPr fontId="9" type="noConversion"/>
  </si>
  <si>
    <t>CEN senior electives are listed on curriculum sheet</t>
    <phoneticPr fontId="9" type="noConversion"/>
  </si>
  <si>
    <t>Our mission is to prepare exceptional engineers!</t>
    <phoneticPr fontId="9" type="noConversion"/>
  </si>
  <si>
    <t>MECHANICAL ENGINEERING</t>
    <phoneticPr fontId="9" type="noConversion"/>
  </si>
  <si>
    <t>MEN 1001 counts for 4 more if taken F08 or later</t>
    <phoneticPr fontId="9" type="noConversion"/>
  </si>
  <si>
    <t>DIVERSITY CRS.</t>
    <phoneticPr fontId="0" type="noConversion"/>
  </si>
  <si>
    <t>Enter course used here</t>
    <phoneticPr fontId="0" type="noConversion"/>
  </si>
  <si>
    <t>CSC 1610</t>
    <phoneticPr fontId="0" type="noConversion"/>
  </si>
  <si>
    <t>Computer Science I</t>
    <phoneticPr fontId="0" type="noConversion"/>
  </si>
  <si>
    <t xml:space="preserve">                       MECHANICAL ENGINEERING CURRICULUM</t>
    <phoneticPr fontId="0" type="noConversion"/>
  </si>
  <si>
    <t>Professionalism &amp; Ethics</t>
    <phoneticPr fontId="0" type="noConversion"/>
  </si>
  <si>
    <t>Foundations</t>
    <phoneticPr fontId="9" type="noConversion"/>
  </si>
  <si>
    <t>Credits</t>
    <phoneticPr fontId="9" type="noConversion"/>
  </si>
  <si>
    <t>Quantitative Reasoning (Q)</t>
    <phoneticPr fontId="9" type="noConversion"/>
  </si>
  <si>
    <t>Explorations</t>
    <phoneticPr fontId="9" type="noConversion"/>
  </si>
  <si>
    <t>Foreign language*</t>
    <phoneticPr fontId="9" type="noConversion"/>
  </si>
  <si>
    <t>Cultural Diversity (D)</t>
    <phoneticPr fontId="9" type="noConversion"/>
  </si>
  <si>
    <t>FE Exam taken</t>
    <phoneticPr fontId="9" type="noConversion"/>
  </si>
  <si>
    <t>Writing intensive (W)**</t>
    <phoneticPr fontId="9" type="noConversion"/>
  </si>
  <si>
    <t>Experiential (X)***</t>
    <phoneticPr fontId="9" type="noConversion"/>
  </si>
  <si>
    <t>* Use Calculus II as replacement for this requirement</t>
    <phoneticPr fontId="9" type="noConversion"/>
  </si>
  <si>
    <t>** Use GEN 1001</t>
    <phoneticPr fontId="9" type="noConversion"/>
  </si>
  <si>
    <t>*** use CEN 4901</t>
    <phoneticPr fontId="9" type="noConversion"/>
  </si>
  <si>
    <t>Curriculum Analysis</t>
    <phoneticPr fontId="9" type="noConversion"/>
  </si>
  <si>
    <t>Actuals</t>
    <phoneticPr fontId="9" type="noConversion"/>
  </si>
  <si>
    <t>taken</t>
    <phoneticPr fontId="9" type="noConversion"/>
  </si>
  <si>
    <t>OVERALL</t>
    <phoneticPr fontId="9" type="noConversion"/>
  </si>
  <si>
    <t xml:space="preserve">Credits </t>
    <phoneticPr fontId="9" type="noConversion"/>
  </si>
  <si>
    <t>MATH AND SCIENCE</t>
    <phoneticPr fontId="9" type="noConversion"/>
  </si>
  <si>
    <t>Science and Math Topics</t>
    <phoneticPr fontId="9" type="noConversion"/>
  </si>
  <si>
    <t>Required</t>
    <phoneticPr fontId="9" type="noConversion"/>
  </si>
  <si>
    <t>Taken</t>
    <phoneticPr fontId="9" type="noConversion"/>
  </si>
  <si>
    <t>A</t>
    <phoneticPr fontId="9" type="noConversion"/>
  </si>
  <si>
    <t>A</t>
    <phoneticPr fontId="9" type="noConversion"/>
  </si>
  <si>
    <t>GENERAL EDUCATION</t>
    <phoneticPr fontId="9" type="noConversion"/>
  </si>
  <si>
    <t>A-</t>
    <phoneticPr fontId="9" type="noConversion"/>
  </si>
  <si>
    <t>B</t>
    <phoneticPr fontId="9" type="noConversion"/>
  </si>
  <si>
    <t>B-</t>
    <phoneticPr fontId="9" type="noConversion"/>
  </si>
  <si>
    <t>B+</t>
    <phoneticPr fontId="9" type="noConversion"/>
  </si>
  <si>
    <t>C</t>
    <phoneticPr fontId="9" type="noConversion"/>
  </si>
  <si>
    <t>C-</t>
    <phoneticPr fontId="9" type="noConversion"/>
  </si>
  <si>
    <t>C+</t>
    <phoneticPr fontId="9" type="noConversion"/>
  </si>
  <si>
    <t>C+</t>
    <phoneticPr fontId="9" type="noConversion"/>
  </si>
  <si>
    <t>D</t>
    <phoneticPr fontId="9" type="noConversion"/>
  </si>
  <si>
    <t>D-</t>
    <phoneticPr fontId="9" type="noConversion"/>
  </si>
  <si>
    <t>D+</t>
    <phoneticPr fontId="9" type="noConversion"/>
  </si>
  <si>
    <t>F</t>
    <phoneticPr fontId="9" type="noConversion"/>
  </si>
  <si>
    <t>Fall (sem 2)</t>
    <phoneticPr fontId="0" type="noConversion"/>
  </si>
  <si>
    <t>Spring (sem 1)</t>
    <phoneticPr fontId="0" type="noConversion"/>
  </si>
  <si>
    <t>Calculus I</t>
  </si>
  <si>
    <t>Calculus II</t>
  </si>
  <si>
    <t>Calculus III</t>
  </si>
  <si>
    <t>Senior Seminar</t>
  </si>
  <si>
    <t xml:space="preserve">                        MERRIMACK COLLEGE</t>
  </si>
  <si>
    <t>Mechanics I</t>
  </si>
  <si>
    <t>PERCENT OF TOTAL</t>
  </si>
  <si>
    <t>Totals must</t>
  </si>
  <si>
    <t>Minimum semester credit hours</t>
  </si>
  <si>
    <t>32 hrs</t>
  </si>
  <si>
    <t xml:space="preserve">48 hrs           </t>
  </si>
  <si>
    <t>satisfy one set</t>
  </si>
  <si>
    <t>Minimum percentage</t>
  </si>
  <si>
    <t>Freshman; Spring</t>
    <phoneticPr fontId="9" type="noConversion"/>
  </si>
  <si>
    <t>Sophomore; Fall</t>
    <phoneticPr fontId="9" type="noConversion"/>
  </si>
  <si>
    <t>Name</t>
  </si>
  <si>
    <t>ID #</t>
  </si>
  <si>
    <t>Intro. to Eng.</t>
  </si>
  <si>
    <t>MTH 1505</t>
  </si>
  <si>
    <t>Engineering aspects of windpower systems including aerodynamic analysis, mechanical design, support structure design, wind field analysis, system concepts and analysis, and economics. Prerequisite: M&amp;I-Eng 340. Fluid Mech</t>
    <phoneticPr fontId="0" type="noConversion"/>
  </si>
  <si>
    <t>FROM UMASS ME DEPT</t>
    <phoneticPr fontId="0" type="noConversion"/>
  </si>
  <si>
    <t>GEN 2010</t>
    <phoneticPr fontId="0" type="noConversion"/>
  </si>
  <si>
    <t>GEN 1001</t>
    <phoneticPr fontId="0" type="noConversion"/>
  </si>
  <si>
    <t>GEN 2012</t>
    <phoneticPr fontId="0" type="noConversion"/>
  </si>
  <si>
    <t>GEN3040</t>
    <phoneticPr fontId="0" type="noConversion"/>
  </si>
  <si>
    <t>Arts &amp; Lit (AL)</t>
    <phoneticPr fontId="0" type="noConversion"/>
  </si>
  <si>
    <t>CHM 1180</t>
    <phoneticPr fontId="0" type="noConversion"/>
  </si>
  <si>
    <t>Engineering Chemistry</t>
    <phoneticPr fontId="0" type="noConversion"/>
  </si>
  <si>
    <t>Hist. Studies (H)</t>
    <phoneticPr fontId="9" type="noConversion"/>
  </si>
  <si>
    <t>Ethics (E)</t>
    <phoneticPr fontId="9" type="noConversion"/>
  </si>
  <si>
    <t>Soc. Science (SS)</t>
    <phoneticPr fontId="0" type="noConversion"/>
  </si>
  <si>
    <t>The relation between structure and the mechanical behavior of polymeric materials, including the application of fracture mechanics concepts to failure mechanisms such as wear, fatigue, and environmental degradation.</t>
    <phoneticPr fontId="0" type="noConversion"/>
  </si>
  <si>
    <t>Review of engineering principles of solar energy conversion including collection techniques, thermal and direct conversion, system performance prediction, and selected topics. Prerequisite: M&amp;I-Eng 354. Heat transfer</t>
    <phoneticPr fontId="0" type="noConversion"/>
  </si>
  <si>
    <t>Sophomore; Spring</t>
    <phoneticPr fontId="9" type="noConversion"/>
  </si>
  <si>
    <t>Junior; Fall</t>
    <phoneticPr fontId="9" type="noConversion"/>
  </si>
  <si>
    <t>Junior; Spring</t>
    <phoneticPr fontId="9" type="noConversion"/>
  </si>
  <si>
    <t>Senior; Fall</t>
    <phoneticPr fontId="9" type="noConversion"/>
  </si>
  <si>
    <t>MEN</t>
    <phoneticPr fontId="0" type="noConversion"/>
  </si>
  <si>
    <t>Depth elective</t>
    <phoneticPr fontId="0" type="noConversion"/>
  </si>
  <si>
    <t xml:space="preserve">MEN </t>
    <phoneticPr fontId="0" type="noConversion"/>
  </si>
  <si>
    <t>Depth elective</t>
    <phoneticPr fontId="0" type="noConversion"/>
  </si>
  <si>
    <t>MEN</t>
    <phoneticPr fontId="0" type="noConversion"/>
  </si>
  <si>
    <t>At least one course from each of the two areas listed must be chosen:</t>
    <phoneticPr fontId="0" type="noConversion"/>
  </si>
  <si>
    <t>Mechanical Systems</t>
    <phoneticPr fontId="0" type="noConversion"/>
  </si>
  <si>
    <t>MEN 5010 Advanced Mechanics/FEM</t>
  </si>
  <si>
    <t>MEN 5012 Instrumentation/Robotics</t>
  </si>
  <si>
    <t>CEN 5012 Steel Analysis and Design</t>
  </si>
  <si>
    <t>Year;</t>
  </si>
  <si>
    <t>Semester or</t>
  </si>
  <si>
    <t>Quarter</t>
  </si>
  <si>
    <t>Category (Credit Hours)</t>
  </si>
  <si>
    <t>Math &amp; Basic Sciences</t>
  </si>
  <si>
    <t>Other</t>
  </si>
  <si>
    <t>Course</t>
  </si>
  <si>
    <t>(Department, Number, Title)</t>
  </si>
  <si>
    <t>TOTALS-ABET BASIC-LEVEL REQUIREMENTS</t>
  </si>
  <si>
    <t>OVERALL TOTAL FOR DEGREE</t>
  </si>
  <si>
    <t>Requirement</t>
  </si>
  <si>
    <t>Y</t>
  </si>
  <si>
    <t>College Writing</t>
  </si>
  <si>
    <t>MEN 5030 Energy Systems</t>
    <phoneticPr fontId="0" type="noConversion"/>
  </si>
  <si>
    <t>MEN 5032 Solar &amp; Direct Energy Conversion</t>
    <phoneticPr fontId="0" type="noConversion"/>
  </si>
  <si>
    <t>MEN 5034 Windpower Systems</t>
    <phoneticPr fontId="0" type="noConversion"/>
  </si>
  <si>
    <t>CEN 3010 Structures</t>
    <phoneticPr fontId="0" type="noConversion"/>
  </si>
  <si>
    <t>CEN 3020 Geotechnical Engineering</t>
    <phoneticPr fontId="0" type="noConversion"/>
  </si>
  <si>
    <t>Principles of mechanical behavior and failure of metals, polymers, and ceramics. Analysis of problems in design of structural materials that must meet certain strength and performance criteria. Emphasis on the engineering significance and use of various experimentally measured properties such as fatigue life, critical stress intensity factor, relaxation modulus, creep rupture life, and crack growth rate.</t>
  </si>
  <si>
    <t>Curricular</t>
  </si>
  <si>
    <t>Number of Credits*</t>
  </si>
  <si>
    <t>Category</t>
  </si>
  <si>
    <t>Criteria</t>
  </si>
  <si>
    <t>Table I-1</t>
  </si>
  <si>
    <t>of Self-Study</t>
  </si>
  <si>
    <t>College-level Mathematics and Basic Science</t>
  </si>
  <si>
    <t xml:space="preserve"> 1 yr (30-32 cr)</t>
  </si>
  <si>
    <t>Engineering Topics</t>
  </si>
  <si>
    <t xml:space="preserve"> </t>
  </si>
  <si>
    <t>4.  You may keep track of your progress through the curriculum by clicking on the Flowchart sheet.  All completed courses will be outlined in yellow.</t>
    <phoneticPr fontId="0" type="noConversion"/>
  </si>
  <si>
    <t>Work with your advisor here.</t>
    <phoneticPr fontId="0" type="noConversion"/>
  </si>
  <si>
    <t>INSTRUCTIONS FOR USE</t>
    <phoneticPr fontId="0" type="noConversion"/>
  </si>
  <si>
    <t>Pre-requisites or co-requisites not met</t>
    <phoneticPr fontId="0" type="noConversion"/>
  </si>
  <si>
    <t>PHY 2211</t>
  </si>
  <si>
    <t>Please List Below Any Applicable Program Criteria Requirements:</t>
  </si>
  <si>
    <t>Reference for Table I-1</t>
    <phoneticPr fontId="9" type="noConversion"/>
  </si>
  <si>
    <t>Credits</t>
    <phoneticPr fontId="9" type="noConversion"/>
  </si>
  <si>
    <t>MACK</t>
    <phoneticPr fontId="0" type="noConversion"/>
  </si>
  <si>
    <t>Sydney</t>
    <phoneticPr fontId="0" type="noConversion"/>
  </si>
  <si>
    <t>JUNIOR YEAR</t>
    <phoneticPr fontId="0" type="noConversion"/>
  </si>
  <si>
    <t>List of MEN Depth Electives</t>
    <phoneticPr fontId="0" type="noConversion"/>
  </si>
  <si>
    <t>2. Now you're ready to begin planning the upcoming semester.  Enter a 1 into the green boxes beside courses in which you would like to enroll next semester.</t>
    <phoneticPr fontId="0" type="noConversion"/>
  </si>
  <si>
    <t>MTH 2220</t>
  </si>
  <si>
    <t>MTH 2219</t>
  </si>
  <si>
    <t>UTS</t>
    <phoneticPr fontId="0" type="noConversion"/>
  </si>
  <si>
    <t>48330 Soil Behaviour</t>
    <phoneticPr fontId="0" type="noConversion"/>
  </si>
  <si>
    <t>48349 Structural Analysis</t>
    <phoneticPr fontId="0" type="noConversion"/>
  </si>
  <si>
    <t>Fall</t>
    <phoneticPr fontId="0" type="noConversion"/>
  </si>
  <si>
    <t>Spring</t>
    <phoneticPr fontId="0" type="noConversion"/>
  </si>
  <si>
    <t>CIVL 2230 Intro to Structural Concepts</t>
    <phoneticPr fontId="0" type="noConversion"/>
  </si>
  <si>
    <t>mag factor</t>
    <phoneticPr fontId="9" type="noConversion"/>
  </si>
  <si>
    <t>CIVL 2410 Soil Mechanics</t>
    <phoneticPr fontId="0" type="noConversion"/>
  </si>
  <si>
    <t>CIVL 3612 Env and Fluids Eng*</t>
    <phoneticPr fontId="0" type="noConversion"/>
  </si>
  <si>
    <t>* may be offered only in Fall but we offer only in Spring</t>
    <phoneticPr fontId="0" type="noConversion"/>
  </si>
  <si>
    <t>Mechanics II</t>
  </si>
  <si>
    <t xml:space="preserve">ADVISOR:  </t>
  </si>
  <si>
    <t>FALL</t>
  </si>
  <si>
    <t>SPRING</t>
  </si>
  <si>
    <t>JUNIOR YEAR</t>
  </si>
  <si>
    <t>Des. Project</t>
  </si>
  <si>
    <t>Applied Statistics</t>
  </si>
  <si>
    <t>Physics I</t>
  </si>
  <si>
    <t>SOPHOMORE YEAR</t>
  </si>
  <si>
    <t>FRESHMAN YEAR</t>
  </si>
  <si>
    <t>Fluid Mech.</t>
  </si>
  <si>
    <t>N</t>
  </si>
  <si>
    <t>Course(s) taken</t>
  </si>
  <si>
    <r>
      <t xml:space="preserve">Elective </t>
    </r>
    <r>
      <rPr>
        <i/>
        <sz val="12"/>
        <rFont val="Times New Roman"/>
        <family val="1"/>
      </rPr>
      <t>(course here)</t>
    </r>
    <phoneticPr fontId="0" type="noConversion"/>
  </si>
  <si>
    <t>MTH 1217</t>
  </si>
  <si>
    <t>MTH 1218</t>
  </si>
  <si>
    <t>Pre-requisite for another course</t>
    <phoneticPr fontId="0" type="noConversion"/>
  </si>
  <si>
    <t>Co-requisite for another course</t>
    <phoneticPr fontId="0" type="noConversion"/>
  </si>
  <si>
    <t>Materials Science</t>
  </si>
  <si>
    <t>Machine Design</t>
  </si>
  <si>
    <t>Dynamics / Vibrations</t>
  </si>
  <si>
    <t>Heat and Mass Transfer</t>
  </si>
  <si>
    <t>Thermodynamics II</t>
  </si>
  <si>
    <t>MEN 3020</t>
    <phoneticPr fontId="0" type="noConversion"/>
  </si>
  <si>
    <t>Thermodynamics I</t>
    <phoneticPr fontId="0" type="noConversion"/>
  </si>
  <si>
    <t>MEN 3030</t>
    <phoneticPr fontId="0" type="noConversion"/>
  </si>
  <si>
    <t>MEN 3034</t>
    <phoneticPr fontId="0" type="noConversion"/>
  </si>
  <si>
    <t>1. Enter a 1 into the boxes outlined in green beside courses that you have completed successfully</t>
    <phoneticPr fontId="0" type="noConversion"/>
  </si>
  <si>
    <t>Technical</t>
    <phoneticPr fontId="0" type="noConversion"/>
  </si>
  <si>
    <t>Student Name:</t>
  </si>
  <si>
    <t>Student Number:</t>
  </si>
  <si>
    <t>Class year:</t>
  </si>
  <si>
    <t>Advisor:</t>
  </si>
  <si>
    <t>Pre-calculus</t>
  </si>
  <si>
    <t>Permission of academic advisor</t>
  </si>
  <si>
    <t>Senior standing</t>
  </si>
  <si>
    <t>Steps to your goal:</t>
  </si>
  <si>
    <t>Key</t>
  </si>
  <si>
    <t>Pre-requisite:</t>
  </si>
  <si>
    <t>Co-requisite</t>
  </si>
  <si>
    <t>PHL 1000</t>
  </si>
  <si>
    <t>Intro to Philosophy</t>
  </si>
  <si>
    <t>TOOK FE EXAM</t>
  </si>
  <si>
    <t>NOTES</t>
  </si>
  <si>
    <t>SENIOR YEAR</t>
  </si>
  <si>
    <t xml:space="preserve">    </t>
  </si>
  <si>
    <t>Diff. Equations</t>
  </si>
  <si>
    <t>Want</t>
    <phoneticPr fontId="9" type="noConversion"/>
  </si>
  <si>
    <t>MEN 3032</t>
    <phoneticPr fontId="0" type="noConversion"/>
  </si>
  <si>
    <t>MEN 4901</t>
    <phoneticPr fontId="0" type="noConversion"/>
  </si>
  <si>
    <t>MEN 4900</t>
    <phoneticPr fontId="0" type="noConversion"/>
  </si>
  <si>
    <t>MEN 3090</t>
    <phoneticPr fontId="0" type="noConversion"/>
  </si>
  <si>
    <t>3. The cell will turn red if you are missing any co or pre-requisites, which are shown in teal and pink, respectively.</t>
    <phoneticPr fontId="0" type="noConversion"/>
  </si>
  <si>
    <t>1.5 yr (45-48 cr)</t>
  </si>
  <si>
    <t>General Education</t>
  </si>
  <si>
    <t>48350 Env and SanEng</t>
    <phoneticPr fontId="0" type="noConversion"/>
  </si>
  <si>
    <t>CEN 3030 Transpo</t>
    <phoneticPr fontId="0" type="noConversion"/>
  </si>
  <si>
    <t>48370 Trans in the Env</t>
    <phoneticPr fontId="0" type="noConversion"/>
  </si>
  <si>
    <t>Queensland</t>
    <phoneticPr fontId="0" type="noConversion"/>
  </si>
  <si>
    <t>CIVL 2210 Soil</t>
    <phoneticPr fontId="0" type="noConversion"/>
  </si>
  <si>
    <t>CIVL 2340 Struct</t>
    <phoneticPr fontId="0" type="noConversion"/>
  </si>
  <si>
    <t>CIVL 2410 Transpo</t>
    <phoneticPr fontId="0" type="noConversion"/>
  </si>
  <si>
    <t>Inst. Reqmt=44</t>
    <phoneticPr fontId="9" type="noConversion"/>
  </si>
  <si>
    <t>RTS 1100</t>
  </si>
  <si>
    <t>Christianity in Context</t>
  </si>
  <si>
    <t>Depth elective</t>
  </si>
  <si>
    <t>Foundations</t>
  </si>
  <si>
    <t>Quantitative Reasoning (Q)</t>
  </si>
  <si>
    <t>Explorations</t>
  </si>
  <si>
    <t>Foreign Language*</t>
  </si>
  <si>
    <t>STEM electives</t>
    <phoneticPr fontId="9" type="noConversion"/>
  </si>
  <si>
    <t>Technical Elective</t>
    <phoneticPr fontId="9" type="noConversion"/>
  </si>
  <si>
    <t>Checks</t>
    <phoneticPr fontId="9" type="noConversion"/>
  </si>
  <si>
    <t>FE Exam</t>
    <phoneticPr fontId="9" type="noConversion"/>
  </si>
  <si>
    <t>Writing Intensive</t>
    <phoneticPr fontId="9" type="noConversion"/>
  </si>
  <si>
    <t>Course used:</t>
    <phoneticPr fontId="9" type="noConversion"/>
  </si>
  <si>
    <t>Diversity course</t>
    <phoneticPr fontId="9" type="noConversion"/>
  </si>
  <si>
    <t>Use MTH 1217</t>
  </si>
  <si>
    <t>Use MTH 1218</t>
  </si>
  <si>
    <t>Total Math</t>
  </si>
  <si>
    <t>Total Science</t>
  </si>
  <si>
    <t>TOTAL Math and Science</t>
  </si>
  <si>
    <t>TOTAL ENGINEERING</t>
    <phoneticPr fontId="9" type="noConversion"/>
  </si>
  <si>
    <t>TOTAL GENERAL EDUCATION</t>
    <phoneticPr fontId="9" type="noConversion"/>
  </si>
  <si>
    <t>FYW 1050</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</si>
</sst>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0"/>
      <name val="Geneva"/>
    </font>
    <font>
      <b/>
      <sz val="10"/>
      <name val="Geneva"/>
    </font>
    <font>
      <i/>
      <sz val="10"/>
      <name val="Geneva"/>
    </font>
    <font>
      <b/>
      <sz val="12"/>
      <name val="Geneva"/>
    </font>
    <font>
      <sz val="12"/>
      <name val="Geneva"/>
    </font>
    <font>
      <sz val="10"/>
      <name val="Times New Roman"/>
      <family val="1"/>
    </font>
    <font>
      <sz val="12"/>
      <name val="Times"/>
      <family val="1"/>
    </font>
    <font>
      <b/>
      <sz val="12"/>
      <name val="Times"/>
      <family val="1"/>
    </font>
    <font>
      <i/>
      <sz val="12"/>
      <name val="Times"/>
      <family val="1"/>
    </font>
    <font>
      <sz val="8"/>
      <name val="Verdana"/>
      <family val="2"/>
    </font>
    <font>
      <b/>
      <sz val="12"/>
      <name val="Arial Black"/>
      <family val="2"/>
    </font>
    <font>
      <b/>
      <i/>
      <sz val="12"/>
      <name val="Times"/>
      <family val="1"/>
    </font>
    <font>
      <sz val="12"/>
      <name val="Times New Roman"/>
      <family val="1"/>
    </font>
    <font>
      <b/>
      <sz val="12"/>
      <name val="Times New Roman"/>
      <family val="1"/>
    </font>
    <font>
      <b/>
      <u/>
      <sz val="12"/>
      <name val="Times New Roman"/>
      <family val="1"/>
    </font>
    <font>
      <u/>
      <sz val="12"/>
      <name val="Times New Roman"/>
      <family val="1"/>
    </font>
    <font>
      <i/>
      <sz val="12"/>
      <name val="Times New Roman"/>
      <family val="1"/>
    </font>
    <font>
      <sz val="10"/>
      <color indexed="10"/>
      <name val="Geneva"/>
    </font>
    <font>
      <sz val="10"/>
      <color indexed="45"/>
      <name val="Geneva"/>
    </font>
    <font>
      <sz val="10"/>
      <color indexed="40"/>
      <name val="Geneva"/>
    </font>
    <font>
      <sz val="10"/>
      <color indexed="9"/>
      <name val="Times New Roman"/>
      <family val="1"/>
    </font>
    <font>
      <b/>
      <sz val="14"/>
      <name val="Geneva"/>
    </font>
    <font>
      <b/>
      <i/>
      <sz val="24"/>
      <name val="Verdana"/>
      <family val="2"/>
    </font>
    <font>
      <sz val="12"/>
      <name val="Times New Roman"/>
      <family val="1"/>
    </font>
    <font>
      <b/>
      <i/>
      <sz val="14"/>
      <name val="Times New Roman"/>
      <family val="1"/>
    </font>
    <font>
      <sz val="12"/>
      <color indexed="8"/>
      <name val="Cambria"/>
      <family val="1"/>
    </font>
    <font>
      <u/>
      <sz val="10"/>
      <color theme="10"/>
      <name val="Geneva"/>
    </font>
    <font>
      <u/>
      <sz val="10"/>
      <color theme="11"/>
      <name val="Geneva"/>
    </font>
  </fonts>
  <fills count="11">
    <fill>
      <patternFill patternType="none"/>
    </fill>
    <fill>
      <patternFill patternType="gray125"/>
    </fill>
    <fill>
      <patternFill patternType="solid">
        <fgColor indexed="10"/>
        <bgColor indexed="64"/>
      </patternFill>
    </fill>
    <fill>
      <patternFill patternType="solid">
        <fgColor indexed="45"/>
        <bgColor indexed="64"/>
      </patternFill>
    </fill>
    <fill>
      <patternFill patternType="solid">
        <fgColor indexed="40"/>
        <bgColor indexed="64"/>
      </patternFill>
    </fill>
    <fill>
      <patternFill patternType="solid">
        <fgColor indexed="43"/>
        <bgColor indexed="64"/>
      </patternFill>
    </fill>
    <fill>
      <patternFill patternType="solid">
        <fgColor indexed="55"/>
        <bgColor indexed="64"/>
      </patternFill>
    </fill>
    <fill>
      <patternFill patternType="solid">
        <fgColor indexed="42"/>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s>
  <borders count="65">
    <border>
      <left/>
      <right/>
      <top/>
      <bottom/>
      <diagonal/>
    </border>
    <border>
      <left/>
      <right/>
      <top style="thin">
        <color auto="1"/>
      </top>
      <bottom/>
      <diagonal/>
    </border>
    <border>
      <left style="thin">
        <color auto="1"/>
      </left>
      <right/>
      <top/>
      <bottom/>
      <diagonal/>
    </border>
    <border>
      <left/>
      <right style="medium">
        <color auto="1"/>
      </right>
      <top style="thin">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right/>
      <top/>
      <bottom style="thin">
        <color auto="1"/>
      </bottom>
      <diagonal/>
    </border>
    <border>
      <left/>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top/>
      <bottom style="medium">
        <color auto="1"/>
      </bottom>
      <diagonal/>
    </border>
    <border>
      <left/>
      <right/>
      <top/>
      <bottom style="medium">
        <color auto="1"/>
      </bottom>
      <diagonal/>
    </border>
    <border>
      <left style="medium">
        <color indexed="35"/>
      </left>
      <right style="medium">
        <color indexed="35"/>
      </right>
      <top style="medium">
        <color indexed="35"/>
      </top>
      <bottom style="medium">
        <color indexed="3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n">
        <color auto="1"/>
      </right>
      <top style="thin">
        <color auto="1"/>
      </top>
      <bottom/>
      <diagonal/>
    </border>
    <border>
      <left/>
      <right style="thin">
        <color auto="1"/>
      </right>
      <top/>
      <bottom/>
      <diagonal/>
    </border>
    <border>
      <left/>
      <right/>
      <top style="medium">
        <color indexed="35"/>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ck">
        <color auto="1"/>
      </left>
      <right/>
      <top/>
      <bottom/>
      <diagonal/>
    </border>
    <border>
      <left style="thick">
        <color auto="1"/>
      </left>
      <right/>
      <top style="medium">
        <color auto="1"/>
      </top>
      <bottom/>
      <diagonal/>
    </border>
    <border>
      <left style="medium">
        <color auto="1"/>
      </left>
      <right style="thick">
        <color auto="1"/>
      </right>
      <top/>
      <bottom style="medium">
        <color auto="1"/>
      </bottom>
      <diagonal/>
    </border>
    <border>
      <left style="medium">
        <color auto="1"/>
      </left>
      <right/>
      <top style="medium">
        <color auto="1"/>
      </top>
      <bottom style="thick">
        <color auto="1"/>
      </bottom>
      <diagonal/>
    </border>
    <border>
      <left style="medium">
        <color auto="1"/>
      </left>
      <right/>
      <top/>
      <bottom style="thick">
        <color auto="1"/>
      </bottom>
      <diagonal/>
    </border>
    <border>
      <left style="medium">
        <color auto="1"/>
      </left>
      <right style="thick">
        <color auto="1"/>
      </right>
      <top/>
      <bottom style="thick">
        <color auto="1"/>
      </bottom>
      <diagonal/>
    </border>
    <border>
      <left style="medium">
        <color auto="1"/>
      </left>
      <right style="thick">
        <color auto="1"/>
      </right>
      <top style="medium">
        <color auto="1"/>
      </top>
      <bottom/>
      <diagonal/>
    </border>
    <border>
      <left style="thick">
        <color auto="1"/>
      </left>
      <right style="medium">
        <color auto="1"/>
      </right>
      <top style="thick">
        <color auto="1"/>
      </top>
      <bottom style="medium">
        <color auto="1"/>
      </bottom>
      <diagonal/>
    </border>
    <border>
      <left style="thick">
        <color auto="1"/>
      </left>
      <right style="medium">
        <color auto="1"/>
      </right>
      <top style="medium">
        <color auto="1"/>
      </top>
      <bottom style="medium">
        <color auto="1"/>
      </bottom>
      <diagonal/>
    </border>
    <border>
      <left/>
      <right style="thin">
        <color auto="1"/>
      </right>
      <top/>
      <bottom style="medium">
        <color auto="1"/>
      </bottom>
      <diagonal/>
    </border>
    <border>
      <left style="thick">
        <color auto="1"/>
      </left>
      <right/>
      <top/>
      <bottom style="thick">
        <color auto="1"/>
      </bottom>
      <diagonal/>
    </border>
    <border>
      <left style="medium">
        <color auto="1"/>
      </left>
      <right/>
      <top style="medium">
        <color auto="1"/>
      </top>
      <bottom style="medium">
        <color auto="1"/>
      </bottom>
      <diagonal/>
    </border>
    <border>
      <left style="medium">
        <color auto="1"/>
      </left>
      <right/>
      <top style="thick">
        <color auto="1"/>
      </top>
      <bottom/>
      <diagonal/>
    </border>
    <border>
      <left style="medium">
        <color auto="1"/>
      </left>
      <right style="medium">
        <color auto="1"/>
      </right>
      <top/>
      <bottom/>
      <diagonal/>
    </border>
    <border>
      <left style="medium">
        <color auto="1"/>
      </left>
      <right style="thick">
        <color auto="1"/>
      </right>
      <top style="medium">
        <color auto="1"/>
      </top>
      <bottom style="medium">
        <color auto="1"/>
      </bottom>
      <diagonal/>
    </border>
    <border>
      <left style="medium">
        <color auto="1"/>
      </left>
      <right style="thick">
        <color auto="1"/>
      </right>
      <top/>
      <bottom/>
      <diagonal/>
    </border>
    <border>
      <left style="dotted">
        <color auto="1"/>
      </left>
      <right style="dotted">
        <color auto="1"/>
      </right>
      <top/>
      <bottom style="dotted">
        <color auto="1"/>
      </bottom>
      <diagonal/>
    </border>
    <border>
      <left style="medium">
        <color indexed="35"/>
      </left>
      <right style="thin">
        <color auto="1"/>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right/>
      <top style="medium">
        <color auto="1"/>
      </top>
      <bottom style="medium">
        <color auto="1"/>
      </bottom>
      <diagonal/>
    </border>
    <border>
      <left/>
      <right style="medium">
        <color auto="1"/>
      </right>
      <top style="thick">
        <color auto="1"/>
      </top>
      <bottom/>
      <diagonal/>
    </border>
    <border>
      <left style="medium">
        <color auto="1"/>
      </left>
      <right/>
      <top style="thick">
        <color auto="1"/>
      </top>
      <bottom style="medium">
        <color auto="1"/>
      </bottom>
      <diagonal/>
    </border>
    <border>
      <left/>
      <right/>
      <top style="thick">
        <color auto="1"/>
      </top>
      <bottom style="medium">
        <color auto="1"/>
      </bottom>
      <diagonal/>
    </border>
    <border>
      <left style="medium">
        <color auto="1"/>
      </left>
      <right style="medium">
        <color auto="1"/>
      </right>
      <top/>
      <bottom style="thick">
        <color auto="1"/>
      </bottom>
      <diagonal/>
    </border>
    <border>
      <left/>
      <right style="medium">
        <color auto="1"/>
      </right>
      <top/>
      <bottom style="thick">
        <color auto="1"/>
      </bottom>
      <diagonal/>
    </border>
    <border>
      <left/>
      <right style="medium">
        <color auto="1"/>
      </right>
      <top style="thick">
        <color auto="1"/>
      </top>
      <bottom style="medium">
        <color auto="1"/>
      </bottom>
      <diagonal/>
    </border>
    <border>
      <left style="thick">
        <color auto="1"/>
      </left>
      <right/>
      <top style="thick">
        <color auto="1"/>
      </top>
      <bottom style="medium">
        <color auto="1"/>
      </bottom>
      <diagonal/>
    </border>
    <border>
      <left style="thick">
        <color auto="1"/>
      </left>
      <right/>
      <top style="medium">
        <color auto="1"/>
      </top>
      <bottom style="medium">
        <color auto="1"/>
      </bottom>
      <diagonal/>
    </border>
    <border>
      <left/>
      <right style="medium">
        <color auto="1"/>
      </right>
      <top style="medium">
        <color auto="1"/>
      </top>
      <bottom style="thick">
        <color auto="1"/>
      </bottom>
      <diagonal/>
    </border>
    <border>
      <left style="thin">
        <color auto="1"/>
      </left>
      <right/>
      <top style="thin">
        <color auto="1"/>
      </top>
      <bottom style="thin">
        <color auto="1"/>
      </bottom>
      <diagonal/>
    </border>
  </borders>
  <cellStyleXfs count="47">
    <xf numFmtId="0" fontId="0"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cellStyleXfs>
  <cellXfs count="270">
    <xf numFmtId="0" fontId="0" fillId="0" borderId="0" xfId="0"/>
    <xf numFmtId="0" fontId="0" fillId="0" borderId="0" xfId="0" applyNumberFormat="1" applyFont="1" applyAlignment="1">
      <alignment vertical="top"/>
    </xf>
    <xf numFmtId="0" fontId="4" fillId="0" borderId="0" xfId="0" applyNumberFormat="1" applyFont="1" applyAlignment="1">
      <alignment vertical="top"/>
    </xf>
    <xf numFmtId="0" fontId="5" fillId="0" borderId="1" xfId="0" applyNumberFormat="1" applyFont="1" applyBorder="1" applyAlignment="1">
      <alignment vertical="top"/>
    </xf>
    <xf numFmtId="0" fontId="5" fillId="0" borderId="0" xfId="0" applyNumberFormat="1" applyFont="1" applyBorder="1" applyAlignment="1">
      <alignment vertical="top"/>
    </xf>
    <xf numFmtId="0" fontId="0" fillId="0" borderId="0" xfId="0" applyFill="1"/>
    <xf numFmtId="0" fontId="6" fillId="0" borderId="0" xfId="0" applyFont="1"/>
    <xf numFmtId="0" fontId="5" fillId="0" borderId="0" xfId="0" applyNumberFormat="1" applyFont="1" applyFill="1" applyBorder="1" applyAlignment="1">
      <alignment vertical="top"/>
    </xf>
    <xf numFmtId="0" fontId="5" fillId="0" borderId="2" xfId="0" applyNumberFormat="1" applyFont="1" applyBorder="1" applyAlignment="1">
      <alignment vertical="top"/>
    </xf>
    <xf numFmtId="0" fontId="5" fillId="0" borderId="3" xfId="0" applyNumberFormat="1" applyFont="1" applyBorder="1" applyAlignment="1">
      <alignment vertical="top"/>
    </xf>
    <xf numFmtId="0" fontId="5" fillId="0" borderId="4" xfId="0" applyNumberFormat="1" applyFont="1" applyBorder="1" applyAlignment="1">
      <alignment vertical="top"/>
    </xf>
    <xf numFmtId="0" fontId="5" fillId="0" borderId="4" xfId="0" applyNumberFormat="1" applyFont="1" applyFill="1" applyBorder="1" applyAlignment="1">
      <alignment vertical="top"/>
    </xf>
    <xf numFmtId="0" fontId="6" fillId="0" borderId="0" xfId="0" applyFont="1" applyAlignment="1">
      <alignment wrapText="1"/>
    </xf>
    <xf numFmtId="0" fontId="4" fillId="0" borderId="0" xfId="0" applyFont="1"/>
    <xf numFmtId="0" fontId="6" fillId="0" borderId="5" xfId="0" applyFont="1" applyBorder="1" applyAlignment="1">
      <alignment wrapText="1"/>
    </xf>
    <xf numFmtId="0" fontId="7" fillId="0" borderId="5" xfId="0" applyFont="1" applyBorder="1" applyAlignment="1">
      <alignment horizontal="right" vertical="center" wrapText="1"/>
    </xf>
    <xf numFmtId="0" fontId="7" fillId="0" borderId="5" xfId="0" applyFont="1" applyBorder="1" applyAlignment="1">
      <alignment horizontal="center" vertical="center" wrapText="1"/>
    </xf>
    <xf numFmtId="0" fontId="6" fillId="0" borderId="0" xfId="0" applyFont="1" applyBorder="1" applyAlignment="1">
      <alignment wrapText="1"/>
    </xf>
    <xf numFmtId="0" fontId="8" fillId="0" borderId="6" xfId="0" applyFont="1" applyBorder="1" applyAlignment="1">
      <alignment horizontal="center" vertical="center" wrapText="1"/>
    </xf>
    <xf numFmtId="0" fontId="6" fillId="0" borderId="5" xfId="0" applyFont="1" applyBorder="1" applyAlignment="1">
      <alignment vertical="center" wrapText="1"/>
    </xf>
    <xf numFmtId="0" fontId="8" fillId="0" borderId="0" xfId="0" applyFont="1" applyBorder="1" applyAlignment="1">
      <alignment vertical="center"/>
    </xf>
    <xf numFmtId="0" fontId="7" fillId="0" borderId="7" xfId="0" applyFont="1" applyBorder="1" applyAlignment="1">
      <alignment wrapText="1"/>
    </xf>
    <xf numFmtId="0" fontId="11" fillId="0" borderId="0" xfId="0" applyFont="1" applyAlignment="1">
      <alignment horizontal="left" wrapText="1"/>
    </xf>
    <xf numFmtId="0" fontId="6" fillId="0" borderId="0" xfId="0" applyFont="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12" fillId="0" borderId="12" xfId="0" applyFont="1" applyBorder="1"/>
    <xf numFmtId="0" fontId="12" fillId="0" borderId="0" xfId="0" applyFont="1"/>
    <xf numFmtId="0" fontId="5" fillId="0" borderId="0" xfId="0" applyFont="1"/>
    <xf numFmtId="0" fontId="13" fillId="0" borderId="0" xfId="0" applyNumberFormat="1" applyFont="1" applyAlignment="1">
      <alignment horizontal="center" vertical="top"/>
    </xf>
    <xf numFmtId="0" fontId="12" fillId="0" borderId="0" xfId="0" applyNumberFormat="1" applyFont="1" applyAlignment="1">
      <alignment vertical="top"/>
    </xf>
    <xf numFmtId="0" fontId="12" fillId="0" borderId="0" xfId="0" applyNumberFormat="1" applyFont="1" applyAlignment="1">
      <alignment horizontal="center" vertical="top"/>
    </xf>
    <xf numFmtId="0" fontId="13" fillId="0" borderId="0" xfId="0" applyNumberFormat="1" applyFont="1" applyAlignment="1">
      <alignment horizontal="right" vertical="top"/>
    </xf>
    <xf numFmtId="0" fontId="12" fillId="0" borderId="13" xfId="0" applyFont="1" applyBorder="1"/>
    <xf numFmtId="0" fontId="12" fillId="0" borderId="0" xfId="0" applyNumberFormat="1" applyFont="1" applyAlignment="1">
      <alignment horizontal="right" vertical="top"/>
    </xf>
    <xf numFmtId="0" fontId="12" fillId="0" borderId="8" xfId="0" applyFont="1" applyBorder="1"/>
    <xf numFmtId="0" fontId="14" fillId="0" borderId="14" xfId="0" applyNumberFormat="1" applyFont="1" applyBorder="1" applyAlignment="1">
      <alignment horizontal="center" vertical="top"/>
    </xf>
    <xf numFmtId="0" fontId="13" fillId="0" borderId="14" xfId="0" applyNumberFormat="1" applyFont="1" applyBorder="1" applyAlignment="1">
      <alignment horizontal="center" vertical="top"/>
    </xf>
    <xf numFmtId="0" fontId="12" fillId="0" borderId="14" xfId="0" applyFont="1" applyBorder="1"/>
    <xf numFmtId="0" fontId="12" fillId="0" borderId="14" xfId="0" applyNumberFormat="1" applyFont="1" applyBorder="1" applyAlignment="1">
      <alignment vertical="top"/>
    </xf>
    <xf numFmtId="0" fontId="12" fillId="0" borderId="9" xfId="0" applyFont="1" applyBorder="1"/>
    <xf numFmtId="0" fontId="12" fillId="0" borderId="15" xfId="0" applyFont="1" applyBorder="1"/>
    <xf numFmtId="0" fontId="14" fillId="0" borderId="1" xfId="0" applyNumberFormat="1" applyFont="1" applyBorder="1" applyAlignment="1">
      <alignment horizontal="center" vertical="top"/>
    </xf>
    <xf numFmtId="0" fontId="13" fillId="0" borderId="1" xfId="0" applyNumberFormat="1" applyFont="1" applyBorder="1" applyAlignment="1">
      <alignment horizontal="center" vertical="top"/>
    </xf>
    <xf numFmtId="0" fontId="13" fillId="0" borderId="1" xfId="0" applyFont="1" applyBorder="1" applyAlignment="1">
      <alignment horizontal="center"/>
    </xf>
    <xf numFmtId="0" fontId="12" fillId="0" borderId="1" xfId="0" applyNumberFormat="1" applyFont="1" applyBorder="1" applyAlignment="1">
      <alignment vertical="top"/>
    </xf>
    <xf numFmtId="0" fontId="12" fillId="0" borderId="1" xfId="0" applyFont="1" applyBorder="1"/>
    <xf numFmtId="0" fontId="12" fillId="0" borderId="3" xfId="0" applyFont="1" applyBorder="1"/>
    <xf numFmtId="0" fontId="12" fillId="0" borderId="12" xfId="0" applyNumberFormat="1" applyFont="1" applyBorder="1" applyAlignment="1">
      <alignment vertical="top"/>
    </xf>
    <xf numFmtId="0" fontId="12" fillId="0" borderId="0" xfId="0" applyNumberFormat="1" applyFont="1" applyBorder="1" applyAlignment="1">
      <alignment vertical="top"/>
    </xf>
    <xf numFmtId="0" fontId="12" fillId="0" borderId="0" xfId="0" applyNumberFormat="1" applyFont="1" applyBorder="1" applyAlignment="1">
      <alignment horizontal="center" vertical="top"/>
    </xf>
    <xf numFmtId="0" fontId="5" fillId="0" borderId="0" xfId="0" applyFont="1" applyBorder="1"/>
    <xf numFmtId="0" fontId="5" fillId="0" borderId="4" xfId="0" applyFont="1" applyBorder="1"/>
    <xf numFmtId="0" fontId="12" fillId="0" borderId="12" xfId="0" applyNumberFormat="1" applyFont="1" applyBorder="1" applyAlignment="1"/>
    <xf numFmtId="0" fontId="12" fillId="0" borderId="0" xfId="0" applyNumberFormat="1" applyFont="1" applyBorder="1" applyAlignment="1"/>
    <xf numFmtId="0" fontId="15" fillId="0" borderId="0" xfId="0" applyNumberFormat="1" applyFont="1" applyBorder="1" applyAlignment="1">
      <alignment horizontal="center" vertical="top"/>
    </xf>
    <xf numFmtId="0" fontId="13" fillId="0" borderId="0" xfId="0" applyNumberFormat="1" applyFont="1" applyBorder="1" applyAlignment="1">
      <alignment vertical="top"/>
    </xf>
    <xf numFmtId="0" fontId="15" fillId="0" borderId="4" xfId="0" applyNumberFormat="1" applyFont="1" applyBorder="1" applyAlignment="1">
      <alignment horizontal="center" vertical="top"/>
    </xf>
    <xf numFmtId="0" fontId="12" fillId="0" borderId="16" xfId="0" applyNumberFormat="1" applyFont="1" applyBorder="1" applyAlignment="1">
      <alignment vertical="top"/>
    </xf>
    <xf numFmtId="0" fontId="12" fillId="0" borderId="13" xfId="0" applyNumberFormat="1" applyFont="1" applyBorder="1" applyAlignment="1">
      <alignment vertical="top"/>
    </xf>
    <xf numFmtId="0" fontId="12" fillId="0" borderId="13" xfId="0" applyNumberFormat="1" applyFont="1" applyBorder="1" applyAlignment="1">
      <alignment horizontal="center" vertical="top"/>
    </xf>
    <xf numFmtId="0" fontId="15" fillId="0" borderId="13" xfId="0" applyNumberFormat="1" applyFont="1" applyBorder="1" applyAlignment="1">
      <alignment horizontal="center" vertical="top"/>
    </xf>
    <xf numFmtId="0" fontId="15" fillId="0" borderId="17" xfId="0" applyNumberFormat="1" applyFont="1" applyBorder="1" applyAlignment="1">
      <alignment horizontal="center" vertical="top"/>
    </xf>
    <xf numFmtId="0" fontId="12" fillId="0" borderId="0" xfId="0" applyFont="1" applyBorder="1"/>
    <xf numFmtId="0" fontId="12" fillId="0" borderId="4" xfId="0" applyNumberFormat="1" applyFont="1" applyBorder="1" applyAlignment="1">
      <alignment horizontal="center" vertical="top"/>
    </xf>
    <xf numFmtId="0" fontId="12" fillId="0" borderId="1" xfId="0" applyNumberFormat="1" applyFont="1" applyBorder="1" applyAlignment="1">
      <alignment horizontal="center" vertical="top"/>
    </xf>
    <xf numFmtId="0" fontId="12" fillId="0" borderId="3" xfId="0" applyNumberFormat="1" applyFont="1" applyBorder="1" applyAlignment="1">
      <alignment horizontal="center" vertical="top"/>
    </xf>
    <xf numFmtId="0" fontId="13" fillId="0" borderId="0" xfId="0" applyNumberFormat="1" applyFont="1" applyBorder="1" applyAlignment="1">
      <alignment horizontal="center" vertical="top"/>
    </xf>
    <xf numFmtId="0" fontId="12" fillId="0" borderId="0" xfId="0" applyNumberFormat="1" applyFont="1" applyFill="1" applyBorder="1" applyAlignment="1">
      <alignment vertical="top"/>
    </xf>
    <xf numFmtId="0" fontId="12" fillId="0" borderId="0" xfId="0" applyNumberFormat="1" applyFont="1" applyFill="1" applyBorder="1" applyAlignment="1">
      <alignment horizontal="center" vertical="top"/>
    </xf>
    <xf numFmtId="0" fontId="13" fillId="0" borderId="1" xfId="0" applyNumberFormat="1" applyFont="1" applyBorder="1" applyAlignment="1">
      <alignment vertical="top"/>
    </xf>
    <xf numFmtId="0" fontId="16" fillId="0" borderId="2" xfId="0" applyNumberFormat="1" applyFont="1" applyBorder="1" applyAlignment="1"/>
    <xf numFmtId="0" fontId="12" fillId="0" borderId="0" xfId="0" applyFont="1" applyBorder="1" applyAlignment="1"/>
    <xf numFmtId="0" fontId="12" fillId="0" borderId="2" xfId="0" applyNumberFormat="1" applyFont="1" applyBorder="1" applyAlignment="1"/>
    <xf numFmtId="0" fontId="13" fillId="0" borderId="2" xfId="0" applyNumberFormat="1" applyFont="1" applyFill="1" applyBorder="1" applyAlignment="1">
      <alignment horizontal="left"/>
    </xf>
    <xf numFmtId="0" fontId="12" fillId="0" borderId="2" xfId="0" applyFont="1" applyBorder="1" applyAlignment="1"/>
    <xf numFmtId="0" fontId="16" fillId="0" borderId="2" xfId="0" applyFont="1" applyBorder="1" applyAlignment="1"/>
    <xf numFmtId="0" fontId="12" fillId="0" borderId="18" xfId="0" applyFont="1" applyBorder="1" applyAlignment="1"/>
    <xf numFmtId="0" fontId="12" fillId="0" borderId="19" xfId="0" applyFont="1" applyBorder="1" applyAlignment="1"/>
    <xf numFmtId="0" fontId="12" fillId="0" borderId="19" xfId="0" applyFont="1" applyBorder="1"/>
    <xf numFmtId="0" fontId="5" fillId="0" borderId="19" xfId="0" applyFont="1" applyBorder="1"/>
    <xf numFmtId="0" fontId="5" fillId="0" borderId="11" xfId="0" applyFont="1" applyBorder="1"/>
    <xf numFmtId="0" fontId="12" fillId="0" borderId="2" xfId="0" applyNumberFormat="1" applyFont="1" applyBorder="1" applyAlignment="1">
      <alignment vertical="top"/>
    </xf>
    <xf numFmtId="0" fontId="0" fillId="2" borderId="0" xfId="0" applyFill="1"/>
    <xf numFmtId="0" fontId="17" fillId="0" borderId="0" xfId="0" applyFont="1"/>
    <xf numFmtId="0" fontId="0" fillId="3" borderId="0" xfId="0" applyFill="1"/>
    <xf numFmtId="0" fontId="18" fillId="0" borderId="0" xfId="0" applyFont="1"/>
    <xf numFmtId="0" fontId="0" fillId="4" borderId="0" xfId="0" applyFill="1"/>
    <xf numFmtId="0" fontId="19" fillId="0" borderId="0" xfId="0" applyFont="1" applyFill="1"/>
    <xf numFmtId="0" fontId="20" fillId="0" borderId="0" xfId="0" applyFont="1" applyBorder="1"/>
    <xf numFmtId="0" fontId="5" fillId="0" borderId="20" xfId="0" applyFont="1" applyBorder="1" applyProtection="1">
      <protection locked="0"/>
    </xf>
    <xf numFmtId="0" fontId="3" fillId="0" borderId="21" xfId="0" applyFont="1" applyBorder="1"/>
    <xf numFmtId="0" fontId="0" fillId="0" borderId="22" xfId="0" applyBorder="1"/>
    <xf numFmtId="0" fontId="0" fillId="0" borderId="23" xfId="0" applyBorder="1"/>
    <xf numFmtId="0" fontId="12" fillId="5" borderId="13" xfId="0" applyFont="1" applyFill="1" applyBorder="1" applyProtection="1">
      <protection locked="0"/>
    </xf>
    <xf numFmtId="0" fontId="5" fillId="0" borderId="1" xfId="0" applyFont="1" applyBorder="1" applyAlignment="1" applyProtection="1">
      <alignment horizontal="left" vertical="top" wrapText="1"/>
      <protection locked="0"/>
    </xf>
    <xf numFmtId="0" fontId="5" fillId="0" borderId="24"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5" fillId="0" borderId="25" xfId="0" applyFont="1" applyBorder="1" applyAlignment="1" applyProtection="1">
      <alignment horizontal="left" vertical="top" wrapText="1"/>
      <protection locked="0"/>
    </xf>
    <xf numFmtId="0" fontId="5" fillId="0" borderId="15" xfId="0" applyFont="1" applyBorder="1" applyAlignment="1" applyProtection="1">
      <alignment horizontal="left" vertical="top"/>
      <protection locked="0"/>
    </xf>
    <xf numFmtId="0" fontId="5" fillId="0" borderId="26" xfId="0" applyFont="1" applyBorder="1" applyProtection="1">
      <protection locked="0"/>
    </xf>
    <xf numFmtId="0" fontId="12" fillId="0" borderId="0" xfId="0" applyNumberFormat="1" applyFont="1" applyFill="1" applyBorder="1" applyAlignment="1" applyProtection="1">
      <alignment vertical="top"/>
      <protection locked="0"/>
    </xf>
    <xf numFmtId="0" fontId="2" fillId="0" borderId="0" xfId="0" applyFont="1"/>
    <xf numFmtId="0" fontId="13" fillId="0" borderId="27" xfId="0" applyFont="1" applyBorder="1" applyAlignment="1">
      <alignment vertical="top" wrapText="1"/>
    </xf>
    <xf numFmtId="0" fontId="13" fillId="0" borderId="28" xfId="0" applyFont="1" applyBorder="1" applyAlignment="1">
      <alignment vertical="top" wrapText="1"/>
    </xf>
    <xf numFmtId="0" fontId="12" fillId="0" borderId="29" xfId="0" applyFont="1" applyBorder="1" applyAlignment="1">
      <alignment vertical="top" wrapText="1"/>
    </xf>
    <xf numFmtId="0" fontId="13" fillId="0" borderId="28" xfId="0" applyFont="1" applyBorder="1" applyAlignment="1">
      <alignment horizontal="center" vertical="top" wrapText="1"/>
    </xf>
    <xf numFmtId="0" fontId="12" fillId="0" borderId="11" xfId="0" applyFont="1" applyBorder="1" applyAlignment="1">
      <alignment horizontal="center" vertical="top" wrapText="1"/>
    </xf>
    <xf numFmtId="0" fontId="21" fillId="0" borderId="0" xfId="0" applyFont="1"/>
    <xf numFmtId="0" fontId="0" fillId="0" borderId="29" xfId="0" applyBorder="1" applyAlignment="1">
      <alignment wrapText="1"/>
    </xf>
    <xf numFmtId="0" fontId="12" fillId="0" borderId="11" xfId="0" applyFont="1" applyBorder="1" applyAlignment="1">
      <alignment horizontal="center" wrapText="1"/>
    </xf>
    <xf numFmtId="0" fontId="12" fillId="0" borderId="29" xfId="0" applyFont="1" applyBorder="1" applyAlignment="1">
      <alignment wrapText="1"/>
    </xf>
    <xf numFmtId="0" fontId="1" fillId="0" borderId="0" xfId="0" applyFont="1"/>
    <xf numFmtId="0" fontId="2" fillId="0" borderId="12" xfId="0" applyFont="1" applyBorder="1"/>
    <xf numFmtId="0" fontId="0" fillId="0" borderId="12" xfId="0" applyBorder="1"/>
    <xf numFmtId="0" fontId="12" fillId="0" borderId="21" xfId="0" applyFont="1" applyBorder="1" applyAlignment="1">
      <alignment horizontal="center" wrapText="1"/>
    </xf>
    <xf numFmtId="0" fontId="12" fillId="0" borderId="30" xfId="0" applyFont="1" applyBorder="1" applyAlignment="1">
      <alignment horizontal="center" wrapText="1"/>
    </xf>
    <xf numFmtId="0" fontId="12" fillId="0" borderId="12" xfId="0" applyFont="1" applyBorder="1" applyAlignment="1">
      <alignment vertical="top" wrapText="1"/>
    </xf>
    <xf numFmtId="0" fontId="12" fillId="0" borderId="31" xfId="0" applyFont="1" applyBorder="1" applyAlignment="1">
      <alignment horizontal="center" vertical="top" wrapText="1"/>
    </xf>
    <xf numFmtId="0" fontId="12" fillId="0" borderId="8" xfId="0" applyFont="1" applyBorder="1" applyAlignment="1">
      <alignment horizontal="center" vertical="top" wrapText="1"/>
    </xf>
    <xf numFmtId="0" fontId="12" fillId="6" borderId="10" xfId="0" applyFont="1" applyFill="1" applyBorder="1" applyAlignment="1">
      <alignment horizontal="center" vertical="top" wrapText="1"/>
    </xf>
    <xf numFmtId="0" fontId="12" fillId="6" borderId="32" xfId="0" applyFont="1" applyFill="1" applyBorder="1" applyAlignment="1">
      <alignment vertical="top" wrapText="1"/>
    </xf>
    <xf numFmtId="9" fontId="12" fillId="0" borderId="33" xfId="0" applyNumberFormat="1" applyFont="1" applyBorder="1" applyAlignment="1">
      <alignment horizontal="center" vertical="top" wrapText="1"/>
    </xf>
    <xf numFmtId="10" fontId="12" fillId="0" borderId="33" xfId="0" applyNumberFormat="1" applyFont="1" applyBorder="1" applyAlignment="1">
      <alignment horizontal="center" vertical="top" wrapText="1"/>
    </xf>
    <xf numFmtId="0" fontId="12" fillId="6" borderId="34" xfId="0" applyFont="1" applyFill="1" applyBorder="1" applyAlignment="1">
      <alignment horizontal="center" vertical="top" wrapText="1"/>
    </xf>
    <xf numFmtId="0" fontId="12" fillId="6" borderId="35" xfId="0" applyFont="1" applyFill="1" applyBorder="1" applyAlignment="1">
      <alignment vertical="top" wrapText="1"/>
    </xf>
    <xf numFmtId="0" fontId="12" fillId="0" borderId="36" xfId="0" applyFont="1" applyBorder="1" applyAlignment="1">
      <alignment horizontal="center" wrapText="1"/>
    </xf>
    <xf numFmtId="0" fontId="12" fillId="0" borderId="37" xfId="0" applyFont="1" applyBorder="1" applyAlignment="1">
      <alignment wrapText="1"/>
    </xf>
    <xf numFmtId="0" fontId="12" fillId="0" borderId="38" xfId="0" applyFont="1" applyBorder="1" applyAlignment="1">
      <alignment wrapText="1"/>
    </xf>
    <xf numFmtId="0" fontId="12" fillId="0" borderId="38" xfId="0" applyFont="1" applyBorder="1" applyAlignment="1">
      <alignment vertical="top" wrapText="1"/>
    </xf>
    <xf numFmtId="0" fontId="5" fillId="0" borderId="0" xfId="0" applyNumberFormat="1" applyFont="1" applyBorder="1" applyAlignment="1">
      <alignment horizontal="left" vertical="top"/>
    </xf>
    <xf numFmtId="0" fontId="23" fillId="0" borderId="12" xfId="0" applyNumberFormat="1" applyFont="1" applyBorder="1" applyAlignment="1">
      <alignment vertical="top"/>
    </xf>
    <xf numFmtId="0" fontId="23" fillId="0" borderId="0" xfId="0" applyNumberFormat="1" applyFont="1" applyBorder="1" applyAlignment="1">
      <alignment vertical="top"/>
    </xf>
    <xf numFmtId="0" fontId="23" fillId="0" borderId="0" xfId="0" applyNumberFormat="1" applyFont="1" applyBorder="1" applyAlignment="1">
      <alignment horizontal="center" vertical="top"/>
    </xf>
    <xf numFmtId="0" fontId="23" fillId="0" borderId="12" xfId="0" applyNumberFormat="1" applyFont="1" applyBorder="1" applyAlignment="1"/>
    <xf numFmtId="0" fontId="23" fillId="0" borderId="0" xfId="0" applyNumberFormat="1" applyFont="1" applyBorder="1" applyAlignment="1"/>
    <xf numFmtId="0" fontId="23" fillId="0" borderId="0" xfId="0" applyNumberFormat="1" applyFont="1" applyFill="1" applyBorder="1" applyAlignment="1" applyProtection="1">
      <alignment vertical="top"/>
      <protection locked="0"/>
    </xf>
    <xf numFmtId="0" fontId="0" fillId="0" borderId="0" xfId="0" applyBorder="1"/>
    <xf numFmtId="0" fontId="0" fillId="0" borderId="2" xfId="0" applyBorder="1"/>
    <xf numFmtId="0" fontId="0" fillId="0" borderId="0" xfId="0" applyAlignment="1"/>
    <xf numFmtId="0" fontId="0" fillId="0" borderId="25" xfId="0" applyBorder="1" applyAlignment="1"/>
    <xf numFmtId="0" fontId="0" fillId="0" borderId="19" xfId="0" applyBorder="1" applyAlignment="1"/>
    <xf numFmtId="0" fontId="0" fillId="0" borderId="39" xfId="0" applyBorder="1" applyAlignment="1"/>
    <xf numFmtId="0" fontId="16" fillId="0" borderId="0" xfId="0" applyFont="1" applyBorder="1" applyAlignment="1"/>
    <xf numFmtId="0" fontId="0" fillId="0" borderId="30" xfId="0" applyBorder="1" applyAlignment="1">
      <alignment wrapText="1"/>
    </xf>
    <xf numFmtId="0" fontId="12" fillId="0" borderId="0" xfId="0" applyFont="1" applyBorder="1" applyAlignment="1">
      <alignment wrapText="1"/>
    </xf>
    <xf numFmtId="0" fontId="12" fillId="0" borderId="0" xfId="0" applyFont="1" applyAlignment="1">
      <alignment wrapText="1"/>
    </xf>
    <xf numFmtId="0" fontId="12" fillId="0" borderId="7" xfId="0" applyFont="1" applyBorder="1" applyAlignment="1">
      <alignment horizontal="center" wrapText="1"/>
    </xf>
    <xf numFmtId="0" fontId="12" fillId="0" borderId="40" xfId="0" applyFont="1" applyBorder="1" applyAlignment="1">
      <alignment vertical="top" wrapText="1"/>
    </xf>
    <xf numFmtId="0" fontId="12" fillId="0" borderId="30" xfId="0" applyFont="1" applyBorder="1" applyAlignment="1">
      <alignment wrapText="1"/>
    </xf>
    <xf numFmtId="0" fontId="12" fillId="0" borderId="41" xfId="0" applyFont="1" applyBorder="1" applyAlignment="1">
      <alignment horizontal="center" vertical="top" wrapText="1"/>
    </xf>
    <xf numFmtId="0" fontId="12" fillId="0" borderId="42" xfId="0" applyFont="1" applyBorder="1" applyAlignment="1">
      <alignment horizontal="center" wrapText="1"/>
    </xf>
    <xf numFmtId="0" fontId="12" fillId="0" borderId="12" xfId="0" applyFont="1" applyBorder="1" applyAlignment="1">
      <alignment horizontal="center" wrapText="1"/>
    </xf>
    <xf numFmtId="0" fontId="12" fillId="0" borderId="4" xfId="0" applyFont="1" applyBorder="1" applyAlignment="1">
      <alignment horizontal="center" wrapText="1"/>
    </xf>
    <xf numFmtId="0" fontId="12" fillId="0" borderId="43" xfId="0" applyFont="1" applyBorder="1" applyAlignment="1">
      <alignment horizontal="center" wrapText="1"/>
    </xf>
    <xf numFmtId="0" fontId="12" fillId="0" borderId="0" xfId="0" applyFont="1" applyFill="1" applyBorder="1" applyAlignment="1"/>
    <xf numFmtId="0" fontId="12" fillId="7" borderId="0" xfId="0" applyNumberFormat="1" applyFont="1" applyFill="1" applyBorder="1" applyAlignment="1" applyProtection="1">
      <alignment vertical="top"/>
      <protection locked="0"/>
    </xf>
    <xf numFmtId="0" fontId="8" fillId="0" borderId="0" xfId="0" applyFont="1" applyAlignment="1">
      <alignment wrapText="1"/>
    </xf>
    <xf numFmtId="0" fontId="6" fillId="0" borderId="0" xfId="0" applyFont="1" applyAlignment="1">
      <alignment horizontal="right"/>
    </xf>
    <xf numFmtId="0" fontId="24" fillId="0" borderId="0" xfId="0" applyFont="1"/>
    <xf numFmtId="0" fontId="13" fillId="0" borderId="5" xfId="0" applyFont="1" applyBorder="1" applyAlignment="1">
      <alignment vertical="top" wrapText="1"/>
    </xf>
    <xf numFmtId="0" fontId="12" fillId="0" borderId="5" xfId="0" applyFont="1" applyBorder="1" applyAlignment="1">
      <alignment vertical="top" wrapText="1"/>
    </xf>
    <xf numFmtId="0" fontId="12" fillId="8" borderId="5" xfId="0" applyFont="1" applyFill="1" applyBorder="1" applyAlignment="1">
      <alignment vertical="top" wrapText="1"/>
    </xf>
    <xf numFmtId="0" fontId="0" fillId="0" borderId="5" xfId="0" applyBorder="1"/>
    <xf numFmtId="0" fontId="0" fillId="8" borderId="0" xfId="0" applyFill="1"/>
    <xf numFmtId="0" fontId="12" fillId="0" borderId="4" xfId="0" applyFont="1" applyFill="1" applyBorder="1" applyAlignment="1">
      <alignment horizontal="center" wrapText="1"/>
    </xf>
    <xf numFmtId="0" fontId="0" fillId="0" borderId="0" xfId="0" applyAlignment="1">
      <alignment horizontal="center"/>
    </xf>
    <xf numFmtId="0" fontId="12" fillId="0" borderId="30" xfId="0" applyFont="1" applyBorder="1" applyAlignment="1">
      <alignment horizontal="left"/>
    </xf>
    <xf numFmtId="0" fontId="12" fillId="0" borderId="0" xfId="0" applyFont="1" applyBorder="1" applyAlignment="1">
      <alignment horizontal="left"/>
    </xf>
    <xf numFmtId="0" fontId="12" fillId="0" borderId="8" xfId="0" applyFont="1" applyBorder="1" applyAlignment="1">
      <alignment horizontal="center" wrapText="1"/>
    </xf>
    <xf numFmtId="0" fontId="0" fillId="0" borderId="0" xfId="0" applyAlignment="1">
      <alignment wrapText="1"/>
    </xf>
    <xf numFmtId="0" fontId="12" fillId="0" borderId="36" xfId="0" applyFont="1" applyBorder="1" applyAlignment="1">
      <alignment horizontal="center" vertical="top" wrapText="1"/>
    </xf>
    <xf numFmtId="0" fontId="12" fillId="0" borderId="44" xfId="0" applyFont="1" applyBorder="1" applyAlignment="1">
      <alignment horizontal="center" vertical="top" wrapText="1"/>
    </xf>
    <xf numFmtId="0" fontId="12" fillId="0" borderId="42" xfId="0" applyFont="1" applyBorder="1" applyAlignment="1">
      <alignment horizontal="center" vertical="top" wrapText="1"/>
    </xf>
    <xf numFmtId="0" fontId="12" fillId="6" borderId="12" xfId="0" applyFont="1" applyFill="1" applyBorder="1" applyAlignment="1">
      <alignment horizontal="center" vertical="top" wrapText="1"/>
    </xf>
    <xf numFmtId="0" fontId="12" fillId="6" borderId="45" xfId="0" applyFont="1" applyFill="1" applyBorder="1" applyAlignment="1">
      <alignment horizontal="center" vertical="top" wrapText="1"/>
    </xf>
    <xf numFmtId="9" fontId="12" fillId="0" borderId="8" xfId="0" applyNumberFormat="1" applyFont="1" applyBorder="1" applyAlignment="1">
      <alignment horizontal="center" vertical="top" wrapText="1"/>
    </xf>
    <xf numFmtId="9" fontId="12" fillId="0" borderId="41" xfId="0" applyNumberFormat="1" applyFont="1" applyBorder="1" applyAlignment="1">
      <alignment horizontal="center" vertical="top" wrapText="1"/>
    </xf>
    <xf numFmtId="9" fontId="12" fillId="0" borderId="44" xfId="0" applyNumberFormat="1" applyFont="1" applyBorder="1" applyAlignment="1">
      <alignment horizontal="center" vertical="top" wrapText="1"/>
    </xf>
    <xf numFmtId="0" fontId="8" fillId="0" borderId="46" xfId="0" applyFont="1" applyBorder="1" applyAlignment="1">
      <alignment horizontal="center" vertical="center" wrapText="1"/>
    </xf>
    <xf numFmtId="0" fontId="8" fillId="0" borderId="0" xfId="0" applyFont="1" applyBorder="1" applyAlignment="1">
      <alignment horizontal="left" vertical="center"/>
    </xf>
    <xf numFmtId="0" fontId="0" fillId="0" borderId="0" xfId="0" applyBorder="1" applyAlignment="1"/>
    <xf numFmtId="0" fontId="15" fillId="0" borderId="0" xfId="0" applyNumberFormat="1" applyFont="1" applyBorder="1" applyAlignment="1">
      <alignment horizontal="right" vertical="top"/>
    </xf>
    <xf numFmtId="0" fontId="16" fillId="0" borderId="0" xfId="0" applyNumberFormat="1" applyFont="1" applyBorder="1" applyAlignment="1">
      <alignment vertical="top"/>
    </xf>
    <xf numFmtId="0" fontId="13" fillId="0" borderId="0" xfId="0" applyFont="1"/>
    <xf numFmtId="0" fontId="25" fillId="0" borderId="0" xfId="0" applyFont="1"/>
    <xf numFmtId="0" fontId="20" fillId="0" borderId="47" xfId="0" applyFont="1" applyBorder="1"/>
    <xf numFmtId="0" fontId="1" fillId="0" borderId="8" xfId="0" applyFont="1" applyBorder="1"/>
    <xf numFmtId="0" fontId="0" fillId="0" borderId="9" xfId="0" applyBorder="1"/>
    <xf numFmtId="0" fontId="1" fillId="0" borderId="12" xfId="0" applyFont="1" applyBorder="1"/>
    <xf numFmtId="0" fontId="0" fillId="0" borderId="4" xfId="0" applyBorder="1"/>
    <xf numFmtId="0" fontId="1" fillId="0" borderId="10" xfId="0" applyFont="1" applyBorder="1"/>
    <xf numFmtId="0" fontId="0" fillId="0" borderId="11" xfId="0" applyBorder="1"/>
    <xf numFmtId="0" fontId="0" fillId="0" borderId="8" xfId="0" applyBorder="1"/>
    <xf numFmtId="0" fontId="7" fillId="0" borderId="0" xfId="0" applyFont="1" applyAlignment="1">
      <alignment horizontal="center"/>
    </xf>
    <xf numFmtId="0" fontId="7" fillId="0" borderId="0" xfId="0" applyFont="1"/>
    <xf numFmtId="0" fontId="6" fillId="0" borderId="5" xfId="0" applyFont="1" applyBorder="1"/>
    <xf numFmtId="0" fontId="6" fillId="0" borderId="64" xfId="0" applyFont="1" applyBorder="1"/>
    <xf numFmtId="0" fontId="8" fillId="0" borderId="0" xfId="0" applyFont="1" applyAlignment="1">
      <alignment horizontal="right"/>
    </xf>
    <xf numFmtId="0" fontId="11" fillId="0" borderId="0" xfId="0" applyFont="1"/>
    <xf numFmtId="0" fontId="11" fillId="0" borderId="0" xfId="0" applyFont="1" applyBorder="1"/>
    <xf numFmtId="0" fontId="6" fillId="8" borderId="5" xfId="0" applyFont="1" applyFill="1" applyBorder="1"/>
    <xf numFmtId="0" fontId="0" fillId="9" borderId="0" xfId="0" applyFill="1"/>
    <xf numFmtId="0" fontId="8" fillId="0" borderId="0" xfId="0" applyFont="1"/>
    <xf numFmtId="0" fontId="2" fillId="10" borderId="0" xfId="0" applyFont="1" applyFill="1"/>
    <xf numFmtId="0" fontId="6" fillId="0" borderId="0" xfId="0" applyFont="1" applyBorder="1"/>
    <xf numFmtId="0" fontId="6" fillId="0" borderId="5" xfId="0" applyFont="1" applyBorder="1" applyAlignment="1">
      <alignment horizontal="right"/>
    </xf>
    <xf numFmtId="0" fontId="12" fillId="5" borderId="13" xfId="0" applyFont="1" applyFill="1" applyBorder="1" applyAlignment="1" applyProtection="1">
      <protection locked="0"/>
    </xf>
    <xf numFmtId="0" fontId="5" fillId="5" borderId="13" xfId="0" applyFont="1" applyFill="1" applyBorder="1" applyAlignment="1" applyProtection="1">
      <protection locked="0"/>
    </xf>
    <xf numFmtId="0" fontId="12" fillId="5" borderId="13" xfId="0" applyNumberFormat="1" applyFont="1" applyFill="1" applyBorder="1" applyAlignment="1" applyProtection="1">
      <alignment horizontal="center" vertical="top"/>
      <protection locked="0"/>
    </xf>
    <xf numFmtId="0" fontId="13" fillId="0" borderId="48" xfId="0" applyNumberFormat="1" applyFont="1" applyBorder="1" applyAlignment="1">
      <alignment horizontal="center" vertical="top" wrapText="1"/>
    </xf>
    <xf numFmtId="0" fontId="5" fillId="0" borderId="49" xfId="0" applyFont="1" applyBorder="1" applyAlignment="1">
      <alignment horizontal="center" wrapText="1"/>
    </xf>
    <xf numFmtId="0" fontId="5" fillId="0" borderId="50" xfId="0" applyFont="1" applyBorder="1" applyAlignment="1">
      <alignment horizontal="center" wrapText="1"/>
    </xf>
    <xf numFmtId="0" fontId="0" fillId="0" borderId="30" xfId="0" applyBorder="1" applyAlignment="1">
      <alignment wrapText="1"/>
    </xf>
    <xf numFmtId="0" fontId="0" fillId="0" borderId="0" xfId="0" applyBorder="1" applyAlignment="1">
      <alignment wrapText="1"/>
    </xf>
    <xf numFmtId="0" fontId="0" fillId="0" borderId="51" xfId="0" applyBorder="1" applyAlignment="1">
      <alignment wrapText="1"/>
    </xf>
    <xf numFmtId="0" fontId="0" fillId="0" borderId="40" xfId="0" applyBorder="1" applyAlignment="1">
      <alignment wrapText="1"/>
    </xf>
    <xf numFmtId="0" fontId="0" fillId="0" borderId="52" xfId="0" applyBorder="1" applyAlignment="1">
      <alignment wrapText="1"/>
    </xf>
    <xf numFmtId="0" fontId="0" fillId="0" borderId="53" xfId="0" applyBorder="1" applyAlignment="1">
      <alignment wrapText="1"/>
    </xf>
    <xf numFmtId="0" fontId="10" fillId="0" borderId="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1" xfId="0" applyFont="1" applyBorder="1" applyAlignment="1">
      <alignment horizontal="center" vertical="center" wrapText="1"/>
    </xf>
    <xf numFmtId="0" fontId="6" fillId="0" borderId="43" xfId="0" applyFont="1" applyBorder="1" applyAlignment="1">
      <alignment vertical="top" wrapText="1"/>
    </xf>
    <xf numFmtId="0" fontId="6" fillId="0" borderId="29" xfId="0" applyFont="1" applyBorder="1" applyAlignment="1">
      <alignment vertical="top" wrapText="1"/>
    </xf>
    <xf numFmtId="0" fontId="22" fillId="0" borderId="0" xfId="0" applyFont="1" applyAlignment="1">
      <alignment horizontal="left" wrapText="1"/>
    </xf>
    <xf numFmtId="0" fontId="12" fillId="0" borderId="62" xfId="0" applyFont="1" applyBorder="1" applyAlignment="1">
      <alignment vertical="top" wrapText="1"/>
    </xf>
    <xf numFmtId="0" fontId="12" fillId="0" borderId="54" xfId="0" applyFont="1" applyBorder="1" applyAlignment="1">
      <alignment vertical="top" wrapText="1"/>
    </xf>
    <xf numFmtId="0" fontId="12" fillId="0" borderId="28" xfId="0" applyFont="1" applyBorder="1" applyAlignment="1">
      <alignment vertical="top" wrapText="1"/>
    </xf>
    <xf numFmtId="0" fontId="12" fillId="0" borderId="0" xfId="0" applyFont="1" applyBorder="1" applyAlignment="1">
      <alignment wrapText="1"/>
    </xf>
    <xf numFmtId="0" fontId="12" fillId="0" borderId="0" xfId="0" applyFont="1" applyAlignment="1">
      <alignment wrapText="1"/>
    </xf>
    <xf numFmtId="0" fontId="12" fillId="0" borderId="41" xfId="0" applyFont="1" applyBorder="1" applyAlignment="1">
      <alignment vertical="top" wrapText="1"/>
    </xf>
    <xf numFmtId="0" fontId="12" fillId="0" borderId="33" xfId="0" applyFont="1" applyBorder="1" applyAlignment="1">
      <alignment vertical="top" wrapText="1"/>
    </xf>
    <xf numFmtId="0" fontId="12" fillId="0" borderId="63" xfId="0" applyFont="1" applyBorder="1" applyAlignment="1">
      <alignment vertical="top" wrapText="1"/>
    </xf>
    <xf numFmtId="0" fontId="12" fillId="0" borderId="30" xfId="0" applyFont="1" applyBorder="1" applyAlignment="1">
      <alignment vertical="top" wrapText="1"/>
    </xf>
    <xf numFmtId="0" fontId="12" fillId="0" borderId="0" xfId="0" applyFont="1" applyBorder="1" applyAlignment="1">
      <alignment vertical="top" wrapText="1"/>
    </xf>
    <xf numFmtId="0" fontId="12" fillId="0" borderId="51" xfId="0" applyFont="1" applyBorder="1" applyAlignment="1">
      <alignment vertical="top" wrapText="1"/>
    </xf>
    <xf numFmtId="0" fontId="12" fillId="0" borderId="40" xfId="0" applyFont="1" applyBorder="1" applyAlignment="1">
      <alignment vertical="top" wrapText="1"/>
    </xf>
    <xf numFmtId="0" fontId="12" fillId="0" borderId="52" xfId="0" applyFont="1" applyBorder="1" applyAlignment="1">
      <alignment vertical="top" wrapText="1"/>
    </xf>
    <xf numFmtId="0" fontId="12" fillId="0" borderId="53" xfId="0" applyFont="1" applyBorder="1" applyAlignment="1">
      <alignment vertical="top" wrapText="1"/>
    </xf>
    <xf numFmtId="0" fontId="12" fillId="0" borderId="61" xfId="0" applyFont="1" applyBorder="1" applyAlignment="1">
      <alignment vertical="top" wrapText="1"/>
    </xf>
    <xf numFmtId="0" fontId="12" fillId="0" borderId="57" xfId="0" applyFont="1" applyBorder="1" applyAlignment="1">
      <alignment vertical="top" wrapText="1"/>
    </xf>
    <xf numFmtId="0" fontId="12" fillId="0" borderId="60" xfId="0" applyFont="1" applyBorder="1" applyAlignment="1">
      <alignment vertical="top" wrapText="1"/>
    </xf>
    <xf numFmtId="0" fontId="12" fillId="0" borderId="30" xfId="0" applyFont="1" applyBorder="1" applyAlignment="1">
      <alignment wrapText="1"/>
    </xf>
    <xf numFmtId="0" fontId="0" fillId="0" borderId="28" xfId="0" applyBorder="1" applyAlignment="1">
      <alignment vertical="top" wrapText="1"/>
    </xf>
    <xf numFmtId="0" fontId="12" fillId="0" borderId="41" xfId="0" applyFont="1" applyBorder="1" applyAlignment="1">
      <alignment wrapText="1"/>
    </xf>
    <xf numFmtId="0" fontId="12" fillId="0" borderId="28" xfId="0" applyFont="1" applyBorder="1" applyAlignment="1">
      <alignment wrapText="1"/>
    </xf>
    <xf numFmtId="0" fontId="12" fillId="0" borderId="56" xfId="0" applyFont="1" applyBorder="1" applyAlignment="1">
      <alignment wrapText="1"/>
    </xf>
    <xf numFmtId="0" fontId="12" fillId="0" borderId="60" xfId="0" applyFont="1" applyBorder="1" applyAlignment="1">
      <alignment wrapText="1"/>
    </xf>
    <xf numFmtId="0" fontId="12" fillId="0" borderId="41" xfId="0" applyFont="1" applyBorder="1" applyAlignment="1">
      <alignment horizontal="center" vertical="top" wrapText="1"/>
    </xf>
    <xf numFmtId="0" fontId="12" fillId="0" borderId="54" xfId="0" applyFont="1" applyBorder="1" applyAlignment="1">
      <alignment horizontal="center" vertical="top" wrapText="1"/>
    </xf>
    <xf numFmtId="0" fontId="12" fillId="0" borderId="28" xfId="0" applyFont="1" applyBorder="1" applyAlignment="1">
      <alignment horizontal="center" vertical="top" wrapText="1"/>
    </xf>
    <xf numFmtId="0" fontId="12" fillId="0" borderId="54" xfId="0" applyFont="1" applyBorder="1" applyAlignment="1">
      <alignment wrapText="1"/>
    </xf>
    <xf numFmtId="0" fontId="12" fillId="0" borderId="42" xfId="0" applyFont="1" applyBorder="1" applyAlignment="1">
      <alignment horizontal="center" wrapText="1"/>
    </xf>
    <xf numFmtId="0" fontId="12" fillId="0" borderId="55" xfId="0" applyFont="1" applyBorder="1" applyAlignment="1">
      <alignment horizontal="center" wrapText="1"/>
    </xf>
    <xf numFmtId="0" fontId="12" fillId="0" borderId="56" xfId="0" applyFont="1" applyBorder="1" applyAlignment="1">
      <alignment horizontal="center"/>
    </xf>
    <xf numFmtId="0" fontId="12" fillId="0" borderId="57" xfId="0" applyFont="1" applyBorder="1" applyAlignment="1">
      <alignment horizontal="center"/>
    </xf>
    <xf numFmtId="0" fontId="12" fillId="0" borderId="12" xfId="0" applyFont="1" applyBorder="1" applyAlignment="1">
      <alignment horizontal="center" wrapText="1"/>
    </xf>
    <xf numFmtId="0" fontId="12" fillId="0" borderId="4" xfId="0" applyFont="1" applyBorder="1" applyAlignment="1">
      <alignment horizontal="center" wrapText="1"/>
    </xf>
    <xf numFmtId="0" fontId="12" fillId="0" borderId="7" xfId="0" applyFont="1" applyBorder="1" applyAlignment="1">
      <alignment horizontal="center" wrapText="1"/>
    </xf>
    <xf numFmtId="0" fontId="12" fillId="0" borderId="43" xfId="0" applyFont="1" applyBorder="1" applyAlignment="1">
      <alignment horizontal="center" wrapText="1"/>
    </xf>
    <xf numFmtId="0" fontId="12" fillId="0" borderId="58" xfId="0" applyFont="1" applyBorder="1" applyAlignment="1">
      <alignment horizontal="center" wrapText="1"/>
    </xf>
    <xf numFmtId="0" fontId="0" fillId="0" borderId="43" xfId="0" applyBorder="1" applyAlignment="1">
      <alignment wrapText="1"/>
    </xf>
    <xf numFmtId="0" fontId="0" fillId="0" borderId="58" xfId="0" applyBorder="1" applyAlignment="1">
      <alignment wrapText="1"/>
    </xf>
    <xf numFmtId="0" fontId="12" fillId="0" borderId="34" xfId="0" applyFont="1" applyBorder="1" applyAlignment="1">
      <alignment horizontal="center" wrapText="1"/>
    </xf>
    <xf numFmtId="0" fontId="12" fillId="0" borderId="59" xfId="0" applyFont="1" applyBorder="1" applyAlignment="1">
      <alignment horizontal="center" wrapText="1"/>
    </xf>
  </cellXfs>
  <cellStyles count="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Normal" xfId="0" builtinId="0"/>
  </cellStyles>
  <dxfs count="70">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45"/>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45"/>
        </patternFill>
      </fill>
    </dxf>
    <dxf>
      <fill>
        <patternFill>
          <bgColor indexed="10"/>
        </patternFill>
      </fill>
    </dxf>
    <dxf>
      <fill>
        <patternFill>
          <bgColor indexed="24"/>
        </patternFill>
      </fill>
    </dxf>
    <dxf>
      <fill>
        <patternFill>
          <bgColor indexed="45"/>
        </patternFill>
      </fill>
    </dxf>
    <dxf>
      <fill>
        <patternFill>
          <bgColor indexed="10"/>
        </patternFill>
      </fill>
    </dxf>
    <dxf>
      <fill>
        <patternFill>
          <bgColor indexed="24"/>
        </patternFill>
      </fill>
    </dxf>
    <dxf>
      <fill>
        <patternFill>
          <bgColor indexed="45"/>
        </patternFill>
      </fill>
    </dxf>
    <dxf>
      <fill>
        <patternFill>
          <bgColor indexed="10"/>
        </patternFill>
      </fill>
    </dxf>
    <dxf>
      <fill>
        <patternFill>
          <bgColor indexed="10"/>
        </patternFill>
      </fill>
    </dxf>
    <dxf>
      <fill>
        <patternFill>
          <bgColor indexed="45"/>
        </patternFill>
      </fill>
    </dxf>
    <dxf>
      <fill>
        <patternFill>
          <bgColor indexed="10"/>
        </patternFill>
      </fill>
    </dxf>
    <dxf>
      <fill>
        <patternFill>
          <bgColor indexed="24"/>
        </patternFill>
      </fill>
    </dxf>
    <dxf>
      <fill>
        <patternFill>
          <bgColor indexed="45"/>
        </patternFill>
      </fill>
    </dxf>
    <dxf>
      <fill>
        <patternFill>
          <bgColor indexed="10"/>
        </patternFill>
      </fill>
    </dxf>
    <dxf>
      <fill>
        <patternFill>
          <bgColor indexed="10"/>
        </patternFill>
      </fill>
    </dxf>
    <dxf>
      <fill>
        <patternFill>
          <bgColor indexed="45"/>
        </patternFill>
      </fill>
    </dxf>
    <dxf>
      <font>
        <condense val="0"/>
        <extend val="0"/>
        <color auto="1"/>
      </font>
    </dxf>
    <dxf>
      <font>
        <b/>
        <i val="0"/>
        <condense val="0"/>
        <extend val="0"/>
        <color auto="1"/>
      </font>
    </dxf>
    <dxf>
      <fill>
        <patternFill>
          <bgColor indexed="45"/>
        </patternFill>
      </fill>
    </dxf>
    <dxf>
      <fill>
        <patternFill>
          <bgColor indexed="10"/>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190500</xdr:rowOff>
    </xdr:from>
    <xdr:to>
      <xdr:col>3</xdr:col>
      <xdr:colOff>12700</xdr:colOff>
      <xdr:row>11</xdr:row>
      <xdr:rowOff>203200</xdr:rowOff>
    </xdr:to>
    <xdr:sp macro="" textlink="">
      <xdr:nvSpPr>
        <xdr:cNvPr id="20483" name="Line 3"/>
        <xdr:cNvSpPr>
          <a:spLocks noChangeShapeType="1"/>
        </xdr:cNvSpPr>
      </xdr:nvSpPr>
      <xdr:spPr bwMode="auto">
        <a:xfrm flipV="1">
          <a:off x="2565400" y="4368800"/>
          <a:ext cx="520700" cy="12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3</xdr:col>
      <xdr:colOff>1587500</xdr:colOff>
      <xdr:row>11</xdr:row>
      <xdr:rowOff>177800</xdr:rowOff>
    </xdr:from>
    <xdr:to>
      <xdr:col>5</xdr:col>
      <xdr:colOff>0</xdr:colOff>
      <xdr:row>11</xdr:row>
      <xdr:rowOff>190500</xdr:rowOff>
    </xdr:to>
    <xdr:sp macro="" textlink="">
      <xdr:nvSpPr>
        <xdr:cNvPr id="20484" name="Line 3"/>
        <xdr:cNvSpPr>
          <a:spLocks noChangeShapeType="1"/>
        </xdr:cNvSpPr>
      </xdr:nvSpPr>
      <xdr:spPr bwMode="auto">
        <a:xfrm flipV="1">
          <a:off x="4660900" y="4356100"/>
          <a:ext cx="508000" cy="12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4</xdr:col>
      <xdr:colOff>0</xdr:colOff>
      <xdr:row>15</xdr:row>
      <xdr:rowOff>165100</xdr:rowOff>
    </xdr:from>
    <xdr:to>
      <xdr:col>5</xdr:col>
      <xdr:colOff>0</xdr:colOff>
      <xdr:row>17</xdr:row>
      <xdr:rowOff>0</xdr:rowOff>
    </xdr:to>
    <xdr:sp macro="" textlink="">
      <xdr:nvSpPr>
        <xdr:cNvPr id="20485" name="Line 3"/>
        <xdr:cNvSpPr>
          <a:spLocks noChangeShapeType="1"/>
        </xdr:cNvSpPr>
      </xdr:nvSpPr>
      <xdr:spPr bwMode="auto">
        <a:xfrm>
          <a:off x="4660900" y="5867400"/>
          <a:ext cx="508000" cy="59690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5</xdr:col>
      <xdr:colOff>1485900</xdr:colOff>
      <xdr:row>9</xdr:row>
      <xdr:rowOff>368300</xdr:rowOff>
    </xdr:from>
    <xdr:to>
      <xdr:col>6</xdr:col>
      <xdr:colOff>495300</xdr:colOff>
      <xdr:row>11</xdr:row>
      <xdr:rowOff>190500</xdr:rowOff>
    </xdr:to>
    <xdr:sp macro="" textlink="">
      <xdr:nvSpPr>
        <xdr:cNvPr id="20486" name="Line 3"/>
        <xdr:cNvSpPr>
          <a:spLocks noChangeShapeType="1"/>
        </xdr:cNvSpPr>
      </xdr:nvSpPr>
      <xdr:spPr bwMode="auto">
        <a:xfrm flipV="1">
          <a:off x="6654800" y="3619500"/>
          <a:ext cx="508000" cy="7493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3</xdr:col>
      <xdr:colOff>1587500</xdr:colOff>
      <xdr:row>15</xdr:row>
      <xdr:rowOff>165100</xdr:rowOff>
    </xdr:from>
    <xdr:to>
      <xdr:col>4</xdr:col>
      <xdr:colOff>495300</xdr:colOff>
      <xdr:row>15</xdr:row>
      <xdr:rowOff>177800</xdr:rowOff>
    </xdr:to>
    <xdr:sp macro="" textlink="">
      <xdr:nvSpPr>
        <xdr:cNvPr id="20487" name="Line 3"/>
        <xdr:cNvSpPr>
          <a:spLocks noChangeShapeType="1"/>
        </xdr:cNvSpPr>
      </xdr:nvSpPr>
      <xdr:spPr bwMode="auto">
        <a:xfrm>
          <a:off x="4660900" y="5867400"/>
          <a:ext cx="495300" cy="12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6</xdr:col>
      <xdr:colOff>0</xdr:colOff>
      <xdr:row>11</xdr:row>
      <xdr:rowOff>177800</xdr:rowOff>
    </xdr:from>
    <xdr:to>
      <xdr:col>9</xdr:col>
      <xdr:colOff>12700</xdr:colOff>
      <xdr:row>11</xdr:row>
      <xdr:rowOff>177800</xdr:rowOff>
    </xdr:to>
    <xdr:sp macro="" textlink="">
      <xdr:nvSpPr>
        <xdr:cNvPr id="20488" name="Line 3"/>
        <xdr:cNvSpPr>
          <a:spLocks noChangeShapeType="1"/>
        </xdr:cNvSpPr>
      </xdr:nvSpPr>
      <xdr:spPr bwMode="auto">
        <a:xfrm>
          <a:off x="6667500" y="4356100"/>
          <a:ext cx="2425700" cy="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9</xdr:col>
      <xdr:colOff>1384300</xdr:colOff>
      <xdr:row>19</xdr:row>
      <xdr:rowOff>292100</xdr:rowOff>
    </xdr:from>
    <xdr:to>
      <xdr:col>11</xdr:col>
      <xdr:colOff>0</xdr:colOff>
      <xdr:row>19</xdr:row>
      <xdr:rowOff>292100</xdr:rowOff>
    </xdr:to>
    <xdr:sp macro="" textlink="">
      <xdr:nvSpPr>
        <xdr:cNvPr id="20489" name="Line 3"/>
        <xdr:cNvSpPr>
          <a:spLocks noChangeShapeType="1"/>
        </xdr:cNvSpPr>
      </xdr:nvSpPr>
      <xdr:spPr bwMode="auto">
        <a:xfrm flipV="1">
          <a:off x="10464800" y="7518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1</xdr:col>
      <xdr:colOff>596900</xdr:colOff>
      <xdr:row>13</xdr:row>
      <xdr:rowOff>368300</xdr:rowOff>
    </xdr:from>
    <xdr:to>
      <xdr:col>1</xdr:col>
      <xdr:colOff>647700</xdr:colOff>
      <xdr:row>15</xdr:row>
      <xdr:rowOff>12700</xdr:rowOff>
    </xdr:to>
    <xdr:sp macro="" textlink="">
      <xdr:nvSpPr>
        <xdr:cNvPr id="20490" name="Line 3"/>
        <xdr:cNvSpPr>
          <a:spLocks noChangeShapeType="1"/>
        </xdr:cNvSpPr>
      </xdr:nvSpPr>
      <xdr:spPr bwMode="auto">
        <a:xfrm rot="16200000" flipV="1">
          <a:off x="1371600" y="5486400"/>
          <a:ext cx="406400" cy="50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3</xdr:col>
      <xdr:colOff>673100</xdr:colOff>
      <xdr:row>8</xdr:row>
      <xdr:rowOff>0</xdr:rowOff>
    </xdr:from>
    <xdr:to>
      <xdr:col>3</xdr:col>
      <xdr:colOff>673100</xdr:colOff>
      <xdr:row>11</xdr:row>
      <xdr:rowOff>0</xdr:rowOff>
    </xdr:to>
    <xdr:cxnSp macro="">
      <xdr:nvCxnSpPr>
        <xdr:cNvPr id="20491" name="Straight Arrow Connector 23"/>
        <xdr:cNvCxnSpPr>
          <a:cxnSpLocks noChangeShapeType="1"/>
        </xdr:cNvCxnSpPr>
      </xdr:nvCxnSpPr>
      <xdr:spPr bwMode="auto">
        <a:xfrm>
          <a:off x="3746500" y="2933700"/>
          <a:ext cx="0" cy="1244600"/>
        </a:xfrm>
        <a:prstGeom prst="straightConnector1">
          <a:avLst/>
        </a:prstGeom>
        <a:noFill/>
        <a:ln w="9525">
          <a:solidFill>
            <a:srgbClr val="000000"/>
          </a:solidFill>
          <a:prstDash val="dash"/>
          <a:round/>
          <a:headEnd type="triangle" w="med" len="med"/>
          <a:tailEnd/>
        </a:ln>
        <a:extLst>
          <a:ext uri="{909E8E84-426E-40DD-AFC4-6F175D3DCCD1}">
            <a14:hiddenFill xmlns:a14="http://schemas.microsoft.com/office/drawing/2010/main">
              <a:noFill/>
            </a14:hiddenFill>
          </a:ext>
        </a:extLst>
      </xdr:spPr>
    </xdr:cxnSp>
    <xdr:clientData/>
  </xdr:twoCellAnchor>
  <xdr:twoCellAnchor>
    <xdr:from>
      <xdr:col>2</xdr:col>
      <xdr:colOff>241300</xdr:colOff>
      <xdr:row>11</xdr:row>
      <xdr:rowOff>190500</xdr:rowOff>
    </xdr:from>
    <xdr:to>
      <xdr:col>2</xdr:col>
      <xdr:colOff>241300</xdr:colOff>
      <xdr:row>15</xdr:row>
      <xdr:rowOff>190500</xdr:rowOff>
    </xdr:to>
    <xdr:cxnSp macro="">
      <xdr:nvCxnSpPr>
        <xdr:cNvPr id="20492" name="Straight Connector 27"/>
        <xdr:cNvCxnSpPr>
          <a:cxnSpLocks noChangeShapeType="1"/>
        </xdr:cNvCxnSpPr>
      </xdr:nvCxnSpPr>
      <xdr:spPr bwMode="auto">
        <a:xfrm rot="16200000" flipH="1">
          <a:off x="2044700" y="5130800"/>
          <a:ext cx="15240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xdr:col>
      <xdr:colOff>254000</xdr:colOff>
      <xdr:row>15</xdr:row>
      <xdr:rowOff>177800</xdr:rowOff>
    </xdr:from>
    <xdr:to>
      <xdr:col>3</xdr:col>
      <xdr:colOff>0</xdr:colOff>
      <xdr:row>15</xdr:row>
      <xdr:rowOff>177800</xdr:rowOff>
    </xdr:to>
    <xdr:sp macro="" textlink="">
      <xdr:nvSpPr>
        <xdr:cNvPr id="20493" name="Line 3"/>
        <xdr:cNvSpPr>
          <a:spLocks noChangeShapeType="1"/>
        </xdr:cNvSpPr>
      </xdr:nvSpPr>
      <xdr:spPr bwMode="auto">
        <a:xfrm flipV="1">
          <a:off x="2819400" y="5880100"/>
          <a:ext cx="2540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3</xdr:col>
      <xdr:colOff>1384300</xdr:colOff>
      <xdr:row>15</xdr:row>
      <xdr:rowOff>368300</xdr:rowOff>
    </xdr:from>
    <xdr:to>
      <xdr:col>4</xdr:col>
      <xdr:colOff>254000</xdr:colOff>
      <xdr:row>19</xdr:row>
      <xdr:rowOff>165100</xdr:rowOff>
    </xdr:to>
    <xdr:cxnSp macro="">
      <xdr:nvCxnSpPr>
        <xdr:cNvPr id="20494" name="Straight Connector 31"/>
        <xdr:cNvCxnSpPr>
          <a:cxnSpLocks noChangeShapeType="1"/>
        </xdr:cNvCxnSpPr>
      </xdr:nvCxnSpPr>
      <xdr:spPr bwMode="auto">
        <a:xfrm rot="16200000" flipH="1">
          <a:off x="4025900" y="6502400"/>
          <a:ext cx="1320800" cy="4572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xdr:col>
      <xdr:colOff>241300</xdr:colOff>
      <xdr:row>19</xdr:row>
      <xdr:rowOff>165100</xdr:rowOff>
    </xdr:from>
    <xdr:to>
      <xdr:col>4</xdr:col>
      <xdr:colOff>495300</xdr:colOff>
      <xdr:row>19</xdr:row>
      <xdr:rowOff>177800</xdr:rowOff>
    </xdr:to>
    <xdr:sp macro="" textlink="">
      <xdr:nvSpPr>
        <xdr:cNvPr id="20495" name="Line 3"/>
        <xdr:cNvSpPr>
          <a:spLocks noChangeShapeType="1"/>
        </xdr:cNvSpPr>
      </xdr:nvSpPr>
      <xdr:spPr bwMode="auto">
        <a:xfrm flipV="1">
          <a:off x="4902200" y="7391400"/>
          <a:ext cx="254000" cy="12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7</xdr:col>
      <xdr:colOff>1384300</xdr:colOff>
      <xdr:row>15</xdr:row>
      <xdr:rowOff>177800</xdr:rowOff>
    </xdr:from>
    <xdr:to>
      <xdr:col>9</xdr:col>
      <xdr:colOff>0</xdr:colOff>
      <xdr:row>15</xdr:row>
      <xdr:rowOff>177800</xdr:rowOff>
    </xdr:to>
    <xdr:sp macro="" textlink="">
      <xdr:nvSpPr>
        <xdr:cNvPr id="20496" name="Line 3"/>
        <xdr:cNvSpPr>
          <a:spLocks noChangeShapeType="1"/>
        </xdr:cNvSpPr>
      </xdr:nvSpPr>
      <xdr:spPr bwMode="auto">
        <a:xfrm flipV="1">
          <a:off x="8559800" y="58801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0</xdr:col>
      <xdr:colOff>673100</xdr:colOff>
      <xdr:row>16</xdr:row>
      <xdr:rowOff>190500</xdr:rowOff>
    </xdr:from>
    <xdr:to>
      <xdr:col>4</xdr:col>
      <xdr:colOff>101600</xdr:colOff>
      <xdr:row>31</xdr:row>
      <xdr:rowOff>139700</xdr:rowOff>
    </xdr:to>
    <xdr:sp macro="" textlink="">
      <xdr:nvSpPr>
        <xdr:cNvPr id="20497" name="Rounded Rectangle 27"/>
        <xdr:cNvSpPr>
          <a:spLocks noChangeArrowheads="1"/>
        </xdr:cNvSpPr>
      </xdr:nvSpPr>
      <xdr:spPr bwMode="auto">
        <a:xfrm>
          <a:off x="673100" y="6273800"/>
          <a:ext cx="4089400" cy="6172200"/>
        </a:xfrm>
        <a:prstGeom prst="roundRect">
          <a:avLst>
            <a:gd name="adj" fmla="val 16667"/>
          </a:avLst>
        </a:prstGeom>
        <a:noFill/>
        <a:ln w="9525">
          <a:solidFill>
            <a:srgbClr val="7F7F7F"/>
          </a:solidFill>
          <a:prstDash val="dash"/>
          <a:round/>
          <a:headEnd/>
          <a:tailEnd/>
        </a:ln>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twoCellAnchor>
    <xdr:from>
      <xdr:col>7</xdr:col>
      <xdr:colOff>1384300</xdr:colOff>
      <xdr:row>11</xdr:row>
      <xdr:rowOff>215900</xdr:rowOff>
    </xdr:from>
    <xdr:to>
      <xdr:col>8</xdr:col>
      <xdr:colOff>495300</xdr:colOff>
      <xdr:row>15</xdr:row>
      <xdr:rowOff>190500</xdr:rowOff>
    </xdr:to>
    <xdr:sp macro="" textlink="">
      <xdr:nvSpPr>
        <xdr:cNvPr id="20498" name="Line 3"/>
        <xdr:cNvSpPr>
          <a:spLocks noChangeShapeType="1"/>
        </xdr:cNvSpPr>
      </xdr:nvSpPr>
      <xdr:spPr bwMode="auto">
        <a:xfrm flipV="1">
          <a:off x="8559800" y="4394200"/>
          <a:ext cx="508000" cy="149860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8</xdr:col>
      <xdr:colOff>25400</xdr:colOff>
      <xdr:row>13</xdr:row>
      <xdr:rowOff>177800</xdr:rowOff>
    </xdr:from>
    <xdr:to>
      <xdr:col>8</xdr:col>
      <xdr:colOff>495300</xdr:colOff>
      <xdr:row>15</xdr:row>
      <xdr:rowOff>165100</xdr:rowOff>
    </xdr:to>
    <xdr:sp macro="" textlink="">
      <xdr:nvSpPr>
        <xdr:cNvPr id="20499" name="Line 3"/>
        <xdr:cNvSpPr>
          <a:spLocks noChangeShapeType="1"/>
        </xdr:cNvSpPr>
      </xdr:nvSpPr>
      <xdr:spPr bwMode="auto">
        <a:xfrm flipV="1">
          <a:off x="8597900" y="5118100"/>
          <a:ext cx="469900" cy="7493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9</xdr:col>
      <xdr:colOff>635000</xdr:colOff>
      <xdr:row>10</xdr:row>
      <xdr:rowOff>0</xdr:rowOff>
    </xdr:from>
    <xdr:to>
      <xdr:col>9</xdr:col>
      <xdr:colOff>635000</xdr:colOff>
      <xdr:row>10</xdr:row>
      <xdr:rowOff>368300</xdr:rowOff>
    </xdr:to>
    <xdr:cxnSp macro="">
      <xdr:nvCxnSpPr>
        <xdr:cNvPr id="20500" name="Straight Arrow Connector 35"/>
        <xdr:cNvCxnSpPr>
          <a:cxnSpLocks noChangeShapeType="1"/>
        </xdr:cNvCxnSpPr>
      </xdr:nvCxnSpPr>
      <xdr:spPr bwMode="auto">
        <a:xfrm rot="5400000">
          <a:off x="9531350" y="3981450"/>
          <a:ext cx="368300" cy="0"/>
        </a:xfrm>
        <a:prstGeom prst="straightConnector1">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cxnSp>
    <xdr:clientData/>
  </xdr:twoCellAnchor>
  <xdr:twoCellAnchor>
    <xdr:from>
      <xdr:col>9</xdr:col>
      <xdr:colOff>1130300</xdr:colOff>
      <xdr:row>26</xdr:row>
      <xdr:rowOff>203200</xdr:rowOff>
    </xdr:from>
    <xdr:to>
      <xdr:col>10</xdr:col>
      <xdr:colOff>254000</xdr:colOff>
      <xdr:row>26</xdr:row>
      <xdr:rowOff>203200</xdr:rowOff>
    </xdr:to>
    <xdr:sp macro="" textlink="">
      <xdr:nvSpPr>
        <xdr:cNvPr id="20501" name="Line 3"/>
        <xdr:cNvSpPr>
          <a:spLocks noChangeShapeType="1"/>
        </xdr:cNvSpPr>
      </xdr:nvSpPr>
      <xdr:spPr bwMode="auto">
        <a:xfrm flipV="1">
          <a:off x="10210800" y="102870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9</xdr:col>
      <xdr:colOff>1181100</xdr:colOff>
      <xdr:row>27</xdr:row>
      <xdr:rowOff>165100</xdr:rowOff>
    </xdr:from>
    <xdr:to>
      <xdr:col>10</xdr:col>
      <xdr:colOff>304800</xdr:colOff>
      <xdr:row>27</xdr:row>
      <xdr:rowOff>165100</xdr:rowOff>
    </xdr:to>
    <xdr:sp macro="" textlink="">
      <xdr:nvSpPr>
        <xdr:cNvPr id="20502" name="Line 3"/>
        <xdr:cNvSpPr>
          <a:spLocks noChangeShapeType="1"/>
        </xdr:cNvSpPr>
      </xdr:nvSpPr>
      <xdr:spPr bwMode="auto">
        <a:xfrm flipV="1">
          <a:off x="10261600" y="10629900"/>
          <a:ext cx="520700" cy="0"/>
        </a:xfrm>
        <a:prstGeom prst="line">
          <a:avLst/>
        </a:prstGeom>
        <a:noFill/>
        <a:ln w="9525">
          <a:solidFill>
            <a:srgbClr val="000000"/>
          </a:solidFill>
          <a:prstDash val="dash"/>
          <a:round/>
          <a:headEnd type="triangle" w="med" len="me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4</xdr:col>
      <xdr:colOff>0</xdr:colOff>
      <xdr:row>11</xdr:row>
      <xdr:rowOff>279400</xdr:rowOff>
    </xdr:from>
    <xdr:to>
      <xdr:col>7</xdr:col>
      <xdr:colOff>0</xdr:colOff>
      <xdr:row>15</xdr:row>
      <xdr:rowOff>76200</xdr:rowOff>
    </xdr:to>
    <xdr:grpSp>
      <xdr:nvGrpSpPr>
        <xdr:cNvPr id="20503" name="Group 46"/>
        <xdr:cNvGrpSpPr>
          <a:grpSpLocks/>
        </xdr:cNvGrpSpPr>
      </xdr:nvGrpSpPr>
      <xdr:grpSpPr bwMode="auto">
        <a:xfrm>
          <a:off x="4660900" y="4457700"/>
          <a:ext cx="2514600" cy="1320800"/>
          <a:chOff x="4241800" y="4076700"/>
          <a:chExt cx="2425700" cy="1333500"/>
        </a:xfrm>
      </xdr:grpSpPr>
      <xdr:cxnSp macro="">
        <xdr:nvCxnSpPr>
          <xdr:cNvPr id="20514" name="Elbow Connector 42"/>
          <xdr:cNvCxnSpPr>
            <a:cxnSpLocks noChangeShapeType="1"/>
          </xdr:cNvCxnSpPr>
        </xdr:nvCxnSpPr>
        <xdr:spPr bwMode="auto">
          <a:xfrm>
            <a:off x="4241800" y="4076700"/>
            <a:ext cx="2044700" cy="977900"/>
          </a:xfrm>
          <a:prstGeom prst="bentConnector3">
            <a:avLst>
              <a:gd name="adj1" fmla="val 15218"/>
            </a:avLst>
          </a:prstGeom>
          <a:noFill/>
          <a:ln w="9525">
            <a:solidFill>
              <a:srgbClr val="000000"/>
            </a:solidFill>
            <a:round/>
            <a:headEnd/>
            <a:tailEnd/>
          </a:ln>
          <a:extLst>
            <a:ext uri="{909E8E84-426E-40DD-AFC4-6F175D3DCCD1}">
              <a14:hiddenFill xmlns:a14="http://schemas.microsoft.com/office/drawing/2010/main">
                <a:noFill/>
              </a14:hiddenFill>
            </a:ext>
          </a:extLst>
        </xdr:spPr>
      </xdr:cxnSp>
      <xdr:cxnSp macro="">
        <xdr:nvCxnSpPr>
          <xdr:cNvPr id="20515" name="Elbow Connector 45"/>
          <xdr:cNvCxnSpPr>
            <a:cxnSpLocks noChangeShapeType="1"/>
          </xdr:cNvCxnSpPr>
        </xdr:nvCxnSpPr>
        <xdr:spPr bwMode="auto">
          <a:xfrm>
            <a:off x="6261100" y="5054600"/>
            <a:ext cx="406400" cy="35560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grpSp>
    <xdr:clientData/>
  </xdr:twoCellAnchor>
  <xdr:twoCellAnchor>
    <xdr:from>
      <xdr:col>9</xdr:col>
      <xdr:colOff>647700</xdr:colOff>
      <xdr:row>11</xdr:row>
      <xdr:rowOff>368300</xdr:rowOff>
    </xdr:from>
    <xdr:to>
      <xdr:col>9</xdr:col>
      <xdr:colOff>647700</xdr:colOff>
      <xdr:row>12</xdr:row>
      <xdr:rowOff>368300</xdr:rowOff>
    </xdr:to>
    <xdr:cxnSp macro="">
      <xdr:nvCxnSpPr>
        <xdr:cNvPr id="20504" name="Straight Arrow Connector 44"/>
        <xdr:cNvCxnSpPr>
          <a:cxnSpLocks noChangeShapeType="1"/>
        </xdr:cNvCxnSpPr>
      </xdr:nvCxnSpPr>
      <xdr:spPr bwMode="auto">
        <a:xfrm>
          <a:off x="9728200" y="4546600"/>
          <a:ext cx="0" cy="3810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248920</xdr:colOff>
      <xdr:row>2</xdr:row>
      <xdr:rowOff>0</xdr:rowOff>
    </xdr:from>
    <xdr:to>
      <xdr:col>11</xdr:col>
      <xdr:colOff>391199</xdr:colOff>
      <xdr:row>5</xdr:row>
      <xdr:rowOff>91440</xdr:rowOff>
    </xdr:to>
    <xdr:sp macro="" textlink="">
      <xdr:nvSpPr>
        <xdr:cNvPr id="36" name="TextBox 35"/>
        <xdr:cNvSpPr txBox="1"/>
      </xdr:nvSpPr>
      <xdr:spPr>
        <a:xfrm>
          <a:off x="5334000" y="480060"/>
          <a:ext cx="3418857" cy="1234440"/>
        </a:xfrm>
        <a:prstGeom prst="rect">
          <a:avLst/>
        </a:prstGeom>
        <a:solidFill>
          <a:schemeClr val="lt1"/>
        </a:solidFill>
        <a:ln w="57150" cmpd="thinThick">
          <a:solidFill>
            <a:schemeClr val="tx1"/>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ctr" rtl="0">
            <a:defRPr sz="1000"/>
          </a:pPr>
          <a:r>
            <a:rPr lang="en-US" sz="2400" b="0" i="0" strike="noStrike">
              <a:solidFill>
                <a:srgbClr val="000000"/>
              </a:solidFill>
              <a:latin typeface="Helvetica Neue Black Condensed"/>
              <a:ea typeface="Helvetica Neue Black Condensed"/>
              <a:cs typeface="Helvetica Neue Black Condensed"/>
            </a:rPr>
            <a:t>BS in Mechanical  Engineering</a:t>
          </a:r>
        </a:p>
        <a:p>
          <a:pPr algn="ctr" rtl="0">
            <a:defRPr sz="1000"/>
          </a:pPr>
          <a:r>
            <a:rPr lang="en-US" sz="2400" b="0" i="0" strike="noStrike">
              <a:solidFill>
                <a:srgbClr val="000000"/>
              </a:solidFill>
              <a:latin typeface="Helvetica Neue Black Condensed"/>
              <a:ea typeface="Helvetica Neue Black Condensed"/>
              <a:cs typeface="Helvetica Neue Black Condensed"/>
            </a:rPr>
            <a:t>Flowchart</a:t>
          </a:r>
        </a:p>
      </xdr:txBody>
    </xdr:sp>
    <xdr:clientData/>
  </xdr:twoCellAnchor>
  <xdr:twoCellAnchor>
    <xdr:from>
      <xdr:col>0</xdr:col>
      <xdr:colOff>508000</xdr:colOff>
      <xdr:row>0</xdr:row>
      <xdr:rowOff>190500</xdr:rowOff>
    </xdr:from>
    <xdr:to>
      <xdr:col>15</xdr:col>
      <xdr:colOff>774700</xdr:colOff>
      <xdr:row>31</xdr:row>
      <xdr:rowOff>355600</xdr:rowOff>
    </xdr:to>
    <xdr:sp macro="" textlink="">
      <xdr:nvSpPr>
        <xdr:cNvPr id="20506" name="Rectangle 45"/>
        <xdr:cNvSpPr>
          <a:spLocks noChangeArrowheads="1"/>
        </xdr:cNvSpPr>
      </xdr:nvSpPr>
      <xdr:spPr bwMode="auto">
        <a:xfrm>
          <a:off x="508000" y="190500"/>
          <a:ext cx="17005300" cy="12471400"/>
        </a:xfrm>
        <a:prstGeom prst="rect">
          <a:avLst/>
        </a:prstGeom>
        <a:noFill/>
        <a:ln w="60325" cmpd="thinThick">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rtlCol="0"/>
        <a:lstStyle/>
        <a:p>
          <a:pPr algn="ctr"/>
          <a:endParaRPr lang="en-US"/>
        </a:p>
      </xdr:txBody>
    </xdr:sp>
    <xdr:clientData/>
  </xdr:twoCellAnchor>
  <xdr:twoCellAnchor>
    <xdr:from>
      <xdr:col>7</xdr:col>
      <xdr:colOff>1384300</xdr:colOff>
      <xdr:row>9</xdr:row>
      <xdr:rowOff>254000</xdr:rowOff>
    </xdr:from>
    <xdr:to>
      <xdr:col>8</xdr:col>
      <xdr:colOff>495300</xdr:colOff>
      <xdr:row>9</xdr:row>
      <xdr:rowOff>254000</xdr:rowOff>
    </xdr:to>
    <xdr:sp macro="" textlink="">
      <xdr:nvSpPr>
        <xdr:cNvPr id="20507" name="Line 3"/>
        <xdr:cNvSpPr>
          <a:spLocks noChangeShapeType="1"/>
        </xdr:cNvSpPr>
      </xdr:nvSpPr>
      <xdr:spPr bwMode="auto">
        <a:xfrm>
          <a:off x="8559800" y="3505200"/>
          <a:ext cx="5080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5</xdr:col>
      <xdr:colOff>1473200</xdr:colOff>
      <xdr:row>15</xdr:row>
      <xdr:rowOff>165100</xdr:rowOff>
    </xdr:from>
    <xdr:to>
      <xdr:col>6</xdr:col>
      <xdr:colOff>482600</xdr:colOff>
      <xdr:row>16</xdr:row>
      <xdr:rowOff>381000</xdr:rowOff>
    </xdr:to>
    <xdr:sp macro="" textlink="">
      <xdr:nvSpPr>
        <xdr:cNvPr id="20508" name="Line 3"/>
        <xdr:cNvSpPr>
          <a:spLocks noChangeShapeType="1"/>
        </xdr:cNvSpPr>
      </xdr:nvSpPr>
      <xdr:spPr bwMode="auto">
        <a:xfrm flipV="1">
          <a:off x="6642100" y="5867400"/>
          <a:ext cx="508000" cy="596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7</xdr:col>
      <xdr:colOff>977900</xdr:colOff>
      <xdr:row>9</xdr:row>
      <xdr:rowOff>508000</xdr:rowOff>
    </xdr:from>
    <xdr:to>
      <xdr:col>7</xdr:col>
      <xdr:colOff>977900</xdr:colOff>
      <xdr:row>13</xdr:row>
      <xdr:rowOff>127000</xdr:rowOff>
    </xdr:to>
    <xdr:cxnSp macro="">
      <xdr:nvCxnSpPr>
        <xdr:cNvPr id="20509" name="Straight Connector 64"/>
        <xdr:cNvCxnSpPr>
          <a:cxnSpLocks noChangeShapeType="1"/>
        </xdr:cNvCxnSpPr>
      </xdr:nvCxnSpPr>
      <xdr:spPr bwMode="auto">
        <a:xfrm rot="16200000" flipH="1">
          <a:off x="7499350" y="4413250"/>
          <a:ext cx="13081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xdr:col>
      <xdr:colOff>977900</xdr:colOff>
      <xdr:row>13</xdr:row>
      <xdr:rowOff>127000</xdr:rowOff>
    </xdr:from>
    <xdr:to>
      <xdr:col>8</xdr:col>
      <xdr:colOff>495300</xdr:colOff>
      <xdr:row>13</xdr:row>
      <xdr:rowOff>127000</xdr:rowOff>
    </xdr:to>
    <xdr:sp macro="" textlink="">
      <xdr:nvSpPr>
        <xdr:cNvPr id="20510" name="Line 3"/>
        <xdr:cNvSpPr>
          <a:spLocks noChangeShapeType="1"/>
        </xdr:cNvSpPr>
      </xdr:nvSpPr>
      <xdr:spPr bwMode="auto">
        <a:xfrm flipV="1">
          <a:off x="8153400" y="5067300"/>
          <a:ext cx="9144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6</xdr:col>
      <xdr:colOff>0</xdr:colOff>
      <xdr:row>19</xdr:row>
      <xdr:rowOff>317500</xdr:rowOff>
    </xdr:from>
    <xdr:to>
      <xdr:col>7</xdr:col>
      <xdr:colOff>12700</xdr:colOff>
      <xdr:row>19</xdr:row>
      <xdr:rowOff>317500</xdr:rowOff>
    </xdr:to>
    <xdr:sp macro="" textlink="">
      <xdr:nvSpPr>
        <xdr:cNvPr id="20511" name="Line 3"/>
        <xdr:cNvSpPr>
          <a:spLocks noChangeShapeType="1"/>
        </xdr:cNvSpPr>
      </xdr:nvSpPr>
      <xdr:spPr bwMode="auto">
        <a:xfrm flipV="1">
          <a:off x="6667500" y="75438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xdr:from>
      <xdr:col>9</xdr:col>
      <xdr:colOff>673100</xdr:colOff>
      <xdr:row>15</xdr:row>
      <xdr:rowOff>368300</xdr:rowOff>
    </xdr:from>
    <xdr:to>
      <xdr:col>9</xdr:col>
      <xdr:colOff>673100</xdr:colOff>
      <xdr:row>16</xdr:row>
      <xdr:rowOff>368300</xdr:rowOff>
    </xdr:to>
    <xdr:cxnSp macro="">
      <xdr:nvCxnSpPr>
        <xdr:cNvPr id="20512" name="Straight Arrow Connector 67"/>
        <xdr:cNvCxnSpPr>
          <a:cxnSpLocks noChangeShapeType="1"/>
        </xdr:cNvCxnSpPr>
      </xdr:nvCxnSpPr>
      <xdr:spPr bwMode="auto">
        <a:xfrm>
          <a:off x="9753600" y="6070600"/>
          <a:ext cx="0" cy="38100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1384300</xdr:colOff>
      <xdr:row>23</xdr:row>
      <xdr:rowOff>165100</xdr:rowOff>
    </xdr:from>
    <xdr:to>
      <xdr:col>11</xdr:col>
      <xdr:colOff>0</xdr:colOff>
      <xdr:row>23</xdr:row>
      <xdr:rowOff>165100</xdr:rowOff>
    </xdr:to>
    <xdr:sp macro="" textlink="">
      <xdr:nvSpPr>
        <xdr:cNvPr id="20513" name="Line 3"/>
        <xdr:cNvSpPr>
          <a:spLocks noChangeShapeType="1"/>
        </xdr:cNvSpPr>
      </xdr:nvSpPr>
      <xdr:spPr bwMode="auto">
        <a:xfrm flipV="1">
          <a:off x="10464800" y="91059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607060</xdr:colOff>
      <xdr:row>51</xdr:row>
      <xdr:rowOff>121920</xdr:rowOff>
    </xdr:from>
    <xdr:to>
      <xdr:col>25</xdr:col>
      <xdr:colOff>848360</xdr:colOff>
      <xdr:row>52</xdr:row>
      <xdr:rowOff>153239</xdr:rowOff>
    </xdr:to>
    <xdr:sp macro="" textlink="">
      <xdr:nvSpPr>
        <xdr:cNvPr id="2" name="TextBox 1"/>
        <xdr:cNvSpPr txBox="1"/>
      </xdr:nvSpPr>
      <xdr:spPr>
        <a:xfrm>
          <a:off x="27571700" y="106426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a:t>
          </a:r>
        </a:p>
      </xdr:txBody>
    </xdr:sp>
    <xdr:clientData/>
  </xdr:twoCellAnchor>
  <xdr:twoCellAnchor>
    <xdr:from>
      <xdr:col>25</xdr:col>
      <xdr:colOff>568960</xdr:colOff>
      <xdr:row>63</xdr:row>
      <xdr:rowOff>147320</xdr:rowOff>
    </xdr:from>
    <xdr:to>
      <xdr:col>25</xdr:col>
      <xdr:colOff>822960</xdr:colOff>
      <xdr:row>64</xdr:row>
      <xdr:rowOff>165264</xdr:rowOff>
    </xdr:to>
    <xdr:sp macro="" textlink="">
      <xdr:nvSpPr>
        <xdr:cNvPr id="3" name="TextBox 2"/>
        <xdr:cNvSpPr txBox="1"/>
      </xdr:nvSpPr>
      <xdr:spPr>
        <a:xfrm>
          <a:off x="27546300" y="130937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twoCellAnchor>
    <xdr:from>
      <xdr:col>25</xdr:col>
      <xdr:colOff>607060</xdr:colOff>
      <xdr:row>66</xdr:row>
      <xdr:rowOff>152400</xdr:rowOff>
    </xdr:from>
    <xdr:to>
      <xdr:col>25</xdr:col>
      <xdr:colOff>848360</xdr:colOff>
      <xdr:row>67</xdr:row>
      <xdr:rowOff>185505</xdr:rowOff>
    </xdr:to>
    <xdr:sp macro="" textlink="">
      <xdr:nvSpPr>
        <xdr:cNvPr id="4" name="TextBox 3"/>
        <xdr:cNvSpPr txBox="1"/>
      </xdr:nvSpPr>
      <xdr:spPr>
        <a:xfrm>
          <a:off x="27571700" y="137160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twoCellAnchor>
    <xdr:from>
      <xdr:col>25</xdr:col>
      <xdr:colOff>612140</xdr:colOff>
      <xdr:row>67</xdr:row>
      <xdr:rowOff>165100</xdr:rowOff>
    </xdr:from>
    <xdr:to>
      <xdr:col>25</xdr:col>
      <xdr:colOff>866140</xdr:colOff>
      <xdr:row>68</xdr:row>
      <xdr:rowOff>190500</xdr:rowOff>
    </xdr:to>
    <xdr:sp macro="" textlink="">
      <xdr:nvSpPr>
        <xdr:cNvPr id="5" name="TextBox 4"/>
        <xdr:cNvSpPr txBox="1"/>
      </xdr:nvSpPr>
      <xdr:spPr>
        <a:xfrm>
          <a:off x="27584400" y="139319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twoCellAnchor>
    <xdr:from>
      <xdr:col>25</xdr:col>
      <xdr:colOff>607060</xdr:colOff>
      <xdr:row>70</xdr:row>
      <xdr:rowOff>165100</xdr:rowOff>
    </xdr:from>
    <xdr:to>
      <xdr:col>25</xdr:col>
      <xdr:colOff>848360</xdr:colOff>
      <xdr:row>71</xdr:row>
      <xdr:rowOff>190500</xdr:rowOff>
    </xdr:to>
    <xdr:sp macro="" textlink="">
      <xdr:nvSpPr>
        <xdr:cNvPr id="6" name="TextBox 5"/>
        <xdr:cNvSpPr txBox="1"/>
      </xdr:nvSpPr>
      <xdr:spPr>
        <a:xfrm>
          <a:off x="27571700" y="145415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twoCellAnchor>
    <xdr:from>
      <xdr:col>25</xdr:col>
      <xdr:colOff>637540</xdr:colOff>
      <xdr:row>71</xdr:row>
      <xdr:rowOff>165100</xdr:rowOff>
    </xdr:from>
    <xdr:to>
      <xdr:col>25</xdr:col>
      <xdr:colOff>878840</xdr:colOff>
      <xdr:row>72</xdr:row>
      <xdr:rowOff>190500</xdr:rowOff>
    </xdr:to>
    <xdr:sp macro="" textlink="">
      <xdr:nvSpPr>
        <xdr:cNvPr id="7" name="TextBox 6"/>
        <xdr:cNvSpPr txBox="1"/>
      </xdr:nvSpPr>
      <xdr:spPr>
        <a:xfrm>
          <a:off x="27597100" y="147447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twoCellAnchor>
    <xdr:from>
      <xdr:col>25</xdr:col>
      <xdr:colOff>607060</xdr:colOff>
      <xdr:row>72</xdr:row>
      <xdr:rowOff>152400</xdr:rowOff>
    </xdr:from>
    <xdr:to>
      <xdr:col>25</xdr:col>
      <xdr:colOff>848360</xdr:colOff>
      <xdr:row>73</xdr:row>
      <xdr:rowOff>185505</xdr:rowOff>
    </xdr:to>
    <xdr:sp macro="" textlink="">
      <xdr:nvSpPr>
        <xdr:cNvPr id="8" name="TextBox 7"/>
        <xdr:cNvSpPr txBox="1"/>
      </xdr:nvSpPr>
      <xdr:spPr>
        <a:xfrm>
          <a:off x="27571700" y="14935200"/>
          <a:ext cx="228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S%20Core%20Cours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Core"/>
      <sheetName val="Sheet1"/>
    </sheetNames>
    <sheetDataSet>
      <sheetData sheetId="0">
        <row r="4">
          <cell r="D4" t="str">
            <v>6. Arts &amp; Lit (AL)</v>
          </cell>
          <cell r="F4" t="str">
            <v>4. Ethics (E)</v>
          </cell>
          <cell r="J4" t="str">
            <v>8. Historical Studies (H)</v>
          </cell>
          <cell r="L4" t="str">
            <v>9. Social Science (SS)</v>
          </cell>
        </row>
        <row r="5">
          <cell r="C5" t="str">
            <v>Communication Arts and Sciences</v>
          </cell>
          <cell r="D5" t="str">
            <v>WRT 2790  Public and Private Writing from the Civil War Era</v>
          </cell>
          <cell r="E5" t="str">
            <v>Management</v>
          </cell>
          <cell r="F5" t="str">
            <v>MGT 3325 Ethics and Social Responsibility</v>
          </cell>
          <cell r="I5" t="str">
            <v>Economics</v>
          </cell>
          <cell r="J5" t="str">
            <v>ECO 3314  U.S. Economic History</v>
          </cell>
          <cell r="K5" t="str">
            <v>Communication Arts and Sciences</v>
          </cell>
          <cell r="L5" t="str">
            <v>COM 2201 Introduction to Interpersonal Communication</v>
          </cell>
        </row>
        <row r="6">
          <cell r="C6" t="str">
            <v>Communication Arts and Sciences</v>
          </cell>
          <cell r="D6" t="str">
            <v>WRT 3060  Writing the Personal Memoir</v>
          </cell>
          <cell r="E6" t="str">
            <v xml:space="preserve">Philosophy </v>
          </cell>
          <cell r="F6" t="str">
            <v>PHL 2020W  Perspectives on the Good Life</v>
          </cell>
          <cell r="I6" t="str">
            <v>Economics</v>
          </cell>
          <cell r="J6" t="str">
            <v>ECO 3312  The History of Economic Thought</v>
          </cell>
          <cell r="K6" t="str">
            <v>Communication Arts and Sciences</v>
          </cell>
          <cell r="L6" t="str">
            <v xml:space="preserve">COM 2301 Introduction to Organizational Communication </v>
          </cell>
        </row>
        <row r="7">
          <cell r="C7" t="str">
            <v>English</v>
          </cell>
          <cell r="D7" t="str">
            <v>ENG 1060  Horror Fiction</v>
          </cell>
          <cell r="E7" t="str">
            <v xml:space="preserve">Philosophy </v>
          </cell>
          <cell r="F7" t="str">
            <v>PHL 2030  Contemporary Moral Problems</v>
          </cell>
          <cell r="I7" t="str">
            <v>History</v>
          </cell>
          <cell r="J7" t="str">
            <v>HIS 1106  History of American Civilization, 1600-1877</v>
          </cell>
          <cell r="K7" t="str">
            <v>Communication Arts and Sciences</v>
          </cell>
          <cell r="L7" t="str">
            <v xml:space="preserve">COM 2401 Introduction to Mass Communication </v>
          </cell>
        </row>
        <row r="8">
          <cell r="C8" t="str">
            <v>English</v>
          </cell>
          <cell r="D8" t="str">
            <v>ENG 1500  Major British and World Authors</v>
          </cell>
          <cell r="E8" t="str">
            <v xml:space="preserve">Philosophy </v>
          </cell>
          <cell r="F8" t="str">
            <v>PHL 2040  Introduction to Political Philosophy</v>
          </cell>
          <cell r="I8" t="str">
            <v>History</v>
          </cell>
          <cell r="J8" t="str">
            <v>HIS 1107  History of American Civilization, 1877-2000</v>
          </cell>
          <cell r="K8" t="str">
            <v>Communication Arts and Sciences</v>
          </cell>
          <cell r="L8" t="str">
            <v>COM 3231 Intercultural Communication (D)</v>
          </cell>
        </row>
        <row r="9">
          <cell r="C9" t="str">
            <v>English</v>
          </cell>
          <cell r="D9" t="str">
            <v>ENG 1550  Major American Authors</v>
          </cell>
          <cell r="E9" t="str">
            <v xml:space="preserve">Philosophy </v>
          </cell>
          <cell r="F9" t="str">
            <v>PHL 2050  Ethics in the Professions</v>
          </cell>
          <cell r="I9" t="str">
            <v>History</v>
          </cell>
          <cell r="J9" t="str">
            <v>HIS 1119  History of Western Civilization I</v>
          </cell>
          <cell r="K9" t="str">
            <v>Economics</v>
          </cell>
          <cell r="L9" t="str">
            <v>ECO 1201  Introduction to Economics   </v>
          </cell>
        </row>
        <row r="10">
          <cell r="C10" t="str">
            <v>English</v>
          </cell>
          <cell r="D10" t="str">
            <v>ENG 2050W  Introduction to Literary Studies</v>
          </cell>
          <cell r="E10" t="str">
            <v xml:space="preserve">Philosophy </v>
          </cell>
          <cell r="F10" t="str">
            <v>PHL 2060  Biomedical Ethics</v>
          </cell>
          <cell r="I10" t="str">
            <v>History</v>
          </cell>
          <cell r="J10" t="str">
            <v>HIS 1120  History of Western Civilization II</v>
          </cell>
          <cell r="K10" t="str">
            <v>Economics</v>
          </cell>
          <cell r="L10" t="str">
            <v>ECO 1202  Topics in Introductory Economics </v>
          </cell>
        </row>
        <row r="11">
          <cell r="C11" t="str">
            <v>English</v>
          </cell>
          <cell r="D11" t="str">
            <v>ENG 2200  Introduction to Poetry</v>
          </cell>
          <cell r="E11" t="str">
            <v xml:space="preserve">Philosophy </v>
          </cell>
          <cell r="F11" t="str">
            <v>PHL 2070  Environmental Ethics</v>
          </cell>
          <cell r="I11" t="str">
            <v>History</v>
          </cell>
          <cell r="J11" t="str">
            <v>HIS 2329  American Social History</v>
          </cell>
          <cell r="K11" t="str">
            <v>Economics</v>
          </cell>
          <cell r="L11" t="str">
            <v>ECO 1203  Principles of Economics – Micro  </v>
          </cell>
        </row>
        <row r="12">
          <cell r="C12" t="str">
            <v>English</v>
          </cell>
          <cell r="D12" t="str">
            <v>ENG 2300  Detective Fiction</v>
          </cell>
          <cell r="E12" t="str">
            <v xml:space="preserve">Philosophy </v>
          </cell>
          <cell r="F12" t="str">
            <v>PHL 2080  Approaches to Ethics</v>
          </cell>
          <cell r="I12" t="str">
            <v>History</v>
          </cell>
          <cell r="J12" t="str">
            <v>HIS 2340  History of Latin America (D)</v>
          </cell>
          <cell r="K12" t="str">
            <v>Economics</v>
          </cell>
          <cell r="L12" t="str">
            <v>ECO 1204  Principles of Economics – Macro  </v>
          </cell>
        </row>
        <row r="13">
          <cell r="C13" t="str">
            <v>English</v>
          </cell>
          <cell r="D13" t="str">
            <v>ENG 2740  Politics in Literature</v>
          </cell>
          <cell r="E13" t="str">
            <v xml:space="preserve">Philosophy </v>
          </cell>
          <cell r="F13" t="str">
            <v>PHL 2090  Values in a Technological Culture</v>
          </cell>
          <cell r="I13" t="str">
            <v>History</v>
          </cell>
          <cell r="J13" t="str">
            <v>HIS 3350  Ancient History</v>
          </cell>
          <cell r="K13" t="str">
            <v>Economics</v>
          </cell>
          <cell r="L13" t="str">
            <v>ECO 1225  Economics of Gender (D)</v>
          </cell>
        </row>
        <row r="14">
          <cell r="C14" t="str">
            <v>English</v>
          </cell>
          <cell r="D14" t="str">
            <v>ENG 2750  Adapting the Graphic Novel to Film</v>
          </cell>
          <cell r="E14" t="str">
            <v xml:space="preserve">Philosophy </v>
          </cell>
          <cell r="F14" t="str">
            <v>PHL 2100  Women, Ethics and Society (D)</v>
          </cell>
          <cell r="I14" t="str">
            <v>History</v>
          </cell>
          <cell r="J14" t="str">
            <v>HIS 3360  Medieval Civilization</v>
          </cell>
          <cell r="K14" t="str">
            <v>Economics</v>
          </cell>
          <cell r="L14" t="str">
            <v>ECO 2201  Intermediate Micro-Economics  </v>
          </cell>
        </row>
        <row r="15">
          <cell r="C15" t="str">
            <v>English</v>
          </cell>
          <cell r="D15" t="str">
            <v>ENG 2770  Literature and Film</v>
          </cell>
          <cell r="E15" t="str">
            <v xml:space="preserve">Philosophy </v>
          </cell>
          <cell r="F15" t="str">
            <v>PHL 2310  Socrates and the Examined Life</v>
          </cell>
          <cell r="I15" t="str">
            <v>History</v>
          </cell>
          <cell r="J15" t="str">
            <v>HIS 3370  Renaissance and Reformation</v>
          </cell>
          <cell r="K15" t="str">
            <v>Economics</v>
          </cell>
          <cell r="L15" t="str">
            <v>ECO 2202  Intermediate Macro-Economics </v>
          </cell>
        </row>
        <row r="16">
          <cell r="C16" t="str">
            <v>English</v>
          </cell>
          <cell r="D16" t="str">
            <v>ENG 3020  A History of the English Language</v>
          </cell>
          <cell r="E16" t="str">
            <v xml:space="preserve">Philosophy </v>
          </cell>
          <cell r="F16" t="str">
            <v>PHL 2500 Theories of Justice</v>
          </cell>
          <cell r="I16" t="str">
            <v>History</v>
          </cell>
          <cell r="J16" t="str">
            <v>HIS 3376  Era of the French Revolution</v>
          </cell>
          <cell r="K16" t="str">
            <v>Economics</v>
          </cell>
          <cell r="L16" t="str">
            <v>ECO 3303  Economic Development</v>
          </cell>
        </row>
        <row r="17">
          <cell r="C17" t="str">
            <v>English</v>
          </cell>
          <cell r="D17" t="str">
            <v>ENG 3100  Beowulf and Old English Literature</v>
          </cell>
          <cell r="E17" t="str">
            <v xml:space="preserve">Philosophy </v>
          </cell>
          <cell r="F17" t="str">
            <v>PHL 3020 Philosophy of Law</v>
          </cell>
          <cell r="I17" t="str">
            <v>History</v>
          </cell>
          <cell r="J17" t="str">
            <v>HIS 3378  History of Modern Britain</v>
          </cell>
          <cell r="K17" t="str">
            <v>Economics</v>
          </cell>
          <cell r="L17" t="str">
            <v>ECO 3304  Economics of Education</v>
          </cell>
        </row>
        <row r="18">
          <cell r="C18" t="str">
            <v>English</v>
          </cell>
          <cell r="D18" t="str">
            <v>ENG 3140  Chaucer and Middle English Literature</v>
          </cell>
          <cell r="E18" t="str">
            <v xml:space="preserve">Philosophy </v>
          </cell>
          <cell r="F18" t="str">
            <v>PHL 3030  Global Justice</v>
          </cell>
          <cell r="I18" t="str">
            <v>History</v>
          </cell>
          <cell r="J18" t="str">
            <v>HIS 3380  History of Modern Technology</v>
          </cell>
          <cell r="K18" t="str">
            <v>Economics</v>
          </cell>
          <cell r="L18" t="str">
            <v>ECO 3305  Ecological Economics</v>
          </cell>
        </row>
        <row r="19">
          <cell r="C19" t="str">
            <v>English</v>
          </cell>
          <cell r="D19" t="str">
            <v>ENG 3200  Renaissance Literature</v>
          </cell>
          <cell r="E19" t="str">
            <v xml:space="preserve">Philosophy </v>
          </cell>
          <cell r="F19" t="str">
            <v>PHL 3180  Existentialism</v>
          </cell>
          <cell r="I19" t="str">
            <v>History</v>
          </cell>
          <cell r="J19" t="str">
            <v>HIS 3390  Modern European Social History</v>
          </cell>
          <cell r="K19" t="str">
            <v>Economics</v>
          </cell>
          <cell r="L19" t="str">
            <v>ECO 3306  International Economics</v>
          </cell>
        </row>
        <row r="20">
          <cell r="C20" t="str">
            <v>English</v>
          </cell>
          <cell r="D20" t="str">
            <v>ENG 3220  Renaissance Drama</v>
          </cell>
          <cell r="E20" t="str">
            <v>Religious and Theological Studies</v>
          </cell>
          <cell r="F20" t="str">
            <v>RTS 2800  Christian Social Ethics (D)</v>
          </cell>
          <cell r="I20" t="str">
            <v>History</v>
          </cell>
          <cell r="J20" t="str">
            <v>HIS 3391  Women in Modern European History (D)</v>
          </cell>
          <cell r="K20" t="str">
            <v>Economics</v>
          </cell>
          <cell r="L20" t="str">
            <v>ECO 3307  Labor Economics</v>
          </cell>
        </row>
        <row r="21">
          <cell r="C21" t="str">
            <v>English</v>
          </cell>
          <cell r="D21" t="str">
            <v>ENG 3250  Shakespearean Drama</v>
          </cell>
          <cell r="E21" t="str">
            <v>Religious and Theological Studies</v>
          </cell>
          <cell r="F21" t="str">
            <v>RTS 2900  Holocaust: Theology, Reality and Aftermath (D)</v>
          </cell>
          <cell r="I21" t="str">
            <v>History</v>
          </cell>
          <cell r="J21" t="str">
            <v>HIS 3320  The American City</v>
          </cell>
          <cell r="K21" t="str">
            <v>Economics</v>
          </cell>
          <cell r="L21" t="str">
            <v>ECO 3308  Managerial Economics</v>
          </cell>
        </row>
        <row r="22">
          <cell r="C22" t="str">
            <v>English</v>
          </cell>
          <cell r="D22" t="str">
            <v>ENG 3280  Angels and Demons: Milton and the Culture of Revolution</v>
          </cell>
          <cell r="E22" t="str">
            <v>Religious and Theological Studies</v>
          </cell>
          <cell r="F22" t="str">
            <v>RTS 2950  Ethics in the Abrahamic Traditions</v>
          </cell>
          <cell r="I22" t="str">
            <v>History</v>
          </cell>
          <cell r="J22" t="str">
            <v>HIS 3326  History of American Architecture</v>
          </cell>
          <cell r="K22" t="str">
            <v>Economics</v>
          </cell>
          <cell r="L22" t="str">
            <v>ECO 3309  Marxian Economics</v>
          </cell>
        </row>
        <row r="23">
          <cell r="C23" t="str">
            <v>English</v>
          </cell>
          <cell r="D23" t="str">
            <v>ENG 3300  Restoration and Eighteenth-Century Literature</v>
          </cell>
          <cell r="E23" t="str">
            <v>Religious and Theological Studies</v>
          </cell>
          <cell r="F23" t="str">
            <v>RTS 3700  African-American Theology (D)</v>
          </cell>
          <cell r="I23" t="str">
            <v>History</v>
          </cell>
          <cell r="J23" t="str">
            <v>HIS 3401  Topics in Nineteenth-Century Europe</v>
          </cell>
          <cell r="K23" t="str">
            <v>Economics</v>
          </cell>
          <cell r="L23" t="str">
            <v>ECO 3310  Money and Finance</v>
          </cell>
        </row>
        <row r="24">
          <cell r="C24" t="str">
            <v>English</v>
          </cell>
          <cell r="D24" t="str">
            <v>ENG 3320  Eighteenth-Century Novel</v>
          </cell>
          <cell r="E24" t="str">
            <v>Religious and Theological Studies</v>
          </cell>
          <cell r="F24" t="str">
            <v>RTS 3710  Feminist Theology (D)</v>
          </cell>
          <cell r="I24" t="str">
            <v>History</v>
          </cell>
          <cell r="J24" t="str">
            <v>HIS 3410  Twentieth-Century Europe</v>
          </cell>
          <cell r="K24" t="str">
            <v>Economics</v>
          </cell>
          <cell r="L24" t="str">
            <v>ECO 3311  Public Finance</v>
          </cell>
        </row>
        <row r="25">
          <cell r="C25" t="str">
            <v>English</v>
          </cell>
          <cell r="D25" t="str">
            <v>ENG 3350  Sex, Race, and Empire: 1660-1814</v>
          </cell>
          <cell r="E25" t="str">
            <v>Religious and Theological Studies</v>
          </cell>
          <cell r="F25" t="str">
            <v>RTS 3800  The Catholic Thing: Merton and Day</v>
          </cell>
          <cell r="I25" t="str">
            <v>History</v>
          </cell>
          <cell r="J25" t="str">
            <v>HIS 3425  Contemporary United States History</v>
          </cell>
          <cell r="K25" t="str">
            <v>Economics</v>
          </cell>
          <cell r="L25" t="str">
            <v>ECO 3312  The History of Economic Thought</v>
          </cell>
        </row>
        <row r="26">
          <cell r="C26" t="str">
            <v>English</v>
          </cell>
          <cell r="D26" t="str">
            <v>ENG 3400  British Romanticism</v>
          </cell>
          <cell r="E26" t="str">
            <v>Religious and Theological Studies</v>
          </cell>
          <cell r="F26" t="str">
            <v>RTS 3850  War and Peace: Religious Perspectives</v>
          </cell>
          <cell r="I26" t="str">
            <v>History</v>
          </cell>
          <cell r="J26" t="str">
            <v>HIS 3434  Age of the American Revolution, 1763-1800</v>
          </cell>
          <cell r="K26" t="str">
            <v>Economics</v>
          </cell>
          <cell r="L26" t="str">
            <v>ECO 3313  Topics in Quantitative Economics</v>
          </cell>
        </row>
        <row r="27">
          <cell r="C27" t="str">
            <v>English</v>
          </cell>
          <cell r="D27" t="str">
            <v>ENG 3420  American Romanticism</v>
          </cell>
          <cell r="E27"/>
          <cell r="F27"/>
          <cell r="I27" t="str">
            <v>History</v>
          </cell>
          <cell r="J27" t="str">
            <v>HIS 3435  American Colonial History</v>
          </cell>
          <cell r="K27" t="str">
            <v>Economics</v>
          </cell>
          <cell r="L27" t="str">
            <v>ECO 3314  U.S. Economic History</v>
          </cell>
        </row>
        <row r="28">
          <cell r="C28" t="str">
            <v>English</v>
          </cell>
          <cell r="D28" t="str">
            <v>ENG 3440  Victorian Literature</v>
          </cell>
          <cell r="E28"/>
          <cell r="F28"/>
          <cell r="I28" t="str">
            <v>History</v>
          </cell>
          <cell r="J28" t="str">
            <v>HIS 3437  Civil War and Reconstruction</v>
          </cell>
          <cell r="K28" t="str">
            <v>Economics</v>
          </cell>
          <cell r="L28" t="str">
            <v>ECO 3315  Urban and Regional Economics</v>
          </cell>
        </row>
        <row r="29">
          <cell r="C29" t="str">
            <v>English</v>
          </cell>
          <cell r="D29" t="str">
            <v>ENG 3470  Realism and Naturalism in America</v>
          </cell>
          <cell r="E29"/>
          <cell r="F29"/>
          <cell r="I29" t="str">
            <v>History</v>
          </cell>
          <cell r="J29" t="str">
            <v>HIS 3439  Slavery and Race in the Early Modern Atlantic World, 1400-1800 (D)</v>
          </cell>
          <cell r="K29" t="str">
            <v>History</v>
          </cell>
          <cell r="L29" t="str">
            <v>HIS 3376  Era of the French Revolution</v>
          </cell>
        </row>
        <row r="30">
          <cell r="C30" t="str">
            <v>English</v>
          </cell>
          <cell r="D30" t="str">
            <v>ENG 3500  Modern British Literature</v>
          </cell>
          <cell r="E30"/>
          <cell r="F30"/>
          <cell r="I30" t="str">
            <v>History</v>
          </cell>
          <cell r="J30" t="str">
            <v>HIS 3470  History of Imperial Russia</v>
          </cell>
          <cell r="K30" t="str">
            <v>History</v>
          </cell>
          <cell r="L30" t="str">
            <v>HIS 3380  History of Modern Technology</v>
          </cell>
        </row>
        <row r="31">
          <cell r="C31" t="str">
            <v>English</v>
          </cell>
          <cell r="D31" t="str">
            <v>ENG 3520  Modern Irish Literature</v>
          </cell>
          <cell r="E31"/>
          <cell r="F31"/>
          <cell r="I31" t="str">
            <v>History</v>
          </cell>
          <cell r="J31" t="str">
            <v>HIS 3471  History of Twentieth-Century Russia</v>
          </cell>
          <cell r="K31" t="str">
            <v>History</v>
          </cell>
          <cell r="L31" t="str">
            <v>HIS 3390  Modern European Social History</v>
          </cell>
        </row>
        <row r="32">
          <cell r="C32" t="str">
            <v>English</v>
          </cell>
          <cell r="D32" t="str">
            <v>ENG 3550  Modern American Literature</v>
          </cell>
          <cell r="I32" t="str">
            <v>History</v>
          </cell>
          <cell r="J32" t="str">
            <v>HIS 3525  Environmental History of North America</v>
          </cell>
          <cell r="K32" t="str">
            <v>History</v>
          </cell>
          <cell r="L32" t="str">
            <v>HIS 3391  Women in Modern European History</v>
          </cell>
        </row>
        <row r="33">
          <cell r="C33" t="str">
            <v>English</v>
          </cell>
          <cell r="D33" t="str">
            <v>ENG 3620  Contemporary American Literature</v>
          </cell>
          <cell r="I33" t="str">
            <v>Political Science</v>
          </cell>
          <cell r="J33" t="str">
            <v>POL 2581 Political Thought: Plato to Machiavelli</v>
          </cell>
          <cell r="K33" t="str">
            <v xml:space="preserve">Political Science </v>
          </cell>
          <cell r="L33" t="str">
            <v>POL 1000  Current Issues in Politics and Government </v>
          </cell>
        </row>
        <row r="34">
          <cell r="C34" t="str">
            <v>English</v>
          </cell>
          <cell r="D34" t="str">
            <v>ENG 3650  Contemporary American Drama</v>
          </cell>
          <cell r="I34" t="str">
            <v>Political Science</v>
          </cell>
          <cell r="J34" t="str">
            <v>POL 2582 Political Thought: Machiavelli to Marx</v>
          </cell>
          <cell r="K34" t="str">
            <v xml:space="preserve">Political Science </v>
          </cell>
          <cell r="L34" t="str">
            <v>POL 1100  Politics of the United States   </v>
          </cell>
        </row>
        <row r="35">
          <cell r="C35" t="str">
            <v>English</v>
          </cell>
          <cell r="D35" t="str">
            <v>ENG 3680  World Drama</v>
          </cell>
          <cell r="I35" t="str">
            <v>Religious and Theological Studies</v>
          </cell>
          <cell r="J35" t="str">
            <v>RTS 2450  History of Christian Thought</v>
          </cell>
          <cell r="K35" t="str">
            <v xml:space="preserve">Political Science </v>
          </cell>
          <cell r="L35" t="str">
            <v>POL 1500  Comparative Politics    </v>
          </cell>
        </row>
        <row r="36">
          <cell r="C36" t="str">
            <v>English</v>
          </cell>
          <cell r="D36" t="str">
            <v>ENG 3685  The Graphic Novel</v>
          </cell>
          <cell r="I36" t="str">
            <v>Religious and Theological Studies</v>
          </cell>
          <cell r="J36" t="str">
            <v>RTS 3400  American Catholicism</v>
          </cell>
          <cell r="K36" t="str">
            <v xml:space="preserve">Political Science </v>
          </cell>
          <cell r="L36" t="str">
            <v>POL 2000W  Political Science Methods  (Q)</v>
          </cell>
        </row>
        <row r="37">
          <cell r="C37" t="str">
            <v>English</v>
          </cell>
          <cell r="D37" t="str">
            <v>ENG 3700 Self and Society: The Victorian Novel</v>
          </cell>
          <cell r="I37" t="str">
            <v>Visual and Performing Arts</v>
          </cell>
          <cell r="J37" t="str">
            <v>FAA 1610  Art History I</v>
          </cell>
          <cell r="K37" t="str">
            <v xml:space="preserve">Political Science </v>
          </cell>
          <cell r="L37" t="str">
            <v>POL 2111  State and Local Politics   </v>
          </cell>
        </row>
        <row r="38">
          <cell r="C38" t="str">
            <v>English</v>
          </cell>
          <cell r="D38" t="str">
            <v>ENG 3710  Trans-Atlantic Romanticism</v>
          </cell>
          <cell r="I38" t="str">
            <v>Visual and Performing Arts</v>
          </cell>
          <cell r="J38" t="str">
            <v>FAA 1620  Art History II</v>
          </cell>
          <cell r="K38" t="str">
            <v xml:space="preserve">Political Science </v>
          </cell>
          <cell r="L38" t="str">
            <v>POL 2120  Government Business and Society  </v>
          </cell>
        </row>
        <row r="39">
          <cell r="C39" t="str">
            <v>English</v>
          </cell>
          <cell r="D39" t="str">
            <v>ENG 3730  Modern American Poetry</v>
          </cell>
          <cell r="I39" t="str">
            <v>Visual and Performing Arts</v>
          </cell>
          <cell r="J39" t="str">
            <v>FAA 2520  Theater History I</v>
          </cell>
          <cell r="K39" t="str">
            <v xml:space="preserve">Political Science </v>
          </cell>
          <cell r="L39" t="str">
            <v>POL 2121  Public Administration and Public Policy </v>
          </cell>
        </row>
        <row r="40">
          <cell r="C40" t="str">
            <v>English</v>
          </cell>
          <cell r="D40" t="str">
            <v>ENG 3740  American Women’s Fiction</v>
          </cell>
          <cell r="I40" t="str">
            <v>Visual and Performing Arts</v>
          </cell>
          <cell r="J40" t="str">
            <v>FAA 2530  Theater History II</v>
          </cell>
          <cell r="K40" t="str">
            <v xml:space="preserve">Political Science </v>
          </cell>
          <cell r="L40" t="str">
            <v>POL 2181  American Political Thought   </v>
          </cell>
        </row>
        <row r="41">
          <cell r="C41" t="str">
            <v>English</v>
          </cell>
          <cell r="D41" t="str">
            <v>ENG 3750  Gods and Monsters: The Shelley Circle</v>
          </cell>
          <cell r="I41" t="str">
            <v>Women’s and Gender Studies</v>
          </cell>
          <cell r="J41" t="str">
            <v>WGS 3300  U.S. Women’s History</v>
          </cell>
          <cell r="K41" t="str">
            <v xml:space="preserve">Political Science </v>
          </cell>
          <cell r="L41" t="str">
            <v>POL 2510  International Politics    </v>
          </cell>
        </row>
        <row r="42">
          <cell r="C42" t="str">
            <v>English</v>
          </cell>
          <cell r="D42" t="str">
            <v>ENG 3770  Caribbean Women Writers (D)</v>
          </cell>
          <cell r="I42"/>
          <cell r="J42"/>
          <cell r="K42" t="str">
            <v xml:space="preserve">Political Science </v>
          </cell>
          <cell r="L42" t="str">
            <v>POL 2581  Political Thought:  Plato to Machiavelli </v>
          </cell>
        </row>
        <row r="43">
          <cell r="C43" t="str">
            <v>English</v>
          </cell>
          <cell r="D43" t="str">
            <v>ENG 3780  Poets of New England</v>
          </cell>
          <cell r="I43"/>
          <cell r="J43"/>
          <cell r="K43" t="str">
            <v xml:space="preserve">Political Science </v>
          </cell>
          <cell r="L43" t="str">
            <v>POL 2582  Political Thought: Machiavelli to Marx</v>
          </cell>
        </row>
        <row r="44">
          <cell r="C44" t="str">
            <v>English</v>
          </cell>
          <cell r="D44" t="str">
            <v>ENG 3790  Poe, Hawthorne, and the American Short Story</v>
          </cell>
          <cell r="I44"/>
          <cell r="J44"/>
          <cell r="K44" t="str">
            <v xml:space="preserve">Political Science </v>
          </cell>
          <cell r="L44" t="str">
            <v>POL 3112  Congress and the Legislative Process</v>
          </cell>
        </row>
        <row r="45">
          <cell r="C45" t="str">
            <v>English</v>
          </cell>
          <cell r="D45" t="str">
            <v>ENG 3800  Post-Colonial Literature (D)</v>
          </cell>
          <cell r="I45"/>
          <cell r="J45"/>
          <cell r="K45" t="str">
            <v xml:space="preserve">Political Science </v>
          </cell>
          <cell r="L45" t="str">
            <v>POL 3113  American Presidency</v>
          </cell>
        </row>
        <row r="46">
          <cell r="C46" t="str">
            <v>English</v>
          </cell>
          <cell r="D46" t="str">
            <v>ENG 3810  American Literature by Women of Color (D)</v>
          </cell>
          <cell r="I46"/>
          <cell r="J46"/>
          <cell r="K46" t="str">
            <v xml:space="preserve">Political Science </v>
          </cell>
          <cell r="L46" t="str">
            <v>POL 3114  Political Parties and Interest Groups</v>
          </cell>
        </row>
        <row r="47">
          <cell r="C47" t="str">
            <v>English</v>
          </cell>
          <cell r="D47" t="str">
            <v>ENG 3820 Twentieth-Century Drama and Performance by Women (D)</v>
          </cell>
          <cell r="I47"/>
          <cell r="J47"/>
          <cell r="K47" t="str">
            <v xml:space="preserve">Political Science </v>
          </cell>
          <cell r="L47" t="str">
            <v>POL 3122  Issues in Public Policy</v>
          </cell>
        </row>
        <row r="48">
          <cell r="C48" t="str">
            <v>English</v>
          </cell>
          <cell r="D48" t="str">
            <v>ENG 3830  American Indian Renaissance (D)</v>
          </cell>
          <cell r="I48"/>
          <cell r="J48"/>
          <cell r="K48" t="str">
            <v xml:space="preserve">Political Science </v>
          </cell>
          <cell r="L48" t="str">
            <v>POL 3130  Campaigns and Elections</v>
          </cell>
        </row>
        <row r="49">
          <cell r="C49" t="str">
            <v>English</v>
          </cell>
          <cell r="D49" t="str">
            <v>ENG 3850  Twentieth-Century Caribbean Writers (D)</v>
          </cell>
          <cell r="I49"/>
          <cell r="J49"/>
          <cell r="K49" t="str">
            <v xml:space="preserve">Political Science </v>
          </cell>
          <cell r="L49" t="str">
            <v>POL 3131  Polling and Public Opinion</v>
          </cell>
        </row>
        <row r="50">
          <cell r="C50" t="str">
            <v>English</v>
          </cell>
          <cell r="D50" t="str">
            <v>ENG 3860  Italian-American Women Writers (D)</v>
          </cell>
          <cell r="I50"/>
          <cell r="J50"/>
          <cell r="K50" t="str">
            <v xml:space="preserve">Political Science </v>
          </cell>
          <cell r="L50" t="str">
            <v>POL 3132  Political Psychology</v>
          </cell>
        </row>
        <row r="51">
          <cell r="C51" t="str">
            <v>English</v>
          </cell>
          <cell r="D51" t="str">
            <v>ENG 3870  Literature of the Harlem Renaissance</v>
          </cell>
          <cell r="I51"/>
          <cell r="J51"/>
          <cell r="K51" t="str">
            <v xml:space="preserve">Political Science </v>
          </cell>
          <cell r="L51" t="str">
            <v>POL 3140  Mass Media and American Politics</v>
          </cell>
        </row>
        <row r="52">
          <cell r="C52" t="str">
            <v>English</v>
          </cell>
          <cell r="D52" t="str">
            <v>ENG 3900  Creative Writing: Fiction</v>
          </cell>
          <cell r="I52"/>
          <cell r="J52"/>
          <cell r="K52" t="str">
            <v xml:space="preserve">Political Science </v>
          </cell>
          <cell r="L52" t="str">
            <v>POL 3141  Political Communication</v>
          </cell>
        </row>
        <row r="53">
          <cell r="C53" t="str">
            <v>English</v>
          </cell>
          <cell r="D53" t="str">
            <v>ENG 3910  Writing the Graphic Novel</v>
          </cell>
          <cell r="I53"/>
          <cell r="J53"/>
          <cell r="K53" t="str">
            <v xml:space="preserve">Political Science </v>
          </cell>
          <cell r="L53" t="str">
            <v>POL 3150  Criminal Law</v>
          </cell>
        </row>
        <row r="54">
          <cell r="C54" t="str">
            <v>English</v>
          </cell>
          <cell r="D54" t="str">
            <v>ENG 3920  Creative Writing: Poetry</v>
          </cell>
          <cell r="K54" t="str">
            <v xml:space="preserve">Political Science </v>
          </cell>
          <cell r="L54" t="str">
            <v>POL 3151  American Constitutional Law</v>
          </cell>
        </row>
        <row r="55">
          <cell r="C55" t="str">
            <v>English</v>
          </cell>
          <cell r="D55" t="str">
            <v>ENG 4000  Advanced Creative Writing Workshop</v>
          </cell>
          <cell r="K55" t="str">
            <v xml:space="preserve">Political Science </v>
          </cell>
          <cell r="L55" t="str">
            <v>POL 3152  Civil Liberties and Civil Rights (D)</v>
          </cell>
        </row>
        <row r="56">
          <cell r="C56" t="str">
            <v>English</v>
          </cell>
          <cell r="D56" t="str">
            <v>ENG 4100  Seminar: King Arthur in Victorian England</v>
          </cell>
          <cell r="K56" t="str">
            <v xml:space="preserve">Political Science </v>
          </cell>
          <cell r="L56" t="str">
            <v>POL 3160  United States Foreign Policy</v>
          </cell>
        </row>
        <row r="57">
          <cell r="C57" t="str">
            <v>English</v>
          </cell>
          <cell r="D57" t="str">
            <v>ENG 4160  Seminar: Readers, Writers, and Books</v>
          </cell>
          <cell r="K57" t="str">
            <v xml:space="preserve">Political Science </v>
          </cell>
          <cell r="L57" t="str">
            <v>POL 3520  Modern China (D)</v>
          </cell>
        </row>
        <row r="58">
          <cell r="C58" t="str">
            <v>History</v>
          </cell>
          <cell r="D58" t="str">
            <v>HIS 3326  History of American Architecture</v>
          </cell>
          <cell r="K58" t="str">
            <v xml:space="preserve">Political Science </v>
          </cell>
          <cell r="L58" t="str">
            <v>POL 3521  Latin American Politics (D)</v>
          </cell>
        </row>
        <row r="59">
          <cell r="C59" t="str">
            <v xml:space="preserve">Humanities </v>
          </cell>
          <cell r="D59" t="str">
            <v>HUM 1010  Stories of Ancient Greece</v>
          </cell>
          <cell r="K59" t="str">
            <v xml:space="preserve">Political Science </v>
          </cell>
          <cell r="L59" t="str">
            <v>POL 3522  British Politics</v>
          </cell>
        </row>
        <row r="60">
          <cell r="C60" t="str">
            <v xml:space="preserve">Humanities </v>
          </cell>
          <cell r="D60" t="str">
            <v>HUM 1020  Medieval Europe</v>
          </cell>
          <cell r="K60" t="str">
            <v xml:space="preserve">Political Science </v>
          </cell>
          <cell r="L60" t="str">
            <v>POL 3523  Japanese Politics (D)</v>
          </cell>
        </row>
        <row r="61">
          <cell r="C61" t="str">
            <v xml:space="preserve">Humanities </v>
          </cell>
          <cell r="D61" t="str">
            <v>HUM 2010  Approaching Modernism</v>
          </cell>
          <cell r="K61" t="str">
            <v xml:space="preserve">Political Science </v>
          </cell>
          <cell r="L61" t="str">
            <v>POL 3524  Politics of the Russia and Post-Soviet States</v>
          </cell>
        </row>
        <row r="62">
          <cell r="C62" t="str">
            <v xml:space="preserve">Humanities </v>
          </cell>
          <cell r="D62" t="str">
            <v>HUM 2020  Approaching Postmodernism</v>
          </cell>
          <cell r="K62" t="str">
            <v xml:space="preserve">Political Science </v>
          </cell>
          <cell r="L62" t="str">
            <v>POL 3525  Politics of the Middle East (D)</v>
          </cell>
        </row>
        <row r="63">
          <cell r="C63" t="str">
            <v>Religious and Theological Studies</v>
          </cell>
          <cell r="D63" t="str">
            <v>RTS 2200  Introduction to Hebrew Scripture</v>
          </cell>
          <cell r="K63" t="str">
            <v xml:space="preserve">Political Science </v>
          </cell>
          <cell r="L63" t="str">
            <v>POL 3526  Politics of the European Union</v>
          </cell>
        </row>
        <row r="64">
          <cell r="C64" t="str">
            <v>Religious and Theological Studies</v>
          </cell>
          <cell r="D64" t="str">
            <v>RTS 2300  Introduction to the New Testament</v>
          </cell>
          <cell r="K64" t="str">
            <v xml:space="preserve">Political Science </v>
          </cell>
          <cell r="L64" t="str">
            <v>POL 3530  Comparative Foreign Policies</v>
          </cell>
        </row>
        <row r="65">
          <cell r="C65" t="str">
            <v>Religious and Theological Studies</v>
          </cell>
          <cell r="D65" t="str">
            <v>RTS 3350  Reading Scripture after the Holocaust (D)</v>
          </cell>
          <cell r="K65" t="str">
            <v xml:space="preserve">Political Science </v>
          </cell>
          <cell r="L65" t="str">
            <v>POL 3531  Politics of Developing Nations</v>
          </cell>
        </row>
        <row r="66">
          <cell r="C66" t="str">
            <v>Visual and Performing Arts</v>
          </cell>
          <cell r="D66" t="str">
            <v xml:space="preserve">FAA 1210  Basic Drawing I </v>
          </cell>
          <cell r="K66" t="str">
            <v xml:space="preserve">Political Science </v>
          </cell>
          <cell r="L66" t="str">
            <v>POL 3540  International Political Economy</v>
          </cell>
        </row>
        <row r="67">
          <cell r="C67" t="str">
            <v>Visual and Performing Arts</v>
          </cell>
          <cell r="D67" t="str">
            <v>FAA 1230  2-Dimensional Design</v>
          </cell>
          <cell r="K67" t="str">
            <v xml:space="preserve">Political Science </v>
          </cell>
          <cell r="L67" t="str">
            <v>POL 4199  Women and Politics (D)</v>
          </cell>
        </row>
        <row r="68">
          <cell r="C68" t="str">
            <v>Visual and Performing Arts</v>
          </cell>
          <cell r="D68" t="str">
            <v>FAA 1270  Basic Painting I</v>
          </cell>
          <cell r="K68" t="str">
            <v>Psychology</v>
          </cell>
          <cell r="L68" t="str">
            <v>PSY 1000  Introduction to Psychology</v>
          </cell>
        </row>
        <row r="69">
          <cell r="C69" t="str">
            <v>Visual and Performing Arts</v>
          </cell>
          <cell r="D69" t="str">
            <v>FAA 1310  The Nature of Music: Music and the Environment</v>
          </cell>
          <cell r="K69" t="str">
            <v>Psychology</v>
          </cell>
          <cell r="L69" t="str">
            <v>PSY 2200  Social Psychology</v>
          </cell>
        </row>
        <row r="70">
          <cell r="C70" t="str">
            <v>Visual and Performing Arts</v>
          </cell>
          <cell r="D70" t="str">
            <v>FAA 1320  History of Rock &amp; Roll</v>
          </cell>
          <cell r="K70" t="str">
            <v>Psychology</v>
          </cell>
          <cell r="L70" t="str">
            <v>PSY 2280  Organizational Psychology</v>
          </cell>
        </row>
        <row r="71">
          <cell r="C71" t="str">
            <v>Visual and Performing Arts</v>
          </cell>
          <cell r="D71" t="str">
            <v>FAA 1330  Survey of American Music</v>
          </cell>
          <cell r="K71" t="str">
            <v>Psychology</v>
          </cell>
          <cell r="L71" t="str">
            <v>PSY 2300  Developmental Psychology</v>
          </cell>
        </row>
        <row r="72">
          <cell r="C72" t="str">
            <v>Visual and Performing Arts</v>
          </cell>
          <cell r="D72" t="str">
            <v>FAA 1510  Acting I</v>
          </cell>
          <cell r="K72" t="str">
            <v>Psychology</v>
          </cell>
          <cell r="L72" t="str">
            <v>PSY 2310  Lifespan Psychology</v>
          </cell>
        </row>
        <row r="73">
          <cell r="C73" t="str">
            <v>Visual and Performing Arts</v>
          </cell>
          <cell r="D73" t="str">
            <v>FAA 1520  Voice for Stage</v>
          </cell>
          <cell r="K73" t="str">
            <v>Psychology</v>
          </cell>
          <cell r="L73" t="str">
            <v>PSY 2400  Personality</v>
          </cell>
        </row>
        <row r="74">
          <cell r="C74" t="str">
            <v>Visual and Performing Arts</v>
          </cell>
          <cell r="D74" t="str">
            <v>FAA 1550  The Curtain Calls: An Introduction to Theatre for Everyone</v>
          </cell>
          <cell r="K74" t="str">
            <v>Psychology</v>
          </cell>
          <cell r="L74" t="str">
            <v>PSY 2420  Psychology of Sex Differences</v>
          </cell>
        </row>
        <row r="75">
          <cell r="C75" t="str">
            <v>Visual and Performing Arts</v>
          </cell>
          <cell r="D75" t="str">
            <v>FAA 1600  Inside Art: Art History for Everyone</v>
          </cell>
          <cell r="K75" t="str">
            <v>Psychology</v>
          </cell>
          <cell r="L75" t="str">
            <v>PSY 2450  Love, Sex and Relationships</v>
          </cell>
        </row>
        <row r="76">
          <cell r="C76" t="str">
            <v>Visual and Performing Arts</v>
          </cell>
          <cell r="D76" t="str">
            <v>FAA 1610  Art History I: Prehistory to the Renaissance</v>
          </cell>
          <cell r="K76" t="str">
            <v>Psychology</v>
          </cell>
          <cell r="L76" t="str">
            <v>PSY 3110  Sensation and Perception</v>
          </cell>
        </row>
        <row r="77">
          <cell r="C77" t="str">
            <v>Visual and Performing Arts</v>
          </cell>
          <cell r="D77" t="str">
            <v>FAA 1620  Art History II: The Renaissance to the Present</v>
          </cell>
          <cell r="K77" t="str">
            <v>Psychology</v>
          </cell>
          <cell r="L77" t="str">
            <v>PSY 3120  Cognitive Psychology</v>
          </cell>
        </row>
        <row r="78">
          <cell r="C78" t="str">
            <v>Visual and Performing Arts</v>
          </cell>
          <cell r="D78" t="str">
            <v>FAA 1670  American Art I</v>
          </cell>
          <cell r="K78" t="str">
            <v>Psychology</v>
          </cell>
          <cell r="L78" t="str">
            <v>PSY 3150  Behavioral Neuroscience</v>
          </cell>
        </row>
        <row r="79">
          <cell r="C79" t="str">
            <v>Visual and Performing Arts</v>
          </cell>
          <cell r="D79" t="str">
            <v>FAA 1680  American Art II</v>
          </cell>
          <cell r="K79" t="str">
            <v>Psychology</v>
          </cell>
          <cell r="L79" t="str">
            <v>PSY 3250  Cultural Psychology (D)</v>
          </cell>
        </row>
        <row r="80">
          <cell r="C80" t="str">
            <v>Visual and Performing Arts</v>
          </cell>
          <cell r="D80" t="str">
            <v>FAA 1710  Foundations of Visual Arts</v>
          </cell>
          <cell r="K80" t="str">
            <v>Psychology</v>
          </cell>
          <cell r="L80" t="str">
            <v>PSY 3310  Development of Intelligence and Thinking</v>
          </cell>
        </row>
        <row r="81">
          <cell r="C81" t="str">
            <v>Visual and Performing Arts</v>
          </cell>
          <cell r="D81" t="str">
            <v>FAA 2210  Basic Drawing II</v>
          </cell>
          <cell r="K81" t="str">
            <v>Psychology</v>
          </cell>
          <cell r="L81" t="str">
            <v>PSY 3320  Social and Personality Development</v>
          </cell>
        </row>
        <row r="82">
          <cell r="C82" t="str">
            <v>Visual and Performing Arts</v>
          </cell>
          <cell r="D82" t="str">
            <v>FAA 2230  3-Dimensional Design</v>
          </cell>
          <cell r="K82" t="str">
            <v>Psychology</v>
          </cell>
          <cell r="L82" t="str">
            <v>PSY 3340  Developmental Psychopathology</v>
          </cell>
        </row>
        <row r="83">
          <cell r="C83" t="str">
            <v>Visual and Performing Arts</v>
          </cell>
          <cell r="D83" t="str">
            <v>FAA 2250  Mixed Media Studio</v>
          </cell>
          <cell r="K83" t="str">
            <v>Psychology</v>
          </cell>
          <cell r="L83" t="str">
            <v>PSY 3380  Psychology of Aging</v>
          </cell>
        </row>
        <row r="84">
          <cell r="C84" t="str">
            <v>Visual and Performing Arts</v>
          </cell>
          <cell r="D84" t="str">
            <v>FAA 2260  Art of the Portrait</v>
          </cell>
          <cell r="K84" t="str">
            <v>Psychology</v>
          </cell>
          <cell r="L84" t="str">
            <v>PSY 3410  Adult Psychopathology</v>
          </cell>
        </row>
        <row r="85">
          <cell r="C85" t="str">
            <v>Visual and Performing Arts</v>
          </cell>
          <cell r="D85" t="str">
            <v xml:space="preserve">FAA 2270  Basic Painting II </v>
          </cell>
          <cell r="K85" t="str">
            <v>Psychology</v>
          </cell>
          <cell r="L85" t="str">
            <v>PSY 3450  Biological Bases of Abnormal Behavior</v>
          </cell>
        </row>
        <row r="86">
          <cell r="C86" t="str">
            <v xml:space="preserve">Visual and Performing Arts </v>
          </cell>
          <cell r="D86" t="str">
            <v>FAA 2301  Music History I</v>
          </cell>
          <cell r="K86" t="str">
            <v xml:space="preserve">Sociology </v>
          </cell>
          <cell r="L86" t="str">
            <v>SOC 1001  Principles of Sociology</v>
          </cell>
        </row>
        <row r="87">
          <cell r="C87" t="str">
            <v xml:space="preserve">Visual and Performing Arts </v>
          </cell>
          <cell r="D87" t="str">
            <v>FAA 2302  Music History II</v>
          </cell>
          <cell r="K87" t="str">
            <v xml:space="preserve">Sociology </v>
          </cell>
          <cell r="L87" t="str">
            <v>SOC 2002  Social Problems</v>
          </cell>
        </row>
        <row r="88">
          <cell r="C88" t="str">
            <v>Visual and Performing Arts</v>
          </cell>
          <cell r="D88" t="str">
            <v>FAA 2360  Elementary Music Theory</v>
          </cell>
          <cell r="K88" t="str">
            <v xml:space="preserve">Sociology </v>
          </cell>
          <cell r="L88" t="str">
            <v>SOC 2050  Social Work</v>
          </cell>
        </row>
        <row r="89">
          <cell r="C89" t="str">
            <v>Visual and Performing Arts</v>
          </cell>
          <cell r="D89" t="str">
            <v>FAA 2380  The Architecture of Music: From Phrase to Opera</v>
          </cell>
          <cell r="K89" t="str">
            <v xml:space="preserve">Sociology </v>
          </cell>
          <cell r="L89" t="str">
            <v>SOC 2200  Cultural Anthropology</v>
          </cell>
        </row>
        <row r="90">
          <cell r="C90" t="str">
            <v>Visual and Performing Arts</v>
          </cell>
          <cell r="D90" t="str">
            <v>FAA 2420  History of Photography</v>
          </cell>
          <cell r="K90" t="str">
            <v xml:space="preserve">Sociology </v>
          </cell>
          <cell r="L90" t="str">
            <v>SOC 3040  Juvenile Delinquency (D)</v>
          </cell>
        </row>
        <row r="91">
          <cell r="C91" t="str">
            <v>Visual and Performing Arts</v>
          </cell>
          <cell r="D91" t="str">
            <v>FAA 2450  Basic Digital Photography</v>
          </cell>
          <cell r="K91" t="str">
            <v xml:space="preserve">Sociology </v>
          </cell>
          <cell r="L91" t="str">
            <v>SOC 3050W  Female Deviance, Crime and Social Control (D)</v>
          </cell>
        </row>
        <row r="92">
          <cell r="C92" t="str">
            <v>Visual and Performing Arts</v>
          </cell>
          <cell r="D92" t="str">
            <v>FAA 2500  Women in Theatre (D)</v>
          </cell>
          <cell r="K92" t="str">
            <v xml:space="preserve">Sociology </v>
          </cell>
          <cell r="L92" t="str">
            <v>SOC 3060  White Collar Crime</v>
          </cell>
        </row>
        <row r="93">
          <cell r="C93" t="str">
            <v>Visual and Performing Arts</v>
          </cell>
          <cell r="D93" t="str">
            <v>FAA 2510  Acting II</v>
          </cell>
          <cell r="K93" t="str">
            <v xml:space="preserve">Sociology </v>
          </cell>
          <cell r="L93" t="str">
            <v>SOC 3100  Formal Organizations</v>
          </cell>
        </row>
        <row r="94">
          <cell r="C94" t="str">
            <v>Visual and Performing Arts</v>
          </cell>
          <cell r="D94" t="str">
            <v>FAA 2520  Theatre History Part One: Origins to Renaissance</v>
          </cell>
          <cell r="K94" t="str">
            <v xml:space="preserve">Sociology </v>
          </cell>
          <cell r="L94" t="str">
            <v>SOC 3120  Sociology of Law</v>
          </cell>
        </row>
        <row r="95">
          <cell r="C95" t="str">
            <v>Visual and Performing Arts</v>
          </cell>
          <cell r="D95" t="str">
            <v>FAA 2530  Theatre History Part Two: Restoration to the Present</v>
          </cell>
          <cell r="K95" t="str">
            <v xml:space="preserve">Sociology </v>
          </cell>
          <cell r="L95" t="str">
            <v>SOC 3150  Social Movements</v>
          </cell>
        </row>
        <row r="96">
          <cell r="C96" t="str">
            <v>Visual and Performing Arts</v>
          </cell>
          <cell r="D96" t="str">
            <v>FAA 2540  Introduction to Playwriting</v>
          </cell>
          <cell r="K96" t="str">
            <v xml:space="preserve">Sociology </v>
          </cell>
          <cell r="L96" t="str">
            <v>SOC 3200  Criminology</v>
          </cell>
        </row>
        <row r="97">
          <cell r="C97" t="str">
            <v>Visual and Performing Arts</v>
          </cell>
          <cell r="D97" t="str">
            <v>FAA 2560  London Theatre</v>
          </cell>
          <cell r="K97" t="str">
            <v xml:space="preserve">Sociology </v>
          </cell>
          <cell r="L97" t="str">
            <v>SOC 3250  Social Change</v>
          </cell>
        </row>
        <row r="98">
          <cell r="C98" t="str">
            <v>Visual and Performing Arts</v>
          </cell>
          <cell r="D98" t="str">
            <v>FAA 2570  Technical Production for the Theatre</v>
          </cell>
          <cell r="K98" t="str">
            <v xml:space="preserve">Sociology </v>
          </cell>
          <cell r="L98" t="str">
            <v>SOC 3300W  Sociology of Education</v>
          </cell>
        </row>
        <row r="99">
          <cell r="C99" t="str">
            <v>Visual and Performing Arts</v>
          </cell>
          <cell r="D99" t="str">
            <v>FAA 2580  Design for the Theatre</v>
          </cell>
          <cell r="K99" t="str">
            <v xml:space="preserve">Sociology </v>
          </cell>
          <cell r="L99" t="str">
            <v>SOC 3330  Racial and Ethnic Minorities (D)</v>
          </cell>
        </row>
        <row r="100">
          <cell r="C100" t="str">
            <v>Visual and Performing Arts</v>
          </cell>
          <cell r="D100" t="str">
            <v>FAA 2610  The Art of Ancient Egypt, Hither Asia, and the Aegean</v>
          </cell>
          <cell r="K100" t="str">
            <v xml:space="preserve">Sociology </v>
          </cell>
          <cell r="L100" t="str">
            <v>SOC 3350  Alternative Approaches to Criminal Justice</v>
          </cell>
        </row>
        <row r="101">
          <cell r="C101" t="str">
            <v>Visual and Performing Arts</v>
          </cell>
          <cell r="D101" t="str">
            <v>FAA 2620  Classical Art</v>
          </cell>
          <cell r="K101" t="str">
            <v xml:space="preserve">Sociology </v>
          </cell>
          <cell r="L101" t="str">
            <v>SOC 3370  Urban Sociology</v>
          </cell>
        </row>
        <row r="102">
          <cell r="C102" t="str">
            <v>Visual and Performing Arts</v>
          </cell>
          <cell r="D102" t="str">
            <v>FAA 2630  Angels and Demons: The Art of the Middle Ages</v>
          </cell>
          <cell r="K102" t="str">
            <v xml:space="preserve">Sociology </v>
          </cell>
          <cell r="L102" t="str">
            <v>SOC 3400  Population Problems</v>
          </cell>
        </row>
        <row r="103">
          <cell r="C103" t="str">
            <v>Visual and Performing Arts</v>
          </cell>
          <cell r="D103" t="str">
            <v>FAA 2640W  First Light: The Beginnings of Modernism in Western Art</v>
          </cell>
          <cell r="K103" t="str">
            <v xml:space="preserve">Sociology </v>
          </cell>
          <cell r="L103" t="str">
            <v>SOC 3430  Criminal Justice and Mental Health</v>
          </cell>
        </row>
        <row r="104">
          <cell r="C104" t="str">
            <v>Visual and Performing Arts</v>
          </cell>
          <cell r="D104" t="str">
            <v>FAA 2650  Artists, Princes, and Popes: From Renaissance to Reformation</v>
          </cell>
          <cell r="K104" t="str">
            <v xml:space="preserve">Sociology </v>
          </cell>
          <cell r="L104" t="str">
            <v>SOC 3450  Sociology of Family</v>
          </cell>
        </row>
        <row r="105">
          <cell r="C105" t="str">
            <v>Visual and Performing Arts</v>
          </cell>
          <cell r="D105" t="str">
            <v>FAA 2660  The Art of the Baroque: European Art of the 17th and 18th Centuries</v>
          </cell>
          <cell r="K105" t="str">
            <v xml:space="preserve">Sociology </v>
          </cell>
          <cell r="L105" t="str">
            <v>SOC 3500  Domestic Violence</v>
          </cell>
        </row>
        <row r="106">
          <cell r="C106" t="str">
            <v>Visual and Performing Arts</v>
          </cell>
          <cell r="D106" t="str">
            <v>FAA 2670  19th Century Art</v>
          </cell>
          <cell r="K106" t="str">
            <v xml:space="preserve">Sociology </v>
          </cell>
          <cell r="L106" t="str">
            <v>SOC 3600  Sociology of Health</v>
          </cell>
        </row>
        <row r="107">
          <cell r="C107" t="str">
            <v>Visual and Performing Arts</v>
          </cell>
          <cell r="D107" t="str">
            <v>FAA 2680  Early 20th Century Art: The Development of Modernist Art</v>
          </cell>
          <cell r="K107" t="str">
            <v xml:space="preserve">Sociology </v>
          </cell>
          <cell r="L107" t="str">
            <v>SOC 3800  Sociology of Gender</v>
          </cell>
        </row>
        <row r="108">
          <cell r="C108" t="str">
            <v>Visual and Performing Arts</v>
          </cell>
          <cell r="D108" t="str">
            <v>FAA 2690  Modern, Postmodern, and Beyond: Art from 1945 to the Present</v>
          </cell>
          <cell r="K108" t="str">
            <v xml:space="preserve">Sociology </v>
          </cell>
          <cell r="L108" t="str">
            <v>SOC 3850  Sociology of Aging</v>
          </cell>
        </row>
        <row r="109">
          <cell r="C109" t="str">
            <v>Visual and Performing Arts</v>
          </cell>
          <cell r="D109" t="str">
            <v>FAA 2840  Digital Photography and Design</v>
          </cell>
          <cell r="K109" t="str">
            <v xml:space="preserve">Sociology </v>
          </cell>
          <cell r="L109" t="str">
            <v>SOC 4300  Social Class in America</v>
          </cell>
        </row>
        <row r="110">
          <cell r="C110" t="str">
            <v>Visual and Performing Arts</v>
          </cell>
          <cell r="D110" t="str">
            <v>FAA 2850  Digital Video</v>
          </cell>
          <cell r="K110" t="str">
            <v>Women’s and Gender Studies</v>
          </cell>
          <cell r="L110" t="str">
            <v>WGS 1010  Gender and Society (D)</v>
          </cell>
        </row>
        <row r="111">
          <cell r="C111" t="str">
            <v>Visual and Performing Arts</v>
          </cell>
          <cell r="D111" t="str">
            <v>FAA 2860  Electronic Publishing</v>
          </cell>
          <cell r="K111" t="str">
            <v>Women’s and Gender Studies</v>
          </cell>
          <cell r="L111" t="str">
            <v>WGS 3100  Feminist Theory (D)</v>
          </cell>
        </row>
        <row r="112">
          <cell r="C112" t="str">
            <v>Visual and Performing Arts</v>
          </cell>
          <cell r="D112" t="str">
            <v>FAA 3270  Advanced Painting</v>
          </cell>
          <cell r="K112" t="str">
            <v>Women’s and Gender Studies</v>
          </cell>
          <cell r="L112" t="str">
            <v>WGS 3110  Global Women’s Issues: Gender, Activism, and Social Justice (D)</v>
          </cell>
        </row>
        <row r="113">
          <cell r="C113" t="str">
            <v>Visual and Performing Arts</v>
          </cell>
          <cell r="D113" t="str">
            <v>FAA 3360  Principles of Composition</v>
          </cell>
          <cell r="K113" t="str">
            <v>Women’s and Gender Studies</v>
          </cell>
          <cell r="L113" t="str">
            <v>WGS 3250  Sex and Gender Studies (D)</v>
          </cell>
        </row>
        <row r="114">
          <cell r="C114" t="str">
            <v>Visual and Performing Arts</v>
          </cell>
          <cell r="D114" t="str">
            <v>FAA 3510  Directing I</v>
          </cell>
          <cell r="K114" t="str">
            <v>Women’s and Gender Studies</v>
          </cell>
          <cell r="L114" t="str">
            <v>WGS 3290  Women and Business (D)</v>
          </cell>
        </row>
        <row r="115">
          <cell r="C115" t="str">
            <v>Visual and Performing Arts</v>
          </cell>
          <cell r="D115" t="str">
            <v>FAA 3520  Acting III</v>
          </cell>
          <cell r="K115" t="str">
            <v>Women’s and Gender Studies</v>
          </cell>
          <cell r="L115" t="str">
            <v>WGS 3420  Gender, Race, and the Media (D)</v>
          </cell>
        </row>
        <row r="116">
          <cell r="C116" t="str">
            <v>Visual and Performing Arts</v>
          </cell>
          <cell r="D116" t="str">
            <v>FAA 3620  Problems in Classical Art</v>
          </cell>
          <cell r="K116" t="str">
            <v>Women’s and Gender Studies</v>
          </cell>
          <cell r="L116" t="str">
            <v>WGS 3710  Gender and the Law (D)</v>
          </cell>
        </row>
        <row r="117">
          <cell r="C117" t="str">
            <v>Visual and Performing Arts</v>
          </cell>
          <cell r="D117" t="str">
            <v>FAA 3650  The World of Michelangelo</v>
          </cell>
          <cell r="K117"/>
          <cell r="L117"/>
        </row>
        <row r="118">
          <cell r="C118" t="str">
            <v>Visual and Performing Arts</v>
          </cell>
          <cell r="D118" t="str">
            <v>FAA 3680  Topics in Modern Art</v>
          </cell>
          <cell r="K118"/>
          <cell r="L118"/>
        </row>
        <row r="119">
          <cell r="C119" t="str">
            <v>Visual and Performing Arts</v>
          </cell>
          <cell r="D119" t="str">
            <v>FAA 3700  Drawing and Sculpture: A Study of Form in Tuscany</v>
          </cell>
          <cell r="K119"/>
          <cell r="L119"/>
        </row>
        <row r="120">
          <cell r="C120" t="str">
            <v>Visual and Performing Arts</v>
          </cell>
          <cell r="D120" t="str">
            <v>FAA 3830  Web Design</v>
          </cell>
          <cell r="K120"/>
          <cell r="L120"/>
        </row>
        <row r="121">
          <cell r="C121" t="str">
            <v>Visual and Performing Arts</v>
          </cell>
          <cell r="D121" t="str">
            <v>FAA 3840  2D Web Animation</v>
          </cell>
          <cell r="K121"/>
          <cell r="L121"/>
        </row>
        <row r="122">
          <cell r="C122" t="str">
            <v>Visual and Performing Arts</v>
          </cell>
          <cell r="D122" t="str">
            <v>FAA 3850  History of Graphic Design</v>
          </cell>
          <cell r="K122"/>
          <cell r="L122"/>
        </row>
        <row r="123">
          <cell r="C123" t="str">
            <v>Visual and Performing Arts</v>
          </cell>
          <cell r="D123" t="str">
            <v>FAA 3860  Computer Illustration</v>
          </cell>
          <cell r="K123"/>
          <cell r="L123"/>
        </row>
        <row r="124">
          <cell r="C124" t="str">
            <v>Visual and Performing Arts</v>
          </cell>
          <cell r="D124" t="str">
            <v>FAA 4820  3D Animation and Illustration</v>
          </cell>
          <cell r="K124"/>
          <cell r="L124"/>
        </row>
        <row r="125">
          <cell r="C125" t="str">
            <v>Visual and Performing Arts</v>
          </cell>
          <cell r="D125" t="str">
            <v>FAA 49l0/4920  Fine Arts Internship</v>
          </cell>
          <cell r="K125"/>
          <cell r="L125"/>
        </row>
        <row r="126">
          <cell r="C126" t="str">
            <v>Women’s and Gender Studies</v>
          </cell>
          <cell r="D126" t="str">
            <v>WGS 2260  Southwestern Women Writers and Artists (D)</v>
          </cell>
          <cell r="K126"/>
          <cell r="L126"/>
        </row>
        <row r="127">
          <cell r="C127" t="str">
            <v>Women’s and Gender Studies</v>
          </cell>
          <cell r="D127" t="str">
            <v>WGS 2420  Gender, Sex, and Film (D)</v>
          </cell>
          <cell r="K127"/>
          <cell r="L127"/>
        </row>
        <row r="128">
          <cell r="C128" t="str">
            <v>Women’s and Gender Studies</v>
          </cell>
          <cell r="D128" t="str">
            <v>WGS 3120  Women and Film: The Politics of Representation (D)</v>
          </cell>
          <cell r="K128"/>
          <cell r="L128"/>
        </row>
        <row r="129">
          <cell r="C129" t="str">
            <v>World Languages and Cultures</v>
          </cell>
          <cell r="D129" t="str">
            <v>FRE 3030  French Cinema I</v>
          </cell>
          <cell r="K129"/>
          <cell r="L129"/>
        </row>
        <row r="130">
          <cell r="C130" t="str">
            <v>World Languages and Cultures</v>
          </cell>
          <cell r="D130" t="str">
            <v>FRE 3040  Five Centuries of French Civilization in Films</v>
          </cell>
          <cell r="K130"/>
          <cell r="L130"/>
        </row>
        <row r="131">
          <cell r="C131" t="str">
            <v>World Languages and Cultures</v>
          </cell>
          <cell r="D131" t="str">
            <v>FRE 3110  Survey of French Literature I</v>
          </cell>
          <cell r="K131"/>
          <cell r="L131"/>
        </row>
        <row r="132">
          <cell r="C132" t="str">
            <v>World Languages and Cultures</v>
          </cell>
          <cell r="D132" t="str">
            <v>FRE 3120  Survey of French Literature II</v>
          </cell>
          <cell r="K132"/>
          <cell r="L132"/>
        </row>
        <row r="133">
          <cell r="C133" t="str">
            <v>World Languages and Cultures</v>
          </cell>
          <cell r="D133" t="str">
            <v>FRE 3130  Studies in Modern French Literature</v>
          </cell>
          <cell r="K133"/>
          <cell r="L133"/>
        </row>
        <row r="134">
          <cell r="C134" t="str">
            <v>World Languages and Cultures</v>
          </cell>
          <cell r="D134" t="str">
            <v>FRE 3140  Studies in Modern French Literature II</v>
          </cell>
          <cell r="K134"/>
          <cell r="L134"/>
        </row>
        <row r="135">
          <cell r="C135" t="str">
            <v>World Languages and Cultures</v>
          </cell>
          <cell r="D135" t="str">
            <v>ITA 2530  Italian Women Writers (D)</v>
          </cell>
          <cell r="K135"/>
          <cell r="L135"/>
        </row>
        <row r="136">
          <cell r="C136" t="str">
            <v>World Languages and Cultures</v>
          </cell>
          <cell r="D136" t="str">
            <v>ITA 2550  Italian Americans and Film</v>
          </cell>
          <cell r="K136"/>
          <cell r="L136"/>
        </row>
        <row r="137">
          <cell r="C137" t="str">
            <v>World Languages and Cultures</v>
          </cell>
          <cell r="D137" t="str">
            <v>ITA 2560  The Italian Southern Question in Literature and Film (D)</v>
          </cell>
          <cell r="K137"/>
          <cell r="L137"/>
        </row>
        <row r="138">
          <cell r="C138" t="str">
            <v>World Languages and Cultures</v>
          </cell>
          <cell r="D138" t="str">
            <v>ITA 2570  Italian Culture Through Film I</v>
          </cell>
          <cell r="K138"/>
          <cell r="L138"/>
        </row>
        <row r="139">
          <cell r="C139" t="str">
            <v>World Languages and Cultures</v>
          </cell>
          <cell r="D139" t="str">
            <v>ITA 2580  Italian Culture Through Film II</v>
          </cell>
          <cell r="K139"/>
          <cell r="L139"/>
        </row>
        <row r="140">
          <cell r="C140" t="str">
            <v>World Languages and Cultures</v>
          </cell>
          <cell r="D140" t="str">
            <v>SPA 3310  Latinos in the U.S.: Literature and Service Learning (D)</v>
          </cell>
          <cell r="K140"/>
          <cell r="L140"/>
        </row>
        <row r="141">
          <cell r="C141" t="str">
            <v>World Languages and Cultures</v>
          </cell>
          <cell r="D141" t="str">
            <v>SPA 3610  Race, Literature, and Culture (D)</v>
          </cell>
          <cell r="K141"/>
          <cell r="L141"/>
        </row>
        <row r="142">
          <cell r="C142" t="str">
            <v>World Languages and Cultures</v>
          </cell>
          <cell r="D142" t="str">
            <v>SPA 3620  Gender, Literature, and Culture (D)</v>
          </cell>
          <cell r="K142"/>
          <cell r="L142"/>
        </row>
        <row r="143">
          <cell r="C143" t="str">
            <v>World Languages and Cultures</v>
          </cell>
          <cell r="D143" t="str">
            <v>SPA 3630  Studies in Popular Culture of Latin America and Spain (D)</v>
          </cell>
          <cell r="K143"/>
          <cell r="L143"/>
        </row>
        <row r="144">
          <cell r="C144" t="str">
            <v>World Languages and Cultures</v>
          </cell>
          <cell r="D144" t="str">
            <v>SPA 4050  Literature(s)/ Cultures(s) of Resistance (D)</v>
          </cell>
          <cell r="K144"/>
          <cell r="L144"/>
        </row>
        <row r="145">
          <cell r="C145" t="str">
            <v>World Languages and Cultures</v>
          </cell>
          <cell r="D145" t="str">
            <v>SPA 4060  Film and Literature of Contemporary Spain and Latin America</v>
          </cell>
          <cell r="K145"/>
          <cell r="L145"/>
        </row>
        <row r="146">
          <cell r="C146" t="str">
            <v>World Languages and Cultures</v>
          </cell>
          <cell r="D146" t="str">
            <v>SPA 4070  Short Fiction of Spanish Speaking World</v>
          </cell>
          <cell r="K146"/>
          <cell r="L146"/>
        </row>
        <row r="147">
          <cell r="C147" t="str">
            <v>World Languages and Cultures</v>
          </cell>
          <cell r="D147" t="str">
            <v>SPA 4080  Hispanic Literature in Translation</v>
          </cell>
          <cell r="K147"/>
          <cell r="L147"/>
        </row>
        <row r="148">
          <cell r="C148"/>
          <cell r="D148"/>
          <cell r="K148"/>
          <cell r="L148"/>
        </row>
        <row r="149">
          <cell r="C149"/>
          <cell r="D149"/>
          <cell r="K149"/>
          <cell r="L149"/>
        </row>
        <row r="150">
          <cell r="C150"/>
          <cell r="D150"/>
          <cell r="K150"/>
          <cell r="L150"/>
        </row>
        <row r="151">
          <cell r="C151"/>
          <cell r="D151"/>
          <cell r="K151"/>
          <cell r="L151"/>
        </row>
        <row r="152">
          <cell r="C152"/>
          <cell r="D152"/>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U156"/>
  <sheetViews>
    <sheetView tabSelected="1" workbookViewId="0">
      <selection activeCell="C12" sqref="C12"/>
    </sheetView>
  </sheetViews>
  <sheetFormatPr defaultColWidth="11.44140625" defaultRowHeight="13.2"/>
  <cols>
    <col min="1" max="1" width="17.33203125" customWidth="1"/>
    <col min="2" max="2" width="22.44140625" bestFit="1" customWidth="1"/>
    <col min="3" max="3" width="4.6640625" customWidth="1"/>
    <col min="4" max="4" width="3.6640625" customWidth="1"/>
    <col min="5" max="5" width="5.6640625" customWidth="1"/>
    <col min="6" max="6" width="10.6640625" customWidth="1"/>
    <col min="7" max="7" width="2.6640625" customWidth="1"/>
    <col min="8" max="8" width="16.6640625" customWidth="1"/>
    <col min="9" max="9" width="28.33203125" customWidth="1"/>
    <col min="10" max="11" width="3.6640625" customWidth="1"/>
    <col min="12" max="12" width="12.44140625" customWidth="1"/>
    <col min="13" max="13" width="4.6640625" customWidth="1"/>
    <col min="14" max="14" width="15.6640625" customWidth="1"/>
    <col min="15" max="15" width="22.44140625" bestFit="1" customWidth="1"/>
    <col min="16" max="16" width="11.44140625" customWidth="1"/>
    <col min="17" max="17" width="15.44140625" bestFit="1" customWidth="1"/>
    <col min="18" max="18" width="11.44140625" customWidth="1"/>
    <col min="19" max="19" width="15.44140625" bestFit="1" customWidth="1"/>
    <col min="20" max="28" width="11.44140625" customWidth="1"/>
    <col min="29" max="29" width="4.33203125" bestFit="1" customWidth="1"/>
    <col min="30" max="30" width="11.44140625" customWidth="1"/>
    <col min="31" max="33" width="2.6640625" customWidth="1"/>
    <col min="44" max="44" width="18" bestFit="1" customWidth="1"/>
    <col min="45" max="45" width="31.5546875" customWidth="1"/>
    <col min="46" max="46" width="14.33203125" customWidth="1"/>
    <col min="47" max="47" width="17.88671875" bestFit="1" customWidth="1"/>
    <col min="80" max="80" width="51.5546875" customWidth="1"/>
    <col min="83" max="83" width="41.5546875" customWidth="1"/>
    <col min="88" max="88" width="35.33203125" customWidth="1"/>
    <col min="93" max="93" width="39.44140625" customWidth="1"/>
  </cols>
  <sheetData>
    <row r="1" spans="1:255" ht="15.75" customHeight="1">
      <c r="A1" s="29"/>
      <c r="B1" s="29"/>
      <c r="C1" s="30"/>
      <c r="D1" s="30"/>
      <c r="E1" s="31" t="s">
        <v>91</v>
      </c>
      <c r="F1" s="31"/>
      <c r="G1" s="32"/>
      <c r="H1" s="29"/>
      <c r="I1" s="29"/>
      <c r="J1" s="31"/>
      <c r="K1" s="29"/>
      <c r="L1" s="29"/>
      <c r="IQ1" s="1"/>
      <c r="IR1" s="1"/>
      <c r="IS1" s="1"/>
      <c r="IT1" s="1"/>
      <c r="IU1" s="1"/>
    </row>
    <row r="2" spans="1:255" ht="15.75" customHeight="1">
      <c r="A2" s="29"/>
      <c r="B2" s="29"/>
      <c r="C2" s="30"/>
      <c r="D2" s="30"/>
      <c r="E2" s="31" t="s">
        <v>47</v>
      </c>
      <c r="F2" s="31"/>
      <c r="G2" s="32"/>
      <c r="H2" s="29"/>
      <c r="I2" s="29"/>
      <c r="J2" s="31"/>
      <c r="K2" s="29"/>
      <c r="L2" s="29"/>
      <c r="CO2" s="187" t="s">
        <v>2</v>
      </c>
      <c r="IQ2" s="1"/>
      <c r="IR2" s="1"/>
      <c r="IS2" s="1"/>
      <c r="IT2" s="1"/>
      <c r="IU2" s="1"/>
    </row>
    <row r="3" spans="1:255" ht="12.75" customHeight="1">
      <c r="A3" s="29"/>
      <c r="B3" s="29"/>
      <c r="C3" s="29"/>
      <c r="D3" s="29"/>
      <c r="E3" s="29"/>
      <c r="F3" s="29"/>
      <c r="G3" s="29"/>
      <c r="H3" s="29"/>
      <c r="I3" s="29" t="s">
        <v>162</v>
      </c>
      <c r="J3" s="33"/>
      <c r="K3" s="29"/>
      <c r="L3" s="29"/>
      <c r="CO3" s="187" t="s">
        <v>3</v>
      </c>
    </row>
    <row r="4" spans="1:255" ht="17.25" customHeight="1">
      <c r="A4" s="34" t="s">
        <v>102</v>
      </c>
      <c r="B4" s="96" t="s">
        <v>162</v>
      </c>
      <c r="C4" s="29" t="s">
        <v>103</v>
      </c>
      <c r="D4" s="209" t="s">
        <v>162</v>
      </c>
      <c r="E4" s="210"/>
      <c r="F4" s="32" t="s">
        <v>219</v>
      </c>
      <c r="G4" s="209" t="s">
        <v>162</v>
      </c>
      <c r="H4" s="210"/>
      <c r="I4" s="36" t="s">
        <v>189</v>
      </c>
      <c r="J4" s="211" t="s">
        <v>162</v>
      </c>
      <c r="K4" s="210"/>
      <c r="L4" s="210"/>
      <c r="AR4" t="s">
        <v>173</v>
      </c>
      <c r="CO4" s="187" t="s">
        <v>4</v>
      </c>
    </row>
    <row r="5" spans="1:255" ht="10.5" customHeight="1" thickBot="1">
      <c r="A5" s="29"/>
      <c r="B5" s="29"/>
      <c r="C5" s="29"/>
      <c r="D5" s="29"/>
      <c r="E5" s="29"/>
      <c r="F5" s="29"/>
      <c r="G5" s="29"/>
      <c r="H5" s="29"/>
      <c r="I5" s="29"/>
      <c r="J5" s="33"/>
      <c r="K5" s="29"/>
      <c r="L5" s="29"/>
    </row>
    <row r="6" spans="1:255" ht="15.75" customHeight="1">
      <c r="A6" s="37"/>
      <c r="B6" s="38" t="s">
        <v>190</v>
      </c>
      <c r="C6" s="39"/>
      <c r="D6" s="39"/>
      <c r="E6" s="39"/>
      <c r="F6" s="40"/>
      <c r="G6" s="41"/>
      <c r="H6" s="40"/>
      <c r="I6" s="38" t="s">
        <v>191</v>
      </c>
      <c r="J6" s="39"/>
      <c r="K6" s="40"/>
      <c r="L6" s="42"/>
      <c r="AT6" t="s">
        <v>178</v>
      </c>
      <c r="AV6" t="s">
        <v>246</v>
      </c>
      <c r="CA6" t="s">
        <v>15</v>
      </c>
      <c r="CD6" t="s">
        <v>5</v>
      </c>
      <c r="IQ6" s="1"/>
      <c r="IR6" s="1"/>
      <c r="IS6" s="1"/>
      <c r="IT6" s="1"/>
      <c r="IU6" s="1"/>
    </row>
    <row r="7" spans="1:255" ht="15.75" customHeight="1" thickBot="1">
      <c r="A7" s="43"/>
      <c r="B7" s="44"/>
      <c r="C7" s="45"/>
      <c r="D7" s="45"/>
      <c r="E7" s="45"/>
      <c r="F7" s="46" t="s">
        <v>197</v>
      </c>
      <c r="G7" s="47"/>
      <c r="H7" s="48"/>
      <c r="I7" s="44"/>
      <c r="J7" s="45"/>
      <c r="K7" s="48"/>
      <c r="L7" s="49"/>
      <c r="AR7" t="s">
        <v>171</v>
      </c>
      <c r="AS7" t="s">
        <v>172</v>
      </c>
      <c r="AT7" t="s">
        <v>181</v>
      </c>
      <c r="AU7" t="s">
        <v>182</v>
      </c>
      <c r="AV7" t="s">
        <v>85</v>
      </c>
      <c r="AW7" t="s">
        <v>86</v>
      </c>
      <c r="CA7" s="186"/>
      <c r="CB7" s="29"/>
      <c r="CI7" t="s">
        <v>1</v>
      </c>
      <c r="CN7" t="s">
        <v>0</v>
      </c>
      <c r="IQ7" s="1"/>
      <c r="IR7" s="1"/>
      <c r="IS7" s="1"/>
      <c r="IT7" s="1"/>
      <c r="IU7" s="1"/>
    </row>
    <row r="8" spans="1:255" ht="15.75" customHeight="1" thickBot="1">
      <c r="A8" s="133" t="s">
        <v>109</v>
      </c>
      <c r="B8" s="134" t="s">
        <v>104</v>
      </c>
      <c r="C8" s="135">
        <v>4</v>
      </c>
      <c r="D8" s="92"/>
      <c r="E8" s="53" t="s">
        <v>162</v>
      </c>
      <c r="F8" s="52"/>
      <c r="G8" s="51"/>
      <c r="H8" s="51" t="s">
        <v>105</v>
      </c>
      <c r="I8" s="51" t="s">
        <v>194</v>
      </c>
      <c r="J8" s="52">
        <v>4</v>
      </c>
      <c r="K8" s="92"/>
      <c r="L8" s="54"/>
      <c r="AR8" t="s">
        <v>150</v>
      </c>
      <c r="AS8" s="114" t="s">
        <v>183</v>
      </c>
      <c r="AT8" t="s">
        <v>180</v>
      </c>
      <c r="AV8" t="s">
        <v>248</v>
      </c>
      <c r="CA8" s="186"/>
      <c r="CB8" t="str">
        <f>'[1]LS Core'!D4</f>
        <v>6. Arts &amp; Lit (AL)</v>
      </c>
      <c r="CD8" s="195"/>
      <c r="CE8" s="190" t="str">
        <f>'[1]LS Core'!F4</f>
        <v>4. Ethics (E)</v>
      </c>
      <c r="CI8" s="195"/>
      <c r="CJ8" s="190" t="str">
        <f>'[1]LS Core'!J4</f>
        <v>8. Historical Studies (H)</v>
      </c>
      <c r="CO8" t="str">
        <f>'[1]LS Core'!L4</f>
        <v>9. Social Science (SS)</v>
      </c>
      <c r="IQ8" s="1"/>
      <c r="IR8" s="1"/>
      <c r="IS8" s="1"/>
      <c r="IT8" s="1"/>
      <c r="IU8" s="1"/>
    </row>
    <row r="9" spans="1:255" ht="15.75" customHeight="1" thickBot="1">
      <c r="A9" s="136" t="s">
        <v>202</v>
      </c>
      <c r="B9" s="134" t="s">
        <v>87</v>
      </c>
      <c r="C9" s="135">
        <v>4</v>
      </c>
      <c r="D9" s="92"/>
      <c r="E9" s="53"/>
      <c r="F9" s="52"/>
      <c r="G9" s="51"/>
      <c r="H9" s="51" t="s">
        <v>203</v>
      </c>
      <c r="I9" s="51" t="s">
        <v>88</v>
      </c>
      <c r="J9" s="52">
        <v>4</v>
      </c>
      <c r="K9" s="92"/>
      <c r="L9" s="54"/>
      <c r="M9" s="85"/>
      <c r="N9" s="86" t="s">
        <v>166</v>
      </c>
      <c r="AR9" t="s">
        <v>151</v>
      </c>
      <c r="AS9" s="114" t="s">
        <v>185</v>
      </c>
      <c r="AT9" t="s">
        <v>179</v>
      </c>
      <c r="AV9" t="s">
        <v>247</v>
      </c>
      <c r="CA9" s="189" t="str">
        <f>'[1]LS Core'!C5</f>
        <v>Communication Arts and Sciences</v>
      </c>
      <c r="CB9" s="190" t="str">
        <f>'[1]LS Core'!D5</f>
        <v>WRT 2790  Public and Private Writing from the Civil War Era</v>
      </c>
      <c r="CD9" s="191" t="str">
        <f>'[1]LS Core'!E5</f>
        <v>Management</v>
      </c>
      <c r="CE9" s="192" t="str">
        <f>'[1]LS Core'!F5</f>
        <v>MGT 3325 Ethics and Social Responsibility</v>
      </c>
      <c r="CI9" s="191" t="str">
        <f>'[1]LS Core'!I5</f>
        <v>Economics</v>
      </c>
      <c r="CJ9" s="192" t="str">
        <f>'[1]LS Core'!J5</f>
        <v>ECO 3314  U.S. Economic History</v>
      </c>
      <c r="CN9" s="114" t="str">
        <f>'[1]LS Core'!K5</f>
        <v>Communication Arts and Sciences</v>
      </c>
      <c r="CO9" t="str">
        <f>'[1]LS Core'!L5</f>
        <v>COM 2201 Introduction to Interpersonal Communication</v>
      </c>
      <c r="IQ9" s="1"/>
      <c r="IR9" s="1"/>
      <c r="IS9" s="1"/>
      <c r="IT9" s="1"/>
      <c r="IU9" s="1"/>
    </row>
    <row r="10" spans="1:255" ht="15.75" customHeight="1" thickBot="1">
      <c r="A10" s="133" t="s">
        <v>228</v>
      </c>
      <c r="B10" s="134" t="s">
        <v>229</v>
      </c>
      <c r="C10" s="135">
        <v>4</v>
      </c>
      <c r="D10" s="92"/>
      <c r="E10" s="53" t="s">
        <v>162</v>
      </c>
      <c r="F10" s="52"/>
      <c r="G10" s="51"/>
      <c r="H10" s="56" t="s">
        <v>167</v>
      </c>
      <c r="I10" s="51" t="s">
        <v>195</v>
      </c>
      <c r="J10" s="52">
        <v>4</v>
      </c>
      <c r="K10" s="92"/>
      <c r="L10" s="54"/>
      <c r="M10" s="87"/>
      <c r="N10" s="88" t="s">
        <v>204</v>
      </c>
      <c r="CA10" s="191" t="str">
        <f>'[1]LS Core'!C6</f>
        <v>Communication Arts and Sciences</v>
      </c>
      <c r="CB10" s="192" t="str">
        <f>'[1]LS Core'!D6</f>
        <v>WRT 3060  Writing the Personal Memoir</v>
      </c>
      <c r="CD10" s="191" t="str">
        <f>'[1]LS Core'!E6</f>
        <v xml:space="preserve">Philosophy </v>
      </c>
      <c r="CE10" s="192" t="str">
        <f>'[1]LS Core'!F6</f>
        <v>PHL 2020W  Perspectives on the Good Life</v>
      </c>
      <c r="CI10" s="191" t="str">
        <f>'[1]LS Core'!I6</f>
        <v>Economics</v>
      </c>
      <c r="CJ10" s="192" t="str">
        <f>'[1]LS Core'!J6</f>
        <v>ECO 3312  The History of Economic Thought</v>
      </c>
      <c r="CN10" s="114" t="str">
        <f>'[1]LS Core'!K6</f>
        <v>Communication Arts and Sciences</v>
      </c>
      <c r="CO10" t="str">
        <f>'[1]LS Core'!L6</f>
        <v xml:space="preserve">COM 2301 Introduction to Organizational Communication </v>
      </c>
      <c r="IQ10" s="1"/>
      <c r="IR10" s="1"/>
      <c r="IS10" s="1"/>
      <c r="IT10" s="1"/>
      <c r="IU10" s="1"/>
    </row>
    <row r="11" spans="1:255" ht="15.75" customHeight="1" thickBot="1">
      <c r="A11" s="50" t="s">
        <v>272</v>
      </c>
      <c r="B11" s="134" t="s">
        <v>146</v>
      </c>
      <c r="C11" s="135">
        <v>4</v>
      </c>
      <c r="D11" s="92"/>
      <c r="E11" s="53" t="s">
        <v>162</v>
      </c>
      <c r="F11" s="52"/>
      <c r="G11" s="51"/>
      <c r="H11" s="51" t="s">
        <v>112</v>
      </c>
      <c r="I11" s="158" t="s">
        <v>201</v>
      </c>
      <c r="J11" s="52">
        <v>4</v>
      </c>
      <c r="K11" s="92"/>
      <c r="L11" s="54"/>
      <c r="M11" s="89"/>
      <c r="N11" s="90" t="s">
        <v>205</v>
      </c>
      <c r="AR11" t="str">
        <f>CONCATENATE(H26," ",I26)</f>
        <v>MEN 3014 Dynamics / Vibrations</v>
      </c>
      <c r="AS11" t="s">
        <v>186</v>
      </c>
      <c r="AU11" t="s">
        <v>243</v>
      </c>
      <c r="CA11" s="191" t="str">
        <f>'[1]LS Core'!C7</f>
        <v>English</v>
      </c>
      <c r="CB11" s="192" t="str">
        <f>'[1]LS Core'!D7</f>
        <v>ENG 1060  Horror Fiction</v>
      </c>
      <c r="CD11" s="191" t="str">
        <f>'[1]LS Core'!E7</f>
        <v xml:space="preserve">Philosophy </v>
      </c>
      <c r="CE11" s="192" t="str">
        <f>'[1]LS Core'!F7</f>
        <v>PHL 2030  Contemporary Moral Problems</v>
      </c>
      <c r="CI11" s="191" t="str">
        <f>'[1]LS Core'!I7</f>
        <v>History</v>
      </c>
      <c r="CJ11" s="192" t="str">
        <f>'[1]LS Core'!J7</f>
        <v>HIS 1106  History of American Civilization, 1600-1877</v>
      </c>
      <c r="CN11" s="114" t="str">
        <f>'[1]LS Core'!K7</f>
        <v>Communication Arts and Sciences</v>
      </c>
      <c r="CO11" t="str">
        <f>'[1]LS Core'!L7</f>
        <v xml:space="preserve">COM 2401 Introduction to Mass Communication </v>
      </c>
      <c r="IQ11" s="1"/>
      <c r="IR11" s="1"/>
      <c r="IS11" s="1"/>
      <c r="IT11" s="1"/>
      <c r="IU11" s="1"/>
    </row>
    <row r="12" spans="1:255" ht="15.75" customHeight="1">
      <c r="A12" s="133"/>
      <c r="B12" s="134"/>
      <c r="C12" s="135" t="s">
        <v>162</v>
      </c>
      <c r="D12" s="57"/>
      <c r="E12" s="132" t="s">
        <v>162</v>
      </c>
      <c r="F12" s="52"/>
      <c r="G12" s="51"/>
      <c r="H12" s="51"/>
      <c r="I12" s="58"/>
      <c r="J12" s="52"/>
      <c r="K12" s="57"/>
      <c r="L12" s="59"/>
      <c r="AR12" t="s">
        <v>244</v>
      </c>
      <c r="AU12" t="s">
        <v>245</v>
      </c>
      <c r="AW12" t="s">
        <v>249</v>
      </c>
      <c r="CA12" s="191" t="str">
        <f>'[1]LS Core'!C8</f>
        <v>English</v>
      </c>
      <c r="CB12" s="192" t="str">
        <f>'[1]LS Core'!D8</f>
        <v>ENG 1500  Major British and World Authors</v>
      </c>
      <c r="CD12" s="191" t="str">
        <f>'[1]LS Core'!E8</f>
        <v xml:space="preserve">Philosophy </v>
      </c>
      <c r="CE12" s="192" t="str">
        <f>'[1]LS Core'!F8</f>
        <v>PHL 2040  Introduction to Political Philosophy</v>
      </c>
      <c r="CI12" s="191" t="str">
        <f>'[1]LS Core'!I8</f>
        <v>History</v>
      </c>
      <c r="CJ12" s="192" t="str">
        <f>'[1]LS Core'!J8</f>
        <v>HIS 1107  History of American Civilization, 1877-2000</v>
      </c>
      <c r="CN12" s="114" t="str">
        <f>'[1]LS Core'!K8</f>
        <v>Communication Arts and Sciences</v>
      </c>
      <c r="CO12" t="str">
        <f>'[1]LS Core'!L8</f>
        <v>COM 3231 Intercultural Communication (D)</v>
      </c>
      <c r="IQ12" s="1"/>
      <c r="IR12" s="1"/>
      <c r="IS12" s="1"/>
      <c r="IT12" s="1"/>
      <c r="IU12" s="1"/>
    </row>
    <row r="13" spans="1:255" ht="15.75" customHeight="1">
      <c r="A13" s="60"/>
      <c r="B13" s="61"/>
      <c r="C13" s="62">
        <f>SUM(C8:C12)</f>
        <v>16</v>
      </c>
      <c r="D13" s="63"/>
      <c r="E13" s="63"/>
      <c r="F13" s="62"/>
      <c r="G13" s="61"/>
      <c r="H13" s="61"/>
      <c r="I13" s="61"/>
      <c r="J13" s="62">
        <f>SUM(J8:J12)</f>
        <v>16</v>
      </c>
      <c r="K13" s="63"/>
      <c r="L13" s="64"/>
      <c r="CA13" s="191" t="str">
        <f>'[1]LS Core'!C9</f>
        <v>English</v>
      </c>
      <c r="CB13" s="192" t="str">
        <f>'[1]LS Core'!D9</f>
        <v>ENG 1550  Major American Authors</v>
      </c>
      <c r="CD13" s="191" t="str">
        <f>'[1]LS Core'!E9</f>
        <v xml:space="preserve">Philosophy </v>
      </c>
      <c r="CE13" s="192" t="str">
        <f>'[1]LS Core'!F9</f>
        <v>PHL 2050  Ethics in the Professions</v>
      </c>
      <c r="CI13" s="191" t="str">
        <f>'[1]LS Core'!I9</f>
        <v>History</v>
      </c>
      <c r="CJ13" s="192" t="str">
        <f>'[1]LS Core'!J9</f>
        <v>HIS 1119  History of Western Civilization I</v>
      </c>
      <c r="CN13" s="114" t="str">
        <f>'[1]LS Core'!K9</f>
        <v>Economics</v>
      </c>
      <c r="CO13" t="str">
        <f>'[1]LS Core'!L9</f>
        <v>ECO 1201  Introduction to Economics   </v>
      </c>
      <c r="IQ13" s="1"/>
      <c r="IR13" s="1"/>
      <c r="IS13" s="1"/>
      <c r="IT13" s="1"/>
      <c r="IU13" s="1"/>
    </row>
    <row r="14" spans="1:255" ht="12" customHeight="1" thickBot="1">
      <c r="A14" s="28"/>
      <c r="B14" s="65"/>
      <c r="C14" s="65"/>
      <c r="D14" s="52"/>
      <c r="E14" s="52" t="s">
        <v>233</v>
      </c>
      <c r="F14" s="52"/>
      <c r="G14" s="51"/>
      <c r="H14" s="65"/>
      <c r="I14" s="65"/>
      <c r="J14" s="65"/>
      <c r="K14" s="52" t="s">
        <v>233</v>
      </c>
      <c r="L14" s="66" t="s">
        <v>233</v>
      </c>
      <c r="CA14" s="191" t="str">
        <f>'[1]LS Core'!C10</f>
        <v>English</v>
      </c>
      <c r="CB14" s="192" t="str">
        <f>'[1]LS Core'!D10</f>
        <v>ENG 2050W  Introduction to Literary Studies</v>
      </c>
      <c r="CD14" s="191" t="str">
        <f>'[1]LS Core'!E10</f>
        <v xml:space="preserve">Philosophy </v>
      </c>
      <c r="CE14" s="192" t="str">
        <f>'[1]LS Core'!F10</f>
        <v>PHL 2060  Biomedical Ethics</v>
      </c>
      <c r="CI14" s="191" t="str">
        <f>'[1]LS Core'!I10</f>
        <v>History</v>
      </c>
      <c r="CJ14" s="192" t="str">
        <f>'[1]LS Core'!J10</f>
        <v>HIS 1120  History of Western Civilization II</v>
      </c>
      <c r="CN14" s="114" t="str">
        <f>'[1]LS Core'!K10</f>
        <v>Economics</v>
      </c>
      <c r="CO14" t="str">
        <f>'[1]LS Core'!L10</f>
        <v>ECO 1202  Topics in Introductory Economics </v>
      </c>
      <c r="IQ14" s="1"/>
      <c r="IR14" s="1"/>
      <c r="IS14" s="1"/>
      <c r="IT14" s="1"/>
      <c r="IU14" s="1"/>
    </row>
    <row r="15" spans="1:255" ht="16.5" customHeight="1" thickTop="1" thickBot="1">
      <c r="A15" s="43"/>
      <c r="B15" s="48"/>
      <c r="C15" s="48"/>
      <c r="D15" s="67"/>
      <c r="E15" s="67"/>
      <c r="F15" s="45" t="s">
        <v>196</v>
      </c>
      <c r="G15" s="47"/>
      <c r="H15" s="48"/>
      <c r="I15" s="48"/>
      <c r="J15" s="48"/>
      <c r="K15" s="67"/>
      <c r="L15" s="68"/>
      <c r="N15" s="93" t="s">
        <v>165</v>
      </c>
      <c r="O15" s="94"/>
      <c r="P15" s="94"/>
      <c r="Q15" s="95"/>
      <c r="AS15" t="s">
        <v>187</v>
      </c>
      <c r="CA15" s="191" t="str">
        <f>'[1]LS Core'!C11</f>
        <v>English</v>
      </c>
      <c r="CB15" s="192" t="str">
        <f>'[1]LS Core'!D11</f>
        <v>ENG 2200  Introduction to Poetry</v>
      </c>
      <c r="CD15" s="191" t="str">
        <f>'[1]LS Core'!E11</f>
        <v xml:space="preserve">Philosophy </v>
      </c>
      <c r="CE15" s="192" t="str">
        <f>'[1]LS Core'!F11</f>
        <v>PHL 2070  Environmental Ethics</v>
      </c>
      <c r="CI15" s="191" t="str">
        <f>'[1]LS Core'!I11</f>
        <v>History</v>
      </c>
      <c r="CJ15" s="192" t="str">
        <f>'[1]LS Core'!J11</f>
        <v>HIS 2329  American Social History</v>
      </c>
      <c r="CN15" s="114" t="str">
        <f>'[1]LS Core'!K11</f>
        <v>Economics</v>
      </c>
      <c r="CO15" t="str">
        <f>'[1]LS Core'!L11</f>
        <v>ECO 1203  Principles of Economics – Micro  </v>
      </c>
      <c r="IQ15" s="1"/>
      <c r="IR15" s="1"/>
      <c r="IS15" s="1"/>
      <c r="IT15" s="1"/>
      <c r="IU15" s="1"/>
    </row>
    <row r="16" spans="1:255" ht="15" customHeight="1" thickBot="1">
      <c r="A16" s="55" t="s">
        <v>108</v>
      </c>
      <c r="B16" s="51" t="s">
        <v>92</v>
      </c>
      <c r="C16" s="52">
        <v>4</v>
      </c>
      <c r="D16" s="92"/>
      <c r="E16" s="53"/>
      <c r="F16" s="52"/>
      <c r="G16" s="51"/>
      <c r="H16" s="56" t="s">
        <v>110</v>
      </c>
      <c r="I16" s="51" t="s">
        <v>188</v>
      </c>
      <c r="J16" s="52">
        <v>4</v>
      </c>
      <c r="K16" s="92"/>
      <c r="L16" s="54"/>
      <c r="N16" s="215" t="s">
        <v>215</v>
      </c>
      <c r="O16" s="216"/>
      <c r="P16" s="216"/>
      <c r="Q16" s="217"/>
      <c r="CA16" s="191" t="str">
        <f>'[1]LS Core'!C12</f>
        <v>English</v>
      </c>
      <c r="CB16" s="192" t="str">
        <f>'[1]LS Core'!D12</f>
        <v>ENG 2300  Detective Fiction</v>
      </c>
      <c r="CD16" s="191" t="str">
        <f>'[1]LS Core'!E12</f>
        <v xml:space="preserve">Philosophy </v>
      </c>
      <c r="CE16" s="192" t="str">
        <f>'[1]LS Core'!F12</f>
        <v>PHL 2080  Approaches to Ethics</v>
      </c>
      <c r="CI16" s="191" t="str">
        <f>'[1]LS Core'!I12</f>
        <v>History</v>
      </c>
      <c r="CJ16" s="192" t="str">
        <f>'[1]LS Core'!J12</f>
        <v>HIS 2340  History of Latin America (D)</v>
      </c>
      <c r="CN16" s="114" t="str">
        <f>'[1]LS Core'!K12</f>
        <v>Economics</v>
      </c>
      <c r="CO16" t="str">
        <f>'[1]LS Core'!L12</f>
        <v>ECO 1204  Principles of Economics – Macro  </v>
      </c>
      <c r="IQ16" s="1"/>
      <c r="IR16" s="1"/>
      <c r="IS16" s="1"/>
      <c r="IT16" s="1"/>
      <c r="IU16" s="1"/>
    </row>
    <row r="17" spans="1:255" ht="15.75" customHeight="1" thickBot="1">
      <c r="A17" s="50" t="s">
        <v>20</v>
      </c>
      <c r="B17" s="51" t="s">
        <v>21</v>
      </c>
      <c r="C17" s="52">
        <v>4</v>
      </c>
      <c r="D17" s="92"/>
      <c r="E17" s="53"/>
      <c r="F17" s="52"/>
      <c r="G17" s="51"/>
      <c r="H17" s="56" t="s">
        <v>176</v>
      </c>
      <c r="I17" s="51" t="s">
        <v>234</v>
      </c>
      <c r="J17" s="52">
        <v>4</v>
      </c>
      <c r="K17" s="92"/>
      <c r="L17" s="54"/>
      <c r="N17" s="215"/>
      <c r="O17" s="216"/>
      <c r="P17" s="216"/>
      <c r="Q17" s="217"/>
      <c r="CA17" s="191" t="str">
        <f>'[1]LS Core'!C13</f>
        <v>English</v>
      </c>
      <c r="CB17" s="192" t="str">
        <f>'[1]LS Core'!D13</f>
        <v>ENG 2740  Politics in Literature</v>
      </c>
      <c r="CD17" s="191" t="str">
        <f>'[1]LS Core'!E13</f>
        <v xml:space="preserve">Philosophy </v>
      </c>
      <c r="CE17" s="192" t="str">
        <f>'[1]LS Core'!F13</f>
        <v>PHL 2090  Values in a Technological Culture</v>
      </c>
      <c r="CI17" s="191" t="str">
        <f>'[1]LS Core'!I13</f>
        <v>History</v>
      </c>
      <c r="CJ17" s="192" t="str">
        <f>'[1]LS Core'!J13</f>
        <v>HIS 3350  Ancient History</v>
      </c>
      <c r="CN17" s="114" t="str">
        <f>'[1]LS Core'!K13</f>
        <v>Economics</v>
      </c>
      <c r="CO17" t="str">
        <f>'[1]LS Core'!L13</f>
        <v>ECO 1225  Economics of Gender (D)</v>
      </c>
      <c r="IQ17" s="1"/>
      <c r="IR17" s="1"/>
      <c r="IS17" s="1"/>
      <c r="IT17" s="1"/>
      <c r="IU17" s="1"/>
    </row>
    <row r="18" spans="1:255" ht="15.75" customHeight="1" thickBot="1">
      <c r="A18" s="55" t="s">
        <v>177</v>
      </c>
      <c r="B18" s="51" t="s">
        <v>89</v>
      </c>
      <c r="C18" s="52">
        <v>4</v>
      </c>
      <c r="D18" s="92"/>
      <c r="E18" s="53"/>
      <c r="F18" s="52"/>
      <c r="G18" s="51"/>
      <c r="H18" s="56" t="s">
        <v>111</v>
      </c>
      <c r="I18" s="51" t="s">
        <v>198</v>
      </c>
      <c r="J18" s="52">
        <v>4</v>
      </c>
      <c r="K18" s="92"/>
      <c r="L18" s="54"/>
      <c r="N18" s="215" t="s">
        <v>175</v>
      </c>
      <c r="O18" s="216"/>
      <c r="P18" s="216"/>
      <c r="Q18" s="217"/>
      <c r="CA18" s="191" t="str">
        <f>'[1]LS Core'!C14</f>
        <v>English</v>
      </c>
      <c r="CB18" s="192" t="str">
        <f>'[1]LS Core'!D14</f>
        <v>ENG 2750  Adapting the Graphic Novel to Film</v>
      </c>
      <c r="CD18" s="191" t="str">
        <f>'[1]LS Core'!E14</f>
        <v xml:space="preserve">Philosophy </v>
      </c>
      <c r="CE18" s="192" t="str">
        <f>'[1]LS Core'!F14</f>
        <v>PHL 2100  Women, Ethics and Society (D)</v>
      </c>
      <c r="CI18" s="191" t="str">
        <f>'[1]LS Core'!I14</f>
        <v>History</v>
      </c>
      <c r="CJ18" s="192" t="str">
        <f>'[1]LS Core'!J14</f>
        <v>HIS 3360  Medieval Civilization</v>
      </c>
      <c r="CN18" s="114" t="str">
        <f>'[1]LS Core'!K14</f>
        <v>Economics</v>
      </c>
      <c r="CO18" t="str">
        <f>'[1]LS Core'!L14</f>
        <v>ECO 2201  Intermediate Micro-Economics  </v>
      </c>
      <c r="IQ18" s="1"/>
      <c r="IR18" s="1"/>
      <c r="IS18" s="1"/>
      <c r="IT18" s="1"/>
      <c r="IU18" s="1"/>
    </row>
    <row r="19" spans="1:255" ht="15.75" customHeight="1" thickBot="1">
      <c r="A19" s="55" t="s">
        <v>45</v>
      </c>
      <c r="B19" s="138" t="s">
        <v>46</v>
      </c>
      <c r="C19" s="52">
        <v>4</v>
      </c>
      <c r="D19" s="92"/>
      <c r="E19" s="53"/>
      <c r="F19" s="69"/>
      <c r="G19" s="51"/>
      <c r="H19" s="56" t="s">
        <v>113</v>
      </c>
      <c r="I19" s="103" t="s">
        <v>114</v>
      </c>
      <c r="J19" s="52">
        <v>4</v>
      </c>
      <c r="K19" s="92"/>
      <c r="L19" s="54"/>
      <c r="N19" s="215"/>
      <c r="O19" s="216"/>
      <c r="P19" s="216"/>
      <c r="Q19" s="217"/>
      <c r="CA19" s="191" t="str">
        <f>'[1]LS Core'!C15</f>
        <v>English</v>
      </c>
      <c r="CB19" s="192" t="str">
        <f>'[1]LS Core'!D15</f>
        <v>ENG 2770  Literature and Film</v>
      </c>
      <c r="CD19" s="191" t="str">
        <f>'[1]LS Core'!E15</f>
        <v xml:space="preserve">Philosophy </v>
      </c>
      <c r="CE19" s="192" t="str">
        <f>'[1]LS Core'!F15</f>
        <v>PHL 2310  Socrates and the Examined Life</v>
      </c>
      <c r="CI19" s="191" t="str">
        <f>'[1]LS Core'!I15</f>
        <v>History</v>
      </c>
      <c r="CJ19" s="192" t="str">
        <f>'[1]LS Core'!J15</f>
        <v>HIS 3370  Renaissance and Reformation</v>
      </c>
      <c r="CN19" s="114" t="str">
        <f>'[1]LS Core'!K15</f>
        <v>Economics</v>
      </c>
      <c r="CO19" t="str">
        <f>'[1]LS Core'!L15</f>
        <v>ECO 2202  Intermediate Macro-Economics </v>
      </c>
      <c r="IQ19" s="1"/>
      <c r="IR19" s="1"/>
      <c r="IS19" s="1"/>
      <c r="IT19" s="1"/>
      <c r="IU19" s="1"/>
    </row>
    <row r="20" spans="1:255" ht="15.75" customHeight="1">
      <c r="A20" s="50"/>
      <c r="B20" s="51"/>
      <c r="C20" s="52"/>
      <c r="D20" s="57"/>
      <c r="E20" s="57"/>
      <c r="F20" s="52"/>
      <c r="G20" s="51"/>
      <c r="H20" s="51"/>
      <c r="I20" s="51"/>
      <c r="J20" s="52"/>
      <c r="K20" s="57"/>
      <c r="L20" s="59"/>
      <c r="N20" s="215" t="s">
        <v>240</v>
      </c>
      <c r="O20" s="216"/>
      <c r="P20" s="216"/>
      <c r="Q20" s="217"/>
      <c r="CA20" s="191" t="str">
        <f>'[1]LS Core'!C16</f>
        <v>English</v>
      </c>
      <c r="CB20" s="192" t="str">
        <f>'[1]LS Core'!D16</f>
        <v>ENG 3020  A History of the English Language</v>
      </c>
      <c r="CD20" s="191" t="str">
        <f>'[1]LS Core'!E16</f>
        <v xml:space="preserve">Philosophy </v>
      </c>
      <c r="CE20" s="192" t="str">
        <f>'[1]LS Core'!F16</f>
        <v>PHL 2500 Theories of Justice</v>
      </c>
      <c r="CI20" s="191" t="str">
        <f>'[1]LS Core'!I16</f>
        <v>History</v>
      </c>
      <c r="CJ20" s="192" t="str">
        <f>'[1]LS Core'!J16</f>
        <v>HIS 3376  Era of the French Revolution</v>
      </c>
      <c r="CN20" s="114" t="str">
        <f>'[1]LS Core'!K16</f>
        <v>Economics</v>
      </c>
      <c r="CO20" t="str">
        <f>'[1]LS Core'!L16</f>
        <v>ECO 3303  Economic Development</v>
      </c>
      <c r="IQ20" s="1"/>
      <c r="IR20" s="1"/>
      <c r="IS20" s="1"/>
      <c r="IT20" s="1"/>
      <c r="IU20" s="1"/>
    </row>
    <row r="21" spans="1:255" ht="15.75" customHeight="1">
      <c r="A21" s="50"/>
      <c r="B21" s="51"/>
      <c r="C21" s="52"/>
      <c r="D21" s="57"/>
      <c r="E21" s="57"/>
      <c r="F21" s="52"/>
      <c r="G21" s="51"/>
      <c r="H21" s="51"/>
      <c r="I21" s="51"/>
      <c r="J21" s="52"/>
      <c r="K21" s="57"/>
      <c r="L21" s="59"/>
      <c r="N21" s="215"/>
      <c r="O21" s="216"/>
      <c r="P21" s="216"/>
      <c r="Q21" s="217"/>
      <c r="CA21" s="191" t="str">
        <f>'[1]LS Core'!C17</f>
        <v>English</v>
      </c>
      <c r="CB21" s="192" t="str">
        <f>'[1]LS Core'!D17</f>
        <v>ENG 3100  Beowulf and Old English Literature</v>
      </c>
      <c r="CD21" s="191" t="str">
        <f>'[1]LS Core'!E17</f>
        <v xml:space="preserve">Philosophy </v>
      </c>
      <c r="CE21" s="192" t="str">
        <f>'[1]LS Core'!F17</f>
        <v>PHL 3020 Philosophy of Law</v>
      </c>
      <c r="CI21" s="191" t="str">
        <f>'[1]LS Core'!I17</f>
        <v>History</v>
      </c>
      <c r="CJ21" s="192" t="str">
        <f>'[1]LS Core'!J17</f>
        <v>HIS 3378  History of Modern Britain</v>
      </c>
      <c r="CN21" s="114" t="str">
        <f>'[1]LS Core'!K17</f>
        <v>Economics</v>
      </c>
      <c r="CO21" t="str">
        <f>'[1]LS Core'!L17</f>
        <v>ECO 3304  Economics of Education</v>
      </c>
      <c r="IQ21" s="1"/>
      <c r="IR21" s="1"/>
      <c r="IS21" s="1"/>
      <c r="IT21" s="1"/>
      <c r="IU21" s="1"/>
    </row>
    <row r="22" spans="1:255" ht="15" customHeight="1">
      <c r="A22" s="60"/>
      <c r="B22" s="61"/>
      <c r="C22" s="62">
        <f>SUM(C16:C21)</f>
        <v>16</v>
      </c>
      <c r="D22" s="63"/>
      <c r="E22" s="63"/>
      <c r="F22" s="62"/>
      <c r="G22" s="61"/>
      <c r="H22" s="61"/>
      <c r="I22" s="61"/>
      <c r="J22" s="62">
        <f>SUM(J16:J20)</f>
        <v>16</v>
      </c>
      <c r="K22" s="63"/>
      <c r="L22" s="64"/>
      <c r="N22" s="215" t="s">
        <v>163</v>
      </c>
      <c r="O22" s="216"/>
      <c r="P22" s="216"/>
      <c r="Q22" s="217"/>
      <c r="CA22" s="191" t="str">
        <f>'[1]LS Core'!C18</f>
        <v>English</v>
      </c>
      <c r="CB22" s="192" t="str">
        <f>'[1]LS Core'!D18</f>
        <v>ENG 3140  Chaucer and Middle English Literature</v>
      </c>
      <c r="CD22" s="191" t="str">
        <f>'[1]LS Core'!E18</f>
        <v xml:space="preserve">Philosophy </v>
      </c>
      <c r="CE22" s="192" t="str">
        <f>'[1]LS Core'!F18</f>
        <v>PHL 3030  Global Justice</v>
      </c>
      <c r="CI22" s="191" t="str">
        <f>'[1]LS Core'!I18</f>
        <v>History</v>
      </c>
      <c r="CJ22" s="192" t="str">
        <f>'[1]LS Core'!J18</f>
        <v>HIS 3380  History of Modern Technology</v>
      </c>
      <c r="CN22" s="114" t="str">
        <f>'[1]LS Core'!K18</f>
        <v>Economics</v>
      </c>
      <c r="CO22" t="str">
        <f>'[1]LS Core'!L18</f>
        <v>ECO 3305  Ecological Economics</v>
      </c>
      <c r="IQ22" s="1"/>
      <c r="IR22" s="1"/>
      <c r="IS22" s="1"/>
      <c r="IT22" s="1"/>
      <c r="IU22" s="1"/>
    </row>
    <row r="23" spans="1:255" ht="15" customHeight="1" thickBot="1">
      <c r="A23" s="28"/>
      <c r="B23" s="51"/>
      <c r="C23" s="65"/>
      <c r="D23" s="52"/>
      <c r="E23" s="52" t="s">
        <v>233</v>
      </c>
      <c r="F23" s="52"/>
      <c r="G23" s="51"/>
      <c r="H23" s="65"/>
      <c r="I23" s="51"/>
      <c r="J23" s="65"/>
      <c r="K23" s="52" t="s">
        <v>233</v>
      </c>
      <c r="L23" s="66" t="s">
        <v>233</v>
      </c>
      <c r="N23" s="218"/>
      <c r="O23" s="219"/>
      <c r="P23" s="219"/>
      <c r="Q23" s="220"/>
      <c r="CA23" s="191" t="str">
        <f>'[1]LS Core'!C19</f>
        <v>English</v>
      </c>
      <c r="CB23" s="192" t="str">
        <f>'[1]LS Core'!D19</f>
        <v>ENG 3200  Renaissance Literature</v>
      </c>
      <c r="CD23" s="191" t="str">
        <f>'[1]LS Core'!E19</f>
        <v xml:space="preserve">Philosophy </v>
      </c>
      <c r="CE23" s="192" t="str">
        <f>'[1]LS Core'!F19</f>
        <v>PHL 3180  Existentialism</v>
      </c>
      <c r="CI23" s="191" t="str">
        <f>'[1]LS Core'!I19</f>
        <v>History</v>
      </c>
      <c r="CJ23" s="192" t="str">
        <f>'[1]LS Core'!J19</f>
        <v>HIS 3390  Modern European Social History</v>
      </c>
      <c r="CN23" s="114" t="str">
        <f>'[1]LS Core'!K19</f>
        <v>Economics</v>
      </c>
      <c r="CO23" t="str">
        <f>'[1]LS Core'!L19</f>
        <v>ECO 3306  International Economics</v>
      </c>
      <c r="IQ23" s="1"/>
      <c r="IR23" s="1"/>
      <c r="IS23" s="1"/>
      <c r="IT23" s="1"/>
      <c r="IU23" s="1"/>
    </row>
    <row r="24" spans="1:255" ht="12.75" customHeight="1" thickTop="1" thickBot="1">
      <c r="A24" s="43"/>
      <c r="B24" s="47"/>
      <c r="C24" s="48"/>
      <c r="D24" s="67"/>
      <c r="E24" s="67"/>
      <c r="F24" s="45" t="s">
        <v>192</v>
      </c>
      <c r="G24" s="47"/>
      <c r="H24" s="48"/>
      <c r="I24" s="47"/>
      <c r="J24" s="48"/>
      <c r="K24" s="67"/>
      <c r="L24" s="68"/>
      <c r="CA24" s="191" t="str">
        <f>'[1]LS Core'!C20</f>
        <v>English</v>
      </c>
      <c r="CB24" s="192" t="str">
        <f>'[1]LS Core'!D20</f>
        <v>ENG 3220  Renaissance Drama</v>
      </c>
      <c r="CD24" s="191" t="str">
        <f>'[1]LS Core'!E20</f>
        <v>Religious and Theological Studies</v>
      </c>
      <c r="CE24" s="192" t="str">
        <f>'[1]LS Core'!F20</f>
        <v>RTS 2800  Christian Social Ethics (D)</v>
      </c>
      <c r="CI24" s="191" t="str">
        <f>'[1]LS Core'!I20</f>
        <v>History</v>
      </c>
      <c r="CJ24" s="192" t="str">
        <f>'[1]LS Core'!J20</f>
        <v>HIS 3391  Women in Modern European History (D)</v>
      </c>
      <c r="CN24" s="114" t="str">
        <f>'[1]LS Core'!K20</f>
        <v>Economics</v>
      </c>
      <c r="CO24" t="str">
        <f>'[1]LS Core'!L20</f>
        <v>ECO 3307  Labor Economics</v>
      </c>
      <c r="IQ24" s="1"/>
      <c r="IR24" s="1"/>
      <c r="IS24" s="1"/>
      <c r="IT24" s="1"/>
      <c r="IU24" s="1"/>
    </row>
    <row r="25" spans="1:255" ht="15.75" customHeight="1" thickBot="1">
      <c r="A25" s="50" t="s">
        <v>211</v>
      </c>
      <c r="B25" s="51" t="s">
        <v>206</v>
      </c>
      <c r="C25" s="52">
        <v>4</v>
      </c>
      <c r="D25" s="92"/>
      <c r="E25" s="53"/>
      <c r="F25" s="52"/>
      <c r="G25" s="65"/>
      <c r="H25" s="51" t="s">
        <v>22</v>
      </c>
      <c r="I25" s="51" t="s">
        <v>207</v>
      </c>
      <c r="J25" s="52">
        <v>4</v>
      </c>
      <c r="K25" s="92"/>
      <c r="L25" s="54"/>
      <c r="CA25" s="191" t="str">
        <f>'[1]LS Core'!C21</f>
        <v>English</v>
      </c>
      <c r="CB25" s="192" t="str">
        <f>'[1]LS Core'!D21</f>
        <v>ENG 3250  Shakespearean Drama</v>
      </c>
      <c r="CD25" s="191" t="str">
        <f>'[1]LS Core'!E21</f>
        <v>Religious and Theological Studies</v>
      </c>
      <c r="CE25" s="192" t="str">
        <f>'[1]LS Core'!F21</f>
        <v>RTS 2900  Holocaust: Theology, Reality and Aftermath (D)</v>
      </c>
      <c r="CI25" s="191" t="str">
        <f>'[1]LS Core'!I21</f>
        <v>History</v>
      </c>
      <c r="CJ25" s="192" t="str">
        <f>'[1]LS Core'!J21</f>
        <v>HIS 3320  The American City</v>
      </c>
      <c r="CN25" s="114" t="str">
        <f>'[1]LS Core'!K21</f>
        <v>Economics</v>
      </c>
      <c r="CO25" t="str">
        <f>'[1]LS Core'!L21</f>
        <v>ECO 3308  Managerial Economics</v>
      </c>
    </row>
    <row r="26" spans="1:255" ht="15.75" customHeight="1" thickBot="1">
      <c r="A26" s="56" t="s">
        <v>214</v>
      </c>
      <c r="B26" s="51" t="s">
        <v>209</v>
      </c>
      <c r="C26" s="52">
        <v>4</v>
      </c>
      <c r="D26" s="92"/>
      <c r="E26" s="53"/>
      <c r="F26" s="52"/>
      <c r="G26" s="65"/>
      <c r="H26" s="51" t="s">
        <v>23</v>
      </c>
      <c r="I26" s="51" t="s">
        <v>208</v>
      </c>
      <c r="J26" s="52">
        <v>4</v>
      </c>
      <c r="K26" s="92"/>
      <c r="L26" s="54"/>
      <c r="CA26" s="191" t="str">
        <f>'[1]LS Core'!C22</f>
        <v>English</v>
      </c>
      <c r="CB26" s="192" t="str">
        <f>'[1]LS Core'!D22</f>
        <v>ENG 3280  Angels and Demons: Milton and the Culture of Revolution</v>
      </c>
      <c r="CD26" s="191" t="str">
        <f>'[1]LS Core'!E22</f>
        <v>Religious and Theological Studies</v>
      </c>
      <c r="CE26" s="192" t="str">
        <f>'[1]LS Core'!F22</f>
        <v>RTS 2950  Ethics in the Abrahamic Traditions</v>
      </c>
      <c r="CI26" s="191" t="str">
        <f>'[1]LS Core'!I22</f>
        <v>History</v>
      </c>
      <c r="CJ26" s="192" t="str">
        <f>'[1]LS Core'!J22</f>
        <v>HIS 3326  History of American Architecture</v>
      </c>
      <c r="CN26" s="114" t="str">
        <f>'[1]LS Core'!K22</f>
        <v>Economics</v>
      </c>
      <c r="CO26" t="str">
        <f>'[1]LS Core'!L22</f>
        <v>ECO 3309  Marxian Economics</v>
      </c>
    </row>
    <row r="27" spans="1:255" ht="15.75" customHeight="1" thickBot="1">
      <c r="A27" s="50" t="s">
        <v>213</v>
      </c>
      <c r="B27" s="51" t="s">
        <v>212</v>
      </c>
      <c r="C27" s="52">
        <v>2</v>
      </c>
      <c r="D27" s="92"/>
      <c r="E27" s="53"/>
      <c r="F27" s="52"/>
      <c r="G27" s="65"/>
      <c r="H27" s="137" t="s">
        <v>236</v>
      </c>
      <c r="I27" s="51" t="s">
        <v>210</v>
      </c>
      <c r="J27" s="135">
        <v>2</v>
      </c>
      <c r="K27" s="92"/>
      <c r="L27" s="54"/>
      <c r="CA27" s="191" t="str">
        <f>'[1]LS Core'!C23</f>
        <v>English</v>
      </c>
      <c r="CB27" s="192" t="str">
        <f>'[1]LS Core'!D23</f>
        <v>ENG 3300  Restoration and Eighteenth-Century Literature</v>
      </c>
      <c r="CD27" s="191" t="str">
        <f>'[1]LS Core'!E23</f>
        <v>Religious and Theological Studies</v>
      </c>
      <c r="CE27" s="192" t="str">
        <f>'[1]LS Core'!F23</f>
        <v>RTS 3700  African-American Theology (D)</v>
      </c>
      <c r="CI27" s="191" t="str">
        <f>'[1]LS Core'!I23</f>
        <v>History</v>
      </c>
      <c r="CJ27" s="192" t="str">
        <f>'[1]LS Core'!J23</f>
        <v>HIS 3401  Topics in Nineteenth-Century Europe</v>
      </c>
      <c r="CN27" s="114" t="str">
        <f>'[1]LS Core'!K23</f>
        <v>Economics</v>
      </c>
      <c r="CO27" t="str">
        <f>'[1]LS Core'!L23</f>
        <v>ECO 3310  Money and Finance</v>
      </c>
    </row>
    <row r="28" spans="1:255" ht="15.75" customHeight="1" thickBot="1">
      <c r="A28" s="50" t="s">
        <v>251</v>
      </c>
      <c r="B28" s="51" t="s">
        <v>252</v>
      </c>
      <c r="C28" s="52">
        <v>4</v>
      </c>
      <c r="D28" s="92"/>
      <c r="E28" s="53"/>
      <c r="F28" s="52"/>
      <c r="G28" s="65"/>
      <c r="H28" s="51" t="s">
        <v>116</v>
      </c>
      <c r="I28" s="158" t="s">
        <v>201</v>
      </c>
      <c r="J28" s="52">
        <v>4</v>
      </c>
      <c r="K28" s="92"/>
      <c r="L28" s="54"/>
      <c r="CA28" s="191" t="str">
        <f>'[1]LS Core'!C24</f>
        <v>English</v>
      </c>
      <c r="CB28" s="192" t="str">
        <f>'[1]LS Core'!D24</f>
        <v>ENG 3320  Eighteenth-Century Novel</v>
      </c>
      <c r="CD28" s="191" t="str">
        <f>'[1]LS Core'!E24</f>
        <v>Religious and Theological Studies</v>
      </c>
      <c r="CE28" s="192" t="str">
        <f>'[1]LS Core'!F24</f>
        <v>RTS 3710  Feminist Theology (D)</v>
      </c>
      <c r="CI28" s="191" t="str">
        <f>'[1]LS Core'!I24</f>
        <v>History</v>
      </c>
      <c r="CJ28" s="192" t="str">
        <f>'[1]LS Core'!J24</f>
        <v>HIS 3410  Twentieth-Century Europe</v>
      </c>
      <c r="CN28" s="114" t="str">
        <f>'[1]LS Core'!K24</f>
        <v>Economics</v>
      </c>
      <c r="CO28" t="str">
        <f>'[1]LS Core'!L24</f>
        <v>ECO 3311  Public Finance</v>
      </c>
    </row>
    <row r="29" spans="1:255" ht="15.75" customHeight="1" thickBot="1">
      <c r="A29" s="28" t="s">
        <v>115</v>
      </c>
      <c r="B29" s="158" t="s">
        <v>201</v>
      </c>
      <c r="C29" s="71">
        <v>4</v>
      </c>
      <c r="D29" s="92"/>
      <c r="E29" s="53"/>
      <c r="F29" s="53"/>
      <c r="G29" s="65"/>
      <c r="H29" s="65" t="s">
        <v>239</v>
      </c>
      <c r="I29" s="51" t="s">
        <v>48</v>
      </c>
      <c r="J29" s="52">
        <v>1</v>
      </c>
      <c r="K29" s="92"/>
      <c r="L29" s="54" t="s">
        <v>162</v>
      </c>
      <c r="CA29" s="191" t="str">
        <f>'[1]LS Core'!C25</f>
        <v>English</v>
      </c>
      <c r="CB29" s="192" t="str">
        <f>'[1]LS Core'!D25</f>
        <v>ENG 3350  Sex, Race, and Empire: 1660-1814</v>
      </c>
      <c r="CD29" s="191" t="str">
        <f>'[1]LS Core'!E25</f>
        <v>Religious and Theological Studies</v>
      </c>
      <c r="CE29" s="192" t="str">
        <f>'[1]LS Core'!F25</f>
        <v>RTS 3800  The Catholic Thing: Merton and Day</v>
      </c>
      <c r="CI29" s="191" t="str">
        <f>'[1]LS Core'!I25</f>
        <v>History</v>
      </c>
      <c r="CJ29" s="192" t="str">
        <f>'[1]LS Core'!J25</f>
        <v>HIS 3425  Contemporary United States History</v>
      </c>
      <c r="CN29" s="114" t="str">
        <f>'[1]LS Core'!K25</f>
        <v>Economics</v>
      </c>
      <c r="CO29" t="str">
        <f>'[1]LS Core'!L25</f>
        <v>ECO 3312  The History of Economic Thought</v>
      </c>
    </row>
    <row r="30" spans="1:255" ht="15.75" customHeight="1">
      <c r="A30" s="50"/>
      <c r="B30" s="51"/>
      <c r="C30" s="52"/>
      <c r="D30" s="57"/>
      <c r="E30" s="57"/>
      <c r="F30" s="52"/>
      <c r="G30" s="65"/>
      <c r="H30" s="56" t="s">
        <v>162</v>
      </c>
      <c r="I30" s="103" t="s">
        <v>162</v>
      </c>
      <c r="J30" s="53"/>
      <c r="K30" s="57"/>
      <c r="L30" s="59"/>
      <c r="CA30" s="191" t="str">
        <f>'[1]LS Core'!C26</f>
        <v>English</v>
      </c>
      <c r="CB30" s="192" t="str">
        <f>'[1]LS Core'!D26</f>
        <v>ENG 3400  British Romanticism</v>
      </c>
      <c r="CD30" s="191" t="str">
        <f>'[1]LS Core'!E26</f>
        <v>Religious and Theological Studies</v>
      </c>
      <c r="CE30" s="192" t="str">
        <f>'[1]LS Core'!F26</f>
        <v>RTS 3850  War and Peace: Religious Perspectives</v>
      </c>
      <c r="CI30" s="191" t="str">
        <f>'[1]LS Core'!I26</f>
        <v>History</v>
      </c>
      <c r="CJ30" s="192" t="str">
        <f>'[1]LS Core'!J26</f>
        <v>HIS 3434  Age of the American Revolution, 1763-1800</v>
      </c>
      <c r="CN30" s="114" t="str">
        <f>'[1]LS Core'!K26</f>
        <v>Economics</v>
      </c>
      <c r="CO30" t="str">
        <f>'[1]LS Core'!L26</f>
        <v>ECO 3313  Topics in Quantitative Economics</v>
      </c>
    </row>
    <row r="31" spans="1:255" ht="15" customHeight="1">
      <c r="A31" s="60"/>
      <c r="B31" s="61"/>
      <c r="C31" s="62">
        <f>C25+C26+C27+C28+C29</f>
        <v>18</v>
      </c>
      <c r="D31" s="63"/>
      <c r="E31" s="63"/>
      <c r="F31" s="62"/>
      <c r="G31" s="35"/>
      <c r="H31" s="61"/>
      <c r="I31" s="61"/>
      <c r="J31" s="62">
        <f>SUM(J25:J29)</f>
        <v>15</v>
      </c>
      <c r="K31" s="63"/>
      <c r="L31" s="64"/>
      <c r="CA31" s="191" t="str">
        <f>'[1]LS Core'!C27</f>
        <v>English</v>
      </c>
      <c r="CB31" s="192" t="str">
        <f>'[1]LS Core'!D27</f>
        <v>ENG 3420  American Romanticism</v>
      </c>
      <c r="CD31" s="191">
        <f>'[1]LS Core'!E27</f>
        <v>0</v>
      </c>
      <c r="CE31" s="192">
        <f>'[1]LS Core'!F27</f>
        <v>0</v>
      </c>
      <c r="CI31" s="191" t="str">
        <f>'[1]LS Core'!I27</f>
        <v>History</v>
      </c>
      <c r="CJ31" s="192" t="str">
        <f>'[1]LS Core'!J27</f>
        <v>HIS 3435  American Colonial History</v>
      </c>
      <c r="CN31" s="114" t="str">
        <f>'[1]LS Core'!K27</f>
        <v>Economics</v>
      </c>
      <c r="CO31" t="str">
        <f>'[1]LS Core'!L27</f>
        <v>ECO 3314  U.S. Economic History</v>
      </c>
    </row>
    <row r="32" spans="1:255" ht="12.75" customHeight="1">
      <c r="A32" s="28"/>
      <c r="B32" s="65"/>
      <c r="C32" s="65"/>
      <c r="D32" s="52"/>
      <c r="E32" s="52" t="s">
        <v>233</v>
      </c>
      <c r="F32" s="52"/>
      <c r="G32" s="65"/>
      <c r="H32" s="65"/>
      <c r="I32" s="65"/>
      <c r="J32" s="65"/>
      <c r="K32" s="52" t="s">
        <v>233</v>
      </c>
      <c r="L32" s="66" t="s">
        <v>233</v>
      </c>
      <c r="CA32" s="191" t="str">
        <f>'[1]LS Core'!C28</f>
        <v>English</v>
      </c>
      <c r="CB32" s="192" t="str">
        <f>'[1]LS Core'!D28</f>
        <v>ENG 3440  Victorian Literature</v>
      </c>
      <c r="CD32" s="191">
        <f>'[1]LS Core'!E28</f>
        <v>0</v>
      </c>
      <c r="CE32" s="192">
        <f>'[1]LS Core'!F28</f>
        <v>0</v>
      </c>
      <c r="CI32" s="191" t="str">
        <f>'[1]LS Core'!I28</f>
        <v>History</v>
      </c>
      <c r="CJ32" s="192" t="str">
        <f>'[1]LS Core'!J28</f>
        <v>HIS 3437  Civil War and Reconstruction</v>
      </c>
      <c r="CN32" s="114" t="str">
        <f>'[1]LS Core'!K28</f>
        <v>Economics</v>
      </c>
      <c r="CO32" t="str">
        <f>'[1]LS Core'!L28</f>
        <v>ECO 3315  Urban and Regional Economics</v>
      </c>
    </row>
    <row r="33" spans="1:255" ht="16.5" customHeight="1" thickBot="1">
      <c r="A33" s="43"/>
      <c r="B33" s="48"/>
      <c r="C33" s="48"/>
      <c r="D33" s="67"/>
      <c r="E33" s="67"/>
      <c r="F33" s="45" t="s">
        <v>232</v>
      </c>
      <c r="G33" s="48"/>
      <c r="H33" s="48"/>
      <c r="I33" s="48"/>
      <c r="J33" s="48"/>
      <c r="K33" s="67"/>
      <c r="L33" s="68"/>
      <c r="CA33" s="191" t="str">
        <f>'[1]LS Core'!C29</f>
        <v>English</v>
      </c>
      <c r="CB33" s="192" t="str">
        <f>'[1]LS Core'!D29</f>
        <v>ENG 3470  Realism and Naturalism in America</v>
      </c>
      <c r="CD33" s="191">
        <f>'[1]LS Core'!E29</f>
        <v>0</v>
      </c>
      <c r="CE33" s="192">
        <f>'[1]LS Core'!F29</f>
        <v>0</v>
      </c>
      <c r="CI33" s="191" t="str">
        <f>'[1]LS Core'!I29</f>
        <v>History</v>
      </c>
      <c r="CJ33" s="192" t="str">
        <f>'[1]LS Core'!J29</f>
        <v>HIS 3439  Slavery and Race in the Early Modern Atlantic World, 1400-1800 (D)</v>
      </c>
      <c r="CN33" s="114" t="str">
        <f>'[1]LS Core'!K29</f>
        <v>History</v>
      </c>
      <c r="CO33" t="str">
        <f>'[1]LS Core'!L29</f>
        <v>HIS 3376  Era of the French Revolution</v>
      </c>
    </row>
    <row r="34" spans="1:255" ht="15.75" customHeight="1" thickBot="1">
      <c r="A34" s="50" t="s">
        <v>124</v>
      </c>
      <c r="B34" s="51" t="s">
        <v>125</v>
      </c>
      <c r="C34" s="52">
        <v>4</v>
      </c>
      <c r="D34" s="92"/>
      <c r="E34" s="53"/>
      <c r="F34" s="52"/>
      <c r="G34" s="65"/>
      <c r="H34" s="51" t="s">
        <v>237</v>
      </c>
      <c r="I34" s="51" t="s">
        <v>193</v>
      </c>
      <c r="J34" s="52">
        <v>4</v>
      </c>
      <c r="K34" s="92"/>
      <c r="L34" s="188" t="s">
        <v>19</v>
      </c>
      <c r="CA34" s="191" t="str">
        <f>'[1]LS Core'!C30</f>
        <v>English</v>
      </c>
      <c r="CB34" s="192" t="str">
        <f>'[1]LS Core'!D30</f>
        <v>ENG 3500  Modern British Literature</v>
      </c>
      <c r="CD34" s="191">
        <f>'[1]LS Core'!E30</f>
        <v>0</v>
      </c>
      <c r="CE34" s="192">
        <f>'[1]LS Core'!F30</f>
        <v>0</v>
      </c>
      <c r="CI34" s="191" t="str">
        <f>'[1]LS Core'!I30</f>
        <v>History</v>
      </c>
      <c r="CJ34" s="192" t="str">
        <f>'[1]LS Core'!J30</f>
        <v>HIS 3470  History of Imperial Russia</v>
      </c>
      <c r="CN34" s="114" t="str">
        <f>'[1]LS Core'!K30</f>
        <v>History</v>
      </c>
      <c r="CO34" t="str">
        <f>'[1]LS Core'!L30</f>
        <v>HIS 3380  History of Modern Technology</v>
      </c>
    </row>
    <row r="35" spans="1:255" ht="15.75" customHeight="1" thickBot="1">
      <c r="A35" s="65" t="s">
        <v>126</v>
      </c>
      <c r="B35" s="29" t="s">
        <v>127</v>
      </c>
      <c r="C35" s="52">
        <v>4</v>
      </c>
      <c r="D35" s="92"/>
      <c r="E35" s="53"/>
      <c r="F35" s="52"/>
      <c r="G35" s="65"/>
      <c r="H35" s="51" t="s">
        <v>128</v>
      </c>
      <c r="I35" s="51" t="s">
        <v>125</v>
      </c>
      <c r="J35" s="52">
        <v>4</v>
      </c>
      <c r="K35" s="92"/>
      <c r="L35" s="54"/>
      <c r="CA35" s="191" t="str">
        <f>'[1]LS Core'!C31</f>
        <v>English</v>
      </c>
      <c r="CB35" s="192" t="str">
        <f>'[1]LS Core'!D31</f>
        <v>ENG 3520  Modern Irish Literature</v>
      </c>
      <c r="CD35" s="193">
        <f>'[1]LS Core'!E31</f>
        <v>0</v>
      </c>
      <c r="CE35" s="194">
        <f>'[1]LS Core'!F31</f>
        <v>0</v>
      </c>
      <c r="CI35" s="191" t="str">
        <f>'[1]LS Core'!I31</f>
        <v>History</v>
      </c>
      <c r="CJ35" s="192" t="str">
        <f>'[1]LS Core'!J31</f>
        <v>HIS 3471  History of Twentieth-Century Russia</v>
      </c>
      <c r="CN35" s="114" t="str">
        <f>'[1]LS Core'!K31</f>
        <v>History</v>
      </c>
      <c r="CO35" t="str">
        <f>'[1]LS Core'!L31</f>
        <v>HIS 3390  Modern European Social History</v>
      </c>
    </row>
    <row r="36" spans="1:255" ht="15.75" customHeight="1" thickBot="1">
      <c r="A36" s="84" t="s">
        <v>216</v>
      </c>
      <c r="B36" s="103" t="s">
        <v>201</v>
      </c>
      <c r="C36" s="52">
        <v>4</v>
      </c>
      <c r="D36" s="92"/>
      <c r="E36" s="91" t="s">
        <v>164</v>
      </c>
      <c r="F36" s="52"/>
      <c r="G36" s="65"/>
      <c r="H36" s="51" t="s">
        <v>238</v>
      </c>
      <c r="I36" s="51" t="s">
        <v>90</v>
      </c>
      <c r="J36" s="52">
        <v>1</v>
      </c>
      <c r="K36" s="92"/>
      <c r="L36" s="54"/>
      <c r="CA36" s="191" t="str">
        <f>'[1]LS Core'!C32</f>
        <v>English</v>
      </c>
      <c r="CB36" s="192" t="str">
        <f>'[1]LS Core'!D32</f>
        <v>ENG 3550  Modern American Literature</v>
      </c>
      <c r="CI36" s="191" t="str">
        <f>'[1]LS Core'!I32</f>
        <v>History</v>
      </c>
      <c r="CJ36" s="192" t="str">
        <f>'[1]LS Core'!J32</f>
        <v>HIS 3525  Environmental History of North America</v>
      </c>
      <c r="CN36" s="114" t="str">
        <f>'[1]LS Core'!K32</f>
        <v>History</v>
      </c>
      <c r="CO36" t="str">
        <f>'[1]LS Core'!L32</f>
        <v>HIS 3391  Women in Modern European History</v>
      </c>
    </row>
    <row r="37" spans="1:255" ht="15.75" customHeight="1" thickBot="1">
      <c r="A37" s="50" t="s">
        <v>117</v>
      </c>
      <c r="B37" s="158" t="s">
        <v>201</v>
      </c>
      <c r="C37" s="52">
        <v>4</v>
      </c>
      <c r="D37" s="92"/>
      <c r="E37" s="53"/>
      <c r="F37" s="52"/>
      <c r="G37" s="65"/>
      <c r="H37" s="51" t="s">
        <v>117</v>
      </c>
      <c r="I37" s="158" t="s">
        <v>201</v>
      </c>
      <c r="J37" s="52">
        <v>4</v>
      </c>
      <c r="K37" s="92"/>
      <c r="L37" s="54"/>
      <c r="CA37" s="191" t="str">
        <f>'[1]LS Core'!C33</f>
        <v>English</v>
      </c>
      <c r="CB37" s="192" t="str">
        <f>'[1]LS Core'!D33</f>
        <v>ENG 3620  Contemporary American Literature</v>
      </c>
      <c r="CI37" s="191" t="str">
        <f>'[1]LS Core'!I33</f>
        <v>Political Science</v>
      </c>
      <c r="CJ37" s="192" t="str">
        <f>'[1]LS Core'!J33</f>
        <v>POL 2581 Political Thought: Plato to Machiavelli</v>
      </c>
      <c r="CN37" s="114" t="str">
        <f>'[1]LS Core'!K33</f>
        <v xml:space="preserve">Political Science </v>
      </c>
      <c r="CO37" t="str">
        <f>'[1]LS Core'!L33</f>
        <v>POL 1000  Current Issues in Politics and Government </v>
      </c>
    </row>
    <row r="38" spans="1:255" ht="15.75" customHeight="1" thickBot="1">
      <c r="A38" s="56" t="s">
        <v>162</v>
      </c>
      <c r="B38" s="103" t="s">
        <v>162</v>
      </c>
      <c r="C38" s="52"/>
      <c r="D38" s="102"/>
      <c r="E38" s="53"/>
      <c r="F38" s="52"/>
      <c r="G38" s="65"/>
      <c r="H38" s="70" t="s">
        <v>128</v>
      </c>
      <c r="I38" s="29" t="s">
        <v>253</v>
      </c>
      <c r="J38" s="71">
        <v>4</v>
      </c>
      <c r="K38" s="92"/>
      <c r="L38" s="54"/>
      <c r="CA38" s="191" t="str">
        <f>'[1]LS Core'!C34</f>
        <v>English</v>
      </c>
      <c r="CB38" s="192" t="str">
        <f>'[1]LS Core'!D34</f>
        <v>ENG 3650  Contemporary American Drama</v>
      </c>
      <c r="CI38" s="191" t="str">
        <f>'[1]LS Core'!I34</f>
        <v>Political Science</v>
      </c>
      <c r="CJ38" s="192" t="str">
        <f>'[1]LS Core'!J34</f>
        <v>POL 2582 Political Thought: Machiavelli to Marx</v>
      </c>
      <c r="CN38" s="114" t="str">
        <f>'[1]LS Core'!K34</f>
        <v xml:space="preserve">Political Science </v>
      </c>
      <c r="CO38" t="str">
        <f>'[1]LS Core'!L34</f>
        <v>POL 1100  Politics of the United States   </v>
      </c>
    </row>
    <row r="39" spans="1:255" ht="15.75" customHeight="1" thickBot="1">
      <c r="A39" s="50"/>
      <c r="B39" s="51"/>
      <c r="C39" s="52"/>
      <c r="D39" s="53"/>
      <c r="E39" s="53"/>
      <c r="F39" s="52"/>
      <c r="G39" s="65"/>
      <c r="H39" s="51"/>
      <c r="I39" s="51"/>
      <c r="J39" s="52"/>
      <c r="K39" s="53"/>
      <c r="L39" s="54"/>
      <c r="CA39" s="191" t="str">
        <f>'[1]LS Core'!C35</f>
        <v>English</v>
      </c>
      <c r="CB39" s="192" t="str">
        <f>'[1]LS Core'!D35</f>
        <v>ENG 3680  World Drama</v>
      </c>
      <c r="CI39" s="191" t="str">
        <f>'[1]LS Core'!I35</f>
        <v>Religious and Theological Studies</v>
      </c>
      <c r="CJ39" s="192" t="str">
        <f>'[1]LS Core'!J35</f>
        <v>RTS 2450  History of Christian Thought</v>
      </c>
      <c r="CN39" s="114" t="str">
        <f>'[1]LS Core'!K35</f>
        <v xml:space="preserve">Political Science </v>
      </c>
      <c r="CO39" t="str">
        <f>'[1]LS Core'!L35</f>
        <v>POL 1500  Comparative Politics    </v>
      </c>
    </row>
    <row r="40" spans="1:255" ht="15.75" customHeight="1" thickBot="1">
      <c r="A40" s="50"/>
      <c r="B40" s="51"/>
      <c r="C40" s="52"/>
      <c r="D40" s="57"/>
      <c r="E40" s="57"/>
      <c r="F40" s="184" t="s">
        <v>230</v>
      </c>
      <c r="G40" s="65"/>
      <c r="H40" s="92"/>
      <c r="I40" s="51"/>
      <c r="J40" s="51"/>
      <c r="K40" s="57"/>
      <c r="L40" s="59"/>
      <c r="CA40" s="191" t="str">
        <f>'[1]LS Core'!C36</f>
        <v>English</v>
      </c>
      <c r="CB40" s="192" t="str">
        <f>'[1]LS Core'!D36</f>
        <v>ENG 3685  The Graphic Novel</v>
      </c>
      <c r="CI40" s="191" t="str">
        <f>'[1]LS Core'!I36</f>
        <v>Religious and Theological Studies</v>
      </c>
      <c r="CJ40" s="192" t="str">
        <f>'[1]LS Core'!J36</f>
        <v>RTS 3400  American Catholicism</v>
      </c>
      <c r="CN40" s="114" t="str">
        <f>'[1]LS Core'!K36</f>
        <v xml:space="preserve">Political Science </v>
      </c>
      <c r="CO40" t="str">
        <f>'[1]LS Core'!L36</f>
        <v>POL 2000W  Political Science Methods  (Q)</v>
      </c>
      <c r="IQ40" s="1"/>
      <c r="IR40" s="1"/>
      <c r="IS40" s="1"/>
      <c r="IT40" s="1"/>
      <c r="IU40" s="1"/>
    </row>
    <row r="41" spans="1:255" ht="15.75" customHeight="1" thickBot="1">
      <c r="A41" s="50"/>
      <c r="B41" s="51"/>
      <c r="C41" s="52"/>
      <c r="D41" s="57"/>
      <c r="E41" s="57"/>
      <c r="F41" s="184" t="s">
        <v>43</v>
      </c>
      <c r="G41" s="65"/>
      <c r="H41" s="92"/>
      <c r="I41" s="185" t="s">
        <v>44</v>
      </c>
      <c r="J41" s="185"/>
      <c r="K41" s="57"/>
      <c r="L41" s="59"/>
      <c r="CA41" s="191" t="str">
        <f>'[1]LS Core'!C37</f>
        <v>English</v>
      </c>
      <c r="CB41" s="192" t="str">
        <f>'[1]LS Core'!D37</f>
        <v>ENG 3700 Self and Society: The Victorian Novel</v>
      </c>
      <c r="CI41" s="191" t="str">
        <f>'[1]LS Core'!I37</f>
        <v>Visual and Performing Arts</v>
      </c>
      <c r="CJ41" s="192" t="str">
        <f>'[1]LS Core'!J37</f>
        <v>FAA 1610  Art History I</v>
      </c>
      <c r="CN41" s="114" t="str">
        <f>'[1]LS Core'!K37</f>
        <v xml:space="preserve">Political Science </v>
      </c>
      <c r="CO41" t="str">
        <f>'[1]LS Core'!L37</f>
        <v>POL 2111  State and Local Politics   </v>
      </c>
      <c r="IQ41" s="1"/>
      <c r="IR41" s="1"/>
      <c r="IS41" s="1"/>
      <c r="IT41" s="1"/>
      <c r="IU41" s="1"/>
    </row>
    <row r="42" spans="1:255" ht="15.75" customHeight="1">
      <c r="A42" s="60"/>
      <c r="B42" s="61"/>
      <c r="C42" s="62">
        <f>SUM(C34:C40)</f>
        <v>16</v>
      </c>
      <c r="D42" s="62"/>
      <c r="E42" s="62"/>
      <c r="F42" s="62"/>
      <c r="G42" s="35"/>
      <c r="H42" s="61"/>
      <c r="I42" s="61"/>
      <c r="J42" s="62">
        <f>SUM(J34:J41)</f>
        <v>17</v>
      </c>
      <c r="K42" s="63"/>
      <c r="L42" s="64"/>
      <c r="CA42" s="191" t="str">
        <f>'[1]LS Core'!C38</f>
        <v>English</v>
      </c>
      <c r="CB42" s="192" t="str">
        <f>'[1]LS Core'!D38</f>
        <v>ENG 3710  Trans-Atlantic Romanticism</v>
      </c>
      <c r="CI42" s="191" t="str">
        <f>'[1]LS Core'!I38</f>
        <v>Visual and Performing Arts</v>
      </c>
      <c r="CJ42" s="192" t="str">
        <f>'[1]LS Core'!J38</f>
        <v>FAA 1620  Art History II</v>
      </c>
      <c r="CN42" s="114" t="str">
        <f>'[1]LS Core'!K38</f>
        <v xml:space="preserve">Political Science </v>
      </c>
      <c r="CO42" t="str">
        <f>'[1]LS Core'!L38</f>
        <v>POL 2120  Government Business and Society  </v>
      </c>
      <c r="IQ42" s="1"/>
      <c r="IR42" s="1"/>
      <c r="IS42" s="1"/>
      <c r="IT42" s="1"/>
      <c r="IU42" s="1"/>
    </row>
    <row r="43" spans="1:255" ht="12.75" customHeight="1">
      <c r="A43" s="212" t="s">
        <v>231</v>
      </c>
      <c r="B43" s="213"/>
      <c r="C43" s="213"/>
      <c r="D43" s="213"/>
      <c r="E43" s="213"/>
      <c r="F43" s="214"/>
      <c r="G43" s="8"/>
      <c r="H43" s="72" t="s">
        <v>174</v>
      </c>
      <c r="I43" s="3"/>
      <c r="J43" s="3"/>
      <c r="K43" s="3"/>
      <c r="L43" s="9"/>
      <c r="CA43" s="191" t="str">
        <f>'[1]LS Core'!C39</f>
        <v>English</v>
      </c>
      <c r="CB43" s="192" t="str">
        <f>'[1]LS Core'!D39</f>
        <v>ENG 3730  Modern American Poetry</v>
      </c>
      <c r="CI43" s="191" t="str">
        <f>'[1]LS Core'!I39</f>
        <v>Visual and Performing Arts</v>
      </c>
      <c r="CJ43" s="192" t="str">
        <f>'[1]LS Core'!J39</f>
        <v>FAA 2520  Theater History I</v>
      </c>
      <c r="CN43" s="114" t="str">
        <f>'[1]LS Core'!K39</f>
        <v xml:space="preserve">Political Science </v>
      </c>
      <c r="CO43" t="str">
        <f>'[1]LS Core'!L39</f>
        <v>POL 2121  Public Administration and Public Policy </v>
      </c>
      <c r="IQ43" s="1"/>
      <c r="IR43" s="1"/>
      <c r="IS43" s="1"/>
      <c r="IT43" s="1"/>
      <c r="IU43" s="1"/>
    </row>
    <row r="44" spans="1:255" ht="15.75" customHeight="1">
      <c r="A44" s="101"/>
      <c r="B44" s="97"/>
      <c r="C44" s="97"/>
      <c r="D44" s="97"/>
      <c r="E44" s="97"/>
      <c r="F44" s="98"/>
      <c r="G44" s="73"/>
      <c r="H44" s="74"/>
      <c r="I44" s="51"/>
      <c r="J44" s="51"/>
      <c r="K44" s="4"/>
      <c r="L44" s="10"/>
      <c r="CA44" s="191" t="str">
        <f>'[1]LS Core'!C40</f>
        <v>English</v>
      </c>
      <c r="CB44" s="192" t="str">
        <f>'[1]LS Core'!D40</f>
        <v>ENG 3740  American Women’s Fiction</v>
      </c>
      <c r="CI44" s="191" t="str">
        <f>'[1]LS Core'!I40</f>
        <v>Visual and Performing Arts</v>
      </c>
      <c r="CJ44" s="192" t="str">
        <f>'[1]LS Core'!J40</f>
        <v>FAA 2530  Theater History II</v>
      </c>
      <c r="CN44" s="114" t="str">
        <f>'[1]LS Core'!K40</f>
        <v xml:space="preserve">Political Science </v>
      </c>
      <c r="CO44" t="str">
        <f>'[1]LS Core'!L40</f>
        <v>POL 2181  American Political Thought   </v>
      </c>
      <c r="IQ44" s="1"/>
      <c r="IR44" s="1"/>
      <c r="IS44" s="1"/>
      <c r="IT44" s="1"/>
      <c r="IU44" s="1"/>
    </row>
    <row r="45" spans="1:255" ht="15.75" customHeight="1">
      <c r="A45" s="115"/>
      <c r="C45" s="99"/>
      <c r="D45" s="99"/>
      <c r="E45" s="99"/>
      <c r="F45" s="100"/>
      <c r="G45" s="75"/>
      <c r="H45" s="74" t="s">
        <v>129</v>
      </c>
      <c r="I45" s="51"/>
      <c r="J45" s="51"/>
      <c r="K45" s="4"/>
      <c r="L45" s="10"/>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91" t="str">
        <f>'[1]LS Core'!C41</f>
        <v>English</v>
      </c>
      <c r="CB45" s="192" t="str">
        <f>'[1]LS Core'!D41</f>
        <v>ENG 3750  Gods and Monsters: The Shelley Circle</v>
      </c>
      <c r="CC45" s="1"/>
      <c r="CD45" s="1"/>
      <c r="CE45" s="1"/>
      <c r="CF45" s="1"/>
      <c r="CG45" s="1"/>
      <c r="CH45" s="1"/>
      <c r="CI45" s="191" t="str">
        <f>'[1]LS Core'!I41</f>
        <v>Women’s and Gender Studies</v>
      </c>
      <c r="CJ45" s="192" t="str">
        <f>'[1]LS Core'!J41</f>
        <v>WGS 3300  U.S. Women’s History</v>
      </c>
      <c r="CK45" s="1"/>
      <c r="CL45" s="1"/>
      <c r="CM45" s="1"/>
      <c r="CN45" s="114" t="str">
        <f>'[1]LS Core'!K41</f>
        <v xml:space="preserve">Political Science </v>
      </c>
      <c r="CO45" t="str">
        <f>'[1]LS Core'!L41</f>
        <v>POL 2510  International Politics    </v>
      </c>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row>
    <row r="46" spans="1:255" ht="16.8" customHeight="1">
      <c r="A46" s="116"/>
      <c r="C46" s="99"/>
      <c r="D46" s="99"/>
      <c r="E46" s="99"/>
      <c r="F46" s="100"/>
      <c r="G46" s="75"/>
      <c r="H46" s="74"/>
      <c r="I46" s="52"/>
      <c r="J46" s="51"/>
      <c r="K46" s="4"/>
      <c r="L46" s="10"/>
      <c r="M46" s="5"/>
      <c r="CA46" s="191" t="str">
        <f>'[1]LS Core'!C42</f>
        <v>English</v>
      </c>
      <c r="CB46" s="192" t="str">
        <f>'[1]LS Core'!D42</f>
        <v>ENG 3770  Caribbean Women Writers (D)</v>
      </c>
      <c r="CI46" s="191">
        <f>'[1]LS Core'!I42</f>
        <v>0</v>
      </c>
      <c r="CJ46" s="192">
        <f>'[1]LS Core'!J42</f>
        <v>0</v>
      </c>
      <c r="CN46" s="114" t="str">
        <f>'[1]LS Core'!K42</f>
        <v xml:space="preserve">Political Science </v>
      </c>
      <c r="CO46" t="str">
        <f>'[1]LS Core'!L42</f>
        <v>POL 2581  Political Thought:  Plato to Machiavelli </v>
      </c>
      <c r="IQ46" s="1"/>
      <c r="IR46" s="1"/>
      <c r="IS46" s="1"/>
      <c r="IT46" s="1"/>
      <c r="IU46" s="1"/>
    </row>
    <row r="47" spans="1:255" ht="15.6">
      <c r="A47" s="140"/>
      <c r="B47" s="139"/>
      <c r="C47" s="99"/>
      <c r="D47" s="99"/>
      <c r="E47" s="99"/>
      <c r="F47" s="100"/>
      <c r="G47" s="76"/>
      <c r="H47" s="145" t="s">
        <v>130</v>
      </c>
      <c r="I47" s="70"/>
      <c r="J47" s="70"/>
      <c r="K47" s="7"/>
      <c r="L47" s="11"/>
      <c r="M47" s="1"/>
      <c r="CA47" s="191" t="str">
        <f>'[1]LS Core'!C43</f>
        <v>English</v>
      </c>
      <c r="CB47" s="192" t="str">
        <f>'[1]LS Core'!D43</f>
        <v>ENG 3780  Poets of New England</v>
      </c>
      <c r="CI47" s="191">
        <f>'[1]LS Core'!I43</f>
        <v>0</v>
      </c>
      <c r="CJ47" s="192">
        <f>'[1]LS Core'!J43</f>
        <v>0</v>
      </c>
      <c r="CN47" s="114" t="str">
        <f>'[1]LS Core'!K43</f>
        <v xml:space="preserve">Political Science </v>
      </c>
      <c r="CO47" t="str">
        <f>'[1]LS Core'!L43</f>
        <v>POL 2582  Political Thought: Machiavelli to Marx</v>
      </c>
      <c r="IQ47" s="1"/>
      <c r="IR47" s="1"/>
      <c r="IS47" s="1"/>
      <c r="IT47" s="1"/>
      <c r="IU47" s="1"/>
    </row>
    <row r="48" spans="1:255" ht="13.8" customHeight="1">
      <c r="A48" s="140"/>
      <c r="B48" s="139"/>
      <c r="C48" s="99"/>
      <c r="D48" s="99"/>
      <c r="E48" s="99"/>
      <c r="F48" s="100"/>
      <c r="G48" s="73"/>
      <c r="H48" s="74" t="s">
        <v>131</v>
      </c>
      <c r="I48" s="51"/>
      <c r="J48" s="51"/>
      <c r="K48" s="4"/>
      <c r="L48" s="10"/>
      <c r="CA48" s="191" t="str">
        <f>'[1]LS Core'!C44</f>
        <v>English</v>
      </c>
      <c r="CB48" s="192" t="str">
        <f>'[1]LS Core'!D44</f>
        <v>ENG 3790  Poe, Hawthorne, and the American Short Story</v>
      </c>
      <c r="CI48" s="191">
        <f>'[1]LS Core'!I44</f>
        <v>0</v>
      </c>
      <c r="CJ48" s="192">
        <f>'[1]LS Core'!J44</f>
        <v>0</v>
      </c>
      <c r="CN48" s="114" t="str">
        <f>'[1]LS Core'!K44</f>
        <v xml:space="preserve">Political Science </v>
      </c>
      <c r="CO48" t="str">
        <f>'[1]LS Core'!L44</f>
        <v>POL 3112  Congress and the Legislative Process</v>
      </c>
      <c r="IQ48" s="1"/>
      <c r="IR48" s="1"/>
      <c r="IS48" s="1"/>
      <c r="IT48" s="1"/>
      <c r="IU48" s="1"/>
    </row>
    <row r="49" spans="1:255" ht="15.75" customHeight="1">
      <c r="A49" s="140"/>
      <c r="B49" s="139"/>
      <c r="C49" s="99"/>
      <c r="D49" s="99"/>
      <c r="E49" s="99"/>
      <c r="F49" s="100"/>
      <c r="G49" s="75"/>
      <c r="H49" s="74" t="s">
        <v>132</v>
      </c>
      <c r="I49" s="51"/>
      <c r="J49" s="51"/>
      <c r="K49" s="4"/>
      <c r="L49" s="10"/>
      <c r="CA49" s="191" t="str">
        <f>'[1]LS Core'!C45</f>
        <v>English</v>
      </c>
      <c r="CB49" s="192" t="str">
        <f>'[1]LS Core'!D45</f>
        <v>ENG 3800  Post-Colonial Literature (D)</v>
      </c>
      <c r="CI49" s="191">
        <f>'[1]LS Core'!I45</f>
        <v>0</v>
      </c>
      <c r="CJ49" s="192">
        <f>'[1]LS Core'!J45</f>
        <v>0</v>
      </c>
      <c r="CN49" s="114" t="str">
        <f>'[1]LS Core'!K45</f>
        <v xml:space="preserve">Political Science </v>
      </c>
      <c r="CO49" t="str">
        <f>'[1]LS Core'!L45</f>
        <v>POL 3113  American Presidency</v>
      </c>
      <c r="IQ49" s="1"/>
      <c r="IR49" s="1"/>
      <c r="IS49" s="1"/>
      <c r="IT49" s="1"/>
      <c r="IU49" s="1"/>
    </row>
    <row r="50" spans="1:255" ht="15.75" customHeight="1">
      <c r="A50" s="116"/>
      <c r="C50" s="99"/>
      <c r="D50" s="99"/>
      <c r="E50" s="99"/>
      <c r="F50" s="100"/>
      <c r="G50" s="75"/>
      <c r="H50" s="74" t="s">
        <v>133</v>
      </c>
      <c r="I50" s="51"/>
      <c r="J50" s="51"/>
      <c r="K50" s="4"/>
      <c r="L50" s="10"/>
      <c r="N50" t="s">
        <v>107</v>
      </c>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191" t="str">
        <f>'[1]LS Core'!C46</f>
        <v>English</v>
      </c>
      <c r="CB50" s="192" t="str">
        <f>'[1]LS Core'!D46</f>
        <v>ENG 3810  American Literature by Women of Color (D)</v>
      </c>
      <c r="CC50" s="2"/>
      <c r="CD50" s="2"/>
      <c r="CE50" s="2"/>
      <c r="CF50" s="2"/>
      <c r="CG50" s="2"/>
      <c r="CH50" s="2"/>
      <c r="CI50" s="191">
        <f>'[1]LS Core'!I46</f>
        <v>0</v>
      </c>
      <c r="CJ50" s="192">
        <f>'[1]LS Core'!J46</f>
        <v>0</v>
      </c>
      <c r="CK50" s="2"/>
      <c r="CL50" s="2"/>
      <c r="CM50" s="2"/>
      <c r="CN50" s="114" t="str">
        <f>'[1]LS Core'!K46</f>
        <v xml:space="preserve">Political Science </v>
      </c>
      <c r="CO50" t="str">
        <f>'[1]LS Core'!L46</f>
        <v>POL 3114  Political Parties and Interest Groups</v>
      </c>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row>
    <row r="51" spans="1:255" ht="15.75" customHeight="1">
      <c r="A51" s="116" t="s">
        <v>162</v>
      </c>
      <c r="B51" t="s">
        <v>162</v>
      </c>
      <c r="C51" s="99"/>
      <c r="D51" s="99"/>
      <c r="E51" s="99"/>
      <c r="F51" s="100"/>
      <c r="G51" s="73"/>
      <c r="H51" s="74" t="s">
        <v>16</v>
      </c>
      <c r="I51" s="51"/>
      <c r="J51" s="51"/>
      <c r="K51" s="4"/>
      <c r="L51" s="10"/>
      <c r="N51" s="100" t="s">
        <v>24</v>
      </c>
      <c r="O51" s="10" t="s">
        <v>118</v>
      </c>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91" t="str">
        <f>'[1]LS Core'!C47</f>
        <v>English</v>
      </c>
      <c r="CB51" s="192" t="str">
        <f>'[1]LS Core'!D47</f>
        <v>ENG 3820 Twentieth-Century Drama and Performance by Women (D)</v>
      </c>
      <c r="CC51" s="1"/>
      <c r="CD51" s="1"/>
      <c r="CE51" s="1"/>
      <c r="CF51" s="1"/>
      <c r="CG51" s="1"/>
      <c r="CH51" s="1"/>
      <c r="CI51" s="191">
        <f>'[1]LS Core'!I47</f>
        <v>0</v>
      </c>
      <c r="CJ51" s="192">
        <f>'[1]LS Core'!J47</f>
        <v>0</v>
      </c>
      <c r="CK51" s="1"/>
      <c r="CL51" s="1"/>
      <c r="CM51" s="1"/>
      <c r="CN51" s="114" t="str">
        <f>'[1]LS Core'!K47</f>
        <v xml:space="preserve">Political Science </v>
      </c>
      <c r="CO51" t="str">
        <f>'[1]LS Core'!L47</f>
        <v>POL 3122  Issues in Public Policy</v>
      </c>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row>
    <row r="52" spans="1:255" ht="15.75" customHeight="1">
      <c r="A52" s="141"/>
      <c r="B52" s="141"/>
      <c r="C52" s="141"/>
      <c r="D52" s="141"/>
      <c r="E52" s="141"/>
      <c r="F52" s="142"/>
      <c r="G52" s="75"/>
      <c r="H52" s="74"/>
      <c r="I52" s="51"/>
      <c r="J52" s="51"/>
      <c r="K52" s="4"/>
      <c r="L52" s="10"/>
      <c r="M52" s="2"/>
      <c r="N52" s="142" t="s">
        <v>27</v>
      </c>
      <c r="O52" s="10" t="s">
        <v>152</v>
      </c>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91" t="str">
        <f>'[1]LS Core'!C48</f>
        <v>English</v>
      </c>
      <c r="CB52" s="192" t="str">
        <f>'[1]LS Core'!D48</f>
        <v>ENG 3830  American Indian Renaissance (D)</v>
      </c>
      <c r="CC52" s="1"/>
      <c r="CD52" s="1"/>
      <c r="CE52" s="1"/>
      <c r="CF52" s="1"/>
      <c r="CG52" s="1"/>
      <c r="CH52" s="1"/>
      <c r="CI52" s="191">
        <f>'[1]LS Core'!I48</f>
        <v>0</v>
      </c>
      <c r="CJ52" s="192">
        <f>'[1]LS Core'!J48</f>
        <v>0</v>
      </c>
      <c r="CK52" s="1"/>
      <c r="CL52" s="1"/>
      <c r="CM52" s="1"/>
      <c r="CN52" s="114" t="str">
        <f>'[1]LS Core'!K48</f>
        <v xml:space="preserve">Political Science </v>
      </c>
      <c r="CO52" t="str">
        <f>'[1]LS Core'!L48</f>
        <v>POL 3130  Campaigns and Elections</v>
      </c>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row>
    <row r="53" spans="1:255" ht="15.75" customHeight="1">
      <c r="A53" s="141"/>
      <c r="B53" s="141"/>
      <c r="C53" s="141"/>
      <c r="D53" s="141"/>
      <c r="E53" s="141"/>
      <c r="F53" s="142"/>
      <c r="G53" s="77"/>
      <c r="H53" s="74"/>
      <c r="I53" s="51"/>
      <c r="J53" s="51"/>
      <c r="K53" s="4"/>
      <c r="L53" s="10"/>
      <c r="M53" s="1"/>
      <c r="N53" s="142"/>
      <c r="O53" s="10"/>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91" t="str">
        <f>'[1]LS Core'!C49</f>
        <v>English</v>
      </c>
      <c r="CB53" s="192" t="str">
        <f>'[1]LS Core'!D49</f>
        <v>ENG 3850  Twentieth-Century Caribbean Writers (D)</v>
      </c>
      <c r="CC53" s="1"/>
      <c r="CD53" s="1"/>
      <c r="CE53" s="1"/>
      <c r="CF53" s="1"/>
      <c r="CG53" s="1"/>
      <c r="CH53" s="1"/>
      <c r="CI53" s="191">
        <f>'[1]LS Core'!I49</f>
        <v>0</v>
      </c>
      <c r="CJ53" s="192">
        <f>'[1]LS Core'!J49</f>
        <v>0</v>
      </c>
      <c r="CK53" s="1"/>
      <c r="CL53" s="1"/>
      <c r="CM53" s="1"/>
      <c r="CN53" s="114" t="str">
        <f>'[1]LS Core'!K49</f>
        <v xml:space="preserve">Political Science </v>
      </c>
      <c r="CO53" t="str">
        <f>'[1]LS Core'!L49</f>
        <v>POL 3131  Polling and Public Opinion</v>
      </c>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row>
    <row r="54" spans="1:255" ht="15.6">
      <c r="A54" s="141"/>
      <c r="B54" s="141"/>
      <c r="C54" s="141"/>
      <c r="D54" s="141"/>
      <c r="E54" s="141"/>
      <c r="F54" s="142"/>
      <c r="G54" s="77"/>
      <c r="H54" s="145" t="s">
        <v>17</v>
      </c>
      <c r="I54" s="53"/>
      <c r="J54" s="53"/>
      <c r="K54" s="4"/>
      <c r="L54" s="10"/>
      <c r="M54" s="1"/>
      <c r="N54" s="142"/>
      <c r="O54" s="10"/>
      <c r="CA54" s="191" t="str">
        <f>'[1]LS Core'!C50</f>
        <v>English</v>
      </c>
      <c r="CB54" s="192" t="str">
        <f>'[1]LS Core'!D50</f>
        <v>ENG 3860  Italian-American Women Writers (D)</v>
      </c>
      <c r="CI54" s="191">
        <f>'[1]LS Core'!I50</f>
        <v>0</v>
      </c>
      <c r="CJ54" s="192">
        <f>'[1]LS Core'!J50</f>
        <v>0</v>
      </c>
      <c r="CN54" s="114" t="str">
        <f>'[1]LS Core'!K50</f>
        <v xml:space="preserve">Political Science </v>
      </c>
      <c r="CO54" t="str">
        <f>'[1]LS Core'!L50</f>
        <v>POL 3132  Political Psychology</v>
      </c>
    </row>
    <row r="55" spans="1:255" ht="15.6">
      <c r="A55" s="141"/>
      <c r="B55" s="141"/>
      <c r="C55" s="141"/>
      <c r="D55" s="141"/>
      <c r="E55" s="141"/>
      <c r="F55" s="142"/>
      <c r="G55" s="78"/>
      <c r="H55" s="74" t="s">
        <v>18</v>
      </c>
      <c r="I55" s="51"/>
      <c r="J55" s="51"/>
      <c r="K55" s="4"/>
      <c r="L55" s="10"/>
      <c r="M55" s="1"/>
      <c r="N55" s="142"/>
      <c r="O55" s="10"/>
      <c r="CA55" s="191" t="str">
        <f>'[1]LS Core'!C51</f>
        <v>English</v>
      </c>
      <c r="CB55" s="192" t="str">
        <f>'[1]LS Core'!D51</f>
        <v>ENG 3870  Literature of the Harlem Renaissance</v>
      </c>
      <c r="CI55" s="191">
        <f>'[1]LS Core'!I51</f>
        <v>0</v>
      </c>
      <c r="CJ55" s="192">
        <f>'[1]LS Core'!J51</f>
        <v>0</v>
      </c>
      <c r="CN55" s="114" t="str">
        <f>'[1]LS Core'!K51</f>
        <v xml:space="preserve">Political Science </v>
      </c>
      <c r="CO55" t="str">
        <f>'[1]LS Core'!L51</f>
        <v>POL 3140  Mass Media and American Politics</v>
      </c>
    </row>
    <row r="56" spans="1:255" ht="15.6">
      <c r="A56" s="141"/>
      <c r="B56" s="141"/>
      <c r="C56" s="141"/>
      <c r="D56" s="141"/>
      <c r="E56" s="141"/>
      <c r="F56" s="142"/>
      <c r="G56" s="77"/>
      <c r="H56" s="157" t="s">
        <v>147</v>
      </c>
      <c r="I56" s="51"/>
      <c r="J56" s="51"/>
      <c r="K56" s="4"/>
      <c r="L56" s="10"/>
      <c r="M56" s="1"/>
      <c r="N56" s="142"/>
      <c r="O56" s="10"/>
      <c r="CA56" s="191" t="str">
        <f>'[1]LS Core'!C52</f>
        <v>English</v>
      </c>
      <c r="CB56" s="192" t="str">
        <f>'[1]LS Core'!D52</f>
        <v>ENG 3900  Creative Writing: Fiction</v>
      </c>
      <c r="CI56" s="191">
        <f>'[1]LS Core'!I52</f>
        <v>0</v>
      </c>
      <c r="CJ56" s="192">
        <f>'[1]LS Core'!J52</f>
        <v>0</v>
      </c>
      <c r="CN56" s="114" t="str">
        <f>'[1]LS Core'!K52</f>
        <v xml:space="preserve">Political Science </v>
      </c>
      <c r="CO56" t="str">
        <f>'[1]LS Core'!L52</f>
        <v>POL 3141  Political Communication</v>
      </c>
    </row>
    <row r="57" spans="1:255" ht="16.2" thickBot="1">
      <c r="A57" s="141"/>
      <c r="B57" s="141"/>
      <c r="C57" s="141"/>
      <c r="D57" s="141"/>
      <c r="E57" s="141"/>
      <c r="F57" s="142"/>
      <c r="G57" s="78"/>
      <c r="H57" s="74" t="s">
        <v>148</v>
      </c>
      <c r="I57" s="51"/>
      <c r="J57" s="51"/>
      <c r="K57" s="4"/>
      <c r="L57" s="10"/>
      <c r="M57" s="1"/>
      <c r="N57" s="142" t="s">
        <v>25</v>
      </c>
      <c r="O57" s="10" t="s">
        <v>119</v>
      </c>
      <c r="CA57" s="191" t="str">
        <f>'[1]LS Core'!C53</f>
        <v>English</v>
      </c>
      <c r="CB57" s="192" t="str">
        <f>'[1]LS Core'!D53</f>
        <v>ENG 3910  Writing the Graphic Novel</v>
      </c>
      <c r="CI57" s="193">
        <f>'[1]LS Core'!I53</f>
        <v>0</v>
      </c>
      <c r="CJ57" s="194">
        <f>'[1]LS Core'!J53</f>
        <v>0</v>
      </c>
      <c r="CN57" s="114" t="str">
        <f>'[1]LS Core'!K53</f>
        <v xml:space="preserve">Political Science </v>
      </c>
      <c r="CO57" t="str">
        <f>'[1]LS Core'!L53</f>
        <v>POL 3150  Criminal Law</v>
      </c>
    </row>
    <row r="58" spans="1:255" ht="15.6">
      <c r="A58" s="141"/>
      <c r="B58" s="141"/>
      <c r="C58" s="141"/>
      <c r="D58" s="141"/>
      <c r="E58" s="141"/>
      <c r="F58" s="142"/>
      <c r="G58" s="77"/>
      <c r="H58" s="74" t="s">
        <v>149</v>
      </c>
      <c r="I58" s="65"/>
      <c r="J58" s="65"/>
      <c r="K58" s="4"/>
      <c r="L58" s="54"/>
      <c r="M58" s="1"/>
      <c r="N58" s="142" t="s">
        <v>26</v>
      </c>
      <c r="O58" s="54" t="s">
        <v>106</v>
      </c>
      <c r="CA58" s="191" t="str">
        <f>'[1]LS Core'!C54</f>
        <v>English</v>
      </c>
      <c r="CB58" s="192" t="str">
        <f>'[1]LS Core'!D54</f>
        <v>ENG 3920  Creative Writing: Poetry</v>
      </c>
      <c r="CN58" s="114" t="str">
        <f>'[1]LS Core'!K54</f>
        <v xml:space="preserve">Political Science </v>
      </c>
      <c r="CO58" t="str">
        <f>'[1]LS Core'!L54</f>
        <v>POL 3151  American Constitutional Law</v>
      </c>
    </row>
    <row r="59" spans="1:255" ht="15.6">
      <c r="A59" s="141"/>
      <c r="B59" s="141"/>
      <c r="C59" s="141"/>
      <c r="D59" s="141"/>
      <c r="E59" s="141"/>
      <c r="F59" s="142"/>
      <c r="G59" s="78"/>
      <c r="H59" s="74"/>
      <c r="I59" s="65"/>
      <c r="J59" s="65"/>
      <c r="K59" s="4"/>
      <c r="L59" s="54"/>
      <c r="CA59" s="191" t="str">
        <f>'[1]LS Core'!C55</f>
        <v>English</v>
      </c>
      <c r="CB59" s="192" t="str">
        <f>'[1]LS Core'!D55</f>
        <v>ENG 4000  Advanced Creative Writing Workshop</v>
      </c>
      <c r="CN59" s="114" t="str">
        <f>'[1]LS Core'!K55</f>
        <v xml:space="preserve">Political Science </v>
      </c>
      <c r="CO59" t="str">
        <f>'[1]LS Core'!L55</f>
        <v>POL 3152  Civil Liberties and Civil Rights (D)</v>
      </c>
    </row>
    <row r="60" spans="1:255" ht="15.6">
      <c r="A60" s="141"/>
      <c r="B60" s="141"/>
      <c r="C60" s="141"/>
      <c r="D60" s="141"/>
      <c r="E60" s="141"/>
      <c r="F60" s="142"/>
      <c r="G60" s="78"/>
      <c r="H60" s="74"/>
      <c r="I60" s="65"/>
      <c r="J60" s="65"/>
      <c r="K60" s="53"/>
      <c r="L60" s="54"/>
      <c r="CA60" s="191" t="str">
        <f>'[1]LS Core'!C56</f>
        <v>English</v>
      </c>
      <c r="CB60" s="192" t="str">
        <f>'[1]LS Core'!D56</f>
        <v>ENG 4100  Seminar: King Arthur in Victorian England</v>
      </c>
      <c r="CN60" s="114" t="str">
        <f>'[1]LS Core'!K56</f>
        <v xml:space="preserve">Political Science </v>
      </c>
      <c r="CO60" t="str">
        <f>'[1]LS Core'!L56</f>
        <v>POL 3160  United States Foreign Policy</v>
      </c>
    </row>
    <row r="61" spans="1:255" ht="15.6">
      <c r="A61" s="141"/>
      <c r="B61" s="141"/>
      <c r="C61" s="141"/>
      <c r="D61" s="141"/>
      <c r="E61" s="141"/>
      <c r="F61" s="142"/>
      <c r="G61" s="77"/>
      <c r="H61" s="74"/>
      <c r="I61" s="65"/>
      <c r="J61" s="65"/>
      <c r="K61" s="53"/>
      <c r="L61" s="54"/>
      <c r="CA61" s="191" t="str">
        <f>'[1]LS Core'!C57</f>
        <v>English</v>
      </c>
      <c r="CB61" s="192" t="str">
        <f>'[1]LS Core'!D57</f>
        <v>ENG 4160  Seminar: Readers, Writers, and Books</v>
      </c>
      <c r="CN61" s="114" t="str">
        <f>'[1]LS Core'!K57</f>
        <v xml:space="preserve">Political Science </v>
      </c>
      <c r="CO61" t="str">
        <f>'[1]LS Core'!L57</f>
        <v>POL 3520  Modern China (D)</v>
      </c>
    </row>
    <row r="62" spans="1:255" ht="15.6">
      <c r="A62" s="141"/>
      <c r="B62" s="141"/>
      <c r="C62" s="141"/>
      <c r="D62" s="141"/>
      <c r="E62" s="141"/>
      <c r="F62" s="142"/>
      <c r="G62" s="77"/>
      <c r="H62" s="74"/>
      <c r="I62" s="65"/>
      <c r="J62" s="65"/>
      <c r="K62" s="53"/>
      <c r="L62" s="54"/>
      <c r="CA62" s="191" t="str">
        <f>'[1]LS Core'!C58</f>
        <v>History</v>
      </c>
      <c r="CB62" s="192" t="str">
        <f>'[1]LS Core'!D58</f>
        <v>HIS 3326  History of American Architecture</v>
      </c>
      <c r="CN62" s="114" t="str">
        <f>'[1]LS Core'!K58</f>
        <v xml:space="preserve">Political Science </v>
      </c>
      <c r="CO62" t="str">
        <f>'[1]LS Core'!L58</f>
        <v>POL 3521  Latin American Politics (D)</v>
      </c>
    </row>
    <row r="63" spans="1:255" ht="15.6">
      <c r="A63" s="141"/>
      <c r="B63" s="141"/>
      <c r="C63" s="141"/>
      <c r="D63" s="141"/>
      <c r="E63" s="141"/>
      <c r="F63" s="142"/>
      <c r="G63" s="77"/>
      <c r="H63" s="74"/>
      <c r="I63" s="65"/>
      <c r="J63" s="65"/>
      <c r="K63" s="53"/>
      <c r="L63" s="54"/>
      <c r="CA63" s="191" t="str">
        <f>'[1]LS Core'!C59</f>
        <v xml:space="preserve">Humanities </v>
      </c>
      <c r="CB63" s="192" t="str">
        <f>'[1]LS Core'!D59</f>
        <v>HUM 1010  Stories of Ancient Greece</v>
      </c>
      <c r="CN63" s="114" t="str">
        <f>'[1]LS Core'!K59</f>
        <v xml:space="preserve">Political Science </v>
      </c>
      <c r="CO63" t="str">
        <f>'[1]LS Core'!L59</f>
        <v>POL 3522  British Politics</v>
      </c>
    </row>
    <row r="64" spans="1:255" ht="16.2" thickBot="1">
      <c r="A64" s="143"/>
      <c r="B64" s="143"/>
      <c r="C64" s="143"/>
      <c r="D64" s="143"/>
      <c r="E64" s="143"/>
      <c r="F64" s="144"/>
      <c r="G64" s="79"/>
      <c r="H64" s="80"/>
      <c r="I64" s="81"/>
      <c r="J64" s="81"/>
      <c r="K64" s="82"/>
      <c r="L64" s="83"/>
      <c r="CA64" s="191" t="str">
        <f>'[1]LS Core'!C60</f>
        <v xml:space="preserve">Humanities </v>
      </c>
      <c r="CB64" s="192" t="str">
        <f>'[1]LS Core'!D60</f>
        <v>HUM 1020  Medieval Europe</v>
      </c>
      <c r="CN64" s="114" t="str">
        <f>'[1]LS Core'!K60</f>
        <v xml:space="preserve">Political Science </v>
      </c>
      <c r="CO64" t="str">
        <f>'[1]LS Core'!L60</f>
        <v>POL 3523  Japanese Politics (D)</v>
      </c>
    </row>
    <row r="65" spans="1:93" ht="15.6">
      <c r="A65" s="53"/>
      <c r="B65" s="53"/>
      <c r="C65" s="53"/>
      <c r="D65" s="53"/>
      <c r="E65" s="53"/>
      <c r="F65" s="53"/>
      <c r="G65" s="65"/>
      <c r="H65" s="65"/>
      <c r="I65" s="65"/>
      <c r="J65" s="65"/>
      <c r="K65" s="53"/>
      <c r="L65" s="53"/>
      <c r="CA65" s="191" t="str">
        <f>'[1]LS Core'!C61</f>
        <v xml:space="preserve">Humanities </v>
      </c>
      <c r="CB65" s="192" t="str">
        <f>'[1]LS Core'!D61</f>
        <v>HUM 2010  Approaching Modernism</v>
      </c>
      <c r="CN65" s="114" t="str">
        <f>'[1]LS Core'!K61</f>
        <v xml:space="preserve">Political Science </v>
      </c>
      <c r="CO65" t="str">
        <f>'[1]LS Core'!L61</f>
        <v>POL 3524  Politics of the Russia and Post-Soviet States</v>
      </c>
    </row>
    <row r="66" spans="1:93" ht="15.6">
      <c r="G66" s="6"/>
      <c r="H66" s="6"/>
      <c r="I66" s="6"/>
      <c r="J66" s="6"/>
      <c r="CA66" s="191" t="str">
        <f>'[1]LS Core'!C62</f>
        <v xml:space="preserve">Humanities </v>
      </c>
      <c r="CB66" s="192" t="str">
        <f>'[1]LS Core'!D62</f>
        <v>HUM 2020  Approaching Postmodernism</v>
      </c>
      <c r="CN66" s="114" t="str">
        <f>'[1]LS Core'!K62</f>
        <v xml:space="preserve">Political Science </v>
      </c>
      <c r="CO66" t="str">
        <f>'[1]LS Core'!L62</f>
        <v>POL 3525  Politics of the Middle East (D)</v>
      </c>
    </row>
    <row r="67" spans="1:93">
      <c r="CA67" s="191" t="str">
        <f>'[1]LS Core'!C63</f>
        <v>Religious and Theological Studies</v>
      </c>
      <c r="CB67" s="192" t="str">
        <f>'[1]LS Core'!D63</f>
        <v>RTS 2200  Introduction to Hebrew Scripture</v>
      </c>
      <c r="CN67" s="114" t="str">
        <f>'[1]LS Core'!K63</f>
        <v xml:space="preserve">Political Science </v>
      </c>
      <c r="CO67" t="str">
        <f>'[1]LS Core'!L63</f>
        <v>POL 3526  Politics of the European Union</v>
      </c>
    </row>
    <row r="68" spans="1:93">
      <c r="CA68" s="191" t="str">
        <f>'[1]LS Core'!C64</f>
        <v>Religious and Theological Studies</v>
      </c>
      <c r="CB68" s="192" t="str">
        <f>'[1]LS Core'!D64</f>
        <v>RTS 2300  Introduction to the New Testament</v>
      </c>
      <c r="CN68" s="114" t="str">
        <f>'[1]LS Core'!K64</f>
        <v xml:space="preserve">Political Science </v>
      </c>
      <c r="CO68" t="str">
        <f>'[1]LS Core'!L64</f>
        <v>POL 3530  Comparative Foreign Policies</v>
      </c>
    </row>
    <row r="69" spans="1:93">
      <c r="CA69" s="191" t="str">
        <f>'[1]LS Core'!C65</f>
        <v>Religious and Theological Studies</v>
      </c>
      <c r="CB69" s="192" t="str">
        <f>'[1]LS Core'!D65</f>
        <v>RTS 3350  Reading Scripture after the Holocaust (D)</v>
      </c>
      <c r="CN69" s="114" t="str">
        <f>'[1]LS Core'!K65</f>
        <v xml:space="preserve">Political Science </v>
      </c>
      <c r="CO69" t="str">
        <f>'[1]LS Core'!L65</f>
        <v>POL 3531  Politics of Developing Nations</v>
      </c>
    </row>
    <row r="70" spans="1:93">
      <c r="CA70" s="191" t="str">
        <f>'[1]LS Core'!C66</f>
        <v>Visual and Performing Arts</v>
      </c>
      <c r="CB70" s="192" t="str">
        <f>'[1]LS Core'!D66</f>
        <v xml:space="preserve">FAA 1210  Basic Drawing I </v>
      </c>
      <c r="CN70" s="114" t="str">
        <f>'[1]LS Core'!K66</f>
        <v xml:space="preserve">Political Science </v>
      </c>
      <c r="CO70" t="str">
        <f>'[1]LS Core'!L66</f>
        <v>POL 3540  International Political Economy</v>
      </c>
    </row>
    <row r="71" spans="1:93">
      <c r="CA71" s="191" t="str">
        <f>'[1]LS Core'!C67</f>
        <v>Visual and Performing Arts</v>
      </c>
      <c r="CB71" s="192" t="str">
        <f>'[1]LS Core'!D67</f>
        <v>FAA 1230  2-Dimensional Design</v>
      </c>
      <c r="CN71" s="114" t="str">
        <f>'[1]LS Core'!K67</f>
        <v xml:space="preserve">Political Science </v>
      </c>
      <c r="CO71" t="str">
        <f>'[1]LS Core'!L67</f>
        <v>POL 4199  Women and Politics (D)</v>
      </c>
    </row>
    <row r="72" spans="1:93">
      <c r="CA72" s="191" t="str">
        <f>'[1]LS Core'!C68</f>
        <v>Visual and Performing Arts</v>
      </c>
      <c r="CB72" s="192" t="str">
        <f>'[1]LS Core'!D68</f>
        <v>FAA 1270  Basic Painting I</v>
      </c>
      <c r="CN72" s="114" t="str">
        <f>'[1]LS Core'!K68</f>
        <v>Psychology</v>
      </c>
      <c r="CO72" t="str">
        <f>'[1]LS Core'!L68</f>
        <v>PSY 1000  Introduction to Psychology</v>
      </c>
    </row>
    <row r="73" spans="1:93">
      <c r="CA73" s="191" t="str">
        <f>'[1]LS Core'!C69</f>
        <v>Visual and Performing Arts</v>
      </c>
      <c r="CB73" s="192" t="str">
        <f>'[1]LS Core'!D69</f>
        <v>FAA 1310  The Nature of Music: Music and the Environment</v>
      </c>
      <c r="CN73" s="114" t="str">
        <f>'[1]LS Core'!K69</f>
        <v>Psychology</v>
      </c>
      <c r="CO73" t="str">
        <f>'[1]LS Core'!L69</f>
        <v>PSY 2200  Social Psychology</v>
      </c>
    </row>
    <row r="74" spans="1:93">
      <c r="CA74" s="191" t="str">
        <f>'[1]LS Core'!C70</f>
        <v>Visual and Performing Arts</v>
      </c>
      <c r="CB74" s="192" t="str">
        <f>'[1]LS Core'!D70</f>
        <v>FAA 1320  History of Rock &amp; Roll</v>
      </c>
      <c r="CN74" s="114" t="str">
        <f>'[1]LS Core'!K70</f>
        <v>Psychology</v>
      </c>
      <c r="CO74" t="str">
        <f>'[1]LS Core'!L70</f>
        <v>PSY 2280  Organizational Psychology</v>
      </c>
    </row>
    <row r="75" spans="1:93">
      <c r="CA75" s="191" t="str">
        <f>'[1]LS Core'!C71</f>
        <v>Visual and Performing Arts</v>
      </c>
      <c r="CB75" s="192" t="str">
        <f>'[1]LS Core'!D71</f>
        <v>FAA 1330  Survey of American Music</v>
      </c>
      <c r="CN75" s="114" t="str">
        <f>'[1]LS Core'!K71</f>
        <v>Psychology</v>
      </c>
      <c r="CO75" t="str">
        <f>'[1]LS Core'!L71</f>
        <v>PSY 2300  Developmental Psychology</v>
      </c>
    </row>
    <row r="76" spans="1:93">
      <c r="CA76" s="191" t="str">
        <f>'[1]LS Core'!C72</f>
        <v>Visual and Performing Arts</v>
      </c>
      <c r="CB76" s="192" t="str">
        <f>'[1]LS Core'!D72</f>
        <v>FAA 1510  Acting I</v>
      </c>
      <c r="CN76" s="114" t="str">
        <f>'[1]LS Core'!K72</f>
        <v>Psychology</v>
      </c>
      <c r="CO76" t="str">
        <f>'[1]LS Core'!L72</f>
        <v>PSY 2310  Lifespan Psychology</v>
      </c>
    </row>
    <row r="77" spans="1:93">
      <c r="CA77" s="191" t="str">
        <f>'[1]LS Core'!C73</f>
        <v>Visual and Performing Arts</v>
      </c>
      <c r="CB77" s="192" t="str">
        <f>'[1]LS Core'!D73</f>
        <v>FAA 1520  Voice for Stage</v>
      </c>
      <c r="CN77" s="114" t="str">
        <f>'[1]LS Core'!K73</f>
        <v>Psychology</v>
      </c>
      <c r="CO77" t="str">
        <f>'[1]LS Core'!L73</f>
        <v>PSY 2400  Personality</v>
      </c>
    </row>
    <row r="78" spans="1:93">
      <c r="CA78" s="191" t="str">
        <f>'[1]LS Core'!C74</f>
        <v>Visual and Performing Arts</v>
      </c>
      <c r="CB78" s="192" t="str">
        <f>'[1]LS Core'!D74</f>
        <v>FAA 1550  The Curtain Calls: An Introduction to Theatre for Everyone</v>
      </c>
      <c r="CN78" s="114" t="str">
        <f>'[1]LS Core'!K74</f>
        <v>Psychology</v>
      </c>
      <c r="CO78" t="str">
        <f>'[1]LS Core'!L74</f>
        <v>PSY 2420  Psychology of Sex Differences</v>
      </c>
    </row>
    <row r="79" spans="1:93">
      <c r="CA79" s="191" t="str">
        <f>'[1]LS Core'!C75</f>
        <v>Visual and Performing Arts</v>
      </c>
      <c r="CB79" s="192" t="str">
        <f>'[1]LS Core'!D75</f>
        <v>FAA 1600  Inside Art: Art History for Everyone</v>
      </c>
      <c r="CN79" s="114" t="str">
        <f>'[1]LS Core'!K75</f>
        <v>Psychology</v>
      </c>
      <c r="CO79" t="str">
        <f>'[1]LS Core'!L75</f>
        <v>PSY 2450  Love, Sex and Relationships</v>
      </c>
    </row>
    <row r="80" spans="1:93">
      <c r="CA80" s="191" t="str">
        <f>'[1]LS Core'!C76</f>
        <v>Visual and Performing Arts</v>
      </c>
      <c r="CB80" s="192" t="str">
        <f>'[1]LS Core'!D76</f>
        <v>FAA 1610  Art History I: Prehistory to the Renaissance</v>
      </c>
      <c r="CN80" s="114" t="str">
        <f>'[1]LS Core'!K76</f>
        <v>Psychology</v>
      </c>
      <c r="CO80" t="str">
        <f>'[1]LS Core'!L76</f>
        <v>PSY 3110  Sensation and Perception</v>
      </c>
    </row>
    <row r="81" spans="79:93">
      <c r="CA81" s="191" t="str">
        <f>'[1]LS Core'!C77</f>
        <v>Visual and Performing Arts</v>
      </c>
      <c r="CB81" s="192" t="str">
        <f>'[1]LS Core'!D77</f>
        <v>FAA 1620  Art History II: The Renaissance to the Present</v>
      </c>
      <c r="CN81" s="114" t="str">
        <f>'[1]LS Core'!K77</f>
        <v>Psychology</v>
      </c>
      <c r="CO81" t="str">
        <f>'[1]LS Core'!L77</f>
        <v>PSY 3120  Cognitive Psychology</v>
      </c>
    </row>
    <row r="82" spans="79:93">
      <c r="CA82" s="191" t="str">
        <f>'[1]LS Core'!C78</f>
        <v>Visual and Performing Arts</v>
      </c>
      <c r="CB82" s="192" t="str">
        <f>'[1]LS Core'!D78</f>
        <v>FAA 1670  American Art I</v>
      </c>
      <c r="CN82" s="114" t="str">
        <f>'[1]LS Core'!K78</f>
        <v>Psychology</v>
      </c>
      <c r="CO82" t="str">
        <f>'[1]LS Core'!L78</f>
        <v>PSY 3150  Behavioral Neuroscience</v>
      </c>
    </row>
    <row r="83" spans="79:93">
      <c r="CA83" s="191" t="str">
        <f>'[1]LS Core'!C79</f>
        <v>Visual and Performing Arts</v>
      </c>
      <c r="CB83" s="192" t="str">
        <f>'[1]LS Core'!D79</f>
        <v>FAA 1680  American Art II</v>
      </c>
      <c r="CN83" s="114" t="str">
        <f>'[1]LS Core'!K79</f>
        <v>Psychology</v>
      </c>
      <c r="CO83" t="str">
        <f>'[1]LS Core'!L79</f>
        <v>PSY 3250  Cultural Psychology (D)</v>
      </c>
    </row>
    <row r="84" spans="79:93">
      <c r="CA84" s="191" t="str">
        <f>'[1]LS Core'!C80</f>
        <v>Visual and Performing Arts</v>
      </c>
      <c r="CB84" s="192" t="str">
        <f>'[1]LS Core'!D80</f>
        <v>FAA 1710  Foundations of Visual Arts</v>
      </c>
      <c r="CN84" s="114" t="str">
        <f>'[1]LS Core'!K80</f>
        <v>Psychology</v>
      </c>
      <c r="CO84" t="str">
        <f>'[1]LS Core'!L80</f>
        <v>PSY 3310  Development of Intelligence and Thinking</v>
      </c>
    </row>
    <row r="85" spans="79:93">
      <c r="CA85" s="191" t="str">
        <f>'[1]LS Core'!C81</f>
        <v>Visual and Performing Arts</v>
      </c>
      <c r="CB85" s="192" t="str">
        <f>'[1]LS Core'!D81</f>
        <v>FAA 2210  Basic Drawing II</v>
      </c>
      <c r="CN85" s="114" t="str">
        <f>'[1]LS Core'!K81</f>
        <v>Psychology</v>
      </c>
      <c r="CO85" t="str">
        <f>'[1]LS Core'!L81</f>
        <v>PSY 3320  Social and Personality Development</v>
      </c>
    </row>
    <row r="86" spans="79:93">
      <c r="CA86" s="191" t="str">
        <f>'[1]LS Core'!C82</f>
        <v>Visual and Performing Arts</v>
      </c>
      <c r="CB86" s="192" t="str">
        <f>'[1]LS Core'!D82</f>
        <v>FAA 2230  3-Dimensional Design</v>
      </c>
      <c r="CN86" s="114" t="str">
        <f>'[1]LS Core'!K82</f>
        <v>Psychology</v>
      </c>
      <c r="CO86" t="str">
        <f>'[1]LS Core'!L82</f>
        <v>PSY 3340  Developmental Psychopathology</v>
      </c>
    </row>
    <row r="87" spans="79:93">
      <c r="CA87" s="191" t="str">
        <f>'[1]LS Core'!C83</f>
        <v>Visual and Performing Arts</v>
      </c>
      <c r="CB87" s="192" t="str">
        <f>'[1]LS Core'!D83</f>
        <v>FAA 2250  Mixed Media Studio</v>
      </c>
      <c r="CN87" s="114" t="str">
        <f>'[1]LS Core'!K83</f>
        <v>Psychology</v>
      </c>
      <c r="CO87" t="str">
        <f>'[1]LS Core'!L83</f>
        <v>PSY 3380  Psychology of Aging</v>
      </c>
    </row>
    <row r="88" spans="79:93">
      <c r="CA88" s="191" t="str">
        <f>'[1]LS Core'!C84</f>
        <v>Visual and Performing Arts</v>
      </c>
      <c r="CB88" s="192" t="str">
        <f>'[1]LS Core'!D84</f>
        <v>FAA 2260  Art of the Portrait</v>
      </c>
      <c r="CN88" s="114" t="str">
        <f>'[1]LS Core'!K84</f>
        <v>Psychology</v>
      </c>
      <c r="CO88" t="str">
        <f>'[1]LS Core'!L84</f>
        <v>PSY 3410  Adult Psychopathology</v>
      </c>
    </row>
    <row r="89" spans="79:93">
      <c r="CA89" s="191" t="str">
        <f>'[1]LS Core'!C85</f>
        <v>Visual and Performing Arts</v>
      </c>
      <c r="CB89" s="192" t="str">
        <f>'[1]LS Core'!D85</f>
        <v xml:space="preserve">FAA 2270  Basic Painting II </v>
      </c>
      <c r="CN89" s="114" t="str">
        <f>'[1]LS Core'!K85</f>
        <v>Psychology</v>
      </c>
      <c r="CO89" t="str">
        <f>'[1]LS Core'!L85</f>
        <v>PSY 3450  Biological Bases of Abnormal Behavior</v>
      </c>
    </row>
    <row r="90" spans="79:93">
      <c r="CA90" s="191" t="str">
        <f>'[1]LS Core'!C86</f>
        <v xml:space="preserve">Visual and Performing Arts </v>
      </c>
      <c r="CB90" s="192" t="str">
        <f>'[1]LS Core'!D86</f>
        <v>FAA 2301  Music History I</v>
      </c>
      <c r="CN90" s="114" t="str">
        <f>'[1]LS Core'!K86</f>
        <v xml:space="preserve">Sociology </v>
      </c>
      <c r="CO90" t="str">
        <f>'[1]LS Core'!L86</f>
        <v>SOC 1001  Principles of Sociology</v>
      </c>
    </row>
    <row r="91" spans="79:93">
      <c r="CA91" s="191" t="str">
        <f>'[1]LS Core'!C87</f>
        <v xml:space="preserve">Visual and Performing Arts </v>
      </c>
      <c r="CB91" s="192" t="str">
        <f>'[1]LS Core'!D87</f>
        <v>FAA 2302  Music History II</v>
      </c>
      <c r="CN91" s="114" t="str">
        <f>'[1]LS Core'!K87</f>
        <v xml:space="preserve">Sociology </v>
      </c>
      <c r="CO91" t="str">
        <f>'[1]LS Core'!L87</f>
        <v>SOC 2002  Social Problems</v>
      </c>
    </row>
    <row r="92" spans="79:93">
      <c r="CA92" s="191" t="str">
        <f>'[1]LS Core'!C88</f>
        <v>Visual and Performing Arts</v>
      </c>
      <c r="CB92" s="192" t="str">
        <f>'[1]LS Core'!D88</f>
        <v>FAA 2360  Elementary Music Theory</v>
      </c>
      <c r="CN92" s="114" t="str">
        <f>'[1]LS Core'!K88</f>
        <v xml:space="preserve">Sociology </v>
      </c>
      <c r="CO92" t="str">
        <f>'[1]LS Core'!L88</f>
        <v>SOC 2050  Social Work</v>
      </c>
    </row>
    <row r="93" spans="79:93">
      <c r="CA93" s="191" t="str">
        <f>'[1]LS Core'!C89</f>
        <v>Visual and Performing Arts</v>
      </c>
      <c r="CB93" s="192" t="str">
        <f>'[1]LS Core'!D89</f>
        <v>FAA 2380  The Architecture of Music: From Phrase to Opera</v>
      </c>
      <c r="CN93" s="114" t="str">
        <f>'[1]LS Core'!K89</f>
        <v xml:space="preserve">Sociology </v>
      </c>
      <c r="CO93" t="str">
        <f>'[1]LS Core'!L89</f>
        <v>SOC 2200  Cultural Anthropology</v>
      </c>
    </row>
    <row r="94" spans="79:93">
      <c r="CA94" s="191" t="str">
        <f>'[1]LS Core'!C90</f>
        <v>Visual and Performing Arts</v>
      </c>
      <c r="CB94" s="192" t="str">
        <f>'[1]LS Core'!D90</f>
        <v>FAA 2420  History of Photography</v>
      </c>
      <c r="CN94" s="114" t="str">
        <f>'[1]LS Core'!K90</f>
        <v xml:space="preserve">Sociology </v>
      </c>
      <c r="CO94" t="str">
        <f>'[1]LS Core'!L90</f>
        <v>SOC 3040  Juvenile Delinquency (D)</v>
      </c>
    </row>
    <row r="95" spans="79:93">
      <c r="CA95" s="191" t="str">
        <f>'[1]LS Core'!C91</f>
        <v>Visual and Performing Arts</v>
      </c>
      <c r="CB95" s="192" t="str">
        <f>'[1]LS Core'!D91</f>
        <v>FAA 2450  Basic Digital Photography</v>
      </c>
      <c r="CN95" s="114" t="str">
        <f>'[1]LS Core'!K91</f>
        <v xml:space="preserve">Sociology </v>
      </c>
      <c r="CO95" t="str">
        <f>'[1]LS Core'!L91</f>
        <v>SOC 3050W  Female Deviance, Crime and Social Control (D)</v>
      </c>
    </row>
    <row r="96" spans="79:93">
      <c r="CA96" s="191" t="str">
        <f>'[1]LS Core'!C92</f>
        <v>Visual and Performing Arts</v>
      </c>
      <c r="CB96" s="192" t="str">
        <f>'[1]LS Core'!D92</f>
        <v>FAA 2500  Women in Theatre (D)</v>
      </c>
      <c r="CN96" s="114" t="str">
        <f>'[1]LS Core'!K92</f>
        <v xml:space="preserve">Sociology </v>
      </c>
      <c r="CO96" t="str">
        <f>'[1]LS Core'!L92</f>
        <v>SOC 3060  White Collar Crime</v>
      </c>
    </row>
    <row r="97" spans="79:93">
      <c r="CA97" s="191" t="str">
        <f>'[1]LS Core'!C93</f>
        <v>Visual and Performing Arts</v>
      </c>
      <c r="CB97" s="192" t="str">
        <f>'[1]LS Core'!D93</f>
        <v>FAA 2510  Acting II</v>
      </c>
      <c r="CN97" s="114" t="str">
        <f>'[1]LS Core'!K93</f>
        <v xml:space="preserve">Sociology </v>
      </c>
      <c r="CO97" t="str">
        <f>'[1]LS Core'!L93</f>
        <v>SOC 3100  Formal Organizations</v>
      </c>
    </row>
    <row r="98" spans="79:93">
      <c r="CA98" s="191" t="str">
        <f>'[1]LS Core'!C94</f>
        <v>Visual and Performing Arts</v>
      </c>
      <c r="CB98" s="192" t="str">
        <f>'[1]LS Core'!D94</f>
        <v>FAA 2520  Theatre History Part One: Origins to Renaissance</v>
      </c>
      <c r="CN98" s="114" t="str">
        <f>'[1]LS Core'!K94</f>
        <v xml:space="preserve">Sociology </v>
      </c>
      <c r="CO98" t="str">
        <f>'[1]LS Core'!L94</f>
        <v>SOC 3120  Sociology of Law</v>
      </c>
    </row>
    <row r="99" spans="79:93">
      <c r="CA99" s="191" t="str">
        <f>'[1]LS Core'!C95</f>
        <v>Visual and Performing Arts</v>
      </c>
      <c r="CB99" s="192" t="str">
        <f>'[1]LS Core'!D95</f>
        <v>FAA 2530  Theatre History Part Two: Restoration to the Present</v>
      </c>
      <c r="CN99" s="114" t="str">
        <f>'[1]LS Core'!K95</f>
        <v xml:space="preserve">Sociology </v>
      </c>
      <c r="CO99" t="str">
        <f>'[1]LS Core'!L95</f>
        <v>SOC 3150  Social Movements</v>
      </c>
    </row>
    <row r="100" spans="79:93">
      <c r="CA100" s="191" t="str">
        <f>'[1]LS Core'!C96</f>
        <v>Visual and Performing Arts</v>
      </c>
      <c r="CB100" s="192" t="str">
        <f>'[1]LS Core'!D96</f>
        <v>FAA 2540  Introduction to Playwriting</v>
      </c>
      <c r="CN100" s="114" t="str">
        <f>'[1]LS Core'!K96</f>
        <v xml:space="preserve">Sociology </v>
      </c>
      <c r="CO100" t="str">
        <f>'[1]LS Core'!L96</f>
        <v>SOC 3200  Criminology</v>
      </c>
    </row>
    <row r="101" spans="79:93">
      <c r="CA101" s="191" t="str">
        <f>'[1]LS Core'!C97</f>
        <v>Visual and Performing Arts</v>
      </c>
      <c r="CB101" s="192" t="str">
        <f>'[1]LS Core'!D97</f>
        <v>FAA 2560  London Theatre</v>
      </c>
      <c r="CN101" s="114" t="str">
        <f>'[1]LS Core'!K97</f>
        <v xml:space="preserve">Sociology </v>
      </c>
      <c r="CO101" t="str">
        <f>'[1]LS Core'!L97</f>
        <v>SOC 3250  Social Change</v>
      </c>
    </row>
    <row r="102" spans="79:93">
      <c r="CA102" s="191" t="str">
        <f>'[1]LS Core'!C98</f>
        <v>Visual and Performing Arts</v>
      </c>
      <c r="CB102" s="192" t="str">
        <f>'[1]LS Core'!D98</f>
        <v>FAA 2570  Technical Production for the Theatre</v>
      </c>
      <c r="CN102" s="114" t="str">
        <f>'[1]LS Core'!K98</f>
        <v xml:space="preserve">Sociology </v>
      </c>
      <c r="CO102" t="str">
        <f>'[1]LS Core'!L98</f>
        <v>SOC 3300W  Sociology of Education</v>
      </c>
    </row>
    <row r="103" spans="79:93">
      <c r="CA103" s="191" t="str">
        <f>'[1]LS Core'!C99</f>
        <v>Visual and Performing Arts</v>
      </c>
      <c r="CB103" s="192" t="str">
        <f>'[1]LS Core'!D99</f>
        <v>FAA 2580  Design for the Theatre</v>
      </c>
      <c r="CN103" s="114" t="str">
        <f>'[1]LS Core'!K99</f>
        <v xml:space="preserve">Sociology </v>
      </c>
      <c r="CO103" t="str">
        <f>'[1]LS Core'!L99</f>
        <v>SOC 3330  Racial and Ethnic Minorities (D)</v>
      </c>
    </row>
    <row r="104" spans="79:93">
      <c r="CA104" s="191" t="str">
        <f>'[1]LS Core'!C100</f>
        <v>Visual and Performing Arts</v>
      </c>
      <c r="CB104" s="192" t="str">
        <f>'[1]LS Core'!D100</f>
        <v>FAA 2610  The Art of Ancient Egypt, Hither Asia, and the Aegean</v>
      </c>
      <c r="CN104" s="114" t="str">
        <f>'[1]LS Core'!K100</f>
        <v xml:space="preserve">Sociology </v>
      </c>
      <c r="CO104" t="str">
        <f>'[1]LS Core'!L100</f>
        <v>SOC 3350  Alternative Approaches to Criminal Justice</v>
      </c>
    </row>
    <row r="105" spans="79:93">
      <c r="CA105" s="191" t="str">
        <f>'[1]LS Core'!C101</f>
        <v>Visual and Performing Arts</v>
      </c>
      <c r="CB105" s="192" t="str">
        <f>'[1]LS Core'!D101</f>
        <v>FAA 2620  Classical Art</v>
      </c>
      <c r="CN105" s="114" t="str">
        <f>'[1]LS Core'!K101</f>
        <v xml:space="preserve">Sociology </v>
      </c>
      <c r="CO105" t="str">
        <f>'[1]LS Core'!L101</f>
        <v>SOC 3370  Urban Sociology</v>
      </c>
    </row>
    <row r="106" spans="79:93">
      <c r="CA106" s="191" t="str">
        <f>'[1]LS Core'!C102</f>
        <v>Visual and Performing Arts</v>
      </c>
      <c r="CB106" s="192" t="str">
        <f>'[1]LS Core'!D102</f>
        <v>FAA 2630  Angels and Demons: The Art of the Middle Ages</v>
      </c>
      <c r="CN106" s="114" t="str">
        <f>'[1]LS Core'!K102</f>
        <v xml:space="preserve">Sociology </v>
      </c>
      <c r="CO106" t="str">
        <f>'[1]LS Core'!L102</f>
        <v>SOC 3400  Population Problems</v>
      </c>
    </row>
    <row r="107" spans="79:93">
      <c r="CA107" s="191" t="str">
        <f>'[1]LS Core'!C103</f>
        <v>Visual and Performing Arts</v>
      </c>
      <c r="CB107" s="192" t="str">
        <f>'[1]LS Core'!D103</f>
        <v>FAA 2640W  First Light: The Beginnings of Modernism in Western Art</v>
      </c>
      <c r="CN107" s="114" t="str">
        <f>'[1]LS Core'!K103</f>
        <v xml:space="preserve">Sociology </v>
      </c>
      <c r="CO107" t="str">
        <f>'[1]LS Core'!L103</f>
        <v>SOC 3430  Criminal Justice and Mental Health</v>
      </c>
    </row>
    <row r="108" spans="79:93">
      <c r="CA108" s="191" t="str">
        <f>'[1]LS Core'!C104</f>
        <v>Visual and Performing Arts</v>
      </c>
      <c r="CB108" s="192" t="str">
        <f>'[1]LS Core'!D104</f>
        <v>FAA 2650  Artists, Princes, and Popes: From Renaissance to Reformation</v>
      </c>
      <c r="CN108" s="114" t="str">
        <f>'[1]LS Core'!K104</f>
        <v xml:space="preserve">Sociology </v>
      </c>
      <c r="CO108" t="str">
        <f>'[1]LS Core'!L104</f>
        <v>SOC 3450  Sociology of Family</v>
      </c>
    </row>
    <row r="109" spans="79:93">
      <c r="CA109" s="191" t="str">
        <f>'[1]LS Core'!C105</f>
        <v>Visual and Performing Arts</v>
      </c>
      <c r="CB109" s="192" t="str">
        <f>'[1]LS Core'!D105</f>
        <v>FAA 2660  The Art of the Baroque: European Art of the 17th and 18th Centuries</v>
      </c>
      <c r="CN109" s="114" t="str">
        <f>'[1]LS Core'!K105</f>
        <v xml:space="preserve">Sociology </v>
      </c>
      <c r="CO109" t="str">
        <f>'[1]LS Core'!L105</f>
        <v>SOC 3500  Domestic Violence</v>
      </c>
    </row>
    <row r="110" spans="79:93">
      <c r="CA110" s="191" t="str">
        <f>'[1]LS Core'!C106</f>
        <v>Visual and Performing Arts</v>
      </c>
      <c r="CB110" s="192" t="str">
        <f>'[1]LS Core'!D106</f>
        <v>FAA 2670  19th Century Art</v>
      </c>
      <c r="CN110" s="114" t="str">
        <f>'[1]LS Core'!K106</f>
        <v xml:space="preserve">Sociology </v>
      </c>
      <c r="CO110" t="str">
        <f>'[1]LS Core'!L106</f>
        <v>SOC 3600  Sociology of Health</v>
      </c>
    </row>
    <row r="111" spans="79:93">
      <c r="CA111" s="191" t="str">
        <f>'[1]LS Core'!C107</f>
        <v>Visual and Performing Arts</v>
      </c>
      <c r="CB111" s="192" t="str">
        <f>'[1]LS Core'!D107</f>
        <v>FAA 2680  Early 20th Century Art: The Development of Modernist Art</v>
      </c>
      <c r="CN111" s="114" t="str">
        <f>'[1]LS Core'!K107</f>
        <v xml:space="preserve">Sociology </v>
      </c>
      <c r="CO111" t="str">
        <f>'[1]LS Core'!L107</f>
        <v>SOC 3800  Sociology of Gender</v>
      </c>
    </row>
    <row r="112" spans="79:93">
      <c r="CA112" s="191" t="str">
        <f>'[1]LS Core'!C108</f>
        <v>Visual and Performing Arts</v>
      </c>
      <c r="CB112" s="192" t="str">
        <f>'[1]LS Core'!D108</f>
        <v>FAA 2690  Modern, Postmodern, and Beyond: Art from 1945 to the Present</v>
      </c>
      <c r="CN112" s="114" t="str">
        <f>'[1]LS Core'!K108</f>
        <v xml:space="preserve">Sociology </v>
      </c>
      <c r="CO112" t="str">
        <f>'[1]LS Core'!L108</f>
        <v>SOC 3850  Sociology of Aging</v>
      </c>
    </row>
    <row r="113" spans="79:93">
      <c r="CA113" s="191" t="str">
        <f>'[1]LS Core'!C109</f>
        <v>Visual and Performing Arts</v>
      </c>
      <c r="CB113" s="192" t="str">
        <f>'[1]LS Core'!D109</f>
        <v>FAA 2840  Digital Photography and Design</v>
      </c>
      <c r="CN113" s="114" t="str">
        <f>'[1]LS Core'!K109</f>
        <v xml:space="preserve">Sociology </v>
      </c>
      <c r="CO113" t="str">
        <f>'[1]LS Core'!L109</f>
        <v>SOC 4300  Social Class in America</v>
      </c>
    </row>
    <row r="114" spans="79:93">
      <c r="CA114" s="191" t="str">
        <f>'[1]LS Core'!C110</f>
        <v>Visual and Performing Arts</v>
      </c>
      <c r="CB114" s="192" t="str">
        <f>'[1]LS Core'!D110</f>
        <v>FAA 2850  Digital Video</v>
      </c>
      <c r="CN114" s="114" t="str">
        <f>'[1]LS Core'!K110</f>
        <v>Women’s and Gender Studies</v>
      </c>
      <c r="CO114" t="str">
        <f>'[1]LS Core'!L110</f>
        <v>WGS 1010  Gender and Society (D)</v>
      </c>
    </row>
    <row r="115" spans="79:93">
      <c r="CA115" s="191" t="str">
        <f>'[1]LS Core'!C111</f>
        <v>Visual and Performing Arts</v>
      </c>
      <c r="CB115" s="192" t="str">
        <f>'[1]LS Core'!D111</f>
        <v>FAA 2860  Electronic Publishing</v>
      </c>
      <c r="CN115" s="114" t="str">
        <f>'[1]LS Core'!K111</f>
        <v>Women’s and Gender Studies</v>
      </c>
      <c r="CO115" t="str">
        <f>'[1]LS Core'!L111</f>
        <v>WGS 3100  Feminist Theory (D)</v>
      </c>
    </row>
    <row r="116" spans="79:93">
      <c r="CA116" s="191" t="str">
        <f>'[1]LS Core'!C112</f>
        <v>Visual and Performing Arts</v>
      </c>
      <c r="CB116" s="192" t="str">
        <f>'[1]LS Core'!D112</f>
        <v>FAA 3270  Advanced Painting</v>
      </c>
      <c r="CN116" s="114" t="str">
        <f>'[1]LS Core'!K112</f>
        <v>Women’s and Gender Studies</v>
      </c>
      <c r="CO116" t="str">
        <f>'[1]LS Core'!L112</f>
        <v>WGS 3110  Global Women’s Issues: Gender, Activism, and Social Justice (D)</v>
      </c>
    </row>
    <row r="117" spans="79:93">
      <c r="CA117" s="191" t="str">
        <f>'[1]LS Core'!C113</f>
        <v>Visual and Performing Arts</v>
      </c>
      <c r="CB117" s="192" t="str">
        <f>'[1]LS Core'!D113</f>
        <v>FAA 3360  Principles of Composition</v>
      </c>
      <c r="CN117" s="114" t="str">
        <f>'[1]LS Core'!K113</f>
        <v>Women’s and Gender Studies</v>
      </c>
      <c r="CO117" t="str">
        <f>'[1]LS Core'!L113</f>
        <v>WGS 3250  Sex and Gender Studies (D)</v>
      </c>
    </row>
    <row r="118" spans="79:93">
      <c r="CA118" s="191" t="str">
        <f>'[1]LS Core'!C114</f>
        <v>Visual and Performing Arts</v>
      </c>
      <c r="CB118" s="192" t="str">
        <f>'[1]LS Core'!D114</f>
        <v>FAA 3510  Directing I</v>
      </c>
      <c r="CN118" s="114" t="str">
        <f>'[1]LS Core'!K114</f>
        <v>Women’s and Gender Studies</v>
      </c>
      <c r="CO118" t="str">
        <f>'[1]LS Core'!L114</f>
        <v>WGS 3290  Women and Business (D)</v>
      </c>
    </row>
    <row r="119" spans="79:93">
      <c r="CA119" s="191" t="str">
        <f>'[1]LS Core'!C115</f>
        <v>Visual and Performing Arts</v>
      </c>
      <c r="CB119" s="192" t="str">
        <f>'[1]LS Core'!D115</f>
        <v>FAA 3520  Acting III</v>
      </c>
      <c r="CN119" s="114" t="str">
        <f>'[1]LS Core'!K115</f>
        <v>Women’s and Gender Studies</v>
      </c>
      <c r="CO119" t="str">
        <f>'[1]LS Core'!L115</f>
        <v>WGS 3420  Gender, Race, and the Media (D)</v>
      </c>
    </row>
    <row r="120" spans="79:93">
      <c r="CA120" s="191" t="str">
        <f>'[1]LS Core'!C116</f>
        <v>Visual and Performing Arts</v>
      </c>
      <c r="CB120" s="192" t="str">
        <f>'[1]LS Core'!D116</f>
        <v>FAA 3620  Problems in Classical Art</v>
      </c>
      <c r="CN120" s="114" t="str">
        <f>'[1]LS Core'!K116</f>
        <v>Women’s and Gender Studies</v>
      </c>
      <c r="CO120" t="str">
        <f>'[1]LS Core'!L116</f>
        <v>WGS 3710  Gender and the Law (D)</v>
      </c>
    </row>
    <row r="121" spans="79:93">
      <c r="CA121" s="191" t="str">
        <f>'[1]LS Core'!C117</f>
        <v>Visual and Performing Arts</v>
      </c>
      <c r="CB121" s="192" t="str">
        <f>'[1]LS Core'!D117</f>
        <v>FAA 3650  The World of Michelangelo</v>
      </c>
      <c r="CN121" s="114">
        <f>'[1]LS Core'!K117</f>
        <v>0</v>
      </c>
      <c r="CO121">
        <f>'[1]LS Core'!L117</f>
        <v>0</v>
      </c>
    </row>
    <row r="122" spans="79:93">
      <c r="CA122" s="191" t="str">
        <f>'[1]LS Core'!C118</f>
        <v>Visual and Performing Arts</v>
      </c>
      <c r="CB122" s="192" t="str">
        <f>'[1]LS Core'!D118</f>
        <v>FAA 3680  Topics in Modern Art</v>
      </c>
      <c r="CN122" s="114">
        <f>'[1]LS Core'!K118</f>
        <v>0</v>
      </c>
      <c r="CO122">
        <f>'[1]LS Core'!L118</f>
        <v>0</v>
      </c>
    </row>
    <row r="123" spans="79:93">
      <c r="CA123" s="191" t="str">
        <f>'[1]LS Core'!C119</f>
        <v>Visual and Performing Arts</v>
      </c>
      <c r="CB123" s="192" t="str">
        <f>'[1]LS Core'!D119</f>
        <v>FAA 3700  Drawing and Sculpture: A Study of Form in Tuscany</v>
      </c>
      <c r="CN123" s="114">
        <f>'[1]LS Core'!K119</f>
        <v>0</v>
      </c>
      <c r="CO123">
        <f>'[1]LS Core'!L119</f>
        <v>0</v>
      </c>
    </row>
    <row r="124" spans="79:93">
      <c r="CA124" s="191" t="str">
        <f>'[1]LS Core'!C120</f>
        <v>Visual and Performing Arts</v>
      </c>
      <c r="CB124" s="192" t="str">
        <f>'[1]LS Core'!D120</f>
        <v>FAA 3830  Web Design</v>
      </c>
      <c r="CN124" s="114">
        <f>'[1]LS Core'!K120</f>
        <v>0</v>
      </c>
      <c r="CO124">
        <f>'[1]LS Core'!L120</f>
        <v>0</v>
      </c>
    </row>
    <row r="125" spans="79:93">
      <c r="CA125" s="191" t="str">
        <f>'[1]LS Core'!C121</f>
        <v>Visual and Performing Arts</v>
      </c>
      <c r="CB125" s="192" t="str">
        <f>'[1]LS Core'!D121</f>
        <v>FAA 3840  2D Web Animation</v>
      </c>
      <c r="CN125" s="114">
        <f>'[1]LS Core'!K121</f>
        <v>0</v>
      </c>
      <c r="CO125">
        <f>'[1]LS Core'!L121</f>
        <v>0</v>
      </c>
    </row>
    <row r="126" spans="79:93">
      <c r="CA126" s="191" t="str">
        <f>'[1]LS Core'!C122</f>
        <v>Visual and Performing Arts</v>
      </c>
      <c r="CB126" s="192" t="str">
        <f>'[1]LS Core'!D122</f>
        <v>FAA 3850  History of Graphic Design</v>
      </c>
      <c r="CN126" s="114">
        <f>'[1]LS Core'!K122</f>
        <v>0</v>
      </c>
      <c r="CO126">
        <f>'[1]LS Core'!L122</f>
        <v>0</v>
      </c>
    </row>
    <row r="127" spans="79:93">
      <c r="CA127" s="191" t="str">
        <f>'[1]LS Core'!C123</f>
        <v>Visual and Performing Arts</v>
      </c>
      <c r="CB127" s="192" t="str">
        <f>'[1]LS Core'!D123</f>
        <v>FAA 3860  Computer Illustration</v>
      </c>
      <c r="CN127" s="114">
        <f>'[1]LS Core'!K123</f>
        <v>0</v>
      </c>
      <c r="CO127">
        <f>'[1]LS Core'!L123</f>
        <v>0</v>
      </c>
    </row>
    <row r="128" spans="79:93">
      <c r="CA128" s="191" t="str">
        <f>'[1]LS Core'!C124</f>
        <v>Visual and Performing Arts</v>
      </c>
      <c r="CB128" s="192" t="str">
        <f>'[1]LS Core'!D124</f>
        <v>FAA 4820  3D Animation and Illustration</v>
      </c>
      <c r="CN128" s="114">
        <f>'[1]LS Core'!K124</f>
        <v>0</v>
      </c>
      <c r="CO128">
        <f>'[1]LS Core'!L124</f>
        <v>0</v>
      </c>
    </row>
    <row r="129" spans="79:93">
      <c r="CA129" s="191" t="str">
        <f>'[1]LS Core'!C125</f>
        <v>Visual and Performing Arts</v>
      </c>
      <c r="CB129" s="192" t="str">
        <f>'[1]LS Core'!D125</f>
        <v>FAA 49l0/4920  Fine Arts Internship</v>
      </c>
      <c r="CN129" s="114">
        <f>'[1]LS Core'!K125</f>
        <v>0</v>
      </c>
      <c r="CO129">
        <f>'[1]LS Core'!L125</f>
        <v>0</v>
      </c>
    </row>
    <row r="130" spans="79:93">
      <c r="CA130" s="191" t="str">
        <f>'[1]LS Core'!C126</f>
        <v>Women’s and Gender Studies</v>
      </c>
      <c r="CB130" s="192" t="str">
        <f>'[1]LS Core'!D126</f>
        <v>WGS 2260  Southwestern Women Writers and Artists (D)</v>
      </c>
      <c r="CN130" s="114">
        <f>'[1]LS Core'!K126</f>
        <v>0</v>
      </c>
      <c r="CO130">
        <f>'[1]LS Core'!L126</f>
        <v>0</v>
      </c>
    </row>
    <row r="131" spans="79:93">
      <c r="CA131" s="191" t="str">
        <f>'[1]LS Core'!C127</f>
        <v>Women’s and Gender Studies</v>
      </c>
      <c r="CB131" s="192" t="str">
        <f>'[1]LS Core'!D127</f>
        <v>WGS 2420  Gender, Sex, and Film (D)</v>
      </c>
      <c r="CN131" s="114">
        <f>'[1]LS Core'!K127</f>
        <v>0</v>
      </c>
      <c r="CO131">
        <f>'[1]LS Core'!L127</f>
        <v>0</v>
      </c>
    </row>
    <row r="132" spans="79:93">
      <c r="CA132" s="191" t="str">
        <f>'[1]LS Core'!C128</f>
        <v>Women’s and Gender Studies</v>
      </c>
      <c r="CB132" s="192" t="str">
        <f>'[1]LS Core'!D128</f>
        <v>WGS 3120  Women and Film: The Politics of Representation (D)</v>
      </c>
      <c r="CN132" s="114">
        <f>'[1]LS Core'!K128</f>
        <v>0</v>
      </c>
      <c r="CO132">
        <f>'[1]LS Core'!L128</f>
        <v>0</v>
      </c>
    </row>
    <row r="133" spans="79:93">
      <c r="CA133" s="191" t="str">
        <f>'[1]LS Core'!C129</f>
        <v>World Languages and Cultures</v>
      </c>
      <c r="CB133" s="192" t="str">
        <f>'[1]LS Core'!D129</f>
        <v>FRE 3030  French Cinema I</v>
      </c>
      <c r="CN133" s="114">
        <f>'[1]LS Core'!K129</f>
        <v>0</v>
      </c>
      <c r="CO133">
        <f>'[1]LS Core'!L129</f>
        <v>0</v>
      </c>
    </row>
    <row r="134" spans="79:93">
      <c r="CA134" s="191" t="str">
        <f>'[1]LS Core'!C130</f>
        <v>World Languages and Cultures</v>
      </c>
      <c r="CB134" s="192" t="str">
        <f>'[1]LS Core'!D130</f>
        <v>FRE 3040  Five Centuries of French Civilization in Films</v>
      </c>
      <c r="CN134" s="114">
        <f>'[1]LS Core'!K130</f>
        <v>0</v>
      </c>
      <c r="CO134">
        <f>'[1]LS Core'!L130</f>
        <v>0</v>
      </c>
    </row>
    <row r="135" spans="79:93">
      <c r="CA135" s="191" t="str">
        <f>'[1]LS Core'!C131</f>
        <v>World Languages and Cultures</v>
      </c>
      <c r="CB135" s="192" t="str">
        <f>'[1]LS Core'!D131</f>
        <v>FRE 3110  Survey of French Literature I</v>
      </c>
      <c r="CN135" s="114">
        <f>'[1]LS Core'!K131</f>
        <v>0</v>
      </c>
      <c r="CO135">
        <f>'[1]LS Core'!L131</f>
        <v>0</v>
      </c>
    </row>
    <row r="136" spans="79:93">
      <c r="CA136" s="191" t="str">
        <f>'[1]LS Core'!C132</f>
        <v>World Languages and Cultures</v>
      </c>
      <c r="CB136" s="192" t="str">
        <f>'[1]LS Core'!D132</f>
        <v>FRE 3120  Survey of French Literature II</v>
      </c>
      <c r="CN136" s="114">
        <f>'[1]LS Core'!K132</f>
        <v>0</v>
      </c>
      <c r="CO136">
        <f>'[1]LS Core'!L132</f>
        <v>0</v>
      </c>
    </row>
    <row r="137" spans="79:93">
      <c r="CA137" s="191" t="str">
        <f>'[1]LS Core'!C133</f>
        <v>World Languages and Cultures</v>
      </c>
      <c r="CB137" s="192" t="str">
        <f>'[1]LS Core'!D133</f>
        <v>FRE 3130  Studies in Modern French Literature</v>
      </c>
      <c r="CN137" s="114">
        <f>'[1]LS Core'!K133</f>
        <v>0</v>
      </c>
      <c r="CO137">
        <f>'[1]LS Core'!L133</f>
        <v>0</v>
      </c>
    </row>
    <row r="138" spans="79:93">
      <c r="CA138" s="191" t="str">
        <f>'[1]LS Core'!C134</f>
        <v>World Languages and Cultures</v>
      </c>
      <c r="CB138" s="192" t="str">
        <f>'[1]LS Core'!D134</f>
        <v>FRE 3140  Studies in Modern French Literature II</v>
      </c>
      <c r="CN138" s="114">
        <f>'[1]LS Core'!K134</f>
        <v>0</v>
      </c>
      <c r="CO138">
        <f>'[1]LS Core'!L134</f>
        <v>0</v>
      </c>
    </row>
    <row r="139" spans="79:93">
      <c r="CA139" s="191" t="str">
        <f>'[1]LS Core'!C135</f>
        <v>World Languages and Cultures</v>
      </c>
      <c r="CB139" s="192" t="str">
        <f>'[1]LS Core'!D135</f>
        <v>ITA 2530  Italian Women Writers (D)</v>
      </c>
      <c r="CN139" s="114">
        <f>'[1]LS Core'!K135</f>
        <v>0</v>
      </c>
      <c r="CO139">
        <f>'[1]LS Core'!L135</f>
        <v>0</v>
      </c>
    </row>
    <row r="140" spans="79:93">
      <c r="CA140" s="191" t="str">
        <f>'[1]LS Core'!C136</f>
        <v>World Languages and Cultures</v>
      </c>
      <c r="CB140" s="192" t="str">
        <f>'[1]LS Core'!D136</f>
        <v>ITA 2550  Italian Americans and Film</v>
      </c>
      <c r="CN140" s="114">
        <f>'[1]LS Core'!K136</f>
        <v>0</v>
      </c>
      <c r="CO140">
        <f>'[1]LS Core'!L136</f>
        <v>0</v>
      </c>
    </row>
    <row r="141" spans="79:93">
      <c r="CA141" s="191" t="str">
        <f>'[1]LS Core'!C137</f>
        <v>World Languages and Cultures</v>
      </c>
      <c r="CB141" s="192" t="str">
        <f>'[1]LS Core'!D137</f>
        <v>ITA 2560  The Italian Southern Question in Literature and Film (D)</v>
      </c>
      <c r="CN141" s="114">
        <f>'[1]LS Core'!K137</f>
        <v>0</v>
      </c>
      <c r="CO141">
        <f>'[1]LS Core'!L137</f>
        <v>0</v>
      </c>
    </row>
    <row r="142" spans="79:93">
      <c r="CA142" s="191" t="str">
        <f>'[1]LS Core'!C138</f>
        <v>World Languages and Cultures</v>
      </c>
      <c r="CB142" s="192" t="str">
        <f>'[1]LS Core'!D138</f>
        <v>ITA 2570  Italian Culture Through Film I</v>
      </c>
      <c r="CN142" s="114">
        <f>'[1]LS Core'!K138</f>
        <v>0</v>
      </c>
      <c r="CO142">
        <f>'[1]LS Core'!L138</f>
        <v>0</v>
      </c>
    </row>
    <row r="143" spans="79:93">
      <c r="CA143" s="191" t="str">
        <f>'[1]LS Core'!C139</f>
        <v>World Languages and Cultures</v>
      </c>
      <c r="CB143" s="192" t="str">
        <f>'[1]LS Core'!D139</f>
        <v>ITA 2580  Italian Culture Through Film II</v>
      </c>
      <c r="CN143" s="114">
        <f>'[1]LS Core'!K139</f>
        <v>0</v>
      </c>
      <c r="CO143">
        <f>'[1]LS Core'!L139</f>
        <v>0</v>
      </c>
    </row>
    <row r="144" spans="79:93">
      <c r="CA144" s="191" t="str">
        <f>'[1]LS Core'!C140</f>
        <v>World Languages and Cultures</v>
      </c>
      <c r="CB144" s="192" t="str">
        <f>'[1]LS Core'!D140</f>
        <v>SPA 3310  Latinos in the U.S.: Literature and Service Learning (D)</v>
      </c>
      <c r="CN144" s="114">
        <f>'[1]LS Core'!K140</f>
        <v>0</v>
      </c>
      <c r="CO144">
        <f>'[1]LS Core'!L140</f>
        <v>0</v>
      </c>
    </row>
    <row r="145" spans="79:93">
      <c r="CA145" s="191" t="str">
        <f>'[1]LS Core'!C141</f>
        <v>World Languages and Cultures</v>
      </c>
      <c r="CB145" s="192" t="str">
        <f>'[1]LS Core'!D141</f>
        <v>SPA 3610  Race, Literature, and Culture (D)</v>
      </c>
      <c r="CN145" s="114">
        <f>'[1]LS Core'!K141</f>
        <v>0</v>
      </c>
      <c r="CO145">
        <f>'[1]LS Core'!L141</f>
        <v>0</v>
      </c>
    </row>
    <row r="146" spans="79:93">
      <c r="CA146" s="191" t="str">
        <f>'[1]LS Core'!C142</f>
        <v>World Languages and Cultures</v>
      </c>
      <c r="CB146" s="192" t="str">
        <f>'[1]LS Core'!D142</f>
        <v>SPA 3620  Gender, Literature, and Culture (D)</v>
      </c>
      <c r="CN146" s="114">
        <f>'[1]LS Core'!K142</f>
        <v>0</v>
      </c>
      <c r="CO146">
        <f>'[1]LS Core'!L142</f>
        <v>0</v>
      </c>
    </row>
    <row r="147" spans="79:93">
      <c r="CA147" s="191" t="str">
        <f>'[1]LS Core'!C143</f>
        <v>World Languages and Cultures</v>
      </c>
      <c r="CB147" s="192" t="str">
        <f>'[1]LS Core'!D143</f>
        <v>SPA 3630  Studies in Popular Culture of Latin America and Spain (D)</v>
      </c>
      <c r="CN147" s="114">
        <f>'[1]LS Core'!K143</f>
        <v>0</v>
      </c>
      <c r="CO147">
        <f>'[1]LS Core'!L143</f>
        <v>0</v>
      </c>
    </row>
    <row r="148" spans="79:93">
      <c r="CA148" s="191" t="str">
        <f>'[1]LS Core'!C144</f>
        <v>World Languages and Cultures</v>
      </c>
      <c r="CB148" s="192" t="str">
        <f>'[1]LS Core'!D144</f>
        <v>SPA 4050  Literature(s)/ Cultures(s) of Resistance (D)</v>
      </c>
      <c r="CN148" s="114">
        <f>'[1]LS Core'!K144</f>
        <v>0</v>
      </c>
      <c r="CO148">
        <f>'[1]LS Core'!L144</f>
        <v>0</v>
      </c>
    </row>
    <row r="149" spans="79:93">
      <c r="CA149" s="191" t="str">
        <f>'[1]LS Core'!C145</f>
        <v>World Languages and Cultures</v>
      </c>
      <c r="CB149" s="192" t="str">
        <f>'[1]LS Core'!D145</f>
        <v>SPA 4060  Film and Literature of Contemporary Spain and Latin America</v>
      </c>
      <c r="CN149" s="114">
        <f>'[1]LS Core'!K145</f>
        <v>0</v>
      </c>
      <c r="CO149">
        <f>'[1]LS Core'!L145</f>
        <v>0</v>
      </c>
    </row>
    <row r="150" spans="79:93">
      <c r="CA150" s="191" t="str">
        <f>'[1]LS Core'!C146</f>
        <v>World Languages and Cultures</v>
      </c>
      <c r="CB150" s="192" t="str">
        <f>'[1]LS Core'!D146</f>
        <v>SPA 4070  Short Fiction of Spanish Speaking World</v>
      </c>
      <c r="CN150" s="114">
        <f>'[1]LS Core'!K146</f>
        <v>0</v>
      </c>
      <c r="CO150">
        <f>'[1]LS Core'!L146</f>
        <v>0</v>
      </c>
    </row>
    <row r="151" spans="79:93">
      <c r="CA151" s="191" t="str">
        <f>'[1]LS Core'!C147</f>
        <v>World Languages and Cultures</v>
      </c>
      <c r="CB151" s="192" t="str">
        <f>'[1]LS Core'!D147</f>
        <v>SPA 4080  Hispanic Literature in Translation</v>
      </c>
      <c r="CN151" s="114">
        <f>'[1]LS Core'!K147</f>
        <v>0</v>
      </c>
      <c r="CO151">
        <f>'[1]LS Core'!L147</f>
        <v>0</v>
      </c>
    </row>
    <row r="152" spans="79:93">
      <c r="CA152" s="191">
        <f>'[1]LS Core'!C148</f>
        <v>0</v>
      </c>
      <c r="CB152" s="192">
        <f>'[1]LS Core'!D148</f>
        <v>0</v>
      </c>
      <c r="CN152" s="114">
        <f>'[1]LS Core'!K148</f>
        <v>0</v>
      </c>
      <c r="CO152">
        <f>'[1]LS Core'!L148</f>
        <v>0</v>
      </c>
    </row>
    <row r="153" spans="79:93">
      <c r="CA153" s="191">
        <f>'[1]LS Core'!C149</f>
        <v>0</v>
      </c>
      <c r="CB153" s="192">
        <f>'[1]LS Core'!D149</f>
        <v>0</v>
      </c>
      <c r="CN153" s="114">
        <f>'[1]LS Core'!K149</f>
        <v>0</v>
      </c>
      <c r="CO153">
        <f>'[1]LS Core'!L149</f>
        <v>0</v>
      </c>
    </row>
    <row r="154" spans="79:93">
      <c r="CA154" s="191">
        <f>'[1]LS Core'!C150</f>
        <v>0</v>
      </c>
      <c r="CB154" s="192">
        <f>'[1]LS Core'!D150</f>
        <v>0</v>
      </c>
      <c r="CN154" s="114">
        <f>'[1]LS Core'!K150</f>
        <v>0</v>
      </c>
      <c r="CO154">
        <f>'[1]LS Core'!L150</f>
        <v>0</v>
      </c>
    </row>
    <row r="155" spans="79:93">
      <c r="CA155" s="191">
        <f>'[1]LS Core'!C151</f>
        <v>0</v>
      </c>
      <c r="CB155" s="192">
        <f>'[1]LS Core'!D151</f>
        <v>0</v>
      </c>
      <c r="CN155" s="114">
        <f>'[1]LS Core'!K151</f>
        <v>0</v>
      </c>
      <c r="CO155">
        <f>'[1]LS Core'!L151</f>
        <v>0</v>
      </c>
    </row>
    <row r="156" spans="79:93" ht="13.8" thickBot="1">
      <c r="CA156" s="193">
        <f>'[1]LS Core'!C152</f>
        <v>0</v>
      </c>
      <c r="CB156" s="194">
        <f>'[1]LS Core'!D152</f>
        <v>0</v>
      </c>
    </row>
  </sheetData>
  <mergeCells count="8">
    <mergeCell ref="D4:E4"/>
    <mergeCell ref="G4:H4"/>
    <mergeCell ref="J4:L4"/>
    <mergeCell ref="A43:F43"/>
    <mergeCell ref="N16:Q17"/>
    <mergeCell ref="N18:Q19"/>
    <mergeCell ref="N20:Q21"/>
    <mergeCell ref="N22:Q23"/>
  </mergeCells>
  <phoneticPr fontId="0" type="noConversion"/>
  <conditionalFormatting sqref="K26">
    <cfRule type="expression" dxfId="69" priority="24" stopIfTrue="1">
      <formula>OR(AND($K$26=1,$D$27&lt;&gt;1),AND($K$26=1,$K$17&lt;&gt;1),AND($K$26=1,$K$10&lt;&gt;1),AND($K$26=1,$K$18&lt;&gt;1))</formula>
    </cfRule>
    <cfRule type="expression" dxfId="68" priority="25" stopIfTrue="1">
      <formula>OR(AND($K$26&lt;&gt;1,$K$36=1),AND($K$26&lt;&gt;1,$K$35=1))</formula>
    </cfRule>
  </conditionalFormatting>
  <conditionalFormatting sqref="L34">
    <cfRule type="expression" dxfId="67" priority="30" stopIfTrue="1">
      <formula>$K$34=1</formula>
    </cfRule>
  </conditionalFormatting>
  <conditionalFormatting sqref="E36">
    <cfRule type="expression" dxfId="66" priority="31" stopIfTrue="1">
      <formula>$D$36=1</formula>
    </cfRule>
  </conditionalFormatting>
  <conditionalFormatting sqref="D9">
    <cfRule type="expression" dxfId="65" priority="36" stopIfTrue="1">
      <formula>OR(AND($D$9&lt;&gt;1,$K$9=1),AND($D$9&lt;&gt;1,$K$10=1))</formula>
    </cfRule>
  </conditionalFormatting>
  <conditionalFormatting sqref="K8">
    <cfRule type="expression" dxfId="64" priority="37" stopIfTrue="1">
      <formula>AND($K$8=1,$K$9&lt;&gt;1)</formula>
    </cfRule>
  </conditionalFormatting>
  <conditionalFormatting sqref="K9">
    <cfRule type="expression" dxfId="63" priority="38" stopIfTrue="1">
      <formula>AND($K$9=1,$D$9&lt;&gt;1)</formula>
    </cfRule>
    <cfRule type="expression" dxfId="62" priority="39" stopIfTrue="1">
      <formula>OR(AND($K$9&lt;&gt;1,$D$18=1),AND($K$9&lt;&gt;1,$K$16=1))</formula>
    </cfRule>
    <cfRule type="expression" dxfId="61" priority="40" stopIfTrue="1">
      <formula>AND($K$9&lt;&gt;1,$K$8=1)</formula>
    </cfRule>
  </conditionalFormatting>
  <conditionalFormatting sqref="D16">
    <cfRule type="expression" dxfId="60" priority="41" stopIfTrue="1">
      <formula>AND($D$16=1,$K$10&lt;&gt;1)</formula>
    </cfRule>
    <cfRule type="expression" dxfId="59" priority="42" stopIfTrue="1">
      <formula>AND($D$16&lt;&gt;1,$K$16=1)</formula>
    </cfRule>
  </conditionalFormatting>
  <conditionalFormatting sqref="D17">
    <cfRule type="expression" dxfId="58" priority="43" stopIfTrue="1">
      <formula>AND($K$10&lt;&gt;1,$D$17=1)</formula>
    </cfRule>
  </conditionalFormatting>
  <conditionalFormatting sqref="D18">
    <cfRule type="expression" dxfId="57" priority="44" stopIfTrue="1">
      <formula>AND($D$18=1,$K$9&lt;&gt;1)</formula>
    </cfRule>
    <cfRule type="expression" dxfId="56" priority="45" stopIfTrue="1">
      <formula>AND($D$18&lt;&gt;1,$K$17=1)</formula>
    </cfRule>
    <cfRule type="expression" dxfId="55" priority="46" stopIfTrue="1">
      <formula>AND($D$18&lt;&gt;1,$K$18=1)</formula>
    </cfRule>
  </conditionalFormatting>
  <conditionalFormatting sqref="K16">
    <cfRule type="expression" dxfId="54" priority="47" stopIfTrue="1">
      <formula>OR(AND($K$16=1,$D$16&lt;&gt;1),AND($K$16=1,$K$9&lt;&gt;1))</formula>
    </cfRule>
    <cfRule type="expression" dxfId="53" priority="48" stopIfTrue="1">
      <formula>OR(AND($K$16&lt;&gt;1,$D$25=1),AND($K$16&lt;&gt;1,$K$26=1))</formula>
    </cfRule>
    <cfRule type="expression" dxfId="52" priority="49" stopIfTrue="1">
      <formula>AND($K$16&lt;&gt;1,$K$18=1)</formula>
    </cfRule>
  </conditionalFormatting>
  <conditionalFormatting sqref="K17">
    <cfRule type="expression" dxfId="51" priority="50" stopIfTrue="1">
      <formula>AND($K$17=1,$D$18&lt;&gt;1)</formula>
    </cfRule>
    <cfRule type="expression" dxfId="50" priority="51" stopIfTrue="1">
      <formula>OR(AND($K$17&lt;&gt;1,$D$26=1),AND($K$17&lt;&gt;1,$K$26=1))</formula>
    </cfRule>
  </conditionalFormatting>
  <conditionalFormatting sqref="D25">
    <cfRule type="expression" dxfId="49" priority="52" stopIfTrue="1">
      <formula>AND($K$25=1,$D$25&lt;&gt;1)</formula>
    </cfRule>
    <cfRule type="expression" dxfId="48" priority="53" stopIfTrue="1">
      <formula>AND($D$25=1,$K$16&lt;&gt;1)</formula>
    </cfRule>
  </conditionalFormatting>
  <conditionalFormatting sqref="K18">
    <cfRule type="expression" dxfId="47" priority="54" stopIfTrue="1">
      <formula>OR(AND($K$18=1,$D$18&lt;&gt;1),AND($K$18=1,$K$16&lt;&gt;1))</formula>
    </cfRule>
    <cfRule type="expression" dxfId="46" priority="55" stopIfTrue="1">
      <formula>OR(AND($K$18&lt;&gt;1,$D$26=1),AND($K$18&lt;&gt;1,$K$26=1))</formula>
    </cfRule>
  </conditionalFormatting>
  <conditionalFormatting sqref="D26">
    <cfRule type="expression" dxfId="45" priority="56" stopIfTrue="1">
      <formula>OR(AND($D$26=1,$K$17&lt;&gt;1),AND($D$26=1,$K$18))</formula>
    </cfRule>
  </conditionalFormatting>
  <conditionalFormatting sqref="K10">
    <cfRule type="expression" dxfId="44" priority="57" stopIfTrue="1">
      <formula>AND($K$10=1,$D$9&lt;&gt;1)</formula>
    </cfRule>
    <cfRule type="expression" dxfId="43" priority="58" stopIfTrue="1">
      <formula>OR(AND($D$27=1,$K$10&lt;&gt;1),AND($D$17=1,$K$10&lt;&gt;1))</formula>
    </cfRule>
  </conditionalFormatting>
  <conditionalFormatting sqref="D27">
    <cfRule type="expression" dxfId="42" priority="59" stopIfTrue="1">
      <formula>AND($D$27&lt;&gt;1,$K$27=1)</formula>
    </cfRule>
    <cfRule type="expression" dxfId="41" priority="60" stopIfTrue="1">
      <formula>AND($D$27=1,$K$10&lt;&gt;1)</formula>
    </cfRule>
  </conditionalFormatting>
  <conditionalFormatting sqref="K25">
    <cfRule type="expression" dxfId="40" priority="61" stopIfTrue="1">
      <formula>AND($K$25=1,$D$25&lt;&gt;1)</formula>
    </cfRule>
  </conditionalFormatting>
  <conditionalFormatting sqref="H40">
    <cfRule type="expression" dxfId="39" priority="2" stopIfTrue="1">
      <formula>OR(AND($D$9&lt;&gt;1,$K$9=1),AND($D$9&lt;&gt;1,$K$10=1))</formula>
    </cfRule>
  </conditionalFormatting>
  <conditionalFormatting sqref="H41">
    <cfRule type="expression" dxfId="38" priority="1" stopIfTrue="1">
      <formula>OR(AND($D$9&lt;&gt;1,$K$9=1),AND($D$9&lt;&gt;1,$K$10=1))</formula>
    </cfRule>
  </conditionalFormatting>
  <dataValidations xWindow="995" yWindow="717" count="5">
    <dataValidation type="list" allowBlank="1" showInputMessage="1" showErrorMessage="1" sqref="I11">
      <formula1>$CB$8:$CB$156</formula1>
    </dataValidation>
    <dataValidation type="list" allowBlank="1" showInputMessage="1" showErrorMessage="1" sqref="B29">
      <formula1>$CJ$8:$CJ$57</formula1>
    </dataValidation>
    <dataValidation type="list" allowBlank="1" showInputMessage="1" showErrorMessage="1" sqref="I28">
      <formula1>$CE$8:$CE$35</formula1>
    </dataValidation>
    <dataValidation type="list" allowBlank="1" showInputMessage="1" showErrorMessage="1" promptTitle="Different Departments" prompt="Make sure to select social sciences from two different departments" sqref="B37">
      <formula1>$CO$8:$CO$155</formula1>
    </dataValidation>
    <dataValidation type="list" allowBlank="1" showInputMessage="1" showErrorMessage="1" promptTitle="Different departments" prompt="Make sure to select a social sciences from two different departments" sqref="I37">
      <formula1>$CO$8:$CO$155</formula1>
    </dataValidation>
  </dataValidations>
  <printOptions horizontalCentered="1" verticalCentered="1"/>
  <pageMargins left="0.5" right="0.5" top="0.1" bottom="0.1" header="0.5" footer="0.5"/>
  <pageSetup scale="74" orientation="portrait"/>
  <headerFooter>
    <oddHeader>&amp;L&amp;C&amp;R_x000D__x000D_</oddHeader>
    <oddFooter>&amp;L&amp;C&amp;R</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B1:AL53"/>
  <sheetViews>
    <sheetView workbookViewId="0"/>
  </sheetViews>
  <sheetFormatPr defaultColWidth="10.6640625" defaultRowHeight="15.6"/>
  <cols>
    <col min="1" max="1" width="10.6640625" style="6"/>
    <col min="2" max="2" width="18.109375" style="12" customWidth="1"/>
    <col min="3" max="3" width="5.6640625" style="12" customWidth="1"/>
    <col min="4" max="4" width="17.88671875" style="12" customWidth="1"/>
    <col min="5" max="5" width="5.6640625" style="12" customWidth="1"/>
    <col min="6" max="6" width="16.88671875" style="12" customWidth="1"/>
    <col min="7" max="7" width="5.6640625" style="12" customWidth="1"/>
    <col min="8" max="8" width="15.6640625" style="12" customWidth="1"/>
    <col min="9" max="9" width="5.6640625" style="12" customWidth="1"/>
    <col min="10" max="10" width="15.6640625" style="12" customWidth="1"/>
    <col min="11" max="11" width="5.6640625" style="12" customWidth="1"/>
    <col min="12" max="12" width="15.6640625" style="12" customWidth="1"/>
    <col min="13" max="13" width="5.6640625" style="12" customWidth="1"/>
    <col min="14" max="14" width="15.6640625" style="12" customWidth="1"/>
    <col min="15" max="15" width="27.5546875" style="12" customWidth="1"/>
    <col min="16" max="16" width="9.6640625" style="6" customWidth="1"/>
    <col min="17" max="17" width="15.6640625" style="6" customWidth="1"/>
    <col min="18" max="16384" width="10.6640625" style="6"/>
  </cols>
  <sheetData>
    <row r="1" spans="2:38" ht="25.8" customHeight="1"/>
    <row r="2" spans="2:38" ht="12" customHeight="1" thickBot="1"/>
    <row r="3" spans="2:38" ht="30" customHeight="1">
      <c r="H3" s="221" t="str">
        <f>CONCATENATE("BS in Civil Engineering",CHAR(10),"Class of 2012 Flowchart")</f>
        <v>BS in Civil Engineering
Class of 2012 Flowchart</v>
      </c>
      <c r="I3" s="222"/>
      <c r="J3" s="223"/>
      <c r="AA3" s="6" t="str">
        <f>'ME Curriculum'!A8</f>
        <v>GEN 1001</v>
      </c>
      <c r="AB3" s="6" t="str">
        <f>'ME Curriculum'!B8</f>
        <v>Intro. to Eng.</v>
      </c>
      <c r="AC3" s="6">
        <f>'ME Curriculum'!C8</f>
        <v>4</v>
      </c>
      <c r="AD3" s="6">
        <f>'ME Curriculum'!D8</f>
        <v>0</v>
      </c>
      <c r="AE3" s="13"/>
      <c r="AF3" s="13"/>
      <c r="AG3" s="13"/>
      <c r="AH3" s="6" t="str">
        <f>'ME Curriculum'!H8</f>
        <v>MTH 1505</v>
      </c>
      <c r="AI3" s="6" t="str">
        <f>'ME Curriculum'!I8</f>
        <v>Applied Statistics</v>
      </c>
      <c r="AJ3" s="6">
        <f>'ME Curriculum'!J8</f>
        <v>4</v>
      </c>
      <c r="AK3" s="6">
        <f>'ME Curriculum'!K8</f>
        <v>0</v>
      </c>
      <c r="AL3" s="13"/>
    </row>
    <row r="4" spans="2:38" ht="30" customHeight="1" thickBot="1">
      <c r="H4" s="224"/>
      <c r="I4" s="225"/>
      <c r="J4" s="226"/>
      <c r="N4" s="15" t="s">
        <v>217</v>
      </c>
      <c r="O4" s="16" t="str">
        <f>'ME Curriculum'!B4</f>
        <v xml:space="preserve"> </v>
      </c>
      <c r="AA4" s="6" t="str">
        <f>'ME Curriculum'!A9</f>
        <v>MTH 1217</v>
      </c>
      <c r="AB4" s="6" t="str">
        <f>'ME Curriculum'!B9</f>
        <v>Calculus I</v>
      </c>
      <c r="AC4" s="6">
        <f>'ME Curriculum'!C9</f>
        <v>4</v>
      </c>
      <c r="AD4" s="6">
        <f>'ME Curriculum'!D9</f>
        <v>0</v>
      </c>
      <c r="AE4" s="13"/>
      <c r="AF4" s="13"/>
      <c r="AG4" s="13"/>
      <c r="AH4" s="6" t="str">
        <f>'ME Curriculum'!H9</f>
        <v>MTH 1218</v>
      </c>
      <c r="AI4" s="6" t="str">
        <f>'ME Curriculum'!I9</f>
        <v>Calculus II</v>
      </c>
      <c r="AJ4" s="6">
        <f>'ME Curriculum'!J9</f>
        <v>4</v>
      </c>
      <c r="AK4" s="6">
        <f>'ME Curriculum'!K9</f>
        <v>0</v>
      </c>
      <c r="AL4" s="13"/>
    </row>
    <row r="5" spans="2:38" ht="30" customHeight="1">
      <c r="N5" s="15" t="s">
        <v>218</v>
      </c>
      <c r="O5" s="16" t="str">
        <f>'ME Curriculum'!D4</f>
        <v xml:space="preserve"> </v>
      </c>
      <c r="AA5" s="6" t="str">
        <f>'ME Curriculum'!A10</f>
        <v>PHL 1000</v>
      </c>
      <c r="AB5" s="6" t="str">
        <f>'ME Curriculum'!B10</f>
        <v>Intro to Philosophy</v>
      </c>
      <c r="AC5" s="6">
        <f>'ME Curriculum'!C10</f>
        <v>4</v>
      </c>
      <c r="AD5" s="6">
        <f>'ME Curriculum'!D10</f>
        <v>0</v>
      </c>
      <c r="AE5" s="13"/>
      <c r="AF5" s="13"/>
      <c r="AG5" s="13"/>
      <c r="AH5" s="6" t="str">
        <f>'ME Curriculum'!H10</f>
        <v>PHY 2211</v>
      </c>
      <c r="AI5" s="6" t="str">
        <f>'ME Curriculum'!I10</f>
        <v>Physics I</v>
      </c>
      <c r="AJ5" s="6">
        <f>'ME Curriculum'!J10</f>
        <v>4</v>
      </c>
      <c r="AK5" s="6">
        <f>'ME Curriculum'!K10</f>
        <v>0</v>
      </c>
      <c r="AL5" s="13"/>
    </row>
    <row r="6" spans="2:38" ht="30" customHeight="1">
      <c r="B6" s="14" t="str">
        <f>CONCATENATE('ME Curriculum'!A8,CHAR(10),'ME Curriculum'!B8)</f>
        <v>GEN 1001
Intro. to Eng.</v>
      </c>
      <c r="D6" s="14" t="str">
        <f>CONCATENATE('ME Curriculum'!A19,CHAR(10),'ME Curriculum'!B19)</f>
        <v>CSC 1610
Computer Science I</v>
      </c>
      <c r="N6" s="15" t="s">
        <v>219</v>
      </c>
      <c r="O6" s="16" t="str">
        <f>'ME Curriculum'!G4</f>
        <v xml:space="preserve"> </v>
      </c>
      <c r="AA6" s="6" t="str">
        <f>'ME Curriculum'!A11</f>
        <v>FYW 1050</v>
      </c>
      <c r="AB6" s="6" t="str">
        <f>'ME Curriculum'!B11</f>
        <v>College Writing</v>
      </c>
      <c r="AC6" s="6">
        <f>'ME Curriculum'!C11</f>
        <v>4</v>
      </c>
      <c r="AD6" s="6">
        <f>'ME Curriculum'!D11</f>
        <v>0</v>
      </c>
      <c r="AE6" s="13"/>
      <c r="AF6" s="13"/>
      <c r="AG6" s="13"/>
      <c r="AH6" s="6" t="str">
        <f>'ME Curriculum'!H11</f>
        <v>Arts &amp; Lit (AL)</v>
      </c>
      <c r="AI6" s="6" t="str">
        <f>'ME Curriculum'!I11</f>
        <v>Elective (course here)</v>
      </c>
      <c r="AJ6" s="6">
        <f>'ME Curriculum'!J11</f>
        <v>4</v>
      </c>
      <c r="AK6" s="6">
        <f>'ME Curriculum'!K11</f>
        <v>0</v>
      </c>
      <c r="AL6" s="13"/>
    </row>
    <row r="7" spans="2:38" ht="30" customHeight="1">
      <c r="N7" s="15" t="s">
        <v>220</v>
      </c>
      <c r="O7" s="16" t="str">
        <f>'ME Curriculum'!J4</f>
        <v xml:space="preserve"> </v>
      </c>
      <c r="AA7" s="13"/>
      <c r="AB7" s="13"/>
      <c r="AC7" s="13"/>
      <c r="AD7" s="13"/>
      <c r="AE7" s="13"/>
      <c r="AF7" s="13"/>
      <c r="AG7" s="13"/>
      <c r="AH7" s="13"/>
      <c r="AI7" s="13"/>
      <c r="AJ7" s="13"/>
      <c r="AK7" s="13"/>
      <c r="AL7" s="13"/>
    </row>
    <row r="8" spans="2:38" ht="44.25" customHeight="1">
      <c r="D8" s="14" t="str">
        <f>CONCATENATE('ME Curriculum'!H8,CHAR(10),'ME Curriculum'!I8)</f>
        <v>MTH 1505
Applied Statistics</v>
      </c>
      <c r="L8" s="14" t="str">
        <f>CONCATENATE('ME Curriculum'!H34," ",'ME Curriculum'!I34)</f>
        <v>MEN 4901 Des. Project</v>
      </c>
      <c r="AA8" s="13"/>
      <c r="AB8" s="13"/>
      <c r="AC8" s="13"/>
      <c r="AD8" s="13"/>
      <c r="AE8" s="13"/>
      <c r="AF8" s="13"/>
      <c r="AG8" s="13"/>
      <c r="AH8" s="13"/>
      <c r="AI8" s="13"/>
      <c r="AJ8" s="13"/>
      <c r="AK8" s="13"/>
      <c r="AL8" s="13"/>
    </row>
    <row r="9" spans="2:38" ht="25.8" customHeight="1">
      <c r="D9" s="17"/>
      <c r="J9" s="17"/>
      <c r="L9" s="17"/>
      <c r="AA9" s="13"/>
      <c r="AB9" s="13"/>
      <c r="AC9" s="13"/>
      <c r="AD9" s="13"/>
      <c r="AE9" s="13"/>
      <c r="AF9" s="13"/>
      <c r="AG9" s="13"/>
      <c r="AH9" s="13"/>
      <c r="AI9" s="13"/>
      <c r="AJ9" s="13"/>
      <c r="AK9" s="13"/>
      <c r="AL9" s="13"/>
    </row>
    <row r="10" spans="2:38" ht="43.8" customHeight="1">
      <c r="D10" s="17"/>
      <c r="H10" s="14" t="str">
        <f>CONCATENATE('ME Curriculum'!H17,CHAR(10),'ME Curriculum'!I17)</f>
        <v>MTH 2220
Diff. Equations</v>
      </c>
      <c r="J10" s="14" t="str">
        <f>CONCATENATE('ME Curriculum'!A26,CHAR(13),'ME Curriculum'!B26)</f>
        <v>MEN 3034_x000D_Heat and Mass Transfer</v>
      </c>
      <c r="L10" s="14" t="str">
        <f>CONCATENATE('ME Curriculum'!A34," ",'ME Curriculum'!B34)</f>
        <v>MEN Depth elective</v>
      </c>
      <c r="AA10" s="13"/>
      <c r="AB10" s="13"/>
      <c r="AC10" s="13"/>
      <c r="AD10" s="13"/>
      <c r="AE10" s="13"/>
      <c r="AF10" s="13"/>
      <c r="AG10" s="13"/>
      <c r="AH10" s="13"/>
      <c r="AI10" s="13"/>
      <c r="AJ10" s="13"/>
      <c r="AK10" s="13"/>
      <c r="AL10" s="13"/>
    </row>
    <row r="11" spans="2:38" ht="30" customHeight="1">
      <c r="S11" s="6" t="s">
        <v>184</v>
      </c>
      <c r="AA11" s="13"/>
      <c r="AB11" s="13"/>
      <c r="AC11" s="13"/>
      <c r="AD11" s="13"/>
      <c r="AE11" s="13"/>
      <c r="AF11" s="13"/>
      <c r="AG11" s="13"/>
      <c r="AH11" s="13"/>
      <c r="AI11" s="13"/>
      <c r="AJ11" s="13"/>
      <c r="AK11" s="13"/>
      <c r="AL11" s="13"/>
    </row>
    <row r="12" spans="2:38" ht="30" customHeight="1">
      <c r="B12" s="14" t="str">
        <f>CONCATENATE('ME Curriculum'!A9,CHAR(10),'ME Curriculum'!B9)</f>
        <v>MTH 1217
Calculus I</v>
      </c>
      <c r="D12" s="14" t="str">
        <f>CONCATENATE('ME Curriculum'!H9,CHAR(10),'ME Curriculum'!I9)</f>
        <v>MTH 1218
Calculus II</v>
      </c>
      <c r="F12" s="14" t="str">
        <f>CONCATENATE('ME Curriculum'!A18,CHAR(10),'ME Curriculum'!B18)</f>
        <v>MTH 2219
Calculus III</v>
      </c>
      <c r="J12" s="14" t="str">
        <f>CONCATENATE('ME Curriculum'!H18,CHAR(10),'ME Curriculum'!I18)</f>
        <v>GEN3040
Fluid Mech.</v>
      </c>
      <c r="S12" s="6">
        <v>1.63</v>
      </c>
      <c r="T12" s="6" t="s">
        <v>235</v>
      </c>
      <c r="AA12" s="13"/>
      <c r="AB12" s="13"/>
      <c r="AC12" s="13"/>
      <c r="AD12" s="13"/>
      <c r="AE12" s="13"/>
      <c r="AF12" s="6" t="str">
        <f>'ME Curriculum'!F15</f>
        <v>SOPHOMORE YEAR</v>
      </c>
      <c r="AH12" s="13"/>
      <c r="AI12" s="13"/>
      <c r="AJ12" s="13"/>
      <c r="AK12" s="13"/>
      <c r="AL12" s="13"/>
    </row>
    <row r="13" spans="2:38" ht="30" customHeight="1">
      <c r="R13" s="6">
        <v>19.79</v>
      </c>
      <c r="S13" s="6">
        <f>R13*S12</f>
        <v>32.2577</v>
      </c>
      <c r="T13" s="6">
        <v>36</v>
      </c>
      <c r="AA13" s="6" t="str">
        <f>'ME Curriculum'!A16</f>
        <v>GEN 2010</v>
      </c>
      <c r="AB13" s="6" t="str">
        <f>'ME Curriculum'!B16</f>
        <v>Mechanics I</v>
      </c>
      <c r="AC13" s="6">
        <f>'ME Curriculum'!C16</f>
        <v>4</v>
      </c>
      <c r="AD13" s="6">
        <f>'ME Curriculum'!D16</f>
        <v>0</v>
      </c>
      <c r="AE13" s="13"/>
      <c r="AF13" s="13"/>
      <c r="AG13" s="13"/>
      <c r="AH13" s="6" t="str">
        <f>'ME Curriculum'!H16</f>
        <v>GEN 2012</v>
      </c>
      <c r="AI13" s="6" t="str">
        <f>'ME Curriculum'!I16</f>
        <v>Mechanics II</v>
      </c>
      <c r="AJ13" s="6">
        <f>'ME Curriculum'!J16</f>
        <v>4</v>
      </c>
      <c r="AK13" s="6">
        <f>'ME Curriculum'!K16</f>
        <v>0</v>
      </c>
      <c r="AL13" s="13"/>
    </row>
    <row r="14" spans="2:38" ht="30" customHeight="1">
      <c r="B14" s="14" t="str">
        <f>CONCATENATE('ME Curriculum'!H19,CHAR(10),'ME Curriculum'!I19)</f>
        <v>CHM 1180
Engineering Chemistry</v>
      </c>
      <c r="J14" s="14" t="str">
        <f>CONCATENATE('ME Curriculum'!H26,CHAR(10),'ME Curriculum'!I26)</f>
        <v>MEN 3014
Dynamics / Vibrations</v>
      </c>
      <c r="L14" s="14" t="str">
        <f>CONCATENATE('ME Curriculum'!H35," ",'ME Curriculum'!I35)</f>
        <v>MEN Depth elective</v>
      </c>
      <c r="R14" s="6">
        <v>14.75</v>
      </c>
      <c r="S14" s="6">
        <f>R14*S12</f>
        <v>24.042499999999997</v>
      </c>
      <c r="T14" s="6">
        <v>24</v>
      </c>
      <c r="AA14" s="6" t="str">
        <f>'ME Curriculum'!A17</f>
        <v>PHY 2212</v>
      </c>
      <c r="AB14" s="6" t="str">
        <f>'ME Curriculum'!B17</f>
        <v>Physics II</v>
      </c>
      <c r="AC14" s="6">
        <f>'ME Curriculum'!C17</f>
        <v>4</v>
      </c>
      <c r="AD14" s="6">
        <f>'ME Curriculum'!D17</f>
        <v>0</v>
      </c>
      <c r="AE14" s="13"/>
      <c r="AF14" s="13"/>
      <c r="AG14" s="13"/>
      <c r="AH14" s="6" t="str">
        <f>'ME Curriculum'!H17</f>
        <v>MTH 2220</v>
      </c>
      <c r="AI14" s="6" t="str">
        <f>'ME Curriculum'!I17</f>
        <v>Diff. Equations</v>
      </c>
      <c r="AJ14" s="6">
        <f>'ME Curriculum'!J17</f>
        <v>4</v>
      </c>
      <c r="AK14" s="6">
        <f>'ME Curriculum'!K17</f>
        <v>0</v>
      </c>
      <c r="AL14" s="13"/>
    </row>
    <row r="15" spans="2:38" ht="30" customHeight="1">
      <c r="AA15" s="6" t="str">
        <f>'ME Curriculum'!A18</f>
        <v>MTH 2219</v>
      </c>
      <c r="AB15" s="6" t="str">
        <f>'ME Curriculum'!B18</f>
        <v>Calculus III</v>
      </c>
      <c r="AC15" s="6">
        <f>'ME Curriculum'!C18</f>
        <v>4</v>
      </c>
      <c r="AD15" s="6">
        <f>'ME Curriculum'!D18</f>
        <v>0</v>
      </c>
      <c r="AE15" s="13"/>
      <c r="AF15" s="13"/>
      <c r="AG15" s="13"/>
      <c r="AH15" s="6" t="str">
        <f>'ME Curriculum'!H18</f>
        <v>GEN3040</v>
      </c>
      <c r="AI15" s="6" t="str">
        <f>'ME Curriculum'!I18</f>
        <v>Fluid Mech.</v>
      </c>
      <c r="AJ15" s="6">
        <f>'ME Curriculum'!J18</f>
        <v>4</v>
      </c>
      <c r="AK15" s="6">
        <f>'ME Curriculum'!K18</f>
        <v>0</v>
      </c>
      <c r="AL15" s="13"/>
    </row>
    <row r="16" spans="2:38" ht="30" customHeight="1">
      <c r="B16" s="18" t="s">
        <v>221</v>
      </c>
      <c r="D16" s="14" t="str">
        <f>CONCATENATE('ME Curriculum'!H10,CHAR(10),'ME Curriculum'!I10)</f>
        <v>PHY 2211
Physics I</v>
      </c>
      <c r="F16" s="14" t="str">
        <f>CONCATENATE('ME Curriculum'!A17,CHAR(10),'ME Curriculum'!B17)</f>
        <v>PHY 2212
Physics II</v>
      </c>
      <c r="H16" s="14" t="str">
        <f>CONCATENATE('ME Curriculum'!H16,CHAR(10),'ME Curriculum'!I16)</f>
        <v>GEN 2012
Mechanics II</v>
      </c>
      <c r="J16" s="14" t="str">
        <f>CONCATENATE('ME Curriculum'!A25,CHAR(10),'ME Curriculum'!B25)</f>
        <v>MEN 3020
Materials Science</v>
      </c>
      <c r="L16" s="14" t="str">
        <f>CONCATENATE('ME Curriculum'!H38," ",'ME Curriculum'!I38)</f>
        <v>MEN Depth elective</v>
      </c>
      <c r="AA16" s="6" t="str">
        <f>'ME Curriculum'!A19</f>
        <v>CSC 1610</v>
      </c>
      <c r="AB16" s="6" t="str">
        <f>'ME Curriculum'!B19</f>
        <v>Computer Science I</v>
      </c>
      <c r="AC16" s="6">
        <f>'ME Curriculum'!C19</f>
        <v>4</v>
      </c>
      <c r="AD16" s="6">
        <f>'ME Curriculum'!D19</f>
        <v>0</v>
      </c>
      <c r="AE16" s="13"/>
      <c r="AF16" s="13"/>
      <c r="AG16" s="13"/>
      <c r="AH16" s="6" t="str">
        <f>'ME Curriculum'!H19</f>
        <v>CHM 1180</v>
      </c>
      <c r="AI16" s="6" t="str">
        <f>'ME Curriculum'!I19</f>
        <v>Engineering Chemistry</v>
      </c>
      <c r="AJ16" s="6">
        <f>'ME Curriculum'!J19</f>
        <v>4</v>
      </c>
      <c r="AK16" s="6">
        <f>'ME Curriculum'!K19</f>
        <v>0</v>
      </c>
      <c r="AL16" s="13"/>
    </row>
    <row r="17" spans="2:38" ht="30" customHeight="1">
      <c r="I17" s="17"/>
      <c r="J17" s="17"/>
      <c r="K17" s="17"/>
      <c r="AA17" s="13"/>
      <c r="AB17" s="13"/>
      <c r="AC17" s="13"/>
      <c r="AD17" s="13"/>
      <c r="AE17" s="13"/>
      <c r="AF17" s="13"/>
      <c r="AG17" s="13"/>
      <c r="AH17" s="13"/>
      <c r="AI17" s="13"/>
      <c r="AJ17" s="13"/>
      <c r="AK17" s="13"/>
      <c r="AL17" s="13"/>
    </row>
    <row r="18" spans="2:38" ht="30" customHeight="1">
      <c r="B18" s="14" t="str">
        <f>CONCATENATE('ME Curriculum'!A11,CHAR(10),'ME Curriculum'!B11)</f>
        <v>FYW 1050
College Writing</v>
      </c>
      <c r="F18" s="14" t="str">
        <f>CONCATENATE('ME Curriculum'!A16,CHAR(10),'ME Curriculum'!B16)</f>
        <v>GEN 2010
Mechanics I</v>
      </c>
      <c r="I18" s="17"/>
      <c r="J18" s="14" t="str">
        <f>CONCATENATE('ME Curriculum'!H25,CHAR(10),'ME Curriculum'!I25)</f>
        <v>MEN 3010
Machine Design</v>
      </c>
      <c r="K18" s="17"/>
      <c r="L18" s="14" t="str">
        <f>CONCATENATE('ME Curriculum'!A35," ",'ME Curriculum'!B35)</f>
        <v>MEN  Depth elective</v>
      </c>
      <c r="AA18" s="13"/>
      <c r="AB18" s="13"/>
      <c r="AC18" s="13"/>
      <c r="AD18" s="13"/>
      <c r="AE18" s="13"/>
      <c r="AF18" s="13"/>
      <c r="AG18" s="13"/>
      <c r="AH18" s="13"/>
      <c r="AI18" s="13"/>
      <c r="AJ18" s="13"/>
      <c r="AK18" s="13"/>
      <c r="AL18" s="13"/>
    </row>
    <row r="19" spans="2:38" ht="30" customHeight="1">
      <c r="I19" s="17"/>
      <c r="J19" s="17"/>
      <c r="K19" s="17"/>
      <c r="AA19" s="13"/>
      <c r="AB19" s="13"/>
      <c r="AC19" s="13"/>
      <c r="AD19" s="13"/>
      <c r="AE19" s="13"/>
      <c r="AF19" s="13"/>
      <c r="AG19" s="13"/>
      <c r="AH19" s="13"/>
      <c r="AI19" s="13"/>
      <c r="AJ19" s="13"/>
      <c r="AK19" s="13"/>
      <c r="AL19" s="13"/>
    </row>
    <row r="20" spans="2:38" ht="45.75" customHeight="1">
      <c r="B20" s="14" t="str">
        <f>CONCATENATE('ME Curriculum'!A28," ",'ME Curriculum'!B28)</f>
        <v>RTS 1100 Christianity in Context</v>
      </c>
      <c r="D20" s="19" t="str">
        <f>CONCATENATE('ME Curriculum'!H28," ",'ME Curriculum'!I28)</f>
        <v>Ethics (E) Elective (course here)</v>
      </c>
      <c r="F20" s="14" t="str">
        <f>CONCATENATE('ME Curriculum'!A27,CHAR(10),'ME Curriculum'!B27)</f>
        <v>MEN 3030
Thermodynamics I</v>
      </c>
      <c r="H20" s="14" t="str">
        <f>CONCATENATE('ME Curriculum'!H27,CHAR(10),'ME Curriculum'!I27)</f>
        <v>MEN 3032
Thermodynamics II</v>
      </c>
      <c r="J20" s="181" t="s">
        <v>223</v>
      </c>
      <c r="L20" s="14" t="str">
        <f>CONCATENATE('ME Curriculum'!H36,CHAR(10),'ME Curriculum'!I36)</f>
        <v>MEN 4900
Senior Seminar</v>
      </c>
      <c r="AA20" s="13"/>
      <c r="AB20" s="13"/>
      <c r="AC20" s="13"/>
      <c r="AD20" s="13"/>
      <c r="AE20" s="13"/>
      <c r="AF20" s="13"/>
      <c r="AG20" s="13"/>
      <c r="AH20" s="13"/>
      <c r="AI20" s="13"/>
      <c r="AJ20" s="13"/>
      <c r="AK20" s="13"/>
      <c r="AL20" s="13"/>
    </row>
    <row r="21" spans="2:38" ht="30" customHeight="1">
      <c r="K21"/>
      <c r="L21"/>
      <c r="M21"/>
      <c r="O21" s="159"/>
      <c r="AA21" s="13"/>
      <c r="AB21" s="13"/>
      <c r="AC21" s="13"/>
      <c r="AD21" s="13"/>
      <c r="AE21" s="13"/>
      <c r="AF21" s="6" t="str">
        <f>'ME Curriculum'!F24</f>
        <v>JUNIOR YEAR</v>
      </c>
      <c r="AG21" s="13"/>
      <c r="AH21" s="13"/>
      <c r="AI21" s="13"/>
      <c r="AJ21" s="13"/>
      <c r="AK21" s="13"/>
      <c r="AL21" s="13"/>
    </row>
    <row r="22" spans="2:38" ht="30" customHeight="1">
      <c r="B22" s="14" t="str">
        <f>CONCATENATE('ME Curriculum'!A10," ",'ME Curriculum'!B10)</f>
        <v>PHL 1000 Intro to Philosophy</v>
      </c>
      <c r="E22"/>
      <c r="F22"/>
      <c r="J22" s="14" t="str">
        <f>CONCATENATE('ME Curriculum'!H29," ",'ME Curriculum'!I29)</f>
        <v>MEN 3090 Professionalism &amp; Ethics</v>
      </c>
      <c r="K22"/>
      <c r="M22"/>
      <c r="AA22" s="6" t="str">
        <f>'ME Curriculum'!A25</f>
        <v>MEN 3020</v>
      </c>
      <c r="AB22" s="6" t="str">
        <f>'ME Curriculum'!B25</f>
        <v>Materials Science</v>
      </c>
      <c r="AC22" s="6">
        <f>'ME Curriculum'!C25</f>
        <v>4</v>
      </c>
      <c r="AD22" s="6">
        <f>'ME Curriculum'!D25</f>
        <v>0</v>
      </c>
      <c r="AE22" s="13"/>
      <c r="AF22" s="13"/>
      <c r="AG22" s="13"/>
      <c r="AH22" s="6" t="str">
        <f>'ME Curriculum'!H25</f>
        <v>MEN 3010</v>
      </c>
      <c r="AI22" s="6" t="str">
        <f>'ME Curriculum'!I25</f>
        <v>Machine Design</v>
      </c>
      <c r="AJ22" s="6">
        <f>'ME Curriculum'!J25</f>
        <v>4</v>
      </c>
      <c r="AK22" s="6">
        <f>'ME Curriculum'!K25</f>
        <v>0</v>
      </c>
      <c r="AL22" s="13"/>
    </row>
    <row r="23" spans="2:38" ht="30" customHeight="1">
      <c r="K23"/>
      <c r="L23"/>
      <c r="M23"/>
      <c r="AA23" s="6" t="str">
        <f>'ME Curriculum'!A26</f>
        <v>MEN 3034</v>
      </c>
      <c r="AB23" s="6" t="str">
        <f>'ME Curriculum'!B26</f>
        <v>Heat and Mass Transfer</v>
      </c>
      <c r="AC23" s="6">
        <f>'ME Curriculum'!C26</f>
        <v>4</v>
      </c>
      <c r="AD23" s="6">
        <f>'ME Curriculum'!D26</f>
        <v>0</v>
      </c>
      <c r="AE23" s="13"/>
      <c r="AF23" s="13"/>
      <c r="AG23" s="13"/>
      <c r="AH23" s="6" t="str">
        <f>'ME Curriculum'!H26</f>
        <v>MEN 3014</v>
      </c>
      <c r="AI23" s="6" t="str">
        <f>'ME Curriculum'!I26</f>
        <v>Dynamics / Vibrations</v>
      </c>
      <c r="AJ23" s="6">
        <f>'ME Curriculum'!J26</f>
        <v>4</v>
      </c>
      <c r="AK23" s="6">
        <f>'ME Curriculum'!K26</f>
        <v>0</v>
      </c>
      <c r="AL23" s="13"/>
    </row>
    <row r="24" spans="2:38" ht="30" customHeight="1" thickBot="1">
      <c r="B24" s="14" t="str">
        <f>CONCATENATE('ME Curriculum'!A37," ",'ME Curriculum'!B37)</f>
        <v>Soc. Science (SS) Elective (course here)</v>
      </c>
      <c r="I24" s="182"/>
      <c r="J24" s="18" t="s">
        <v>222</v>
      </c>
      <c r="K24" s="183"/>
      <c r="L24" s="14" t="str">
        <f>CONCATENATE('ME Curriculum'!A36," ",'ME Curriculum'!B36)</f>
        <v>Technical Elective (course here)</v>
      </c>
      <c r="AA24" s="6" t="str">
        <f>'ME Curriculum'!A27</f>
        <v>MEN 3030</v>
      </c>
      <c r="AB24" s="6" t="str">
        <f>'ME Curriculum'!B27</f>
        <v>Thermodynamics I</v>
      </c>
      <c r="AC24" s="6">
        <f>'ME Curriculum'!C27</f>
        <v>2</v>
      </c>
      <c r="AD24" s="6">
        <f>'ME Curriculum'!D27</f>
        <v>0</v>
      </c>
      <c r="AE24" s="13"/>
      <c r="AF24" s="13"/>
      <c r="AG24" s="13"/>
      <c r="AH24" s="6" t="str">
        <f>'ME Curriculum'!H27</f>
        <v>MEN 3032</v>
      </c>
      <c r="AI24" s="6" t="str">
        <f>'ME Curriculum'!I27</f>
        <v>Thermodynamics II</v>
      </c>
      <c r="AJ24" s="6">
        <f>'ME Curriculum'!J27</f>
        <v>2</v>
      </c>
      <c r="AK24" s="6">
        <f>'ME Curriculum'!K27</f>
        <v>0</v>
      </c>
      <c r="AL24" s="13"/>
    </row>
    <row r="25" spans="2:38" ht="30" customHeight="1">
      <c r="D25" s="20"/>
      <c r="E25" s="20"/>
      <c r="F25" s="21" t="s">
        <v>224</v>
      </c>
      <c r="I25" s="183"/>
      <c r="J25" s="183"/>
      <c r="K25" s="183"/>
      <c r="L25" s="183"/>
      <c r="AA25" s="6" t="str">
        <f>'ME Curriculum'!A28</f>
        <v>RTS 1100</v>
      </c>
      <c r="AB25" s="6" t="str">
        <f>'ME Curriculum'!B28</f>
        <v>Christianity in Context</v>
      </c>
      <c r="AC25" s="6">
        <f>'ME Curriculum'!C28</f>
        <v>4</v>
      </c>
      <c r="AD25" s="6">
        <f>'ME Curriculum'!D28</f>
        <v>0</v>
      </c>
      <c r="AE25" s="13"/>
      <c r="AF25" s="13"/>
      <c r="AG25" s="13"/>
      <c r="AH25" s="6" t="str">
        <f>'ME Curriculum'!H28</f>
        <v>Ethics (E)</v>
      </c>
      <c r="AI25" s="6" t="str">
        <f>'ME Curriculum'!I28</f>
        <v>Elective (course here)</v>
      </c>
      <c r="AJ25" s="6">
        <f>'ME Curriculum'!J28</f>
        <v>4</v>
      </c>
      <c r="AK25" s="6">
        <f>'ME Curriculum'!K28</f>
        <v>0</v>
      </c>
      <c r="AL25" s="13"/>
    </row>
    <row r="26" spans="2:38" ht="30" customHeight="1" thickBot="1">
      <c r="B26" s="14" t="str">
        <f>CONCATENATE('ME Curriculum'!H11," ",'ME Curriculum'!I11)</f>
        <v>Arts &amp; Lit (AL) Elective (course here)</v>
      </c>
      <c r="D26" s="20"/>
      <c r="E26" s="20"/>
      <c r="F26" s="227" t="str">
        <f>CONCATENATE("BSME",CHAR(10),"Pass FE Exam",CHAR(10),"Pass PE Exam")</f>
        <v>BSME
Pass FE Exam
Pass PE Exam</v>
      </c>
      <c r="J26" s="22" t="s">
        <v>225</v>
      </c>
      <c r="K26" s="23"/>
      <c r="L26" s="23"/>
      <c r="AA26" s="6" t="str">
        <f>'ME Curriculum'!A29</f>
        <v>Hist. Studies (H)</v>
      </c>
      <c r="AB26" s="6" t="str">
        <f>'ME Curriculum'!B29</f>
        <v>Elective (course here)</v>
      </c>
      <c r="AC26" s="6">
        <f>'ME Curriculum'!C29</f>
        <v>4</v>
      </c>
      <c r="AD26" s="6">
        <f>'ME Curriculum'!D29</f>
        <v>0</v>
      </c>
      <c r="AE26" s="13"/>
      <c r="AF26" s="13"/>
      <c r="AG26" s="13"/>
      <c r="AH26" s="6" t="str">
        <f>'ME Curriculum'!H29</f>
        <v>MEN 3090</v>
      </c>
      <c r="AI26" s="6" t="str">
        <f>'ME Curriculum'!I29</f>
        <v>Professionalism &amp; Ethics</v>
      </c>
      <c r="AJ26" s="6">
        <f>'ME Curriculum'!J29</f>
        <v>1</v>
      </c>
      <c r="AK26" s="6">
        <f>'ME Curriculum'!K29</f>
        <v>0</v>
      </c>
      <c r="AL26" s="13"/>
    </row>
    <row r="27" spans="2:38" ht="30" customHeight="1" thickBot="1">
      <c r="E27" s="20"/>
      <c r="F27" s="228"/>
      <c r="J27" s="24" t="s">
        <v>226</v>
      </c>
      <c r="K27" s="25"/>
      <c r="L27" s="23"/>
      <c r="AA27" s="13"/>
      <c r="AB27" s="13"/>
      <c r="AC27" s="13"/>
      <c r="AD27" s="13"/>
      <c r="AE27" s="13"/>
      <c r="AF27" s="13"/>
      <c r="AG27" s="13"/>
      <c r="AH27" s="13"/>
      <c r="AI27" s="13"/>
      <c r="AJ27" s="13"/>
      <c r="AK27" s="13"/>
      <c r="AL27" s="13"/>
    </row>
    <row r="28" spans="2:38" ht="30" customHeight="1" thickBot="1">
      <c r="B28" s="14" t="str">
        <f>CONCATENATE('ME Curriculum'!H37," ",'ME Curriculum'!I37)</f>
        <v>Soc. Science (SS) Elective (course here)</v>
      </c>
      <c r="H28" s="14" t="str">
        <f>'ME Curriculum'!F40</f>
        <v>TOOK FE EXAM</v>
      </c>
      <c r="J28" s="26" t="s">
        <v>227</v>
      </c>
      <c r="K28" s="27"/>
      <c r="L28" s="23"/>
      <c r="AA28" s="13"/>
      <c r="AB28" s="13"/>
      <c r="AC28" s="13"/>
      <c r="AD28" s="13"/>
      <c r="AE28" s="13"/>
      <c r="AF28" s="13"/>
      <c r="AG28" s="13"/>
      <c r="AH28" s="13"/>
      <c r="AI28" s="13"/>
      <c r="AJ28" s="13"/>
      <c r="AK28" s="13"/>
      <c r="AL28" s="13"/>
    </row>
    <row r="29" spans="2:38" ht="42" customHeight="1">
      <c r="H29" s="19" t="str">
        <f>'ME Curriculum'!F41</f>
        <v>DIVERSITY CRS.</v>
      </c>
      <c r="J29" s="23"/>
      <c r="K29" s="23"/>
      <c r="L29" s="23"/>
      <c r="AA29" s="13"/>
      <c r="AB29" s="13"/>
      <c r="AC29" s="13"/>
      <c r="AD29" s="13"/>
      <c r="AE29" s="13"/>
      <c r="AF29" s="13"/>
      <c r="AG29" s="13"/>
      <c r="AH29" s="13"/>
      <c r="AI29" s="13"/>
      <c r="AJ29" s="13"/>
      <c r="AK29" s="13"/>
      <c r="AL29" s="13"/>
    </row>
    <row r="30" spans="2:38" ht="21" customHeight="1">
      <c r="B30" s="14" t="str">
        <f>CONCATENATE('ME Curriculum'!A29," ",'ME Curriculum'!B29)</f>
        <v>Hist. Studies (H) Elective (course here)</v>
      </c>
      <c r="J30" s="23"/>
      <c r="K30" s="23"/>
      <c r="L30" s="23"/>
      <c r="AA30" s="13"/>
      <c r="AB30" s="13"/>
      <c r="AC30" s="13"/>
      <c r="AD30" s="13"/>
      <c r="AE30" s="13"/>
      <c r="AF30" s="6">
        <f>'ME Curriculum'!F32</f>
        <v>0</v>
      </c>
      <c r="AG30" s="13"/>
      <c r="AH30" s="13"/>
      <c r="AI30" s="13"/>
      <c r="AJ30" s="13"/>
      <c r="AK30" s="13"/>
      <c r="AL30" s="13"/>
    </row>
    <row r="31" spans="2:38" ht="52.8" customHeight="1">
      <c r="H31" s="229" t="s">
        <v>40</v>
      </c>
      <c r="I31" s="229"/>
      <c r="J31" s="229"/>
      <c r="K31" s="229"/>
      <c r="L31" s="229"/>
      <c r="M31" s="229"/>
      <c r="N31" s="229"/>
      <c r="O31" s="229"/>
      <c r="AA31" s="6">
        <f>'ME Curriculum'!A33</f>
        <v>0</v>
      </c>
      <c r="AB31" s="6">
        <f>'ME Curriculum'!B33</f>
        <v>0</v>
      </c>
      <c r="AC31" s="6">
        <f>'ME Curriculum'!C33</f>
        <v>0</v>
      </c>
      <c r="AD31" s="6">
        <f>'ME Curriculum'!D33</f>
        <v>0</v>
      </c>
      <c r="AE31" s="13"/>
      <c r="AF31" s="13"/>
      <c r="AG31" s="13"/>
      <c r="AH31" s="6">
        <f>'ME Curriculum'!H33</f>
        <v>0</v>
      </c>
      <c r="AI31" s="6">
        <f>'ME Curriculum'!I33</f>
        <v>0</v>
      </c>
      <c r="AJ31" s="6">
        <f>'ME Curriculum'!J33</f>
        <v>0</v>
      </c>
      <c r="AK31" s="6">
        <f>'ME Curriculum'!K33</f>
        <v>0</v>
      </c>
      <c r="AL31" s="13"/>
    </row>
    <row r="32" spans="2:38" ht="30" customHeight="1">
      <c r="AA32" s="6" t="str">
        <f>'ME Curriculum'!A34</f>
        <v>MEN</v>
      </c>
      <c r="AB32" s="6" t="str">
        <f>'ME Curriculum'!B34</f>
        <v>Depth elective</v>
      </c>
      <c r="AC32" s="6">
        <f>'ME Curriculum'!C34</f>
        <v>4</v>
      </c>
      <c r="AD32" s="6">
        <f>'ME Curriculum'!D34</f>
        <v>0</v>
      </c>
      <c r="AE32" s="13"/>
      <c r="AF32" s="13"/>
      <c r="AG32" s="13"/>
      <c r="AH32" s="6" t="str">
        <f>'ME Curriculum'!H34</f>
        <v>MEN 4901</v>
      </c>
      <c r="AI32" s="6" t="str">
        <f>'ME Curriculum'!I34</f>
        <v>Des. Project</v>
      </c>
      <c r="AJ32" s="6">
        <f>'ME Curriculum'!J34</f>
        <v>4</v>
      </c>
      <c r="AK32" s="6">
        <f>'ME Curriculum'!K34</f>
        <v>0</v>
      </c>
      <c r="AL32" s="13"/>
    </row>
    <row r="33" spans="27:38" ht="30" customHeight="1">
      <c r="AA33" s="6" t="str">
        <f>'ME Curriculum'!A35</f>
        <v xml:space="preserve">MEN </v>
      </c>
      <c r="AB33" s="6" t="str">
        <f>'ME Curriculum'!B35</f>
        <v>Depth elective</v>
      </c>
      <c r="AC33" s="6">
        <f>'ME Curriculum'!C35</f>
        <v>4</v>
      </c>
      <c r="AD33" s="6">
        <f>'ME Curriculum'!D35</f>
        <v>0</v>
      </c>
      <c r="AE33" s="13"/>
      <c r="AF33" s="13"/>
      <c r="AG33" s="13"/>
      <c r="AH33" s="6" t="str">
        <f>'ME Curriculum'!H35</f>
        <v>MEN</v>
      </c>
      <c r="AI33" s="6" t="str">
        <f>'ME Curriculum'!I35</f>
        <v>Depth elective</v>
      </c>
      <c r="AJ33" s="6">
        <f>'ME Curriculum'!J35</f>
        <v>4</v>
      </c>
      <c r="AK33" s="6">
        <f>'ME Curriculum'!K35</f>
        <v>0</v>
      </c>
      <c r="AL33" s="13"/>
    </row>
    <row r="34" spans="27:38" ht="30" customHeight="1">
      <c r="AA34" s="6" t="str">
        <f>'ME Curriculum'!A36</f>
        <v>Technical</v>
      </c>
      <c r="AB34" s="6" t="str">
        <f>'ME Curriculum'!B36</f>
        <v>Elective (course here)</v>
      </c>
      <c r="AC34" s="6">
        <f>'ME Curriculum'!C36</f>
        <v>4</v>
      </c>
      <c r="AD34" s="6">
        <f>'ME Curriculum'!D36</f>
        <v>0</v>
      </c>
      <c r="AE34" s="13"/>
      <c r="AF34" s="13"/>
      <c r="AG34" s="13"/>
      <c r="AH34" s="6" t="str">
        <f>'ME Curriculum'!H36</f>
        <v>MEN 4900</v>
      </c>
      <c r="AI34" s="6" t="str">
        <f>'ME Curriculum'!I36</f>
        <v>Senior Seminar</v>
      </c>
      <c r="AJ34" s="6">
        <f>'ME Curriculum'!J36</f>
        <v>1</v>
      </c>
      <c r="AK34" s="6">
        <f>'ME Curriculum'!K36</f>
        <v>0</v>
      </c>
      <c r="AL34" s="13"/>
    </row>
    <row r="35" spans="27:38" ht="30" customHeight="1">
      <c r="AA35" s="6" t="str">
        <f>'ME Curriculum'!A37</f>
        <v>Soc. Science (SS)</v>
      </c>
      <c r="AB35" s="6" t="str">
        <f>'ME Curriculum'!B37</f>
        <v>Elective (course here)</v>
      </c>
      <c r="AC35" s="6">
        <f>'ME Curriculum'!C37</f>
        <v>4</v>
      </c>
      <c r="AD35" s="6">
        <f>'ME Curriculum'!D37</f>
        <v>0</v>
      </c>
      <c r="AE35" s="13"/>
      <c r="AF35" s="13"/>
      <c r="AG35" s="13"/>
      <c r="AH35" s="6" t="str">
        <f>'ME Curriculum'!H37</f>
        <v>Soc. Science (SS)</v>
      </c>
      <c r="AI35" s="6" t="str">
        <f>'ME Curriculum'!I37</f>
        <v>Elective (course here)</v>
      </c>
      <c r="AJ35" s="6">
        <f>'ME Curriculum'!J37</f>
        <v>4</v>
      </c>
      <c r="AK35" s="6">
        <f>'ME Curriculum'!K37</f>
        <v>0</v>
      </c>
      <c r="AL35" s="13"/>
    </row>
    <row r="36" spans="27:38" ht="30" customHeight="1">
      <c r="AA36" s="13"/>
      <c r="AB36" s="13"/>
      <c r="AC36" s="13"/>
      <c r="AD36" s="13"/>
      <c r="AE36" s="13"/>
      <c r="AF36" s="13"/>
      <c r="AG36" s="13"/>
      <c r="AH36" s="6" t="str">
        <f>'ME Curriculum'!H38</f>
        <v>MEN</v>
      </c>
      <c r="AI36" s="6" t="str">
        <f>'ME Curriculum'!I38</f>
        <v>Depth elective</v>
      </c>
      <c r="AJ36" s="6">
        <f>'ME Curriculum'!J38</f>
        <v>4</v>
      </c>
      <c r="AK36" s="6">
        <f>'ME Curriculum'!K38</f>
        <v>0</v>
      </c>
      <c r="AL36" s="13"/>
    </row>
    <row r="37" spans="27:38" ht="30" customHeight="1">
      <c r="AA37" s="13"/>
      <c r="AB37" s="13"/>
      <c r="AC37" s="13"/>
      <c r="AD37" s="13"/>
      <c r="AE37" s="13"/>
      <c r="AF37" s="160" t="str">
        <f>'ME Curriculum'!F40</f>
        <v>TOOK FE EXAM</v>
      </c>
      <c r="AG37" s="6">
        <f>'ME Curriculum'!H40</f>
        <v>0</v>
      </c>
      <c r="AH37" s="13"/>
      <c r="AI37" s="13"/>
      <c r="AJ37" s="13"/>
      <c r="AK37" s="13"/>
      <c r="AL37" s="13"/>
    </row>
    <row r="38" spans="27:38" ht="30" customHeight="1">
      <c r="AE38" s="13"/>
      <c r="AF38" s="160" t="str">
        <f>'ME Curriculum'!F41</f>
        <v>DIVERSITY CRS.</v>
      </c>
      <c r="AG38" s="6">
        <f>'ME Curriculum'!H41</f>
        <v>0</v>
      </c>
    </row>
    <row r="39" spans="27:38" ht="30" customHeight="1"/>
    <row r="40" spans="27:38" ht="30" customHeight="1"/>
    <row r="41" spans="27:38" ht="30" customHeight="1"/>
    <row r="42" spans="27:38" ht="30" customHeight="1"/>
    <row r="43" spans="27:38" ht="30" customHeight="1"/>
    <row r="44" spans="27:38" ht="30" customHeight="1"/>
    <row r="45" spans="27:38" ht="30" customHeight="1"/>
    <row r="46" spans="27:38" ht="30" customHeight="1"/>
    <row r="47" spans="27:38" ht="30" customHeight="1"/>
    <row r="48" spans="27:38" ht="30" customHeight="1"/>
    <row r="49" ht="30" customHeight="1"/>
    <row r="50" ht="30" customHeight="1"/>
    <row r="51" ht="30" customHeight="1"/>
    <row r="52" ht="30" customHeight="1"/>
    <row r="53" ht="30" customHeight="1"/>
  </sheetData>
  <mergeCells count="3">
    <mergeCell ref="H3:J4"/>
    <mergeCell ref="F26:F27"/>
    <mergeCell ref="H31:O31"/>
  </mergeCells>
  <phoneticPr fontId="9" type="noConversion"/>
  <conditionalFormatting sqref="Y3">
    <cfRule type="expression" dxfId="37" priority="1" stopIfTrue="1">
      <formula>"not(isblank($AD$2)"</formula>
    </cfRule>
  </conditionalFormatting>
  <conditionalFormatting sqref="B6">
    <cfRule type="expression" dxfId="36" priority="2" stopIfTrue="1">
      <formula>$AD$3=1</formula>
    </cfRule>
  </conditionalFormatting>
  <conditionalFormatting sqref="D6">
    <cfRule type="expression" dxfId="35" priority="3" stopIfTrue="1">
      <formula>$AD$16</formula>
    </cfRule>
  </conditionalFormatting>
  <conditionalFormatting sqref="D8">
    <cfRule type="expression" dxfId="34" priority="4" stopIfTrue="1">
      <formula>$AK$3=1</formula>
    </cfRule>
  </conditionalFormatting>
  <conditionalFormatting sqref="B12">
    <cfRule type="expression" dxfId="33" priority="5" stopIfTrue="1">
      <formula>$AD$4=1</formula>
    </cfRule>
  </conditionalFormatting>
  <conditionalFormatting sqref="D12">
    <cfRule type="expression" dxfId="32" priority="6" stopIfTrue="1">
      <formula>$AK$4=1</formula>
    </cfRule>
  </conditionalFormatting>
  <conditionalFormatting sqref="B18">
    <cfRule type="expression" dxfId="31" priority="7" stopIfTrue="1">
      <formula>$AD$6=1</formula>
    </cfRule>
  </conditionalFormatting>
  <conditionalFormatting sqref="B20">
    <cfRule type="expression" dxfId="30" priority="8" stopIfTrue="1">
      <formula>$AD$25</formula>
    </cfRule>
  </conditionalFormatting>
  <conditionalFormatting sqref="B30">
    <cfRule type="expression" dxfId="29" priority="9" stopIfTrue="1">
      <formula>$AD$26=1</formula>
    </cfRule>
  </conditionalFormatting>
  <conditionalFormatting sqref="D20">
    <cfRule type="expression" dxfId="28" priority="10" stopIfTrue="1">
      <formula>$AK$25=1</formula>
    </cfRule>
  </conditionalFormatting>
  <conditionalFormatting sqref="F12">
    <cfRule type="expression" dxfId="27" priority="11" stopIfTrue="1">
      <formula>$AD$15=1</formula>
    </cfRule>
  </conditionalFormatting>
  <conditionalFormatting sqref="F18">
    <cfRule type="expression" dxfId="26" priority="12" stopIfTrue="1">
      <formula>$AD$13=1</formula>
    </cfRule>
  </conditionalFormatting>
  <conditionalFormatting sqref="F20">
    <cfRule type="expression" dxfId="25" priority="13" stopIfTrue="1">
      <formula>$AD$24</formula>
    </cfRule>
  </conditionalFormatting>
  <conditionalFormatting sqref="H10">
    <cfRule type="expression" dxfId="24" priority="14" stopIfTrue="1">
      <formula>$AK$14</formula>
    </cfRule>
  </conditionalFormatting>
  <conditionalFormatting sqref="H16">
    <cfRule type="expression" dxfId="23" priority="15" stopIfTrue="1">
      <formula>$AK$13=1</formula>
    </cfRule>
  </conditionalFormatting>
  <conditionalFormatting sqref="J18">
    <cfRule type="expression" dxfId="22" priority="16" stopIfTrue="1">
      <formula>$AK$22=1</formula>
    </cfRule>
  </conditionalFormatting>
  <conditionalFormatting sqref="J12">
    <cfRule type="expression" dxfId="21" priority="17" stopIfTrue="1">
      <formula>$AK$15</formula>
    </cfRule>
  </conditionalFormatting>
  <conditionalFormatting sqref="J14">
    <cfRule type="expression" dxfId="20" priority="18" stopIfTrue="1">
      <formula>$AK$23</formula>
    </cfRule>
  </conditionalFormatting>
  <conditionalFormatting sqref="J16">
    <cfRule type="expression" dxfId="19" priority="19" stopIfTrue="1">
      <formula>$AD$22=1</formula>
    </cfRule>
  </conditionalFormatting>
  <conditionalFormatting sqref="J10">
    <cfRule type="expression" dxfId="18" priority="20" stopIfTrue="1">
      <formula>$AD$23=1</formula>
    </cfRule>
  </conditionalFormatting>
  <conditionalFormatting sqref="H20">
    <cfRule type="expression" dxfId="17" priority="21" stopIfTrue="1">
      <formula>$AK$24=1</formula>
    </cfRule>
  </conditionalFormatting>
  <conditionalFormatting sqref="L8">
    <cfRule type="expression" dxfId="16" priority="22" stopIfTrue="1">
      <formula>$AK$32=1</formula>
    </cfRule>
  </conditionalFormatting>
  <conditionalFormatting sqref="L14">
    <cfRule type="expression" dxfId="15" priority="23" stopIfTrue="1">
      <formula>$AK$33=1</formula>
    </cfRule>
  </conditionalFormatting>
  <conditionalFormatting sqref="L10">
    <cfRule type="expression" dxfId="14" priority="24" stopIfTrue="1">
      <formula>$AD$32=1</formula>
    </cfRule>
  </conditionalFormatting>
  <conditionalFormatting sqref="L18">
    <cfRule type="expression" dxfId="13" priority="25" stopIfTrue="1">
      <formula>$AD$33=1</formula>
    </cfRule>
  </conditionalFormatting>
  <conditionalFormatting sqref="L20">
    <cfRule type="expression" dxfId="12" priority="26" stopIfTrue="1">
      <formula>$AK$34=1</formula>
    </cfRule>
  </conditionalFormatting>
  <conditionalFormatting sqref="H28">
    <cfRule type="expression" dxfId="11" priority="27" stopIfTrue="1">
      <formula>$AG$37=1</formula>
    </cfRule>
  </conditionalFormatting>
  <conditionalFormatting sqref="J22">
    <cfRule type="expression" dxfId="10" priority="28" stopIfTrue="1">
      <formula>$AK$26=1</formula>
    </cfRule>
  </conditionalFormatting>
  <conditionalFormatting sqref="B28">
    <cfRule type="expression" dxfId="9" priority="29" stopIfTrue="1">
      <formula>$AK$35</formula>
    </cfRule>
  </conditionalFormatting>
  <conditionalFormatting sqref="B26">
    <cfRule type="expression" dxfId="8" priority="30" stopIfTrue="1">
      <formula>$AK$6=1</formula>
    </cfRule>
  </conditionalFormatting>
  <conditionalFormatting sqref="B22">
    <cfRule type="expression" dxfId="7" priority="31" stopIfTrue="1">
      <formula>$AD$5=1</formula>
    </cfRule>
  </conditionalFormatting>
  <conditionalFormatting sqref="B14">
    <cfRule type="expression" dxfId="6" priority="32" stopIfTrue="1">
      <formula>$AK$16</formula>
    </cfRule>
  </conditionalFormatting>
  <conditionalFormatting sqref="F16">
    <cfRule type="expression" dxfId="5" priority="33" stopIfTrue="1">
      <formula>$AD$14</formula>
    </cfRule>
  </conditionalFormatting>
  <conditionalFormatting sqref="D16">
    <cfRule type="expression" dxfId="4" priority="34" stopIfTrue="1">
      <formula>$AK$5</formula>
    </cfRule>
  </conditionalFormatting>
  <conditionalFormatting sqref="H29">
    <cfRule type="expression" dxfId="3" priority="35" stopIfTrue="1">
      <formula>$AG$38=1</formula>
    </cfRule>
  </conditionalFormatting>
  <conditionalFormatting sqref="B24">
    <cfRule type="expression" dxfId="2" priority="36" stopIfTrue="1">
      <formula>$AD$35=1</formula>
    </cfRule>
  </conditionalFormatting>
  <conditionalFormatting sqref="L24">
    <cfRule type="expression" dxfId="1" priority="37" stopIfTrue="1">
      <formula>$AD$34=1</formula>
    </cfRule>
  </conditionalFormatting>
  <conditionalFormatting sqref="L16">
    <cfRule type="expression" dxfId="0" priority="38" stopIfTrue="1">
      <formula>$AK$36=1</formula>
    </cfRule>
  </conditionalFormatting>
  <printOptions horizontalCentered="1" verticalCentered="1"/>
  <pageMargins left="0.5" right="0.5" top="0.5" bottom="0.5" header="0.5" footer="0.5"/>
  <pageSetup paperSize="26" scale="53" fitToWidth="0" orientation="landscape" horizontalDpi="4294967292" verticalDpi="4294967292"/>
  <drawing r:id="rId1"/>
  <extLst>
    <ext xmlns:mx="http://schemas.microsoft.com/office/mac/excel/2008/main" uri="{64002731-A6B0-56B0-2670-7721B7C09600}">
      <mx:PLV Mode="0" OnePage="0" WScale="18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2:H26"/>
  <sheetViews>
    <sheetView workbookViewId="0"/>
  </sheetViews>
  <sheetFormatPr defaultColWidth="11.5546875" defaultRowHeight="13.2"/>
  <cols>
    <col min="1" max="1" width="22.33203125" customWidth="1"/>
    <col min="2" max="2" width="3.5546875" customWidth="1"/>
    <col min="3" max="3" width="3.33203125" customWidth="1"/>
    <col min="4" max="4" width="24.33203125" customWidth="1"/>
    <col min="5" max="5" width="7.33203125" customWidth="1"/>
  </cols>
  <sheetData>
    <row r="2" spans="1:6" ht="18">
      <c r="A2" s="161" t="s">
        <v>49</v>
      </c>
    </row>
    <row r="3" spans="1:6" ht="31.2">
      <c r="A3" s="162" t="s">
        <v>144</v>
      </c>
      <c r="B3" s="162" t="s">
        <v>145</v>
      </c>
      <c r="C3" s="162" t="s">
        <v>199</v>
      </c>
      <c r="D3" s="162" t="s">
        <v>200</v>
      </c>
      <c r="E3" s="162" t="s">
        <v>50</v>
      </c>
    </row>
    <row r="4" spans="1:6" ht="15.6">
      <c r="A4" s="163" t="str">
        <f>'ME Curriculum'!A11</f>
        <v>FYW 1050</v>
      </c>
      <c r="B4" s="163" t="str">
        <f>IF('ME Curriculum'!D11=1,"x"," ")</f>
        <v xml:space="preserve"> </v>
      </c>
      <c r="C4" s="163" t="str">
        <f>IF(B4=" ","x","")</f>
        <v>x</v>
      </c>
      <c r="D4" s="164"/>
      <c r="E4" s="163">
        <f>IF(B4="x",'ME Curriculum'!C11,0)</f>
        <v>0</v>
      </c>
    </row>
    <row r="5" spans="1:6" ht="15.6">
      <c r="A5" s="163" t="str">
        <f>'ME Curriculum'!A10</f>
        <v>PHL 1000</v>
      </c>
      <c r="B5" s="163" t="str">
        <f>IF('ME Curriculum'!D10=1,"x"," ")</f>
        <v xml:space="preserve"> </v>
      </c>
      <c r="C5" s="163" t="str">
        <f>IF(B5=" ","x","")</f>
        <v>x</v>
      </c>
      <c r="D5" s="164"/>
      <c r="E5" s="163">
        <f>IF(B5="x",'ME Curriculum'!C10,0)</f>
        <v>0</v>
      </c>
    </row>
    <row r="6" spans="1:6" ht="15.6">
      <c r="A6" s="163" t="str">
        <f>'ME Curriculum'!H28</f>
        <v>Ethics (E)</v>
      </c>
      <c r="B6" s="163" t="str">
        <f>IF('ME Curriculum'!K28=1,"x"," ")</f>
        <v xml:space="preserve"> </v>
      </c>
      <c r="C6" s="163" t="str">
        <f>IF(B6=" ","x","")</f>
        <v>x</v>
      </c>
      <c r="D6" s="163" t="str">
        <f>IF(B6="x",'ME Curriculum'!I28,"")</f>
        <v/>
      </c>
      <c r="E6" s="163">
        <f>IF(B6="x",'ME Curriculum'!J28,0)</f>
        <v>0</v>
      </c>
    </row>
    <row r="7" spans="1:6" ht="15.6">
      <c r="A7" s="165" t="s">
        <v>51</v>
      </c>
      <c r="B7" s="163" t="str">
        <f>IF('ME Curriculum'!D9=1,"x"," ")</f>
        <v xml:space="preserve"> </v>
      </c>
      <c r="C7" s="163" t="str">
        <f>IF(B7=" ","x","")</f>
        <v>x</v>
      </c>
      <c r="D7" s="163" t="str">
        <f>IF(B7="x",'ME Curriculum'!B9,"")</f>
        <v/>
      </c>
      <c r="E7" s="163">
        <f>IF(B7="x",'ME Curriculum'!C9,0)</f>
        <v>0</v>
      </c>
    </row>
    <row r="9" spans="1:6" ht="18.600000000000001" thickBot="1">
      <c r="A9" s="161" t="s">
        <v>52</v>
      </c>
    </row>
    <row r="10" spans="1:6" ht="31.8" thickBot="1">
      <c r="A10" s="105" t="s">
        <v>144</v>
      </c>
      <c r="B10" s="106" t="s">
        <v>145</v>
      </c>
      <c r="C10" s="106" t="s">
        <v>199</v>
      </c>
      <c r="D10" s="108" t="s">
        <v>200</v>
      </c>
      <c r="E10" s="106" t="s">
        <v>170</v>
      </c>
    </row>
    <row r="11" spans="1:6" ht="15.6">
      <c r="A11" t="str">
        <f>'ME Curriculum'!A28</f>
        <v>RTS 1100</v>
      </c>
      <c r="B11" s="163" t="str">
        <f>IF('ME Curriculum'!D28=1,"x"," ")</f>
        <v xml:space="preserve"> </v>
      </c>
      <c r="C11" s="163" t="str">
        <f t="shared" ref="C11:C16" si="0">IF(B11=" ","x","")</f>
        <v>x</v>
      </c>
      <c r="D11" s="166"/>
      <c r="E11" s="163">
        <f>IF(B11="x",'ME Curriculum'!C28,0)</f>
        <v>0</v>
      </c>
    </row>
    <row r="12" spans="1:6" ht="15.6">
      <c r="A12" s="163" t="str">
        <f>'ME Curriculum'!H11</f>
        <v>Arts &amp; Lit (AL)</v>
      </c>
      <c r="B12" s="163" t="str">
        <f>IF('ME Curriculum'!K11=1,"x"," ")</f>
        <v xml:space="preserve"> </v>
      </c>
      <c r="C12" s="163" t="str">
        <f t="shared" si="0"/>
        <v>x</v>
      </c>
      <c r="D12" s="163" t="str">
        <f>IF(B12="x",'ME Curriculum'!I11,"")</f>
        <v/>
      </c>
      <c r="E12" s="163">
        <f>IF(B12="x",'ME Curriculum'!J11,0)</f>
        <v>0</v>
      </c>
      <c r="F12" s="104"/>
    </row>
    <row r="13" spans="1:6" ht="15.6">
      <c r="A13" t="s">
        <v>53</v>
      </c>
      <c r="B13" s="163" t="str">
        <f>IF('ME Curriculum'!K9=1,"x"," ")</f>
        <v xml:space="preserve"> </v>
      </c>
      <c r="C13" s="163" t="str">
        <f t="shared" si="0"/>
        <v>x</v>
      </c>
      <c r="D13" s="163" t="str">
        <f>IF(B13="x",'ME Curriculum'!I9,"")</f>
        <v/>
      </c>
      <c r="E13" s="163">
        <f>IF(B13="x",'ME Curriculum'!J9,0)</f>
        <v>0</v>
      </c>
    </row>
    <row r="14" spans="1:6" ht="15.6">
      <c r="A14" t="str">
        <f>'ME Curriculum'!A29</f>
        <v>Hist. Studies (H)</v>
      </c>
      <c r="B14" s="163" t="str">
        <f>IF('ME Curriculum'!D29=1,"x"," ")</f>
        <v xml:space="preserve"> </v>
      </c>
      <c r="C14" s="163" t="str">
        <f t="shared" si="0"/>
        <v>x</v>
      </c>
      <c r="D14" s="163" t="str">
        <f>IF(B14="x",'ME Curriculum'!B29,"")</f>
        <v/>
      </c>
      <c r="E14" s="163">
        <f>IF(B14="x",'ME Curriculum'!C29,0)</f>
        <v>0</v>
      </c>
    </row>
    <row r="15" spans="1:6" ht="15.6">
      <c r="A15" t="str">
        <f>'ME Curriculum'!A37</f>
        <v>Soc. Science (SS)</v>
      </c>
      <c r="B15" s="163" t="str">
        <f>IF('ME Curriculum'!D37=1,"x"," ")</f>
        <v xml:space="preserve"> </v>
      </c>
      <c r="C15" s="163" t="str">
        <f t="shared" si="0"/>
        <v>x</v>
      </c>
      <c r="D15" s="163" t="str">
        <f>IF(B15="x",'ME Curriculum'!B36,"")</f>
        <v/>
      </c>
      <c r="E15" s="163">
        <f>IF(B15="x",'ME Curriculum'!C37,0)</f>
        <v>0</v>
      </c>
    </row>
    <row r="16" spans="1:6" ht="15.6">
      <c r="A16" t="str">
        <f>'ME Curriculum'!H37</f>
        <v>Soc. Science (SS)</v>
      </c>
      <c r="B16" s="163" t="str">
        <f>IF('ME Curriculum'!K37=1,"x"," ")</f>
        <v xml:space="preserve"> </v>
      </c>
      <c r="C16" s="163" t="str">
        <f t="shared" si="0"/>
        <v>x</v>
      </c>
      <c r="D16" s="163" t="str">
        <f>IF(B16="x",'ME Curriculum'!I37,"")</f>
        <v/>
      </c>
      <c r="E16" s="163">
        <f>IF(B16="x",'ME Curriculum'!J37,0)</f>
        <v>0</v>
      </c>
    </row>
    <row r="17" spans="1:8">
      <c r="H17" s="86"/>
    </row>
    <row r="18" spans="1:8" ht="15.6">
      <c r="A18" t="s">
        <v>54</v>
      </c>
      <c r="B18" s="163" t="str">
        <f>IF('ME Curriculum'!H40=1,"x"," ")</f>
        <v xml:space="preserve"> </v>
      </c>
      <c r="C18" s="163" t="str">
        <f>IF(B18=" ","x","")</f>
        <v>x</v>
      </c>
      <c r="D18" s="163" t="str">
        <f>IF('ME Curriculum'!I40=1,"x"," ")</f>
        <v xml:space="preserve"> </v>
      </c>
    </row>
    <row r="19" spans="1:8" ht="15.6">
      <c r="A19" t="s">
        <v>55</v>
      </c>
      <c r="B19" s="163" t="str">
        <f>IF('ME Curriculum'!H39=1,"x"," ")</f>
        <v xml:space="preserve"> </v>
      </c>
      <c r="C19" s="163" t="str">
        <f>IF(B19=" ","x","")</f>
        <v>x</v>
      </c>
      <c r="D19" s="166"/>
    </row>
    <row r="20" spans="1:8" ht="15.6">
      <c r="A20" t="s">
        <v>56</v>
      </c>
      <c r="B20" s="163" t="str">
        <f>IF('ME Curriculum'!D8=1,"x"," ")</f>
        <v xml:space="preserve"> </v>
      </c>
      <c r="C20" s="163" t="str">
        <f>IF(B20=" ","x","")</f>
        <v>x</v>
      </c>
      <c r="D20" s="163" t="str">
        <f>IF(B20="x",'ME Curriculum'!B8,"")</f>
        <v/>
      </c>
    </row>
    <row r="21" spans="1:8" ht="15.6">
      <c r="A21" t="s">
        <v>57</v>
      </c>
      <c r="B21" s="163" t="str">
        <f>IF('ME Curriculum'!K33=1,"x"," ")</f>
        <v xml:space="preserve"> </v>
      </c>
      <c r="C21" s="163" t="str">
        <f>IF(B21=" ","x","")</f>
        <v>x</v>
      </c>
      <c r="D21" s="163" t="str">
        <f>IF(B21="x",'ME Curriculum'!I33,"")</f>
        <v/>
      </c>
    </row>
    <row r="24" spans="1:8">
      <c r="A24" t="s">
        <v>58</v>
      </c>
    </row>
    <row r="25" spans="1:8">
      <c r="A25" t="s">
        <v>59</v>
      </c>
    </row>
    <row r="26" spans="1:8">
      <c r="A26" t="s">
        <v>60</v>
      </c>
    </row>
  </sheetData>
  <phoneticPr fontId="9" type="noConversion"/>
  <pageMargins left="0.75" right="0.75" top="1" bottom="1" header="0.5" footer="0.5"/>
  <pageSetup scale="68" orientation="landscape" horizontalDpi="4294967292" verticalDpi="4294967292"/>
  <extLst>
    <ext xmlns:mx="http://schemas.microsoft.com/office/mac/excel/2008/main" uri="{64002731-A6B0-56B0-2670-7721B7C09600}">
      <mx:PLV Mode="0" OnePage="0" WScale="10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E102"/>
  <sheetViews>
    <sheetView topLeftCell="D57" workbookViewId="0">
      <selection activeCell="O15" sqref="O15"/>
    </sheetView>
  </sheetViews>
  <sheetFormatPr defaultColWidth="11.5546875" defaultRowHeight="13.2"/>
  <cols>
    <col min="2" max="2" width="20.109375" customWidth="1"/>
    <col min="3" max="3" width="12.33203125" customWidth="1"/>
    <col min="7" max="7" width="25.88671875" customWidth="1"/>
    <col min="14" max="14" width="16.109375" customWidth="1"/>
    <col min="22" max="22" width="15.109375" customWidth="1"/>
  </cols>
  <sheetData>
    <row r="2" spans="2:7" ht="18" thickBot="1">
      <c r="B2" s="110" t="s">
        <v>61</v>
      </c>
    </row>
    <row r="3" spans="2:7" ht="16.2" thickBot="1">
      <c r="B3" s="149" t="s">
        <v>153</v>
      </c>
      <c r="C3" s="253" t="s">
        <v>154</v>
      </c>
      <c r="D3" s="254"/>
      <c r="E3" s="255"/>
    </row>
    <row r="4" spans="2:7" ht="15.6">
      <c r="B4" s="156" t="s">
        <v>155</v>
      </c>
      <c r="C4" s="155" t="s">
        <v>156</v>
      </c>
      <c r="D4" s="155" t="s">
        <v>157</v>
      </c>
      <c r="E4" s="155"/>
    </row>
    <row r="5" spans="2:7" ht="31.8" thickBot="1">
      <c r="B5" s="111"/>
      <c r="C5" s="112" t="s">
        <v>144</v>
      </c>
      <c r="D5" s="112" t="s">
        <v>158</v>
      </c>
      <c r="E5" s="112" t="s">
        <v>62</v>
      </c>
      <c r="F5" s="167" t="s">
        <v>63</v>
      </c>
    </row>
    <row r="6" spans="2:7" ht="47.4" thickBot="1">
      <c r="B6" s="113" t="s">
        <v>159</v>
      </c>
      <c r="C6" s="112" t="s">
        <v>160</v>
      </c>
      <c r="D6" s="112">
        <v>32</v>
      </c>
      <c r="E6" s="112">
        <f>H56</f>
        <v>35</v>
      </c>
      <c r="F6">
        <f>I56</f>
        <v>0</v>
      </c>
    </row>
    <row r="7" spans="2:7" ht="31.8" thickBot="1">
      <c r="B7" s="113" t="s">
        <v>161</v>
      </c>
      <c r="C7" s="112" t="s">
        <v>241</v>
      </c>
      <c r="D7" s="112">
        <f>32*1.5</f>
        <v>48</v>
      </c>
      <c r="E7" s="112">
        <f>H74</f>
        <v>4</v>
      </c>
      <c r="F7">
        <f>I74</f>
        <v>0</v>
      </c>
    </row>
    <row r="8" spans="2:7" ht="31.8" thickBot="1">
      <c r="B8" s="113" t="s">
        <v>242</v>
      </c>
      <c r="C8" s="112" t="s">
        <v>250</v>
      </c>
      <c r="D8" s="112">
        <v>44</v>
      </c>
      <c r="E8" s="112" t="e">
        <f>#REF!</f>
        <v>#REF!</v>
      </c>
      <c r="F8" t="e">
        <f>#REF!</f>
        <v>#REF!</v>
      </c>
      <c r="G8" t="s">
        <v>42</v>
      </c>
    </row>
    <row r="9" spans="2:7" ht="30" customHeight="1" thickBot="1">
      <c r="B9" s="249" t="s">
        <v>168</v>
      </c>
      <c r="C9" s="256"/>
      <c r="D9" s="256"/>
      <c r="E9" s="250"/>
    </row>
    <row r="10" spans="2:7" ht="16.2" thickBot="1">
      <c r="B10" s="107"/>
      <c r="C10" s="109"/>
      <c r="D10" s="109"/>
      <c r="E10" s="109"/>
    </row>
    <row r="11" spans="2:7" ht="16.2" thickBot="1">
      <c r="B11" s="107"/>
      <c r="C11" s="109"/>
      <c r="D11" s="109"/>
      <c r="E11" s="109"/>
    </row>
    <row r="12" spans="2:7" ht="16.2" thickBot="1">
      <c r="B12" s="107"/>
      <c r="C12" s="109"/>
      <c r="D12" s="109"/>
      <c r="E12" s="109"/>
    </row>
    <row r="13" spans="2:7" ht="16.2" thickBot="1">
      <c r="B13" s="107"/>
      <c r="C13" s="109"/>
      <c r="D13" s="109"/>
      <c r="E13" s="109"/>
    </row>
    <row r="14" spans="2:7" ht="16.2" thickBot="1">
      <c r="B14" s="107"/>
      <c r="C14" s="109"/>
      <c r="D14" s="109"/>
      <c r="E14" s="109"/>
    </row>
    <row r="16" spans="2:7">
      <c r="B16" t="s">
        <v>41</v>
      </c>
      <c r="C16" t="e">
        <f t="array" ref="C16">SUMPRODUCT(I59:I73,J59:J73)/I74</f>
        <v>#DIV/0!</v>
      </c>
      <c r="D16" t="e">
        <f>VLOOKUP(C16,L32:M43,2)</f>
        <v>#DIV/0!</v>
      </c>
    </row>
    <row r="17" spans="2:13">
      <c r="B17" t="s">
        <v>64</v>
      </c>
      <c r="C17" t="e">
        <f t="array" ref="C17">(SUMPRODUCT(I44:I54,J44:J54)+SUMPRODUCT(I59:I73,J59:J73)+SUMPRODUCT(I41:I79,J41:J79)+SUMPRODUCT(I41:I97,J41:J97)+I70*J70)/(I56+I74+#REF!+I70)</f>
        <v>#REF!</v>
      </c>
      <c r="D17" t="e">
        <f>VLOOKUP(C17,L33:M44,2)</f>
        <v>#REF!</v>
      </c>
    </row>
    <row r="18" spans="2:13">
      <c r="B18" t="s">
        <v>66</v>
      </c>
      <c r="C18" t="e">
        <f t="array" ref="C18">(SUMPRODUCT(I44:I48,J44:J48)+SUMPRODUCT(I50:I54,J50:J54))/I56</f>
        <v>#DIV/0!</v>
      </c>
      <c r="D18" t="e">
        <f>VLOOKUP(C18,L34:M45,2)</f>
        <v>#DIV/0!</v>
      </c>
      <c r="K18" s="168" t="s">
        <v>71</v>
      </c>
      <c r="L18">
        <v>4</v>
      </c>
    </row>
    <row r="19" spans="2:13">
      <c r="B19" t="s">
        <v>72</v>
      </c>
      <c r="C19" t="e">
        <f t="array" ref="C19">(SUMPRODUCT(I41:I79,J41:J79)+SUMPRODUCT(I41:I97,J41:J97))/#REF!</f>
        <v>#REF!</v>
      </c>
      <c r="D19" t="e">
        <f>VLOOKUP(C19,L35:M46,2)</f>
        <v>#REF!</v>
      </c>
      <c r="K19" s="168" t="s">
        <v>73</v>
      </c>
      <c r="L19">
        <v>3.7</v>
      </c>
    </row>
    <row r="20" spans="2:13">
      <c r="K20" s="168" t="s">
        <v>74</v>
      </c>
      <c r="L20">
        <v>3</v>
      </c>
    </row>
    <row r="21" spans="2:13">
      <c r="K21" s="168" t="s">
        <v>75</v>
      </c>
      <c r="L21">
        <v>2.7</v>
      </c>
    </row>
    <row r="22" spans="2:13">
      <c r="K22" s="168" t="s">
        <v>76</v>
      </c>
      <c r="L22">
        <v>3.3</v>
      </c>
    </row>
    <row r="23" spans="2:13">
      <c r="K23" s="168" t="s">
        <v>77</v>
      </c>
      <c r="L23">
        <v>2</v>
      </c>
    </row>
    <row r="24" spans="2:13">
      <c r="K24" s="168" t="s">
        <v>78</v>
      </c>
      <c r="L24">
        <v>1.7</v>
      </c>
    </row>
    <row r="25" spans="2:13">
      <c r="K25" s="168" t="s">
        <v>80</v>
      </c>
      <c r="L25">
        <v>2.2999999999999998</v>
      </c>
    </row>
    <row r="26" spans="2:13">
      <c r="K26" s="168" t="s">
        <v>81</v>
      </c>
      <c r="L26">
        <v>1</v>
      </c>
    </row>
    <row r="27" spans="2:13">
      <c r="K27" s="168" t="s">
        <v>82</v>
      </c>
      <c r="L27">
        <v>0.7</v>
      </c>
    </row>
    <row r="28" spans="2:13">
      <c r="K28" s="168" t="s">
        <v>83</v>
      </c>
      <c r="L28">
        <v>1.3</v>
      </c>
    </row>
    <row r="29" spans="2:13">
      <c r="K29" s="168" t="s">
        <v>84</v>
      </c>
      <c r="L29">
        <v>0</v>
      </c>
    </row>
    <row r="32" spans="2:13">
      <c r="L32">
        <v>0</v>
      </c>
      <c r="M32" s="168" t="s">
        <v>6</v>
      </c>
    </row>
    <row r="33" spans="7:31">
      <c r="L33">
        <v>1.3</v>
      </c>
      <c r="M33" s="168" t="s">
        <v>7</v>
      </c>
    </row>
    <row r="34" spans="7:31">
      <c r="L34">
        <v>0.7</v>
      </c>
      <c r="M34" s="168" t="s">
        <v>9</v>
      </c>
    </row>
    <row r="35" spans="7:31">
      <c r="L35">
        <v>1</v>
      </c>
      <c r="M35" s="168" t="s">
        <v>10</v>
      </c>
    </row>
    <row r="36" spans="7:31">
      <c r="L36">
        <v>2.2999999999999998</v>
      </c>
      <c r="M36" s="168" t="s">
        <v>79</v>
      </c>
      <c r="V36" t="s">
        <v>11</v>
      </c>
      <c r="AC36" s="139"/>
      <c r="AD36" s="139"/>
      <c r="AE36" s="139"/>
    </row>
    <row r="37" spans="7:31" ht="13.8" thickBot="1">
      <c r="L37">
        <v>1.7</v>
      </c>
      <c r="M37" s="168" t="s">
        <v>12</v>
      </c>
      <c r="AC37" s="139"/>
      <c r="AD37" s="139"/>
      <c r="AE37" s="139"/>
    </row>
    <row r="38" spans="7:31" ht="16.8" thickTop="1" thickBot="1">
      <c r="L38">
        <v>2</v>
      </c>
      <c r="M38" s="168" t="s">
        <v>13</v>
      </c>
      <c r="V38" s="117" t="s">
        <v>134</v>
      </c>
      <c r="W38" s="257"/>
      <c r="X38" s="258"/>
      <c r="Y38" s="259" t="s">
        <v>137</v>
      </c>
      <c r="Z38" s="260"/>
      <c r="AA38" s="260"/>
      <c r="AB38" s="260"/>
      <c r="AC38" s="169"/>
      <c r="AD38" s="170"/>
      <c r="AE38" s="139"/>
    </row>
    <row r="39" spans="7:31" ht="15.6">
      <c r="L39">
        <v>3.3</v>
      </c>
      <c r="M39" s="168" t="s">
        <v>14</v>
      </c>
      <c r="V39" s="118" t="s">
        <v>135</v>
      </c>
      <c r="W39" s="261"/>
      <c r="X39" s="262"/>
      <c r="Y39" s="263" t="s">
        <v>138</v>
      </c>
      <c r="Z39" s="263" t="s">
        <v>28</v>
      </c>
      <c r="AA39" s="263" t="s">
        <v>242</v>
      </c>
      <c r="AB39" s="171" t="s">
        <v>139</v>
      </c>
      <c r="AC39" s="118"/>
      <c r="AD39" s="147"/>
      <c r="AE39" s="139"/>
    </row>
    <row r="40" spans="7:31" ht="15.6">
      <c r="L40">
        <v>2.7</v>
      </c>
      <c r="M40" s="168" t="s">
        <v>29</v>
      </c>
      <c r="V40" s="118" t="s">
        <v>136</v>
      </c>
      <c r="W40" s="261" t="s">
        <v>140</v>
      </c>
      <c r="X40" s="262"/>
      <c r="Y40" s="264"/>
      <c r="Z40" s="266"/>
      <c r="AA40" s="264"/>
      <c r="AB40" s="261"/>
      <c r="AC40" s="118"/>
      <c r="AD40" s="172"/>
      <c r="AE40" s="139"/>
    </row>
    <row r="41" spans="7:31" ht="52.8" customHeight="1" thickBot="1">
      <c r="G41" s="6" t="s">
        <v>169</v>
      </c>
      <c r="L41">
        <v>3</v>
      </c>
      <c r="M41" s="168" t="s">
        <v>30</v>
      </c>
      <c r="V41" s="146"/>
      <c r="W41" s="268" t="s">
        <v>141</v>
      </c>
      <c r="X41" s="269"/>
      <c r="Y41" s="265"/>
      <c r="Z41" s="267"/>
      <c r="AA41" s="265"/>
      <c r="AB41" s="268"/>
      <c r="AC41" s="146"/>
      <c r="AD41" s="172"/>
      <c r="AE41" s="139"/>
    </row>
    <row r="42" spans="7:31" ht="16.8" thickTop="1" thickBot="1">
      <c r="H42" s="196" t="s">
        <v>170</v>
      </c>
      <c r="I42" s="196" t="s">
        <v>65</v>
      </c>
      <c r="J42" s="6"/>
      <c r="L42">
        <v>3.7</v>
      </c>
      <c r="M42" s="168" t="s">
        <v>31</v>
      </c>
      <c r="V42" s="129" t="s">
        <v>32</v>
      </c>
      <c r="W42" s="251" t="str">
        <f>G59</f>
        <v>GEN 1001 Intro. to Eng.</v>
      </c>
      <c r="X42" s="252"/>
      <c r="Y42" s="154"/>
      <c r="Z42" s="153">
        <f>H59</f>
        <v>4</v>
      </c>
      <c r="AA42" s="153"/>
      <c r="AB42" s="153"/>
      <c r="AC42" s="151"/>
      <c r="AD42" s="147"/>
      <c r="AE42" s="139"/>
    </row>
    <row r="43" spans="7:31" ht="16.2" thickBot="1">
      <c r="G43" s="197" t="s">
        <v>67</v>
      </c>
      <c r="H43" s="196" t="s">
        <v>68</v>
      </c>
      <c r="I43" s="196" t="s">
        <v>69</v>
      </c>
      <c r="J43" s="196"/>
      <c r="L43">
        <v>4</v>
      </c>
      <c r="M43" s="168" t="s">
        <v>70</v>
      </c>
      <c r="V43" s="130" t="s">
        <v>32</v>
      </c>
      <c r="W43" s="249" t="str">
        <f>G44</f>
        <v>MTH 1217 Calculus I</v>
      </c>
      <c r="X43" s="250"/>
      <c r="Y43" s="171">
        <f>H44</f>
        <v>4</v>
      </c>
      <c r="Z43" s="171"/>
      <c r="AA43" s="171"/>
      <c r="AB43" s="171"/>
      <c r="AC43" s="146"/>
      <c r="AD43" s="172"/>
      <c r="AE43" s="139"/>
    </row>
    <row r="44" spans="7:31" ht="16.2" thickBot="1">
      <c r="G44" s="198" t="str">
        <f>CONCATENATE('ME Curriculum'!A9," ",'ME Curriculum'!B9)</f>
        <v>MTH 1217 Calculus I</v>
      </c>
      <c r="H44" s="198">
        <f>'ME Curriculum'!C9</f>
        <v>4</v>
      </c>
      <c r="I44" s="199">
        <f>IF('ME Curriculum'!D9=1,H44,0)</f>
        <v>0</v>
      </c>
      <c r="J44" s="198">
        <f>IFERROR(VLOOKUP('ME Curriculum'!E9,K18:L29,2),0.001)</f>
        <v>1E-3</v>
      </c>
      <c r="V44" s="130" t="s">
        <v>32</v>
      </c>
      <c r="W44" s="249" t="str">
        <f>G68</f>
        <v>MEN 3090 Professionalism &amp; Ethics</v>
      </c>
      <c r="X44" s="250"/>
      <c r="Y44" s="171">
        <f>H68</f>
        <v>1</v>
      </c>
      <c r="Z44" s="171"/>
      <c r="AA44" s="171"/>
      <c r="AB44" s="171"/>
      <c r="AC44" s="146"/>
      <c r="AD44" s="172"/>
      <c r="AE44" s="139"/>
    </row>
    <row r="45" spans="7:31" ht="16.2" thickBot="1">
      <c r="G45" s="198" t="str">
        <f>CONCATENATE('ME Curriculum'!H9," ",'ME Curriculum'!I9)</f>
        <v>MTH 1218 Calculus II</v>
      </c>
      <c r="H45" s="198">
        <f>'ME Curriculum'!J9</f>
        <v>4</v>
      </c>
      <c r="I45" s="199">
        <f>IF('ME Curriculum'!K9=1,H45,0)</f>
        <v>0</v>
      </c>
      <c r="J45" s="198">
        <f>IFERROR(VLOOKUP('ME Curriculum'!L9,K18:L29,2),0.001)</f>
        <v>1E-3</v>
      </c>
      <c r="V45" s="130" t="s">
        <v>32</v>
      </c>
      <c r="W45" s="249" t="str">
        <f>G78</f>
        <v>FYW 1050 College Writing</v>
      </c>
      <c r="X45" s="250"/>
      <c r="Y45" s="171"/>
      <c r="Z45" s="171"/>
      <c r="AA45" s="171">
        <f>H78</f>
        <v>4</v>
      </c>
      <c r="AB45" s="128"/>
      <c r="AC45" s="146"/>
      <c r="AD45" s="172"/>
    </row>
    <row r="46" spans="7:31" ht="31.8" thickBot="1">
      <c r="G46" s="198" t="str">
        <f>CONCATENATE('ME Curriculum'!A18," ",'ME Curriculum'!B18)</f>
        <v>MTH 2219 Calculus III</v>
      </c>
      <c r="H46" s="198">
        <f>'ME Curriculum'!C18</f>
        <v>4</v>
      </c>
      <c r="I46" s="199">
        <f>IF('ME Curriculum'!D18=1,H46,0)</f>
        <v>0</v>
      </c>
      <c r="J46" s="198">
        <f>IFERROR(VLOOKUP('ME Curriculum'!E18,K18:L29,2),0.001)</f>
        <v>1E-3</v>
      </c>
      <c r="V46" s="130" t="s">
        <v>33</v>
      </c>
      <c r="W46" s="249" t="str">
        <f>G48</f>
        <v>MTH 1505 Applied Statistics</v>
      </c>
      <c r="X46" s="250"/>
      <c r="Y46" s="171">
        <f>H48</f>
        <v>4</v>
      </c>
      <c r="Z46" s="171"/>
      <c r="AA46" s="171"/>
      <c r="AB46" s="128"/>
      <c r="AC46" s="146"/>
      <c r="AD46" s="172"/>
    </row>
    <row r="47" spans="7:31" ht="31.8" thickBot="1">
      <c r="G47" s="198" t="str">
        <f>CONCATENATE('ME Curriculum'!H17," ",'ME Curriculum'!I17)</f>
        <v>MTH 2220 Diff. Equations</v>
      </c>
      <c r="H47" s="198">
        <f>'ME Curriculum'!J17</f>
        <v>4</v>
      </c>
      <c r="I47" s="199">
        <f>IF('ME Curriculum'!K17=1,H47,0)</f>
        <v>0</v>
      </c>
      <c r="J47" s="198">
        <f>IFERROR(VLOOKUP('ME Curriculum'!L17,K18:L29,2),0.001)</f>
        <v>1E-3</v>
      </c>
      <c r="V47" s="130" t="s">
        <v>100</v>
      </c>
      <c r="W47" s="249" t="str">
        <f>G45</f>
        <v>MTH 1218 Calculus II</v>
      </c>
      <c r="X47" s="250"/>
      <c r="Y47" s="171">
        <f>H45</f>
        <v>4</v>
      </c>
      <c r="Z47" s="171"/>
      <c r="AA47" s="171"/>
      <c r="AB47" s="128"/>
      <c r="AC47" s="146"/>
      <c r="AD47" s="172"/>
    </row>
    <row r="48" spans="7:31" ht="31.8" thickBot="1">
      <c r="G48" s="198" t="str">
        <f>CONCATENATE('ME Curriculum'!H8," ",'ME Curriculum'!I8)</f>
        <v>MTH 1505 Applied Statistics</v>
      </c>
      <c r="H48" s="198">
        <f>'ME Curriculum'!J8</f>
        <v>4</v>
      </c>
      <c r="I48" s="199">
        <f>IF('ME Curriculum'!K8=1,H48,0)</f>
        <v>0</v>
      </c>
      <c r="J48" s="198">
        <f>IFERROR(VLOOKUP('ME Curriculum'!L8,K18:L29,2),0.001)</f>
        <v>1E-3</v>
      </c>
      <c r="V48" s="130" t="s">
        <v>100</v>
      </c>
      <c r="W48" s="249" t="str">
        <f>G51</f>
        <v>PHY 2211 Physics I</v>
      </c>
      <c r="X48" s="250"/>
      <c r="Y48" s="171">
        <f>H51</f>
        <v>4</v>
      </c>
      <c r="Z48" s="171"/>
      <c r="AA48" s="171"/>
      <c r="AB48" s="128"/>
      <c r="AC48" s="146"/>
      <c r="AD48" s="172"/>
    </row>
    <row r="49" spans="7:30" ht="32.4" thickBot="1">
      <c r="G49" s="200" t="s">
        <v>267</v>
      </c>
      <c r="H49" s="201">
        <f>SUM(H44:H48)</f>
        <v>20</v>
      </c>
      <c r="I49" s="201">
        <f>SUM(I44:I48)</f>
        <v>0</v>
      </c>
      <c r="J49" s="198"/>
      <c r="V49" s="130" t="s">
        <v>100</v>
      </c>
      <c r="W49" s="235" t="str">
        <f>G86</f>
        <v>Arts &amp; Lit (AL) Elective (course here)</v>
      </c>
      <c r="X49" s="232"/>
      <c r="Y49" s="121"/>
      <c r="Z49" s="121"/>
      <c r="AA49" s="121">
        <f>H86</f>
        <v>4</v>
      </c>
      <c r="AB49" s="173"/>
      <c r="AC49" s="146"/>
      <c r="AD49" s="172"/>
    </row>
    <row r="50" spans="7:30" ht="31.8" thickBot="1">
      <c r="G50" s="198" t="str">
        <f>CONCATENATE('ME Curriculum'!A19," ",'ME Curriculum'!B19)</f>
        <v>CSC 1610 Computer Science I</v>
      </c>
      <c r="H50" s="198">
        <f>'ME Curriculum'!C19</f>
        <v>4</v>
      </c>
      <c r="I50" s="199">
        <f>IF('ME Curriculum'!D19=1,H50,0)</f>
        <v>0</v>
      </c>
      <c r="J50" s="198">
        <f>IFERROR(VLOOKUP('ME Curriculum'!E19,K18:L29,2),0.001)</f>
        <v>1E-3</v>
      </c>
      <c r="V50" s="131" t="s">
        <v>101</v>
      </c>
      <c r="W50" s="235" t="str">
        <f>G60</f>
        <v>GEN 2010 Mechanics I</v>
      </c>
      <c r="X50" s="232"/>
      <c r="Y50" s="121"/>
      <c r="Z50" s="121">
        <f>H60</f>
        <v>4</v>
      </c>
      <c r="AA50" s="121"/>
      <c r="AB50" s="173"/>
      <c r="AC50" s="146"/>
      <c r="AD50" s="172"/>
    </row>
    <row r="51" spans="7:30" ht="31.8" thickBot="1">
      <c r="G51" s="198" t="str">
        <f>CONCATENATE('ME Curriculum'!H10," ",'ME Curriculum'!I10)</f>
        <v>PHY 2211 Physics I</v>
      </c>
      <c r="H51" s="198">
        <f>'ME Curriculum'!J10</f>
        <v>4</v>
      </c>
      <c r="I51" s="199">
        <f>IF('ME Curriculum'!K10=1,H51,0)</f>
        <v>0</v>
      </c>
      <c r="J51" s="198">
        <f>IFERROR(VLOOKUP('ME Curriculum'!L10,K18:L29,2),0.001)</f>
        <v>1E-3</v>
      </c>
      <c r="V51" s="131" t="s">
        <v>101</v>
      </c>
      <c r="W51" s="235" t="str">
        <f>G52</f>
        <v>PHY 2212 Physics II</v>
      </c>
      <c r="X51" s="232"/>
      <c r="Y51" s="121">
        <f>H52</f>
        <v>4</v>
      </c>
      <c r="Z51" s="121"/>
      <c r="AA51" s="121"/>
      <c r="AB51" s="173"/>
      <c r="AC51" s="146"/>
      <c r="AD51" s="172"/>
    </row>
    <row r="52" spans="7:30" ht="31.8" thickBot="1">
      <c r="G52" s="198" t="str">
        <f>CONCATENATE('ME Curriculum'!A17," ",'ME Curriculum'!B17)</f>
        <v>PHY 2212 Physics II</v>
      </c>
      <c r="H52" s="198">
        <f>'ME Curriculum'!C17</f>
        <v>4</v>
      </c>
      <c r="I52" s="199">
        <f>IF('ME Curriculum'!D17=1,H52,0)</f>
        <v>0</v>
      </c>
      <c r="J52" s="198">
        <f>IFERROR(VLOOKUP('ME Curriculum'!E17,K18:L29,2),0.001)</f>
        <v>1E-3</v>
      </c>
      <c r="V52" s="131" t="s">
        <v>101</v>
      </c>
      <c r="W52" s="235" t="str">
        <f>G46</f>
        <v>MTH 2219 Calculus III</v>
      </c>
      <c r="X52" s="232"/>
      <c r="Y52" s="121">
        <f>H46</f>
        <v>4</v>
      </c>
      <c r="Z52" s="121"/>
      <c r="AA52" s="121"/>
      <c r="AB52" s="173"/>
      <c r="AC52" s="146"/>
      <c r="AD52" s="172"/>
    </row>
    <row r="53" spans="7:30" ht="31.8" thickBot="1">
      <c r="G53" s="198" t="str">
        <f>CONCATENATE('ME Curriculum'!H19," ",'ME Curriculum'!I19)</f>
        <v>CHM 1180 Engineering Chemistry</v>
      </c>
      <c r="H53" s="198">
        <f>'ME Curriculum'!J19</f>
        <v>4</v>
      </c>
      <c r="I53" s="199">
        <f>IF('ME Curriculum'!K19=1,H53,0)</f>
        <v>0</v>
      </c>
      <c r="J53" s="198">
        <f>IFERROR(VLOOKUP('ME Curriculum'!L19,K18:L29,2),0.001)</f>
        <v>1E-3</v>
      </c>
      <c r="V53" s="131" t="s">
        <v>101</v>
      </c>
      <c r="W53" s="235" t="str">
        <f>G50</f>
        <v>CSC 1610 Computer Science I</v>
      </c>
      <c r="X53" s="232"/>
      <c r="Y53" s="121"/>
      <c r="Z53" s="121">
        <f>H50</f>
        <v>4</v>
      </c>
      <c r="AA53" s="121"/>
      <c r="AB53" s="173"/>
      <c r="AC53" s="146"/>
      <c r="AD53" s="172" t="s">
        <v>34</v>
      </c>
    </row>
    <row r="54" spans="7:30" ht="31.8" thickBot="1">
      <c r="G54" s="198" t="str">
        <f>CONCATENATE('ME Curriculum'!A27," ",'ME Curriculum'!B27)</f>
        <v>MEN 3030 Thermodynamics I</v>
      </c>
      <c r="H54" s="198">
        <f>'ME Curriculum'!C27</f>
        <v>2</v>
      </c>
      <c r="I54" s="199">
        <f>IF('ME Curriculum'!D27=1,H54,0)</f>
        <v>0</v>
      </c>
      <c r="J54" s="198">
        <f>IFERROR(VLOOKUP('ME Curriculum'!E27,K18:L29,2),0.001)</f>
        <v>1E-3</v>
      </c>
      <c r="V54" s="131" t="s">
        <v>120</v>
      </c>
      <c r="W54" s="235" t="str">
        <f>G61</f>
        <v>GEN 2012 Mechanics II</v>
      </c>
      <c r="X54" s="232"/>
      <c r="Y54" s="121"/>
      <c r="Z54" s="121">
        <f>H61</f>
        <v>4</v>
      </c>
      <c r="AA54" s="121"/>
      <c r="AB54" s="173"/>
      <c r="AC54" s="147"/>
      <c r="AD54" s="148"/>
    </row>
    <row r="55" spans="7:30" ht="31.8" thickBot="1">
      <c r="G55" s="200" t="s">
        <v>268</v>
      </c>
      <c r="H55" s="201">
        <f>H68+H51+H52+H53+H54</f>
        <v>15</v>
      </c>
      <c r="I55" s="201">
        <f>I68+I51+I52+I53+I54</f>
        <v>0</v>
      </c>
      <c r="J55" s="202"/>
      <c r="V55" s="131" t="s">
        <v>120</v>
      </c>
      <c r="W55" s="235" t="str">
        <f>G47</f>
        <v>MTH 2220 Diff. Equations</v>
      </c>
      <c r="X55" s="232"/>
      <c r="Y55" s="121">
        <f>H47</f>
        <v>4</v>
      </c>
      <c r="Z55" s="121"/>
      <c r="AA55" s="121"/>
      <c r="AB55" s="173"/>
      <c r="AC55" s="147"/>
      <c r="AD55" s="148"/>
    </row>
    <row r="56" spans="7:30" ht="31.8" thickBot="1">
      <c r="G56" s="200" t="s">
        <v>269</v>
      </c>
      <c r="H56" s="201">
        <f>H49+H55</f>
        <v>35</v>
      </c>
      <c r="I56" s="201">
        <f>I49+I55</f>
        <v>0</v>
      </c>
      <c r="J56" s="201"/>
      <c r="V56" s="131" t="s">
        <v>120</v>
      </c>
      <c r="W56" s="235" t="str">
        <f>G62</f>
        <v>GEN3040 Fluid Mech.</v>
      </c>
      <c r="X56" s="248"/>
      <c r="Y56" s="121"/>
      <c r="Z56" s="121">
        <f>H62</f>
        <v>4</v>
      </c>
      <c r="AA56" s="121"/>
      <c r="AB56" s="173"/>
      <c r="AC56" s="147"/>
      <c r="AD56" s="148"/>
    </row>
    <row r="57" spans="7:30" ht="16.05" customHeight="1" thickBot="1">
      <c r="G57" s="200"/>
      <c r="H57" s="201"/>
      <c r="I57" s="201"/>
      <c r="J57" s="201"/>
      <c r="V57" s="131" t="s">
        <v>120</v>
      </c>
      <c r="W57" s="235" t="str">
        <f>G53</f>
        <v>CHM 1180 Engineering Chemistry</v>
      </c>
      <c r="X57" s="248"/>
      <c r="Y57" s="121">
        <f>H53</f>
        <v>4</v>
      </c>
      <c r="Z57" s="121"/>
      <c r="AA57" s="121"/>
      <c r="AB57" s="173"/>
      <c r="AC57" s="147"/>
      <c r="AD57" s="148"/>
    </row>
    <row r="58" spans="7:30" ht="16.05" customHeight="1" thickBot="1">
      <c r="G58" s="197" t="s">
        <v>8</v>
      </c>
      <c r="H58" s="6"/>
      <c r="I58" s="6"/>
      <c r="J58" s="6"/>
      <c r="V58" s="131" t="s">
        <v>121</v>
      </c>
      <c r="W58" s="235" t="str">
        <f>G63</f>
        <v>MEN 3020 Materials Science</v>
      </c>
      <c r="X58" s="248"/>
      <c r="Y58" s="121"/>
      <c r="Z58" s="121">
        <f>H63</f>
        <v>4</v>
      </c>
      <c r="AA58" s="121"/>
      <c r="AB58" s="173"/>
      <c r="AC58" s="147"/>
      <c r="AD58" s="148"/>
    </row>
    <row r="59" spans="7:30" ht="16.2" thickBot="1">
      <c r="G59" s="198" t="str">
        <f>CONCATENATE('ME Curriculum'!A8," ",'ME Curriculum'!B8)</f>
        <v>GEN 1001 Intro. to Eng.</v>
      </c>
      <c r="H59" s="198">
        <f>'ME Curriculum'!C8</f>
        <v>4</v>
      </c>
      <c r="I59" s="198">
        <f>IF('ME Curriculum'!D8=1,H59,0)</f>
        <v>0</v>
      </c>
      <c r="J59" s="198">
        <f>IFERROR(VLOOKUP('ME Curriculum'!E8,K18:L29,2),0.001)</f>
        <v>1E-3</v>
      </c>
      <c r="V59" s="131" t="s">
        <v>121</v>
      </c>
      <c r="W59" s="235" t="str">
        <f>G64</f>
        <v>MEN 3034 Heat and Mass Transfer</v>
      </c>
      <c r="X59" s="248"/>
      <c r="Y59" s="121"/>
      <c r="Z59" s="121">
        <f>H64</f>
        <v>4</v>
      </c>
      <c r="AA59" s="121"/>
      <c r="AB59" s="173"/>
      <c r="AC59" s="147"/>
      <c r="AD59" s="148"/>
    </row>
    <row r="60" spans="7:30" ht="16.05" customHeight="1" thickBot="1">
      <c r="G60" s="198" t="str">
        <f>CONCATENATE('ME Curriculum'!A16," ",'ME Curriculum'!B16)</f>
        <v>GEN 2010 Mechanics I</v>
      </c>
      <c r="H60" s="198">
        <f>'ME Curriculum'!C16</f>
        <v>4</v>
      </c>
      <c r="I60" s="198">
        <f>IF('ME Curriculum'!D16=1,H60,0)</f>
        <v>0</v>
      </c>
      <c r="J60" s="198">
        <f>IFERROR(VLOOKUP('ME Curriculum'!E16,K18:L29,2),0.001)</f>
        <v>1E-3</v>
      </c>
      <c r="V60" s="131" t="s">
        <v>121</v>
      </c>
      <c r="W60" s="235" t="str">
        <f>G54</f>
        <v>MEN 3030 Thermodynamics I</v>
      </c>
      <c r="X60" s="248"/>
      <c r="Y60" s="121">
        <f>H54</f>
        <v>2</v>
      </c>
      <c r="Z60" s="121"/>
      <c r="AA60" s="121"/>
      <c r="AB60" s="173"/>
      <c r="AC60" s="147"/>
      <c r="AD60" s="148"/>
    </row>
    <row r="61" spans="7:30" ht="16.2" thickBot="1">
      <c r="G61" s="198" t="str">
        <f>CONCATENATE('ME Curriculum'!H16," ",'ME Curriculum'!I16)</f>
        <v>GEN 2012 Mechanics II</v>
      </c>
      <c r="H61" s="198">
        <f>'ME Curriculum'!J16</f>
        <v>4</v>
      </c>
      <c r="I61" s="198">
        <f>IF('ME Curriculum'!K16=1,H61,0)</f>
        <v>0</v>
      </c>
      <c r="J61" s="198">
        <f>IFERROR(VLOOKUP('ME Curriculum'!L16,K18:L29,2),0.001)</f>
        <v>1E-3</v>
      </c>
      <c r="V61" s="131" t="s">
        <v>121</v>
      </c>
      <c r="W61" s="235" t="str">
        <f>G85</f>
        <v>RTS 1100 Christianity in Context</v>
      </c>
      <c r="X61" s="248"/>
      <c r="Y61" s="121"/>
      <c r="Z61" s="121"/>
      <c r="AA61" s="121">
        <f>H85</f>
        <v>4</v>
      </c>
      <c r="AB61" s="173"/>
      <c r="AC61" s="147"/>
      <c r="AD61" s="148"/>
    </row>
    <row r="62" spans="7:30" ht="16.2" thickBot="1">
      <c r="G62" s="198" t="str">
        <f>CONCATENATE('ME Curriculum'!H18," ",'ME Curriculum'!I18)</f>
        <v>GEN3040 Fluid Mech.</v>
      </c>
      <c r="H62" s="198">
        <f>'ME Curriculum'!J18</f>
        <v>4</v>
      </c>
      <c r="I62" s="198">
        <f>IF('ME Curriculum'!K18=1,H62,0)</f>
        <v>0</v>
      </c>
      <c r="J62" s="198">
        <f>IFERROR(VLOOKUP('ME Curriculum'!L18,K18:L29,2),0.001)</f>
        <v>1E-3</v>
      </c>
      <c r="V62" s="131" t="s">
        <v>121</v>
      </c>
      <c r="W62" s="235" t="str">
        <f>G89</f>
        <v>Soc. Science (SS) Elective (course here)</v>
      </c>
      <c r="X62" s="248"/>
      <c r="Y62" s="121"/>
      <c r="Z62" s="121"/>
      <c r="AA62" s="121">
        <f>H89</f>
        <v>4</v>
      </c>
      <c r="AB62" s="173"/>
      <c r="AC62" s="147"/>
      <c r="AD62" s="148"/>
    </row>
    <row r="63" spans="7:30" ht="16.2" thickBot="1">
      <c r="G63" s="198" t="str">
        <f>CONCATENATE('ME Curriculum'!A25," ",'ME Curriculum'!B25)</f>
        <v>MEN 3020 Materials Science</v>
      </c>
      <c r="H63" s="198">
        <f>'ME Curriculum'!C25</f>
        <v>4</v>
      </c>
      <c r="I63" s="198">
        <f>IF('ME Curriculum'!D25=1,H63,0)</f>
        <v>0</v>
      </c>
      <c r="J63" s="198">
        <f>IFERROR(VLOOKUP('ME Curriculum'!E25,K18:L29,2),0.001)</f>
        <v>1E-3</v>
      </c>
      <c r="V63" s="131" t="s">
        <v>35</v>
      </c>
      <c r="W63" s="235" t="str">
        <f>G65</f>
        <v>MEN 3010 Machine Design</v>
      </c>
      <c r="X63" s="248"/>
      <c r="Y63" s="121"/>
      <c r="Z63" s="121">
        <f>H65</f>
        <v>4</v>
      </c>
      <c r="AA63" s="121"/>
      <c r="AB63" s="173"/>
      <c r="AC63" s="147"/>
      <c r="AD63" s="148"/>
    </row>
    <row r="64" spans="7:30" ht="16.2" thickBot="1">
      <c r="G64" s="198" t="str">
        <f>CONCATENATE('ME Curriculum'!A26," ",'ME Curriculum'!B26)</f>
        <v>MEN 3034 Heat and Mass Transfer</v>
      </c>
      <c r="H64" s="198">
        <f>'ME Curriculum'!C26</f>
        <v>4</v>
      </c>
      <c r="I64" s="198">
        <f>IF('ME Curriculum'!D26=1,H64,0)</f>
        <v>0</v>
      </c>
      <c r="J64" s="198">
        <f>IFERROR(VLOOKUP('ME Curriculum'!E26,K18:L29,2),0.001)</f>
        <v>1E-3</v>
      </c>
      <c r="V64" s="131" t="s">
        <v>35</v>
      </c>
      <c r="W64" s="235" t="str">
        <f>G66</f>
        <v>MEN 3014 Dynamics / Vibrations</v>
      </c>
      <c r="X64" s="248"/>
      <c r="Y64" s="121"/>
      <c r="Z64" s="121">
        <f>H66</f>
        <v>4</v>
      </c>
      <c r="AA64" s="121"/>
      <c r="AB64" s="173"/>
      <c r="AC64" s="147"/>
      <c r="AD64" s="148"/>
    </row>
    <row r="65" spans="7:30" ht="16.2" thickBot="1">
      <c r="G65" s="198" t="str">
        <f>CONCATENATE('ME Curriculum'!H25," ",'ME Curriculum'!I25)</f>
        <v>MEN 3010 Machine Design</v>
      </c>
      <c r="H65" s="198">
        <f>'ME Curriculum'!J25</f>
        <v>4</v>
      </c>
      <c r="I65" s="198">
        <f>IF('ME Curriculum'!K25=1,H65,0)</f>
        <v>0</v>
      </c>
      <c r="J65" s="198">
        <f>IFERROR(VLOOKUP('ME Curriculum'!L25,K18:L29,2),0.001)</f>
        <v>1E-3</v>
      </c>
      <c r="V65" s="131" t="s">
        <v>35</v>
      </c>
      <c r="W65" s="235" t="str">
        <f>G67</f>
        <v>MEN 3032 Thermodynamics II</v>
      </c>
      <c r="X65" s="248"/>
      <c r="Y65" s="121"/>
      <c r="Z65" s="121">
        <f>H67</f>
        <v>2</v>
      </c>
      <c r="AA65" s="121"/>
      <c r="AB65" s="173"/>
      <c r="AC65" s="147"/>
      <c r="AD65" s="148" t="s">
        <v>34</v>
      </c>
    </row>
    <row r="66" spans="7:30" ht="16.2" thickBot="1">
      <c r="G66" s="198" t="str">
        <f>CONCATENATE('ME Curriculum'!H26," ",'ME Curriculum'!I26)</f>
        <v>MEN 3014 Dynamics / Vibrations</v>
      </c>
      <c r="H66" s="198">
        <f>'ME Curriculum'!J26</f>
        <v>4</v>
      </c>
      <c r="I66" s="198">
        <f>IF('ME Curriculum'!K26=1,H66,0)</f>
        <v>0</v>
      </c>
      <c r="J66" s="198">
        <f>IFERROR(VLOOKUP('ME Curriculum'!L26,K18:L29,2),0.001)</f>
        <v>1E-3</v>
      </c>
      <c r="V66" s="131" t="s">
        <v>122</v>
      </c>
      <c r="W66" s="235" t="str">
        <f>G81</f>
        <v>Ethics (E) Elective (course here)</v>
      </c>
      <c r="X66" s="248"/>
      <c r="Y66" s="121"/>
      <c r="Z66" s="121"/>
      <c r="AA66" s="121">
        <f>H81</f>
        <v>4</v>
      </c>
      <c r="AB66" s="173"/>
      <c r="AC66" s="147"/>
      <c r="AD66" s="148"/>
    </row>
    <row r="67" spans="7:30" ht="16.2" thickBot="1">
      <c r="G67" s="198" t="str">
        <f>CONCATENATE('ME Curriculum'!H27," ",'ME Curriculum'!I27)</f>
        <v>MEN 3032 Thermodynamics II</v>
      </c>
      <c r="H67" s="198">
        <f>'ME Curriculum'!J27</f>
        <v>2</v>
      </c>
      <c r="I67" s="198">
        <f>IF('ME Curriculum'!K27=1,H67,0)</f>
        <v>0</v>
      </c>
      <c r="J67" s="198">
        <f>IFERROR(VLOOKUP('ME Curriculum'!L27,K18:L29,2),0.001)</f>
        <v>1E-3</v>
      </c>
      <c r="V67" s="131" t="s">
        <v>122</v>
      </c>
      <c r="W67" s="235" t="str">
        <f>G97</f>
        <v>Technical Elective (course here)</v>
      </c>
      <c r="X67" s="248"/>
      <c r="Y67" s="121"/>
      <c r="Z67" s="121"/>
      <c r="AA67" s="121">
        <f>H97</f>
        <v>4</v>
      </c>
      <c r="AB67" s="173"/>
      <c r="AC67" s="147"/>
      <c r="AD67" s="148"/>
    </row>
    <row r="68" spans="7:30" ht="16.2" thickBot="1">
      <c r="G68" s="198" t="str">
        <f>CONCATENATE('ME Curriculum'!H29," ",'ME Curriculum'!I29)</f>
        <v>MEN 3090 Professionalism &amp; Ethics</v>
      </c>
      <c r="H68" s="198">
        <f>'ME Curriculum'!J29</f>
        <v>1</v>
      </c>
      <c r="I68" s="198">
        <f>IF('ME Curriculum'!D10=1,H54,0)</f>
        <v>0</v>
      </c>
      <c r="J68" s="198">
        <f>IFERROR(VLOOKUP('ME Curriculum'!E10,K18:L29,2),0.001)</f>
        <v>1E-3</v>
      </c>
      <c r="V68" s="131" t="s">
        <v>123</v>
      </c>
      <c r="W68" s="235" t="e">
        <f>#REF!</f>
        <v>#REF!</v>
      </c>
      <c r="X68" s="248"/>
      <c r="Y68" s="121"/>
      <c r="Z68" s="121" t="e">
        <f>#REF!</f>
        <v>#REF!</v>
      </c>
      <c r="AA68" s="121"/>
      <c r="AB68" s="173"/>
      <c r="AC68" s="147"/>
      <c r="AD68" s="148" t="s">
        <v>34</v>
      </c>
    </row>
    <row r="69" spans="7:30" ht="16.2" thickBot="1">
      <c r="G69" s="198" t="str">
        <f>CONCATENATE('ME Curriculum'!A34," ",'ME Curriculum'!B34)</f>
        <v>MEN Depth elective</v>
      </c>
      <c r="H69" s="198">
        <f>'ME Curriculum'!C34</f>
        <v>4</v>
      </c>
      <c r="I69" s="198">
        <f>IF('ME Curriculum'!D34=1,H69,0)</f>
        <v>0</v>
      </c>
      <c r="J69" s="198">
        <f>IFERROR(VLOOKUP('ME Curriculum'!E34,K18:L29,2),0.001)</f>
        <v>1E-3</v>
      </c>
      <c r="V69" s="131" t="s">
        <v>36</v>
      </c>
      <c r="W69" s="235" t="str">
        <f>G69</f>
        <v>MEN Depth elective</v>
      </c>
      <c r="X69" s="248"/>
      <c r="Y69" s="121"/>
      <c r="Z69" s="121">
        <f>H69</f>
        <v>4</v>
      </c>
      <c r="AA69" s="121"/>
      <c r="AB69" s="173"/>
      <c r="AC69" s="147"/>
      <c r="AD69" s="148" t="s">
        <v>34</v>
      </c>
    </row>
    <row r="70" spans="7:30" ht="16.2" thickBot="1">
      <c r="G70" s="198" t="str">
        <f>CONCATENATE('ME Curriculum'!A35," ",'ME Curriculum'!B35)</f>
        <v>MEN  Depth elective</v>
      </c>
      <c r="H70" s="198">
        <f>'ME Curriculum'!C35</f>
        <v>4</v>
      </c>
      <c r="I70" s="198">
        <f>IF('ME Curriculum'!D35=1,H70,0)</f>
        <v>0</v>
      </c>
      <c r="J70" s="198">
        <f>IFERROR(VLOOKUP('ME Curriculum'!E35,K18:L29,2),0.001)</f>
        <v>1E-3</v>
      </c>
      <c r="V70" s="131" t="s">
        <v>36</v>
      </c>
      <c r="W70" s="235" t="s">
        <v>37</v>
      </c>
      <c r="X70" s="248"/>
      <c r="Y70" s="121"/>
      <c r="Z70" s="121"/>
      <c r="AA70" s="121"/>
      <c r="AB70" s="173">
        <v>4</v>
      </c>
      <c r="AC70" s="147"/>
      <c r="AD70" s="148"/>
    </row>
    <row r="71" spans="7:30" ht="16.2" thickBot="1">
      <c r="G71" s="198" t="str">
        <f>CONCATENATE('ME Curriculum'!H34," ",'ME Curriculum'!I34)</f>
        <v>MEN 4901 Des. Project</v>
      </c>
      <c r="H71" s="198">
        <f>'ME Curriculum'!J34</f>
        <v>4</v>
      </c>
      <c r="I71" s="198">
        <f>IF('ME Curriculum'!K34=1,H71,0)</f>
        <v>0</v>
      </c>
      <c r="J71" s="198">
        <f>IFERROR(VLOOKUP('ME Curriculum'!L34,K18:L29,2),0.001)</f>
        <v>0</v>
      </c>
      <c r="V71" s="131" t="s">
        <v>36</v>
      </c>
      <c r="W71" s="235" t="str">
        <f>G79</f>
        <v>PHL 1000 Intro to Philosophy</v>
      </c>
      <c r="X71" s="248"/>
      <c r="Y71" s="121"/>
      <c r="Z71" s="121"/>
      <c r="AA71" s="121">
        <f>H79</f>
        <v>4</v>
      </c>
      <c r="AB71" s="173"/>
      <c r="AC71" s="147"/>
      <c r="AD71" s="148"/>
    </row>
    <row r="72" spans="7:30" ht="16.2" thickBot="1">
      <c r="G72" s="198" t="str">
        <f>CONCATENATE('ME Curriculum'!H35," ",'ME Curriculum'!I35)</f>
        <v>MEN Depth elective</v>
      </c>
      <c r="H72" s="198">
        <f>'ME Curriculum'!J35</f>
        <v>4</v>
      </c>
      <c r="I72" s="198">
        <f>IF('ME Curriculum'!K35=1,H72,0)</f>
        <v>0</v>
      </c>
      <c r="J72" s="198">
        <f>IFERROR(VLOOKUP('ME Curriculum'!L35,K18:L29,2),0.001)</f>
        <v>1E-3</v>
      </c>
      <c r="V72" s="131" t="s">
        <v>38</v>
      </c>
      <c r="W72" s="235" t="e">
        <f>#REF!</f>
        <v>#REF!</v>
      </c>
      <c r="X72" s="248"/>
      <c r="Y72" s="121"/>
      <c r="Z72" s="121" t="e">
        <f>#REF!</f>
        <v>#REF!</v>
      </c>
      <c r="AA72" s="121"/>
      <c r="AB72" s="173"/>
      <c r="AC72" s="147"/>
      <c r="AD72" s="148" t="s">
        <v>34</v>
      </c>
    </row>
    <row r="73" spans="7:30" ht="16.2" thickBot="1">
      <c r="G73" s="198" t="str">
        <f>CONCATENATE('ME Curriculum'!H36," ",'ME Curriculum'!I36)</f>
        <v>MEN 4900 Senior Seminar</v>
      </c>
      <c r="H73" s="198">
        <f>'ME Curriculum'!J36</f>
        <v>1</v>
      </c>
      <c r="I73" s="198">
        <f>IF('ME Curriculum'!K36=1,H73,0)</f>
        <v>0</v>
      </c>
      <c r="J73" s="198">
        <f>IFERROR(VLOOKUP('ME Curriculum'!L36,K18:L29,2),0.001)</f>
        <v>1E-3</v>
      </c>
      <c r="V73" s="131" t="s">
        <v>38</v>
      </c>
      <c r="W73" s="235" t="str">
        <f>G71</f>
        <v>MEN 4901 Des. Project</v>
      </c>
      <c r="X73" s="248"/>
      <c r="Y73" s="121"/>
      <c r="Z73" s="121">
        <f>H71</f>
        <v>4</v>
      </c>
      <c r="AA73" s="121"/>
      <c r="AB73" s="173"/>
      <c r="AC73" s="147"/>
      <c r="AD73" s="148" t="s">
        <v>34</v>
      </c>
    </row>
    <row r="74" spans="7:30" ht="16.2" thickBot="1">
      <c r="G74" s="198" t="str">
        <f>CONCATENATE('ME Curriculum'!H38," ",'ME Curriculum'!I38)</f>
        <v>MEN Depth elective</v>
      </c>
      <c r="H74" s="198">
        <f>'ME Curriculum'!J38</f>
        <v>4</v>
      </c>
      <c r="I74" s="198">
        <f>IF('ME Curriculum'!K38=1,H74,0)</f>
        <v>0</v>
      </c>
      <c r="J74" s="203">
        <f>IFERROR(VLOOKUP('ME Curriculum'!L38,K21:L32,2),0.001)</f>
        <v>1E-3</v>
      </c>
      <c r="V74" s="131" t="s">
        <v>38</v>
      </c>
      <c r="W74" s="235" t="str">
        <f>G72</f>
        <v>MEN Depth elective</v>
      </c>
      <c r="X74" s="248"/>
      <c r="Y74" s="121"/>
      <c r="Z74" s="121">
        <f>H72</f>
        <v>4</v>
      </c>
      <c r="AA74" s="121"/>
      <c r="AB74" s="173"/>
      <c r="AC74" s="147"/>
      <c r="AD74" s="148" t="s">
        <v>34</v>
      </c>
    </row>
    <row r="75" spans="7:30" ht="16.8" thickBot="1">
      <c r="G75" s="200" t="s">
        <v>270</v>
      </c>
      <c r="H75" s="201">
        <f>SUM(H59:H74)</f>
        <v>56</v>
      </c>
      <c r="I75" s="201">
        <f>SUM(I59:I74)</f>
        <v>0</v>
      </c>
      <c r="V75" s="131" t="s">
        <v>38</v>
      </c>
      <c r="W75" s="235" t="str">
        <f>G73</f>
        <v>MEN 4900 Senior Seminar</v>
      </c>
      <c r="X75" s="248"/>
      <c r="Y75" s="121"/>
      <c r="Z75" s="121">
        <f>H73</f>
        <v>1</v>
      </c>
      <c r="AA75" s="121"/>
      <c r="AB75" s="173"/>
      <c r="AC75" s="147"/>
      <c r="AD75" s="148"/>
    </row>
    <row r="76" spans="7:30" ht="16.2" thickBot="1">
      <c r="G76" s="200"/>
      <c r="V76" s="131" t="s">
        <v>38</v>
      </c>
      <c r="W76" s="235" t="str">
        <f>G88</f>
        <v>Hist. Studies (H) Elective (course here)</v>
      </c>
      <c r="X76" s="248"/>
      <c r="Y76" s="152"/>
      <c r="Z76" s="152"/>
      <c r="AA76" s="152">
        <f>H88</f>
        <v>4</v>
      </c>
      <c r="AB76" s="174"/>
      <c r="AC76" s="147"/>
      <c r="AD76" s="148"/>
    </row>
    <row r="77" spans="7:30" ht="15.6">
      <c r="G77" s="197" t="s">
        <v>254</v>
      </c>
      <c r="H77" s="6"/>
      <c r="I77" s="6"/>
      <c r="J77" s="6"/>
      <c r="V77" s="238"/>
      <c r="W77" s="239"/>
      <c r="X77" s="239"/>
      <c r="Y77" s="239"/>
      <c r="Z77" s="239"/>
      <c r="AA77" s="239"/>
      <c r="AB77" s="240"/>
      <c r="AC77" s="147"/>
      <c r="AD77" s="148"/>
    </row>
    <row r="78" spans="7:30" ht="16.2" thickBot="1">
      <c r="G78" s="198" t="str">
        <f>CONCATENATE('ME Curriculum'!A11," ",'ME Curriculum'!B11)</f>
        <v>FYW 1050 College Writing</v>
      </c>
      <c r="H78" s="198">
        <f>'ME Curriculum'!C11</f>
        <v>4</v>
      </c>
      <c r="I78" s="198">
        <f>IF('ME Curriculum'!D11=1,H78,0)</f>
        <v>0</v>
      </c>
      <c r="J78" s="198">
        <f>IFERROR(VLOOKUP('ME Curriculum'!E11,K18:L29,2),0.001)</f>
        <v>1E-3</v>
      </c>
      <c r="V78" s="241" t="s">
        <v>39</v>
      </c>
      <c r="W78" s="242"/>
      <c r="X78" s="242"/>
      <c r="Y78" s="242"/>
      <c r="Z78" s="242"/>
      <c r="AA78" s="242"/>
      <c r="AB78" s="243"/>
      <c r="AC78" s="147"/>
      <c r="AD78" s="148"/>
    </row>
    <row r="79" spans="7:30" ht="16.8" thickTop="1" thickBot="1">
      <c r="G79" s="198" t="str">
        <f>CONCATENATE('ME Curriculum'!A10," ",'ME Curriculum'!B10)</f>
        <v>PHL 1000 Intro to Philosophy</v>
      </c>
      <c r="H79" s="198">
        <f>'ME Curriculum'!C10</f>
        <v>4</v>
      </c>
      <c r="I79" s="198">
        <f>IF('ME Curriculum'!D36=1,H79,0)</f>
        <v>0</v>
      </c>
      <c r="J79" s="198">
        <f>IFERROR(VLOOKUP('ME Curriculum'!E36,K18:L29,2),0.001)</f>
        <v>0</v>
      </c>
      <c r="V79" s="244" t="s">
        <v>142</v>
      </c>
      <c r="W79" s="245"/>
      <c r="X79" s="246"/>
      <c r="Y79" s="175">
        <f>SUM(Y42:Y76)</f>
        <v>35</v>
      </c>
      <c r="Z79" s="175" t="e">
        <f>SUM(Z42:Z76)</f>
        <v>#REF!</v>
      </c>
      <c r="AA79" s="175">
        <f>SUM(AA42:AA76)</f>
        <v>32</v>
      </c>
      <c r="AB79" s="175">
        <f>SUM(AB42:AB76)</f>
        <v>4</v>
      </c>
      <c r="AC79" s="247"/>
      <c r="AD79" s="233"/>
    </row>
    <row r="80" spans="7:30" ht="16.2" thickBot="1">
      <c r="G80" t="s">
        <v>255</v>
      </c>
      <c r="H80" s="204"/>
      <c r="I80" s="204"/>
      <c r="J80" s="204"/>
      <c r="K80" t="s">
        <v>265</v>
      </c>
      <c r="V80" s="230" t="s">
        <v>143</v>
      </c>
      <c r="W80" s="232"/>
      <c r="X80" s="119" t="e">
        <f>Y79+Z79+AA79+AB79</f>
        <v>#REF!</v>
      </c>
      <c r="Y80" s="176"/>
      <c r="Z80" s="176"/>
      <c r="AA80" s="176"/>
      <c r="AB80" s="177"/>
      <c r="AC80" s="233"/>
      <c r="AD80" s="234"/>
    </row>
    <row r="81" spans="7:30" ht="16.2" thickBot="1">
      <c r="G81" s="198" t="str">
        <f>CONCATENATE('ME Curriculum'!H28," ",'ME Curriculum'!I28)</f>
        <v>Ethics (E) Elective (course here)</v>
      </c>
      <c r="H81" s="198">
        <f>'ME Curriculum'!J28</f>
        <v>4</v>
      </c>
      <c r="I81" s="198">
        <f>IF('ME Curriculum'!K28=1,H81,0)</f>
        <v>0</v>
      </c>
      <c r="J81" s="198">
        <f>IFERROR(VLOOKUP('ME Curriculum'!L28,K18:L29,2),0.001)</f>
        <v>1E-3</v>
      </c>
      <c r="V81" s="230" t="s">
        <v>93</v>
      </c>
      <c r="W81" s="231"/>
      <c r="X81" s="232"/>
      <c r="Y81" s="178" t="e">
        <f>Y79/X80</f>
        <v>#REF!</v>
      </c>
      <c r="Z81" s="178" t="e">
        <f>Z79/X80</f>
        <v>#REF!</v>
      </c>
      <c r="AA81" s="179" t="e">
        <f>AA79/X80</f>
        <v>#REF!</v>
      </c>
      <c r="AB81" s="180" t="e">
        <f>AB79/X80</f>
        <v>#REF!</v>
      </c>
      <c r="AC81" s="233"/>
      <c r="AD81" s="234"/>
    </row>
    <row r="82" spans="7:30" ht="16.8" thickBot="1">
      <c r="G82" s="205"/>
      <c r="H82" s="201"/>
      <c r="I82" s="201"/>
      <c r="J82" s="201"/>
      <c r="V82" s="120" t="s">
        <v>94</v>
      </c>
      <c r="W82" s="235" t="s">
        <v>95</v>
      </c>
      <c r="X82" s="232"/>
      <c r="Y82" s="121" t="s">
        <v>96</v>
      </c>
      <c r="Z82" s="121" t="s">
        <v>97</v>
      </c>
      <c r="AA82" s="122"/>
      <c r="AB82" s="123"/>
      <c r="AC82" s="233"/>
      <c r="AD82" s="234"/>
    </row>
    <row r="83" spans="7:30" ht="16.2" thickBot="1">
      <c r="G83" s="6"/>
      <c r="J83" s="6"/>
      <c r="V83" s="150" t="s">
        <v>98</v>
      </c>
      <c r="W83" s="236" t="s">
        <v>99</v>
      </c>
      <c r="X83" s="237"/>
      <c r="Y83" s="124">
        <v>0.25</v>
      </c>
      <c r="Z83" s="125">
        <v>0.375</v>
      </c>
      <c r="AA83" s="126"/>
      <c r="AB83" s="127"/>
      <c r="AC83" s="233"/>
      <c r="AD83" s="234"/>
    </row>
    <row r="84" spans="7:30" ht="16.2" thickTop="1">
      <c r="G84" s="197" t="s">
        <v>256</v>
      </c>
      <c r="H84" s="6"/>
      <c r="I84" s="6"/>
      <c r="J84" s="6"/>
    </row>
    <row r="85" spans="7:30" ht="15.6">
      <c r="G85" s="198" t="str">
        <f>CONCATENATE('ME Curriculum'!A28," ",'ME Curriculum'!B28)</f>
        <v>RTS 1100 Christianity in Context</v>
      </c>
      <c r="H85" s="198">
        <f>'ME Curriculum'!C28</f>
        <v>4</v>
      </c>
      <c r="I85" s="198">
        <f>IF('ME Curriculum'!D28=1,H85,0)</f>
        <v>0</v>
      </c>
      <c r="J85" s="198">
        <f>IFERROR(VLOOKUP('ME Curriculum'!E28,K18:L29,2),0.001)</f>
        <v>1E-3</v>
      </c>
    </row>
    <row r="86" spans="7:30" ht="15.6">
      <c r="G86" s="198" t="str">
        <f>CONCATENATE('ME Curriculum'!H11," ",'ME Curriculum'!I11)</f>
        <v>Arts &amp; Lit (AL) Elective (course here)</v>
      </c>
      <c r="H86" s="198">
        <f>'ME Curriculum'!J11</f>
        <v>4</v>
      </c>
      <c r="I86" s="198">
        <f>IF('ME Curriculum'!K11=1,H86,0)</f>
        <v>0</v>
      </c>
      <c r="J86" s="198">
        <f>IFERROR(VLOOKUP('ME Curriculum'!L11,K18:L29,2),0.001)</f>
        <v>1E-3</v>
      </c>
    </row>
    <row r="87" spans="7:30">
      <c r="G87" s="206" t="s">
        <v>257</v>
      </c>
      <c r="H87" s="206">
        <f>H45</f>
        <v>4</v>
      </c>
      <c r="I87" s="206">
        <f>I45</f>
        <v>0</v>
      </c>
      <c r="J87" s="206"/>
      <c r="K87" t="s">
        <v>266</v>
      </c>
    </row>
    <row r="88" spans="7:30" ht="15.6">
      <c r="G88" s="198" t="str">
        <f>CONCATENATE('ME Curriculum'!A29," ",'ME Curriculum'!B29)</f>
        <v>Hist. Studies (H) Elective (course here)</v>
      </c>
      <c r="H88" s="198">
        <f>'ME Curriculum'!C29</f>
        <v>4</v>
      </c>
      <c r="I88" s="198">
        <f>IF('ME Curriculum'!D29=1,H88,0)</f>
        <v>0</v>
      </c>
      <c r="J88" s="198">
        <f>IFERROR(VLOOKUP('ME Curriculum'!E29,K18:L29,2),0.001)</f>
        <v>1E-3</v>
      </c>
    </row>
    <row r="89" spans="7:30" ht="15.6">
      <c r="G89" s="198" t="str">
        <f>CONCATENATE('ME Curriculum'!H37," ",'ME Curriculum'!I37)</f>
        <v>Soc. Science (SS) Elective (course here)</v>
      </c>
      <c r="H89" s="198">
        <f>'ME Curriculum'!J37</f>
        <v>4</v>
      </c>
      <c r="I89" s="198">
        <f>IF('ME Curriculum'!K37=1,H89,0)</f>
        <v>0</v>
      </c>
      <c r="J89" s="198">
        <f>IFERROR(VLOOKUP('ME Curriculum'!L37,K18:L29,2),0.001)</f>
        <v>1E-3</v>
      </c>
    </row>
    <row r="90" spans="7:30" ht="15.6">
      <c r="G90" s="198" t="str">
        <f>CONCATENATE('ME Curriculum'!H37," ",'ME Curriculum'!I37)</f>
        <v>Soc. Science (SS) Elective (course here)</v>
      </c>
      <c r="H90" s="198">
        <f>'ME Curriculum'!C37</f>
        <v>4</v>
      </c>
      <c r="I90" s="198">
        <f>IF('ME Curriculum'!D37=1,H90,0)</f>
        <v>0</v>
      </c>
      <c r="J90" s="198">
        <f>IFERROR(VLOOKUP('ME Curriculum'!E37,K18:L29,2),0.001)</f>
        <v>1E-3</v>
      </c>
    </row>
    <row r="91" spans="7:30" ht="15.6">
      <c r="G91" s="198" t="s">
        <v>258</v>
      </c>
      <c r="H91" s="198">
        <v>8</v>
      </c>
      <c r="I91" s="198">
        <f>I44+I51</f>
        <v>0</v>
      </c>
      <c r="J91" s="198"/>
    </row>
    <row r="92" spans="7:30" ht="15.6">
      <c r="G92" s="207"/>
      <c r="H92" s="207"/>
      <c r="I92" s="207"/>
      <c r="J92" s="207"/>
    </row>
    <row r="93" spans="7:30" ht="16.2">
      <c r="G93" s="205"/>
      <c r="H93" s="201"/>
      <c r="I93" s="201"/>
      <c r="J93" s="201"/>
    </row>
    <row r="94" spans="7:30" ht="16.2">
      <c r="G94" s="205" t="s">
        <v>271</v>
      </c>
      <c r="H94" s="201">
        <f>H78+H79+H81+H85+H86+H87+H88+H89+H90+H91</f>
        <v>44</v>
      </c>
      <c r="I94" s="201">
        <f>I78+I79+I81+I85+I86+I87+I88+I89+I90+I91</f>
        <v>0</v>
      </c>
      <c r="J94" s="201"/>
    </row>
    <row r="95" spans="7:30" ht="15.6">
      <c r="G95" s="6"/>
      <c r="H95" s="6"/>
      <c r="I95" s="6"/>
      <c r="J95" s="6"/>
    </row>
    <row r="96" spans="7:30" ht="15.6">
      <c r="G96" s="197" t="s">
        <v>259</v>
      </c>
      <c r="H96" s="6"/>
      <c r="I96" s="6"/>
      <c r="J96" s="6"/>
    </row>
    <row r="97" spans="7:10" ht="15.6">
      <c r="G97" s="198" t="str">
        <f>CONCATENATE('ME Curriculum'!A36," ",'ME Curriculum'!B36)</f>
        <v>Technical Elective (course here)</v>
      </c>
      <c r="H97" s="198">
        <f>'ME Curriculum'!C36</f>
        <v>4</v>
      </c>
      <c r="I97" s="198">
        <f>IF('ME Curriculum'!K29=1,H44,0)</f>
        <v>0</v>
      </c>
      <c r="J97" s="6">
        <f>IFERROR(VLOOKUP('ME Curriculum'!L29,K18:L29,2),0.001)</f>
        <v>1E-3</v>
      </c>
    </row>
    <row r="98" spans="7:10" ht="15.6">
      <c r="G98" s="6"/>
      <c r="H98" s="6"/>
      <c r="I98" s="6"/>
      <c r="J98" s="6"/>
    </row>
    <row r="99" spans="7:10" ht="15.6">
      <c r="G99" s="197" t="s">
        <v>260</v>
      </c>
      <c r="H99" s="6"/>
      <c r="I99" s="6"/>
      <c r="J99" s="6"/>
    </row>
    <row r="100" spans="7:10" ht="15.6">
      <c r="G100" s="208" t="s">
        <v>261</v>
      </c>
      <c r="H100" s="198" t="str">
        <f>IF('ME Curriculum'!H40=1,"√","")</f>
        <v/>
      </c>
      <c r="I100" s="198"/>
      <c r="J100" s="198"/>
    </row>
    <row r="101" spans="7:10" ht="15.6">
      <c r="G101" s="208" t="s">
        <v>262</v>
      </c>
      <c r="H101" s="198" t="str">
        <f>IF('ME Curriculum'!D8=1,"√","")</f>
        <v/>
      </c>
      <c r="I101" s="198" t="s">
        <v>263</v>
      </c>
      <c r="J101" s="198"/>
    </row>
    <row r="102" spans="7:10" ht="15.6">
      <c r="G102" s="208" t="s">
        <v>264</v>
      </c>
      <c r="H102" s="198" t="str">
        <f>IF('ME Curriculum'!H41=1,"√","")</f>
        <v/>
      </c>
      <c r="I102" s="198" t="s">
        <v>263</v>
      </c>
      <c r="J102" s="198" t="str">
        <f>'ME Curriculum'!I41</f>
        <v>Enter course used here</v>
      </c>
    </row>
  </sheetData>
  <mergeCells count="58">
    <mergeCell ref="C3:E3"/>
    <mergeCell ref="B9:E9"/>
    <mergeCell ref="W38:X38"/>
    <mergeCell ref="Y38:AB38"/>
    <mergeCell ref="W39:X39"/>
    <mergeCell ref="Y39:Y41"/>
    <mergeCell ref="Z39:Z41"/>
    <mergeCell ref="AA39:AA41"/>
    <mergeCell ref="W40:X40"/>
    <mergeCell ref="AB40:AB41"/>
    <mergeCell ref="W41:X41"/>
    <mergeCell ref="W42:X42"/>
    <mergeCell ref="W43:X43"/>
    <mergeCell ref="W44:X44"/>
    <mergeCell ref="W45:X45"/>
    <mergeCell ref="W46:X46"/>
    <mergeCell ref="W47:X47"/>
    <mergeCell ref="W48:X48"/>
    <mergeCell ref="W49:X49"/>
    <mergeCell ref="W50:X50"/>
    <mergeCell ref="W51:X51"/>
    <mergeCell ref="W52:X52"/>
    <mergeCell ref="W53:X53"/>
    <mergeCell ref="W54:X54"/>
    <mergeCell ref="W55:X55"/>
    <mergeCell ref="W56:X56"/>
    <mergeCell ref="W57:X57"/>
    <mergeCell ref="W58:X58"/>
    <mergeCell ref="W59:X59"/>
    <mergeCell ref="W60:X60"/>
    <mergeCell ref="W61:X61"/>
    <mergeCell ref="W62:X62"/>
    <mergeCell ref="W63:X63"/>
    <mergeCell ref="W64:X64"/>
    <mergeCell ref="W65:X65"/>
    <mergeCell ref="W66:X66"/>
    <mergeCell ref="W67:X67"/>
    <mergeCell ref="W68:X68"/>
    <mergeCell ref="W69:X69"/>
    <mergeCell ref="W70:X70"/>
    <mergeCell ref="W71:X71"/>
    <mergeCell ref="W72:X72"/>
    <mergeCell ref="W73:X73"/>
    <mergeCell ref="W74:X74"/>
    <mergeCell ref="W75:X75"/>
    <mergeCell ref="W76:X76"/>
    <mergeCell ref="V77:AB77"/>
    <mergeCell ref="V78:AB78"/>
    <mergeCell ref="V79:X79"/>
    <mergeCell ref="AC79:AD79"/>
    <mergeCell ref="V80:W80"/>
    <mergeCell ref="AC80:AD80"/>
    <mergeCell ref="V81:X81"/>
    <mergeCell ref="AC81:AD81"/>
    <mergeCell ref="W82:X82"/>
    <mergeCell ref="AC82:AD82"/>
    <mergeCell ref="W83:X83"/>
    <mergeCell ref="AC83:AD83"/>
  </mergeCells>
  <phoneticPr fontId="9" type="noConversion"/>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ME Curriculum</vt:lpstr>
      <vt:lpstr>Flowchart</vt:lpstr>
      <vt:lpstr>General Education</vt:lpstr>
      <vt:lpstr>ABET Summary</vt:lpstr>
      <vt:lpstr>'ME Curriculum'!_ftn1</vt:lpstr>
      <vt:lpstr>flow_chart_print</vt:lpstr>
      <vt:lpstr>Flowchart!Print_Area</vt:lpstr>
      <vt:lpstr>'General Education'!Print_Area</vt:lpstr>
      <vt:lpstr>'ME Curriculum'!Print_Area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Reynolds, Jean</dc:creator>
  <cp:lastModifiedBy>reynoldsj</cp:lastModifiedBy>
  <cp:lastPrinted>2012-06-25T20:05:54Z</cp:lastPrinted>
  <dcterms:created xsi:type="dcterms:W3CDTF">1998-05-20T13:12:26Z</dcterms:created>
  <dcterms:modified xsi:type="dcterms:W3CDTF">2013-10-23T19:37:03Z</dcterms:modified>
</cp:coreProperties>
</file>