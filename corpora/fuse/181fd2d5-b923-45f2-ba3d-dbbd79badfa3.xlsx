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240" yWindow="150" windowWidth="7980" windowHeight="8310" tabRatio="902"/>
  </bookViews>
  <sheets>
    <sheet name="2011-12" sheetId="10" r:id="rId1"/>
    <sheet name="2010-11" sheetId="11" r:id="rId2"/>
    <sheet name="2009-10" sheetId="12" r:id="rId3"/>
    <sheet name="2008-09" sheetId="13" r:id="rId4"/>
    <sheet name="2007-08" sheetId="14" r:id="rId5"/>
    <sheet name="2006-07" sheetId="15" r:id="rId6"/>
    <sheet name="2005-06" sheetId="16" r:id="rId7"/>
    <sheet name="2004-05" sheetId="17" r:id="rId8"/>
    <sheet name="2003-04" sheetId="6" r:id="rId9"/>
    <sheet name="2002-03" sheetId="7" r:id="rId10"/>
    <sheet name="2001-02" sheetId="8" r:id="rId11"/>
    <sheet name="2000-01" sheetId="9" r:id="rId12"/>
    <sheet name="1999-00" sheetId="4" r:id="rId13"/>
    <sheet name="1998-99" sheetId="5" r:id="rId14"/>
    <sheet name="1997-98" sheetId="3" r:id="rId15"/>
    <sheet name="1996-97" sheetId="2" r:id="rId16"/>
    <sheet name="1995-96" sheetId="1" r:id="rId17"/>
  </sheets>
  <calcPr calcId="145621"/>
</workbook>
</file>

<file path=xl/calcChain.xml><?xml version="1.0" encoding="utf-8"?>
<calcChain xmlns="http://schemas.openxmlformats.org/spreadsheetml/2006/main">
  <c r="G52" i="2" l="1"/>
  <c r="D52" i="2"/>
  <c r="B58" i="2"/>
  <c r="C58" i="2"/>
  <c r="D41" i="2"/>
  <c r="G41" i="2"/>
  <c r="H41" i="2" s="1"/>
  <c r="D42" i="2"/>
  <c r="G42" i="2"/>
  <c r="H42" i="2" s="1"/>
  <c r="D43" i="2"/>
  <c r="G43" i="2"/>
  <c r="H43" i="2" s="1"/>
  <c r="G54" i="3"/>
  <c r="D54" i="3"/>
  <c r="H54" i="3" s="1"/>
  <c r="B58" i="3"/>
  <c r="C58" i="3"/>
  <c r="F58" i="2"/>
  <c r="E58" i="2"/>
  <c r="G57" i="2"/>
  <c r="D57" i="2"/>
  <c r="G56" i="2"/>
  <c r="D56" i="2"/>
  <c r="G55" i="2"/>
  <c r="D55" i="2"/>
  <c r="H55" i="2" s="1"/>
  <c r="G54" i="2"/>
  <c r="D54" i="2"/>
  <c r="H54" i="2" s="1"/>
  <c r="G53" i="2"/>
  <c r="D53" i="2"/>
  <c r="H53" i="2" s="1"/>
  <c r="G51" i="2"/>
  <c r="D51" i="2"/>
  <c r="G50" i="2"/>
  <c r="D50" i="2"/>
  <c r="F45" i="2"/>
  <c r="E45" i="2"/>
  <c r="C45" i="2"/>
  <c r="B45" i="2"/>
  <c r="G44" i="2"/>
  <c r="D44" i="2"/>
  <c r="G40" i="2"/>
  <c r="D40" i="2"/>
  <c r="G39" i="2"/>
  <c r="D39" i="2"/>
  <c r="G38" i="2"/>
  <c r="D38" i="2"/>
  <c r="G37" i="2"/>
  <c r="D37" i="2"/>
  <c r="G36" i="2"/>
  <c r="D36" i="2"/>
  <c r="G35" i="2"/>
  <c r="D35" i="2"/>
  <c r="G34" i="2"/>
  <c r="D34" i="2"/>
  <c r="G33" i="2"/>
  <c r="D33" i="2"/>
  <c r="G32" i="2"/>
  <c r="D32" i="2"/>
  <c r="G31" i="2"/>
  <c r="D31" i="2"/>
  <c r="G30" i="2"/>
  <c r="D30" i="2"/>
  <c r="G29" i="2"/>
  <c r="D29" i="2"/>
  <c r="G28" i="2"/>
  <c r="D28" i="2"/>
  <c r="G27" i="2"/>
  <c r="D27" i="2"/>
  <c r="G26" i="2"/>
  <c r="D26" i="2"/>
  <c r="G25" i="2"/>
  <c r="D25" i="2"/>
  <c r="G24" i="2"/>
  <c r="D24" i="2"/>
  <c r="G23" i="2"/>
  <c r="D23" i="2"/>
  <c r="G22" i="2"/>
  <c r="D22" i="2"/>
  <c r="G21" i="2"/>
  <c r="D21" i="2"/>
  <c r="G20" i="2"/>
  <c r="D20" i="2"/>
  <c r="G19" i="2"/>
  <c r="D19" i="2"/>
  <c r="G18" i="2"/>
  <c r="D18" i="2"/>
  <c r="G17" i="2"/>
  <c r="D17" i="2"/>
  <c r="G16" i="2"/>
  <c r="D16" i="2"/>
  <c r="G15" i="2"/>
  <c r="D15" i="2"/>
  <c r="G14" i="2"/>
  <c r="D14" i="2"/>
  <c r="G13" i="2"/>
  <c r="D13" i="2"/>
  <c r="G12" i="2"/>
  <c r="D12" i="2"/>
  <c r="G11" i="2"/>
  <c r="D11" i="2"/>
  <c r="G10" i="2"/>
  <c r="D10" i="2"/>
  <c r="G9" i="2"/>
  <c r="D9" i="2"/>
  <c r="G8" i="2"/>
  <c r="D8" i="2"/>
  <c r="G7" i="2"/>
  <c r="D7" i="2"/>
  <c r="A3" i="2"/>
  <c r="F58" i="3"/>
  <c r="E58" i="3"/>
  <c r="G57" i="3"/>
  <c r="D57" i="3"/>
  <c r="H57" i="3" s="1"/>
  <c r="G56" i="3"/>
  <c r="D56" i="3"/>
  <c r="H56" i="3" s="1"/>
  <c r="G55" i="3"/>
  <c r="D55" i="3"/>
  <c r="H55" i="3" s="1"/>
  <c r="G53" i="3"/>
  <c r="D53" i="3"/>
  <c r="H53" i="3" s="1"/>
  <c r="G52" i="3"/>
  <c r="D52" i="3"/>
  <c r="H52" i="3" s="1"/>
  <c r="G51" i="3"/>
  <c r="D51" i="3"/>
  <c r="H51" i="3" s="1"/>
  <c r="G50" i="3"/>
  <c r="D50" i="3"/>
  <c r="F45" i="3"/>
  <c r="E45" i="3"/>
  <c r="C45" i="3"/>
  <c r="B45" i="3"/>
  <c r="G44" i="3"/>
  <c r="D44" i="3"/>
  <c r="G43" i="3"/>
  <c r="D43" i="3"/>
  <c r="G42" i="3"/>
  <c r="D42" i="3"/>
  <c r="G41" i="3"/>
  <c r="D41" i="3"/>
  <c r="G40" i="3"/>
  <c r="D40" i="3"/>
  <c r="G39" i="3"/>
  <c r="D39" i="3"/>
  <c r="G38" i="3"/>
  <c r="D38" i="3"/>
  <c r="G37" i="3"/>
  <c r="D37" i="3"/>
  <c r="G36" i="3"/>
  <c r="D36" i="3"/>
  <c r="G35" i="3"/>
  <c r="D35" i="3"/>
  <c r="G34" i="3"/>
  <c r="D34" i="3"/>
  <c r="G33" i="3"/>
  <c r="D33" i="3"/>
  <c r="G32" i="3"/>
  <c r="D32" i="3"/>
  <c r="G31" i="3"/>
  <c r="D31" i="3"/>
  <c r="G30" i="3"/>
  <c r="D30" i="3"/>
  <c r="G29" i="3"/>
  <c r="D29" i="3"/>
  <c r="G28" i="3"/>
  <c r="D28" i="3"/>
  <c r="G27" i="3"/>
  <c r="D27" i="3"/>
  <c r="G26" i="3"/>
  <c r="D26" i="3"/>
  <c r="G25" i="3"/>
  <c r="D25" i="3"/>
  <c r="H25" i="3" s="1"/>
  <c r="G24" i="3"/>
  <c r="D24" i="3"/>
  <c r="G23" i="3"/>
  <c r="D23" i="3"/>
  <c r="G22" i="3"/>
  <c r="D22" i="3"/>
  <c r="G21" i="3"/>
  <c r="D21" i="3"/>
  <c r="G20" i="3"/>
  <c r="D20" i="3"/>
  <c r="G19" i="3"/>
  <c r="D19" i="3"/>
  <c r="G18" i="3"/>
  <c r="D18" i="3"/>
  <c r="G17" i="3"/>
  <c r="D17" i="3"/>
  <c r="G16" i="3"/>
  <c r="D16" i="3"/>
  <c r="G15" i="3"/>
  <c r="D15" i="3"/>
  <c r="G14" i="3"/>
  <c r="D14" i="3"/>
  <c r="G13" i="3"/>
  <c r="D13" i="3"/>
  <c r="G12" i="3"/>
  <c r="D12" i="3"/>
  <c r="G11" i="3"/>
  <c r="D11" i="3"/>
  <c r="G10" i="3"/>
  <c r="D10" i="3"/>
  <c r="G9" i="3"/>
  <c r="D9" i="3"/>
  <c r="G8" i="3"/>
  <c r="D8" i="3"/>
  <c r="G7" i="3"/>
  <c r="D7" i="3"/>
  <c r="A3" i="3"/>
  <c r="G57" i="4"/>
  <c r="D57" i="4"/>
  <c r="B64" i="4"/>
  <c r="C64" i="4"/>
  <c r="F58" i="5"/>
  <c r="E58" i="5"/>
  <c r="C58" i="5"/>
  <c r="B58" i="5"/>
  <c r="G57" i="5"/>
  <c r="D57" i="5"/>
  <c r="H57" i="5" s="1"/>
  <c r="G56" i="5"/>
  <c r="D56" i="5"/>
  <c r="G55" i="5"/>
  <c r="D55" i="5"/>
  <c r="H55" i="5" s="1"/>
  <c r="G54" i="5"/>
  <c r="D54" i="5"/>
  <c r="H54" i="5" s="1"/>
  <c r="G53" i="5"/>
  <c r="D53" i="5"/>
  <c r="G52" i="5"/>
  <c r="D52" i="5"/>
  <c r="G51" i="5"/>
  <c r="D51" i="5"/>
  <c r="F46" i="5"/>
  <c r="E46" i="5"/>
  <c r="C46" i="5"/>
  <c r="B46" i="5"/>
  <c r="G45" i="5"/>
  <c r="D45" i="5"/>
  <c r="G44" i="5"/>
  <c r="D44" i="5"/>
  <c r="G43" i="5"/>
  <c r="D43" i="5"/>
  <c r="G42" i="5"/>
  <c r="D42" i="5"/>
  <c r="G41" i="5"/>
  <c r="D41" i="5"/>
  <c r="G40" i="5"/>
  <c r="D40" i="5"/>
  <c r="G39" i="5"/>
  <c r="D39" i="5"/>
  <c r="G38" i="5"/>
  <c r="D38" i="5"/>
  <c r="G37" i="5"/>
  <c r="D37" i="5"/>
  <c r="G36" i="5"/>
  <c r="H36" i="5" s="1"/>
  <c r="D36" i="5"/>
  <c r="G35" i="5"/>
  <c r="D35" i="5"/>
  <c r="G34" i="5"/>
  <c r="D34" i="5"/>
  <c r="G33" i="5"/>
  <c r="D33" i="5"/>
  <c r="G32" i="5"/>
  <c r="D32" i="5"/>
  <c r="G31" i="5"/>
  <c r="D31" i="5"/>
  <c r="G30" i="5"/>
  <c r="D30" i="5"/>
  <c r="G29" i="5"/>
  <c r="D29" i="5"/>
  <c r="G28" i="5"/>
  <c r="D28" i="5"/>
  <c r="G27" i="5"/>
  <c r="D27" i="5"/>
  <c r="G26" i="5"/>
  <c r="D26" i="5"/>
  <c r="G25" i="5"/>
  <c r="D25" i="5"/>
  <c r="G24" i="5"/>
  <c r="D24" i="5"/>
  <c r="G23" i="5"/>
  <c r="D23" i="5"/>
  <c r="G22" i="5"/>
  <c r="D22" i="5"/>
  <c r="G21" i="5"/>
  <c r="D21" i="5"/>
  <c r="G20" i="5"/>
  <c r="H20" i="5" s="1"/>
  <c r="D20" i="5"/>
  <c r="G19" i="5"/>
  <c r="D19" i="5"/>
  <c r="G18" i="5"/>
  <c r="D18" i="5"/>
  <c r="G17" i="5"/>
  <c r="D17" i="5"/>
  <c r="G16" i="5"/>
  <c r="D16" i="5"/>
  <c r="G15" i="5"/>
  <c r="D15" i="5"/>
  <c r="G14" i="5"/>
  <c r="D14" i="5"/>
  <c r="G13" i="5"/>
  <c r="D13" i="5"/>
  <c r="G12" i="5"/>
  <c r="D12" i="5"/>
  <c r="G11" i="5"/>
  <c r="D11" i="5"/>
  <c r="H11" i="5" s="1"/>
  <c r="G10" i="5"/>
  <c r="D10" i="5"/>
  <c r="G9" i="5"/>
  <c r="D9" i="5"/>
  <c r="G8" i="5"/>
  <c r="D8" i="5"/>
  <c r="G7" i="5"/>
  <c r="D7" i="5"/>
  <c r="A3" i="5"/>
  <c r="F64" i="4"/>
  <c r="E64" i="4"/>
  <c r="G63" i="4"/>
  <c r="D63" i="4"/>
  <c r="G62" i="4"/>
  <c r="D62" i="4"/>
  <c r="G61" i="4"/>
  <c r="D61" i="4"/>
  <c r="G60" i="4"/>
  <c r="D60" i="4"/>
  <c r="H60" i="4" s="1"/>
  <c r="G59" i="4"/>
  <c r="D59" i="4"/>
  <c r="G58" i="4"/>
  <c r="D58" i="4"/>
  <c r="G56" i="4"/>
  <c r="D56" i="4"/>
  <c r="H56" i="4" s="1"/>
  <c r="G55" i="4"/>
  <c r="D55" i="4"/>
  <c r="G54" i="4"/>
  <c r="D54" i="4"/>
  <c r="F49" i="4"/>
  <c r="E49" i="4"/>
  <c r="C49" i="4"/>
  <c r="B49" i="4"/>
  <c r="G48" i="4"/>
  <c r="D48" i="4"/>
  <c r="G47" i="4"/>
  <c r="D47" i="4"/>
  <c r="G46" i="4"/>
  <c r="D46" i="4"/>
  <c r="H46" i="4" s="1"/>
  <c r="G45" i="4"/>
  <c r="D45" i="4"/>
  <c r="G44" i="4"/>
  <c r="D44" i="4"/>
  <c r="G43" i="4"/>
  <c r="D43" i="4"/>
  <c r="G42" i="4"/>
  <c r="D42" i="4"/>
  <c r="G41" i="4"/>
  <c r="D41" i="4"/>
  <c r="G40" i="4"/>
  <c r="D40" i="4"/>
  <c r="G39" i="4"/>
  <c r="D39" i="4"/>
  <c r="G38" i="4"/>
  <c r="D38" i="4"/>
  <c r="G37" i="4"/>
  <c r="D37" i="4"/>
  <c r="G36" i="4"/>
  <c r="H36" i="4" s="1"/>
  <c r="D36" i="4"/>
  <c r="G35" i="4"/>
  <c r="D35" i="4"/>
  <c r="G34" i="4"/>
  <c r="D34" i="4"/>
  <c r="H34" i="4" s="1"/>
  <c r="G33" i="4"/>
  <c r="D33" i="4"/>
  <c r="H33" i="4" s="1"/>
  <c r="G32" i="4"/>
  <c r="D32" i="4"/>
  <c r="G31" i="4"/>
  <c r="H31" i="4" s="1"/>
  <c r="D31" i="4"/>
  <c r="G30" i="4"/>
  <c r="D30" i="4"/>
  <c r="H30" i="4" s="1"/>
  <c r="G29" i="4"/>
  <c r="D29" i="4"/>
  <c r="G28" i="4"/>
  <c r="D28" i="4"/>
  <c r="G27" i="4"/>
  <c r="H27" i="4" s="1"/>
  <c r="D27" i="4"/>
  <c r="G26" i="4"/>
  <c r="D26" i="4"/>
  <c r="G25" i="4"/>
  <c r="D25" i="4"/>
  <c r="G24" i="4"/>
  <c r="D24" i="4"/>
  <c r="G23" i="4"/>
  <c r="D23" i="4"/>
  <c r="G22" i="4"/>
  <c r="D22" i="4"/>
  <c r="G21" i="4"/>
  <c r="D21" i="4"/>
  <c r="G20" i="4"/>
  <c r="D20" i="4"/>
  <c r="G19" i="4"/>
  <c r="D19" i="4"/>
  <c r="G18" i="4"/>
  <c r="D18" i="4"/>
  <c r="H18" i="4" s="1"/>
  <c r="G17" i="4"/>
  <c r="D17" i="4"/>
  <c r="G16" i="4"/>
  <c r="D16" i="4"/>
  <c r="G15" i="4"/>
  <c r="D15" i="4"/>
  <c r="G14" i="4"/>
  <c r="D14" i="4"/>
  <c r="H14" i="4" s="1"/>
  <c r="G13" i="4"/>
  <c r="H13" i="4" s="1"/>
  <c r="D13" i="4"/>
  <c r="G12" i="4"/>
  <c r="D12" i="4"/>
  <c r="G11" i="4"/>
  <c r="D11" i="4"/>
  <c r="G10" i="4"/>
  <c r="H10" i="4" s="1"/>
  <c r="D10" i="4"/>
  <c r="G9" i="4"/>
  <c r="D9" i="4"/>
  <c r="G8" i="4"/>
  <c r="D8" i="4"/>
  <c r="G7" i="4"/>
  <c r="D7" i="4"/>
  <c r="A3" i="4"/>
  <c r="F66" i="9"/>
  <c r="E66" i="9"/>
  <c r="C66" i="9"/>
  <c r="B66" i="9"/>
  <c r="G65" i="9"/>
  <c r="D65" i="9"/>
  <c r="G64" i="9"/>
  <c r="D64" i="9"/>
  <c r="H64" i="9" s="1"/>
  <c r="G63" i="9"/>
  <c r="D63" i="9"/>
  <c r="H63" i="9" s="1"/>
  <c r="G62" i="9"/>
  <c r="D62" i="9"/>
  <c r="G61" i="9"/>
  <c r="D61" i="9"/>
  <c r="H61" i="9" s="1"/>
  <c r="G60" i="9"/>
  <c r="D60" i="9"/>
  <c r="G59" i="9"/>
  <c r="D59" i="9"/>
  <c r="G58" i="9"/>
  <c r="D58" i="9"/>
  <c r="G57" i="9"/>
  <c r="D57" i="9"/>
  <c r="H57" i="9" s="1"/>
  <c r="F52" i="9"/>
  <c r="E52" i="9"/>
  <c r="C52" i="9"/>
  <c r="B52" i="9"/>
  <c r="G51" i="9"/>
  <c r="D51" i="9"/>
  <c r="G50" i="9"/>
  <c r="D50" i="9"/>
  <c r="H50" i="9" s="1"/>
  <c r="G49" i="9"/>
  <c r="D49" i="9"/>
  <c r="G48" i="9"/>
  <c r="D48" i="9"/>
  <c r="G47" i="9"/>
  <c r="D47" i="9"/>
  <c r="G46" i="9"/>
  <c r="D46" i="9"/>
  <c r="G45" i="9"/>
  <c r="D45" i="9"/>
  <c r="G44" i="9"/>
  <c r="D44" i="9"/>
  <c r="G43" i="9"/>
  <c r="D43" i="9"/>
  <c r="G42" i="9"/>
  <c r="D42" i="9"/>
  <c r="G41" i="9"/>
  <c r="D41" i="9"/>
  <c r="G40" i="9"/>
  <c r="D40" i="9"/>
  <c r="G39" i="9"/>
  <c r="D39" i="9"/>
  <c r="H39" i="9" s="1"/>
  <c r="G38" i="9"/>
  <c r="H38" i="9" s="1"/>
  <c r="D38" i="9"/>
  <c r="G37" i="9"/>
  <c r="D37" i="9"/>
  <c r="G36" i="9"/>
  <c r="D36" i="9"/>
  <c r="G35" i="9"/>
  <c r="D35" i="9"/>
  <c r="G34" i="9"/>
  <c r="D34" i="9"/>
  <c r="H34" i="9" s="1"/>
  <c r="G33" i="9"/>
  <c r="D33" i="9"/>
  <c r="G32" i="9"/>
  <c r="D32" i="9"/>
  <c r="G31" i="9"/>
  <c r="D31" i="9"/>
  <c r="G30" i="9"/>
  <c r="D30" i="9"/>
  <c r="G29" i="9"/>
  <c r="D29" i="9"/>
  <c r="G28" i="9"/>
  <c r="D28" i="9"/>
  <c r="G27" i="9"/>
  <c r="D27" i="9"/>
  <c r="G26" i="9"/>
  <c r="D26" i="9"/>
  <c r="G25" i="9"/>
  <c r="D25" i="9"/>
  <c r="G24" i="9"/>
  <c r="D24" i="9"/>
  <c r="G23" i="9"/>
  <c r="D23" i="9"/>
  <c r="H23" i="9" s="1"/>
  <c r="G22" i="9"/>
  <c r="D22" i="9"/>
  <c r="G21" i="9"/>
  <c r="D21" i="9"/>
  <c r="G20" i="9"/>
  <c r="D20" i="9"/>
  <c r="G19" i="9"/>
  <c r="D19" i="9"/>
  <c r="G18" i="9"/>
  <c r="D18" i="9"/>
  <c r="G17" i="9"/>
  <c r="D17" i="9"/>
  <c r="G16" i="9"/>
  <c r="H16" i="9" s="1"/>
  <c r="D16" i="9"/>
  <c r="G15" i="9"/>
  <c r="D15" i="9"/>
  <c r="G14" i="9"/>
  <c r="D14" i="9"/>
  <c r="G13" i="9"/>
  <c r="D13" i="9"/>
  <c r="G12" i="9"/>
  <c r="D12" i="9"/>
  <c r="G11" i="9"/>
  <c r="D11" i="9"/>
  <c r="G10" i="9"/>
  <c r="D10" i="9"/>
  <c r="G9" i="9"/>
  <c r="D9" i="9"/>
  <c r="G8" i="9"/>
  <c r="H8" i="9" s="1"/>
  <c r="D8" i="9"/>
  <c r="G7" i="9"/>
  <c r="D7" i="9"/>
  <c r="A3" i="9"/>
  <c r="B70" i="8"/>
  <c r="C70" i="8"/>
  <c r="G64" i="8"/>
  <c r="G65" i="8"/>
  <c r="G66" i="8"/>
  <c r="D64" i="8"/>
  <c r="H64" i="8" s="1"/>
  <c r="D65" i="8"/>
  <c r="D66" i="8"/>
  <c r="D67" i="8"/>
  <c r="G46" i="8"/>
  <c r="D46" i="8"/>
  <c r="G45" i="8"/>
  <c r="D45" i="8"/>
  <c r="G44" i="8"/>
  <c r="D44" i="8"/>
  <c r="B63" i="7"/>
  <c r="C63" i="7"/>
  <c r="G57" i="7"/>
  <c r="D57" i="7"/>
  <c r="B71" i="6"/>
  <c r="C71" i="6"/>
  <c r="G64" i="6"/>
  <c r="D64" i="6"/>
  <c r="G14" i="6"/>
  <c r="D14" i="6"/>
  <c r="G13" i="6"/>
  <c r="D13" i="6"/>
  <c r="G12" i="6"/>
  <c r="D12" i="6"/>
  <c r="B57" i="6"/>
  <c r="C57" i="6"/>
  <c r="B68" i="17"/>
  <c r="C68" i="17"/>
  <c r="G61" i="17"/>
  <c r="D61" i="17"/>
  <c r="H61" i="17" s="1"/>
  <c r="G9" i="17"/>
  <c r="D9" i="17"/>
  <c r="B54" i="17"/>
  <c r="C54" i="17"/>
  <c r="B65" i="16"/>
  <c r="C65" i="16"/>
  <c r="B68" i="15"/>
  <c r="C68" i="15"/>
  <c r="G15" i="14"/>
  <c r="D15" i="14"/>
  <c r="B56" i="14"/>
  <c r="C56" i="14"/>
  <c r="E56" i="14"/>
  <c r="F56" i="14"/>
  <c r="G46" i="14"/>
  <c r="D46" i="14"/>
  <c r="G45" i="14"/>
  <c r="D45" i="14"/>
  <c r="D47" i="14"/>
  <c r="G47" i="14"/>
  <c r="D48" i="14"/>
  <c r="G48" i="14"/>
  <c r="H48" i="14" s="1"/>
  <c r="B65" i="13"/>
  <c r="C65" i="13"/>
  <c r="F70" i="8"/>
  <c r="E70" i="8"/>
  <c r="G69" i="8"/>
  <c r="D69" i="8"/>
  <c r="G68" i="8"/>
  <c r="D68" i="8"/>
  <c r="G67" i="8"/>
  <c r="G63" i="8"/>
  <c r="D63" i="8"/>
  <c r="G62" i="8"/>
  <c r="D62" i="8"/>
  <c r="H62" i="8" s="1"/>
  <c r="G61" i="8"/>
  <c r="D61" i="8"/>
  <c r="F56" i="8"/>
  <c r="E56" i="8"/>
  <c r="C56" i="8"/>
  <c r="B56" i="8"/>
  <c r="G55" i="8"/>
  <c r="D55" i="8"/>
  <c r="G54" i="8"/>
  <c r="D54" i="8"/>
  <c r="G53" i="8"/>
  <c r="D53" i="8"/>
  <c r="G52" i="8"/>
  <c r="D52" i="8"/>
  <c r="G51" i="8"/>
  <c r="D51" i="8"/>
  <c r="G50" i="8"/>
  <c r="D50" i="8"/>
  <c r="G49" i="8"/>
  <c r="D49" i="8"/>
  <c r="G48" i="8"/>
  <c r="D48" i="8"/>
  <c r="G47" i="8"/>
  <c r="D47" i="8"/>
  <c r="G43" i="8"/>
  <c r="D43" i="8"/>
  <c r="G42" i="8"/>
  <c r="D42" i="8"/>
  <c r="G41" i="8"/>
  <c r="D41" i="8"/>
  <c r="G40" i="8"/>
  <c r="D40" i="8"/>
  <c r="G39" i="8"/>
  <c r="D39" i="8"/>
  <c r="G38" i="8"/>
  <c r="D38" i="8"/>
  <c r="G37" i="8"/>
  <c r="D37" i="8"/>
  <c r="G36" i="8"/>
  <c r="D36" i="8"/>
  <c r="G35" i="8"/>
  <c r="D35" i="8"/>
  <c r="G34" i="8"/>
  <c r="D34" i="8"/>
  <c r="G33" i="8"/>
  <c r="D33" i="8"/>
  <c r="G32" i="8"/>
  <c r="D32" i="8"/>
  <c r="G31" i="8"/>
  <c r="D31" i="8"/>
  <c r="G30" i="8"/>
  <c r="D30" i="8"/>
  <c r="G29" i="8"/>
  <c r="D29" i="8"/>
  <c r="G28" i="8"/>
  <c r="D28" i="8"/>
  <c r="G27" i="8"/>
  <c r="D27" i="8"/>
  <c r="G26" i="8"/>
  <c r="D26" i="8"/>
  <c r="G25" i="8"/>
  <c r="D25" i="8"/>
  <c r="G24" i="8"/>
  <c r="D24" i="8"/>
  <c r="G23" i="8"/>
  <c r="D23" i="8"/>
  <c r="G22" i="8"/>
  <c r="D22" i="8"/>
  <c r="G21" i="8"/>
  <c r="D21" i="8"/>
  <c r="G20" i="8"/>
  <c r="D20" i="8"/>
  <c r="G19" i="8"/>
  <c r="D19" i="8"/>
  <c r="G18" i="8"/>
  <c r="D18" i="8"/>
  <c r="G17" i="8"/>
  <c r="D17" i="8"/>
  <c r="G16" i="8"/>
  <c r="D16" i="8"/>
  <c r="G15" i="8"/>
  <c r="D15" i="8"/>
  <c r="G14" i="8"/>
  <c r="D14" i="8"/>
  <c r="G13" i="8"/>
  <c r="D13" i="8"/>
  <c r="G12" i="8"/>
  <c r="D12" i="8"/>
  <c r="G11" i="8"/>
  <c r="D11" i="8"/>
  <c r="G10" i="8"/>
  <c r="D10" i="8"/>
  <c r="G9" i="8"/>
  <c r="D9" i="8"/>
  <c r="G8" i="8"/>
  <c r="D8" i="8"/>
  <c r="G7" i="8"/>
  <c r="D7" i="8"/>
  <c r="A3" i="8"/>
  <c r="F63" i="7"/>
  <c r="E63" i="7"/>
  <c r="G62" i="7"/>
  <c r="D62" i="7"/>
  <c r="H62" i="7" s="1"/>
  <c r="G61" i="7"/>
  <c r="D61" i="7"/>
  <c r="G60" i="7"/>
  <c r="D60" i="7"/>
  <c r="G59" i="7"/>
  <c r="D59" i="7"/>
  <c r="G58" i="7"/>
  <c r="D58" i="7"/>
  <c r="G56" i="7"/>
  <c r="D56" i="7"/>
  <c r="G55" i="7"/>
  <c r="D55" i="7"/>
  <c r="G54" i="7"/>
  <c r="D54" i="7"/>
  <c r="F50" i="7"/>
  <c r="E50" i="7"/>
  <c r="C50" i="7"/>
  <c r="B50" i="7"/>
  <c r="G49" i="7"/>
  <c r="D49" i="7"/>
  <c r="G48" i="7"/>
  <c r="D48" i="7"/>
  <c r="G47" i="7"/>
  <c r="D47" i="7"/>
  <c r="G46" i="7"/>
  <c r="D46" i="7"/>
  <c r="G45" i="7"/>
  <c r="D45" i="7"/>
  <c r="G44" i="7"/>
  <c r="D44" i="7"/>
  <c r="G43" i="7"/>
  <c r="D43" i="7"/>
  <c r="G42" i="7"/>
  <c r="D42" i="7"/>
  <c r="G41" i="7"/>
  <c r="D41" i="7"/>
  <c r="G40" i="7"/>
  <c r="D40" i="7"/>
  <c r="G39" i="7"/>
  <c r="D39" i="7"/>
  <c r="G38" i="7"/>
  <c r="D38" i="7"/>
  <c r="G37" i="7"/>
  <c r="D37" i="7"/>
  <c r="G36" i="7"/>
  <c r="D36" i="7"/>
  <c r="G35" i="7"/>
  <c r="D35" i="7"/>
  <c r="G34" i="7"/>
  <c r="D34" i="7"/>
  <c r="G33" i="7"/>
  <c r="D33" i="7"/>
  <c r="G32" i="7"/>
  <c r="D32" i="7"/>
  <c r="G31" i="7"/>
  <c r="D31" i="7"/>
  <c r="G30" i="7"/>
  <c r="D30" i="7"/>
  <c r="G29" i="7"/>
  <c r="D29" i="7"/>
  <c r="G28" i="7"/>
  <c r="D28" i="7"/>
  <c r="G27" i="7"/>
  <c r="D27" i="7"/>
  <c r="G26" i="7"/>
  <c r="D26" i="7"/>
  <c r="G25" i="7"/>
  <c r="D25" i="7"/>
  <c r="G24" i="7"/>
  <c r="D24" i="7"/>
  <c r="G23" i="7"/>
  <c r="D23" i="7"/>
  <c r="G22" i="7"/>
  <c r="D22" i="7"/>
  <c r="G21" i="7"/>
  <c r="D21" i="7"/>
  <c r="G20" i="7"/>
  <c r="D20" i="7"/>
  <c r="G19" i="7"/>
  <c r="D19" i="7"/>
  <c r="G18" i="7"/>
  <c r="D18" i="7"/>
  <c r="G17" i="7"/>
  <c r="D17" i="7"/>
  <c r="G16" i="7"/>
  <c r="D16" i="7"/>
  <c r="G15" i="7"/>
  <c r="D15" i="7"/>
  <c r="G14" i="7"/>
  <c r="D14" i="7"/>
  <c r="G13" i="7"/>
  <c r="D13" i="7"/>
  <c r="G12" i="7"/>
  <c r="D12" i="7"/>
  <c r="G11" i="7"/>
  <c r="D11" i="7"/>
  <c r="G10" i="7"/>
  <c r="D10" i="7"/>
  <c r="G9" i="7"/>
  <c r="D9" i="7"/>
  <c r="G8" i="7"/>
  <c r="D8" i="7"/>
  <c r="G7" i="7"/>
  <c r="D7" i="7"/>
  <c r="A3" i="7"/>
  <c r="F71" i="6"/>
  <c r="E71" i="6"/>
  <c r="G70" i="6"/>
  <c r="D70" i="6"/>
  <c r="H70" i="6" s="1"/>
  <c r="G69" i="6"/>
  <c r="D69" i="6"/>
  <c r="G68" i="6"/>
  <c r="D68" i="6"/>
  <c r="G67" i="6"/>
  <c r="D67" i="6"/>
  <c r="G66" i="6"/>
  <c r="D66" i="6"/>
  <c r="G65" i="6"/>
  <c r="D65" i="6"/>
  <c r="H65" i="6" s="1"/>
  <c r="G63" i="6"/>
  <c r="D63" i="6"/>
  <c r="H63" i="6" s="1"/>
  <c r="G62" i="6"/>
  <c r="D62" i="6"/>
  <c r="F57" i="6"/>
  <c r="E57" i="6"/>
  <c r="G56" i="6"/>
  <c r="D56" i="6"/>
  <c r="G55" i="6"/>
  <c r="D55" i="6"/>
  <c r="G54" i="6"/>
  <c r="D54" i="6"/>
  <c r="G53" i="6"/>
  <c r="D53" i="6"/>
  <c r="G52" i="6"/>
  <c r="D52" i="6"/>
  <c r="H52" i="6" s="1"/>
  <c r="G51" i="6"/>
  <c r="D51" i="6"/>
  <c r="H51" i="6" s="1"/>
  <c r="G50" i="6"/>
  <c r="D50" i="6"/>
  <c r="G49" i="6"/>
  <c r="D49" i="6"/>
  <c r="G48" i="6"/>
  <c r="D48" i="6"/>
  <c r="G47" i="6"/>
  <c r="D47" i="6"/>
  <c r="G46" i="6"/>
  <c r="D46" i="6"/>
  <c r="G45" i="6"/>
  <c r="D45" i="6"/>
  <c r="G44" i="6"/>
  <c r="D44" i="6"/>
  <c r="G43" i="6"/>
  <c r="D43" i="6"/>
  <c r="G42" i="6"/>
  <c r="D42" i="6"/>
  <c r="G41" i="6"/>
  <c r="D41" i="6"/>
  <c r="G40" i="6"/>
  <c r="D40" i="6"/>
  <c r="G39" i="6"/>
  <c r="D39" i="6"/>
  <c r="G38" i="6"/>
  <c r="D38" i="6"/>
  <c r="G37" i="6"/>
  <c r="D37" i="6"/>
  <c r="G36" i="6"/>
  <c r="D36" i="6"/>
  <c r="H36" i="6" s="1"/>
  <c r="G35" i="6"/>
  <c r="D35" i="6"/>
  <c r="G34" i="6"/>
  <c r="D34" i="6"/>
  <c r="G33" i="6"/>
  <c r="D33" i="6"/>
  <c r="G32" i="6"/>
  <c r="D32" i="6"/>
  <c r="G31" i="6"/>
  <c r="D31" i="6"/>
  <c r="G30" i="6"/>
  <c r="D30" i="6"/>
  <c r="H30" i="6" s="1"/>
  <c r="G29" i="6"/>
  <c r="D29" i="6"/>
  <c r="G28" i="6"/>
  <c r="D28" i="6"/>
  <c r="G27" i="6"/>
  <c r="D27" i="6"/>
  <c r="G26" i="6"/>
  <c r="D26" i="6"/>
  <c r="G25" i="6"/>
  <c r="D25" i="6"/>
  <c r="G24" i="6"/>
  <c r="D24" i="6"/>
  <c r="G23" i="6"/>
  <c r="D23" i="6"/>
  <c r="G22" i="6"/>
  <c r="D22" i="6"/>
  <c r="G21" i="6"/>
  <c r="D21" i="6"/>
  <c r="G20" i="6"/>
  <c r="D20" i="6"/>
  <c r="H20" i="6" s="1"/>
  <c r="G19" i="6"/>
  <c r="D19" i="6"/>
  <c r="H19" i="6" s="1"/>
  <c r="G18" i="6"/>
  <c r="D18" i="6"/>
  <c r="G17" i="6"/>
  <c r="D17" i="6"/>
  <c r="G16" i="6"/>
  <c r="D16" i="6"/>
  <c r="G15" i="6"/>
  <c r="D15" i="6"/>
  <c r="G11" i="6"/>
  <c r="D11" i="6"/>
  <c r="H11" i="6" s="1"/>
  <c r="G10" i="6"/>
  <c r="D10" i="6"/>
  <c r="G9" i="6"/>
  <c r="D9" i="6"/>
  <c r="G8" i="6"/>
  <c r="D8" i="6"/>
  <c r="A3" i="6"/>
  <c r="F68" i="17"/>
  <c r="E68" i="17"/>
  <c r="G67" i="17"/>
  <c r="D67" i="17"/>
  <c r="G66" i="17"/>
  <c r="D66" i="17"/>
  <c r="G65" i="17"/>
  <c r="D65" i="17"/>
  <c r="G64" i="17"/>
  <c r="D64" i="17"/>
  <c r="G63" i="17"/>
  <c r="D63" i="17"/>
  <c r="G62" i="17"/>
  <c r="D62" i="17"/>
  <c r="H62" i="17" s="1"/>
  <c r="G60" i="17"/>
  <c r="D60" i="17"/>
  <c r="H60" i="17" s="1"/>
  <c r="G59" i="17"/>
  <c r="D59" i="17"/>
  <c r="F54" i="17"/>
  <c r="E54" i="17"/>
  <c r="G53" i="17"/>
  <c r="D53" i="17"/>
  <c r="G52" i="17"/>
  <c r="D52" i="17"/>
  <c r="G51" i="17"/>
  <c r="D51" i="17"/>
  <c r="G50" i="17"/>
  <c r="D50" i="17"/>
  <c r="G49" i="17"/>
  <c r="D49" i="17"/>
  <c r="G48" i="17"/>
  <c r="D48" i="17"/>
  <c r="H48" i="17" s="1"/>
  <c r="G47" i="17"/>
  <c r="D47" i="17"/>
  <c r="G46" i="17"/>
  <c r="D46" i="17"/>
  <c r="H46" i="17" s="1"/>
  <c r="G45" i="17"/>
  <c r="D45" i="17"/>
  <c r="G44" i="17"/>
  <c r="D44" i="17"/>
  <c r="G43" i="17"/>
  <c r="D43" i="17"/>
  <c r="G42" i="17"/>
  <c r="D42" i="17"/>
  <c r="G41" i="17"/>
  <c r="D41" i="17"/>
  <c r="G40" i="17"/>
  <c r="D40" i="17"/>
  <c r="G39" i="17"/>
  <c r="D39" i="17"/>
  <c r="G38" i="17"/>
  <c r="D38" i="17"/>
  <c r="H38" i="17" s="1"/>
  <c r="G37" i="17"/>
  <c r="D37" i="17"/>
  <c r="G36" i="17"/>
  <c r="D36" i="17"/>
  <c r="G35" i="17"/>
  <c r="D35" i="17"/>
  <c r="H35" i="17" s="1"/>
  <c r="G34" i="17"/>
  <c r="D34" i="17"/>
  <c r="G33" i="17"/>
  <c r="D33" i="17"/>
  <c r="G32" i="17"/>
  <c r="D32" i="17"/>
  <c r="H32" i="17" s="1"/>
  <c r="G31" i="17"/>
  <c r="D31" i="17"/>
  <c r="G30" i="17"/>
  <c r="D30" i="17"/>
  <c r="H30" i="17" s="1"/>
  <c r="G29" i="17"/>
  <c r="D29" i="17"/>
  <c r="G28" i="17"/>
  <c r="D28" i="17"/>
  <c r="G27" i="17"/>
  <c r="D27" i="17"/>
  <c r="G26" i="17"/>
  <c r="D26" i="17"/>
  <c r="G25" i="17"/>
  <c r="D25" i="17"/>
  <c r="G24" i="17"/>
  <c r="D24" i="17"/>
  <c r="G23" i="17"/>
  <c r="D23" i="17"/>
  <c r="G22" i="17"/>
  <c r="D22" i="17"/>
  <c r="H22" i="17" s="1"/>
  <c r="G21" i="17"/>
  <c r="D21" i="17"/>
  <c r="G20" i="17"/>
  <c r="D20" i="17"/>
  <c r="G19" i="17"/>
  <c r="D19" i="17"/>
  <c r="H19" i="17" s="1"/>
  <c r="G18" i="17"/>
  <c r="D18" i="17"/>
  <c r="G17" i="17"/>
  <c r="D17" i="17"/>
  <c r="G16" i="17"/>
  <c r="D16" i="17"/>
  <c r="H16" i="17" s="1"/>
  <c r="G15" i="17"/>
  <c r="D15" i="17"/>
  <c r="G14" i="17"/>
  <c r="D14" i="17"/>
  <c r="H14" i="17" s="1"/>
  <c r="G13" i="17"/>
  <c r="D13" i="17"/>
  <c r="G12" i="17"/>
  <c r="D12" i="17"/>
  <c r="G11" i="17"/>
  <c r="D11" i="17"/>
  <c r="G10" i="17"/>
  <c r="D10" i="17"/>
  <c r="G8" i="17"/>
  <c r="D8" i="17"/>
  <c r="G7" i="17"/>
  <c r="D7" i="17"/>
  <c r="A3" i="17"/>
  <c r="F65" i="16"/>
  <c r="E65" i="16"/>
  <c r="G64" i="16"/>
  <c r="D64" i="16"/>
  <c r="G63" i="16"/>
  <c r="D63" i="16"/>
  <c r="H63" i="16" s="1"/>
  <c r="G62" i="16"/>
  <c r="D62" i="16"/>
  <c r="H62" i="16" s="1"/>
  <c r="G61" i="16"/>
  <c r="D61" i="16"/>
  <c r="G60" i="16"/>
  <c r="D60" i="16"/>
  <c r="H60" i="16" s="1"/>
  <c r="G59" i="16"/>
  <c r="D59" i="16"/>
  <c r="G58" i="16"/>
  <c r="D58" i="16"/>
  <c r="H58" i="16" s="1"/>
  <c r="G57" i="16"/>
  <c r="D57" i="16"/>
  <c r="F53" i="16"/>
  <c r="E53" i="16"/>
  <c r="C53" i="16"/>
  <c r="B53" i="16"/>
  <c r="G52" i="16"/>
  <c r="D52" i="16"/>
  <c r="G51" i="16"/>
  <c r="D51" i="16"/>
  <c r="G50" i="16"/>
  <c r="D50" i="16"/>
  <c r="G49" i="16"/>
  <c r="D49" i="16"/>
  <c r="G48" i="16"/>
  <c r="D48" i="16"/>
  <c r="G47" i="16"/>
  <c r="D47" i="16"/>
  <c r="G46" i="16"/>
  <c r="D46" i="16"/>
  <c r="G45" i="16"/>
  <c r="D45" i="16"/>
  <c r="G44" i="16"/>
  <c r="D44" i="16"/>
  <c r="G43" i="16"/>
  <c r="D43" i="16"/>
  <c r="G42" i="16"/>
  <c r="D42" i="16"/>
  <c r="G41" i="16"/>
  <c r="D41" i="16"/>
  <c r="G40" i="16"/>
  <c r="D40" i="16"/>
  <c r="G39" i="16"/>
  <c r="D39" i="16"/>
  <c r="G38" i="16"/>
  <c r="D38" i="16"/>
  <c r="G37" i="16"/>
  <c r="D37" i="16"/>
  <c r="G36" i="16"/>
  <c r="D36" i="16"/>
  <c r="G35" i="16"/>
  <c r="D35" i="16"/>
  <c r="G34" i="16"/>
  <c r="D34" i="16"/>
  <c r="G33" i="16"/>
  <c r="D33" i="16"/>
  <c r="G32" i="16"/>
  <c r="D32" i="16"/>
  <c r="G31" i="16"/>
  <c r="D31" i="16"/>
  <c r="G30" i="16"/>
  <c r="D30" i="16"/>
  <c r="G29" i="16"/>
  <c r="D29" i="16"/>
  <c r="G28" i="16"/>
  <c r="D28" i="16"/>
  <c r="G27" i="16"/>
  <c r="D27" i="16"/>
  <c r="G26" i="16"/>
  <c r="D26" i="16"/>
  <c r="G25" i="16"/>
  <c r="D25" i="16"/>
  <c r="G24" i="16"/>
  <c r="D24" i="16"/>
  <c r="G23" i="16"/>
  <c r="D23" i="16"/>
  <c r="G22" i="16"/>
  <c r="D22" i="16"/>
  <c r="G21" i="16"/>
  <c r="D21" i="16"/>
  <c r="G20" i="16"/>
  <c r="D20" i="16"/>
  <c r="G19" i="16"/>
  <c r="D19" i="16"/>
  <c r="G18" i="16"/>
  <c r="D18" i="16"/>
  <c r="G17" i="16"/>
  <c r="D17" i="16"/>
  <c r="G16" i="16"/>
  <c r="D16" i="16"/>
  <c r="G15" i="16"/>
  <c r="D15" i="16"/>
  <c r="G14" i="16"/>
  <c r="D14" i="16"/>
  <c r="G13" i="16"/>
  <c r="D13" i="16"/>
  <c r="G12" i="16"/>
  <c r="D12" i="16"/>
  <c r="G11" i="16"/>
  <c r="D11" i="16"/>
  <c r="G10" i="16"/>
  <c r="D10" i="16"/>
  <c r="G9" i="16"/>
  <c r="D9" i="16"/>
  <c r="G8" i="16"/>
  <c r="D8" i="16"/>
  <c r="G7" i="16"/>
  <c r="D7" i="16"/>
  <c r="A3" i="16"/>
  <c r="F68" i="15"/>
  <c r="E68" i="15"/>
  <c r="G67" i="15"/>
  <c r="D67" i="15"/>
  <c r="H67" i="15" s="1"/>
  <c r="G66" i="15"/>
  <c r="D66" i="15"/>
  <c r="G65" i="15"/>
  <c r="D65" i="15"/>
  <c r="H65" i="15" s="1"/>
  <c r="G64" i="15"/>
  <c r="D64" i="15"/>
  <c r="G63" i="15"/>
  <c r="D63" i="15"/>
  <c r="G62" i="15"/>
  <c r="D62" i="15"/>
  <c r="G61" i="15"/>
  <c r="D61" i="15"/>
  <c r="H61" i="15" s="1"/>
  <c r="G60" i="15"/>
  <c r="D60" i="15"/>
  <c r="F54" i="15"/>
  <c r="E54" i="15"/>
  <c r="C54" i="15"/>
  <c r="B54" i="15"/>
  <c r="G53" i="15"/>
  <c r="D53" i="15"/>
  <c r="G52" i="15"/>
  <c r="D52" i="15"/>
  <c r="G51" i="15"/>
  <c r="D51" i="15"/>
  <c r="H51" i="15" s="1"/>
  <c r="G50" i="15"/>
  <c r="D50" i="15"/>
  <c r="H50" i="15" s="1"/>
  <c r="G49" i="15"/>
  <c r="D49" i="15"/>
  <c r="G48" i="15"/>
  <c r="D48" i="15"/>
  <c r="H48" i="15" s="1"/>
  <c r="G47" i="15"/>
  <c r="D47" i="15"/>
  <c r="G46" i="15"/>
  <c r="D46" i="15"/>
  <c r="H46" i="15" s="1"/>
  <c r="G45" i="15"/>
  <c r="D45" i="15"/>
  <c r="G44" i="15"/>
  <c r="D44" i="15"/>
  <c r="H44" i="15" s="1"/>
  <c r="G43" i="15"/>
  <c r="D43" i="15"/>
  <c r="H43" i="15" s="1"/>
  <c r="G42" i="15"/>
  <c r="D42" i="15"/>
  <c r="G41" i="15"/>
  <c r="D41" i="15"/>
  <c r="G40" i="15"/>
  <c r="D40" i="15"/>
  <c r="G39" i="15"/>
  <c r="D39" i="15"/>
  <c r="G38" i="15"/>
  <c r="D38" i="15"/>
  <c r="H38" i="15" s="1"/>
  <c r="G37" i="15"/>
  <c r="D37" i="15"/>
  <c r="G36" i="15"/>
  <c r="D36" i="15"/>
  <c r="G35" i="15"/>
  <c r="D35" i="15"/>
  <c r="H35" i="15" s="1"/>
  <c r="G34" i="15"/>
  <c r="D34" i="15"/>
  <c r="H34" i="15" s="1"/>
  <c r="G33" i="15"/>
  <c r="D33" i="15"/>
  <c r="G32" i="15"/>
  <c r="D32" i="15"/>
  <c r="H32" i="15" s="1"/>
  <c r="G31" i="15"/>
  <c r="D31" i="15"/>
  <c r="G30" i="15"/>
  <c r="D30" i="15"/>
  <c r="H30" i="15" s="1"/>
  <c r="G29" i="15"/>
  <c r="D29" i="15"/>
  <c r="G28" i="15"/>
  <c r="D28" i="15"/>
  <c r="H28" i="15" s="1"/>
  <c r="G27" i="15"/>
  <c r="D27" i="15"/>
  <c r="H27" i="15" s="1"/>
  <c r="G26" i="15"/>
  <c r="D26" i="15"/>
  <c r="G25" i="15"/>
  <c r="D25" i="15"/>
  <c r="G24" i="15"/>
  <c r="D24" i="15"/>
  <c r="G23" i="15"/>
  <c r="D23" i="15"/>
  <c r="G22" i="15"/>
  <c r="D22" i="15"/>
  <c r="H22" i="15" s="1"/>
  <c r="G21" i="15"/>
  <c r="D21" i="15"/>
  <c r="G20" i="15"/>
  <c r="D20" i="15"/>
  <c r="G19" i="15"/>
  <c r="D19" i="15"/>
  <c r="G18" i="15"/>
  <c r="D18" i="15"/>
  <c r="H18" i="15" s="1"/>
  <c r="G17" i="15"/>
  <c r="D17" i="15"/>
  <c r="G16" i="15"/>
  <c r="D16" i="15"/>
  <c r="G15" i="15"/>
  <c r="D15" i="15"/>
  <c r="G14" i="15"/>
  <c r="D14" i="15"/>
  <c r="G13" i="15"/>
  <c r="D13" i="15"/>
  <c r="G12" i="15"/>
  <c r="D12" i="15"/>
  <c r="G11" i="15"/>
  <c r="D11" i="15"/>
  <c r="H11" i="15" s="1"/>
  <c r="G10" i="15"/>
  <c r="D10" i="15"/>
  <c r="G9" i="15"/>
  <c r="D9" i="15"/>
  <c r="G8" i="15"/>
  <c r="D8" i="15"/>
  <c r="A3" i="15"/>
  <c r="G55" i="14"/>
  <c r="D55" i="14"/>
  <c r="G54" i="14"/>
  <c r="D54" i="14"/>
  <c r="G53" i="14"/>
  <c r="D53" i="14"/>
  <c r="G52" i="14"/>
  <c r="D52" i="14"/>
  <c r="G51" i="14"/>
  <c r="D51" i="14"/>
  <c r="G50" i="14"/>
  <c r="D50" i="14"/>
  <c r="H50" i="14" s="1"/>
  <c r="G49" i="14"/>
  <c r="D49" i="14"/>
  <c r="G44" i="14"/>
  <c r="D44" i="14"/>
  <c r="G43" i="14"/>
  <c r="D43" i="14"/>
  <c r="G42" i="14"/>
  <c r="D42" i="14"/>
  <c r="G41" i="14"/>
  <c r="D41" i="14"/>
  <c r="G40" i="14"/>
  <c r="D40" i="14"/>
  <c r="G39" i="14"/>
  <c r="D39" i="14"/>
  <c r="G38" i="14"/>
  <c r="D38" i="14"/>
  <c r="G37" i="14"/>
  <c r="D37" i="14"/>
  <c r="G36" i="14"/>
  <c r="D36" i="14"/>
  <c r="G35" i="14"/>
  <c r="D35" i="14"/>
  <c r="G34" i="14"/>
  <c r="D34" i="14"/>
  <c r="G33" i="14"/>
  <c r="D33" i="14"/>
  <c r="G32" i="14"/>
  <c r="D32" i="14"/>
  <c r="H32" i="14" s="1"/>
  <c r="G31" i="14"/>
  <c r="D31" i="14"/>
  <c r="G30" i="14"/>
  <c r="D30" i="14"/>
  <c r="G29" i="14"/>
  <c r="D29" i="14"/>
  <c r="G28" i="14"/>
  <c r="D28" i="14"/>
  <c r="G27" i="14"/>
  <c r="D27" i="14"/>
  <c r="G26" i="14"/>
  <c r="D26" i="14"/>
  <c r="G25" i="14"/>
  <c r="D25" i="14"/>
  <c r="G24" i="14"/>
  <c r="D24" i="14"/>
  <c r="G23" i="14"/>
  <c r="D23" i="14"/>
  <c r="G22" i="14"/>
  <c r="D22" i="14"/>
  <c r="G21" i="14"/>
  <c r="D21" i="14"/>
  <c r="G20" i="14"/>
  <c r="D20" i="14"/>
  <c r="G19" i="14"/>
  <c r="D19" i="14"/>
  <c r="G18" i="14"/>
  <c r="D18" i="14"/>
  <c r="G17" i="14"/>
  <c r="D17" i="14"/>
  <c r="G16" i="14"/>
  <c r="D16" i="14"/>
  <c r="H16" i="14" s="1"/>
  <c r="G14" i="14"/>
  <c r="D14" i="14"/>
  <c r="G13" i="14"/>
  <c r="D13" i="14"/>
  <c r="G12" i="14"/>
  <c r="D12" i="14"/>
  <c r="G11" i="14"/>
  <c r="D11" i="14"/>
  <c r="G10" i="14"/>
  <c r="D10" i="14"/>
  <c r="G9" i="14"/>
  <c r="D9" i="14"/>
  <c r="G8" i="14"/>
  <c r="D8" i="14"/>
  <c r="G7" i="14"/>
  <c r="D7" i="14"/>
  <c r="A3" i="14"/>
  <c r="G19" i="13"/>
  <c r="D19" i="13"/>
  <c r="G18" i="13"/>
  <c r="D18" i="13"/>
  <c r="G17" i="13"/>
  <c r="D17" i="13"/>
  <c r="G16" i="13"/>
  <c r="H16" i="13" s="1"/>
  <c r="D16" i="13"/>
  <c r="G15" i="13"/>
  <c r="D15" i="13"/>
  <c r="G14" i="13"/>
  <c r="D14" i="13"/>
  <c r="G13" i="13"/>
  <c r="D13" i="13"/>
  <c r="G12" i="13"/>
  <c r="D12" i="13"/>
  <c r="G11" i="13"/>
  <c r="D11" i="13"/>
  <c r="G10" i="13"/>
  <c r="D10" i="13"/>
  <c r="G38" i="12"/>
  <c r="D38" i="12"/>
  <c r="G37" i="12"/>
  <c r="D37" i="12"/>
  <c r="G36" i="12"/>
  <c r="D36" i="12"/>
  <c r="G35" i="12"/>
  <c r="D35" i="12"/>
  <c r="G34" i="12"/>
  <c r="D34" i="12"/>
  <c r="G33" i="12"/>
  <c r="D33" i="12"/>
  <c r="H33" i="12" s="1"/>
  <c r="G32" i="12"/>
  <c r="D32" i="12"/>
  <c r="H32" i="12" s="1"/>
  <c r="G31" i="12"/>
  <c r="D31" i="12"/>
  <c r="G30" i="12"/>
  <c r="D30" i="12"/>
  <c r="G29" i="12"/>
  <c r="D29" i="12"/>
  <c r="B65" i="12"/>
  <c r="C65" i="12"/>
  <c r="B65" i="11"/>
  <c r="C65" i="11"/>
  <c r="G34" i="11"/>
  <c r="D34" i="11"/>
  <c r="G33" i="11"/>
  <c r="D33" i="11"/>
  <c r="G32" i="11"/>
  <c r="D32" i="11"/>
  <c r="G31" i="11"/>
  <c r="D31" i="11"/>
  <c r="G30" i="11"/>
  <c r="D30" i="11"/>
  <c r="G29" i="11"/>
  <c r="D29" i="11"/>
  <c r="G28" i="11"/>
  <c r="D28" i="11"/>
  <c r="H28" i="11" s="1"/>
  <c r="G27" i="11"/>
  <c r="D27" i="11"/>
  <c r="G26" i="11"/>
  <c r="D26" i="11"/>
  <c r="B52" i="11"/>
  <c r="C52" i="11"/>
  <c r="B64" i="10"/>
  <c r="C64" i="10"/>
  <c r="G58" i="10"/>
  <c r="D58" i="10"/>
  <c r="G57" i="10"/>
  <c r="D57" i="10"/>
  <c r="H57" i="10" s="1"/>
  <c r="G36" i="10"/>
  <c r="D36" i="10"/>
  <c r="G35" i="10"/>
  <c r="D35" i="10"/>
  <c r="G34" i="10"/>
  <c r="D34" i="10"/>
  <c r="G33" i="10"/>
  <c r="D33" i="10"/>
  <c r="G32" i="10"/>
  <c r="D32" i="10"/>
  <c r="G31" i="10"/>
  <c r="D31" i="10"/>
  <c r="G30" i="10"/>
  <c r="D30" i="10"/>
  <c r="H29" i="11" l="1"/>
  <c r="H27" i="16"/>
  <c r="H12" i="17"/>
  <c r="H28" i="17"/>
  <c r="H44" i="17"/>
  <c r="H52" i="17"/>
  <c r="H65" i="17"/>
  <c r="H52" i="2"/>
  <c r="H56" i="2"/>
  <c r="H9" i="2"/>
  <c r="H11" i="2"/>
  <c r="H24" i="2"/>
  <c r="H51" i="2"/>
  <c r="H7" i="2"/>
  <c r="H23" i="2"/>
  <c r="H31" i="2"/>
  <c r="H39" i="2"/>
  <c r="H8" i="2"/>
  <c r="H25" i="2"/>
  <c r="H40" i="2"/>
  <c r="H10" i="2"/>
  <c r="H57" i="2"/>
  <c r="H12" i="2"/>
  <c r="H28" i="2"/>
  <c r="H18" i="2"/>
  <c r="H14" i="2"/>
  <c r="H22" i="2"/>
  <c r="H19" i="2"/>
  <c r="H13" i="2"/>
  <c r="D58" i="2"/>
  <c r="H34" i="2"/>
  <c r="H20" i="2"/>
  <c r="H27" i="2"/>
  <c r="H21" i="2"/>
  <c r="H15" i="2"/>
  <c r="G58" i="2"/>
  <c r="H35" i="2"/>
  <c r="H36" i="2"/>
  <c r="H29" i="2"/>
  <c r="H37" i="2"/>
  <c r="H30" i="2"/>
  <c r="H38" i="2"/>
  <c r="H33" i="2"/>
  <c r="D45" i="2"/>
  <c r="H16" i="2"/>
  <c r="H26" i="2"/>
  <c r="H44" i="2"/>
  <c r="H17" i="2"/>
  <c r="H32" i="2"/>
  <c r="H50" i="3"/>
  <c r="H38" i="3"/>
  <c r="G58" i="3"/>
  <c r="H32" i="3"/>
  <c r="H40" i="3"/>
  <c r="H9" i="3"/>
  <c r="H17" i="3"/>
  <c r="H33" i="3"/>
  <c r="H41" i="3"/>
  <c r="H10" i="3"/>
  <c r="H18" i="3"/>
  <c r="H8" i="3"/>
  <c r="H24" i="3"/>
  <c r="H26" i="3"/>
  <c r="H34" i="3"/>
  <c r="H12" i="3"/>
  <c r="H20" i="3"/>
  <c r="H27" i="3"/>
  <c r="H35" i="3"/>
  <c r="H42" i="3"/>
  <c r="H13" i="3"/>
  <c r="H21" i="3"/>
  <c r="H28" i="3"/>
  <c r="H36" i="3"/>
  <c r="H43" i="3"/>
  <c r="D45" i="3"/>
  <c r="H11" i="3"/>
  <c r="H7" i="3"/>
  <c r="H14" i="3"/>
  <c r="H22" i="3"/>
  <c r="H29" i="3"/>
  <c r="H37" i="3"/>
  <c r="H44" i="3"/>
  <c r="H15" i="3"/>
  <c r="H30" i="3"/>
  <c r="H23" i="3"/>
  <c r="H16" i="3"/>
  <c r="H31" i="3"/>
  <c r="H39" i="3"/>
  <c r="H19" i="3"/>
  <c r="H37" i="5"/>
  <c r="H17" i="5"/>
  <c r="H25" i="5"/>
  <c r="H26" i="5"/>
  <c r="H18" i="5"/>
  <c r="G45" i="2"/>
  <c r="H50" i="2"/>
  <c r="H58" i="3"/>
  <c r="G45" i="3"/>
  <c r="D58" i="3"/>
  <c r="H21" i="5"/>
  <c r="H30" i="5"/>
  <c r="H8" i="5"/>
  <c r="H24" i="5"/>
  <c r="H51" i="5"/>
  <c r="H9" i="5"/>
  <c r="H42" i="5"/>
  <c r="H19" i="5"/>
  <c r="H27" i="5"/>
  <c r="H43" i="5"/>
  <c r="H33" i="5"/>
  <c r="H40" i="5"/>
  <c r="D58" i="5"/>
  <c r="H56" i="5"/>
  <c r="H15" i="5"/>
  <c r="H22" i="5"/>
  <c r="H44" i="5"/>
  <c r="H53" i="5"/>
  <c r="H28" i="5"/>
  <c r="D46" i="5"/>
  <c r="H7" i="5"/>
  <c r="H12" i="5"/>
  <c r="H13" i="5"/>
  <c r="H16" i="5"/>
  <c r="H23" i="5"/>
  <c r="H45" i="5"/>
  <c r="H34" i="5"/>
  <c r="H35" i="5"/>
  <c r="H14" i="5"/>
  <c r="H31" i="5"/>
  <c r="H38" i="5"/>
  <c r="H41" i="5"/>
  <c r="G58" i="5"/>
  <c r="H29" i="5"/>
  <c r="H10" i="5"/>
  <c r="H32" i="5"/>
  <c r="H39" i="5"/>
  <c r="H62" i="4"/>
  <c r="H54" i="4"/>
  <c r="H57" i="4"/>
  <c r="H25" i="4"/>
  <c r="H61" i="4"/>
  <c r="H37" i="4"/>
  <c r="H42" i="4"/>
  <c r="H40" i="4"/>
  <c r="H11" i="4"/>
  <c r="H21" i="4"/>
  <c r="H29" i="4"/>
  <c r="H12" i="4"/>
  <c r="H32" i="4"/>
  <c r="D64" i="4"/>
  <c r="H63" i="4"/>
  <c r="H58" i="4"/>
  <c r="H45" i="4"/>
  <c r="H8" i="4"/>
  <c r="H23" i="4"/>
  <c r="H38" i="4"/>
  <c r="H16" i="4"/>
  <c r="H17" i="4"/>
  <c r="H47" i="4"/>
  <c r="H59" i="4"/>
  <c r="D49" i="4"/>
  <c r="G49" i="4"/>
  <c r="G64" i="4"/>
  <c r="H44" i="4"/>
  <c r="H15" i="4"/>
  <c r="H9" i="4"/>
  <c r="H24" i="4"/>
  <c r="H39" i="4"/>
  <c r="H22" i="4"/>
  <c r="H48" i="4"/>
  <c r="H26" i="4"/>
  <c r="H41" i="4"/>
  <c r="H19" i="4"/>
  <c r="H20" i="4"/>
  <c r="H35" i="4"/>
  <c r="H28" i="4"/>
  <c r="H43" i="4"/>
  <c r="H41" i="9"/>
  <c r="H49" i="9"/>
  <c r="H36" i="9"/>
  <c r="H46" i="9"/>
  <c r="H31" i="9"/>
  <c r="H26" i="9"/>
  <c r="H60" i="9"/>
  <c r="H62" i="9"/>
  <c r="H65" i="9"/>
  <c r="G66" i="9"/>
  <c r="H59" i="9"/>
  <c r="D66" i="9"/>
  <c r="G52" i="9"/>
  <c r="H18" i="9"/>
  <c r="H21" i="9"/>
  <c r="H37" i="9"/>
  <c r="H9" i="9"/>
  <c r="H17" i="9"/>
  <c r="H24" i="9"/>
  <c r="H32" i="9"/>
  <c r="H47" i="9"/>
  <c r="H10" i="9"/>
  <c r="H25" i="9"/>
  <c r="H33" i="9"/>
  <c r="H40" i="9"/>
  <c r="H48" i="9"/>
  <c r="H11" i="9"/>
  <c r="H12" i="9"/>
  <c r="H13" i="9"/>
  <c r="H28" i="9"/>
  <c r="H43" i="9"/>
  <c r="H51" i="9"/>
  <c r="H19" i="9"/>
  <c r="H35" i="9"/>
  <c r="H14" i="9"/>
  <c r="H29" i="9"/>
  <c r="H44" i="9"/>
  <c r="H20" i="9"/>
  <c r="D52" i="9"/>
  <c r="H42" i="9"/>
  <c r="H15" i="9"/>
  <c r="H22" i="9"/>
  <c r="H30" i="9"/>
  <c r="H45" i="9"/>
  <c r="H27" i="9"/>
  <c r="H66" i="8"/>
  <c r="H52" i="5"/>
  <c r="G46" i="5"/>
  <c r="H55" i="4"/>
  <c r="H7" i="4"/>
  <c r="H58" i="9"/>
  <c r="H66" i="9" s="1"/>
  <c r="H7" i="9"/>
  <c r="H46" i="8"/>
  <c r="H65" i="8"/>
  <c r="H69" i="8"/>
  <c r="H44" i="8"/>
  <c r="H15" i="8"/>
  <c r="H45" i="8"/>
  <c r="H27" i="8"/>
  <c r="H49" i="8"/>
  <c r="H11" i="8"/>
  <c r="H43" i="8"/>
  <c r="H67" i="8"/>
  <c r="H68" i="8"/>
  <c r="H31" i="8"/>
  <c r="H50" i="8"/>
  <c r="H63" i="8"/>
  <c r="D70" i="8"/>
  <c r="H41" i="8"/>
  <c r="H39" i="8"/>
  <c r="H25" i="8"/>
  <c r="H42" i="8"/>
  <c r="H28" i="8"/>
  <c r="H21" i="8"/>
  <c r="H36" i="8"/>
  <c r="H54" i="8"/>
  <c r="H24" i="8"/>
  <c r="D56" i="8"/>
  <c r="H14" i="8"/>
  <c r="H29" i="8"/>
  <c r="H47" i="8"/>
  <c r="H9" i="8"/>
  <c r="H32" i="8"/>
  <c r="G70" i="8"/>
  <c r="H26" i="8"/>
  <c r="H53" i="8"/>
  <c r="H7" i="8"/>
  <c r="H22" i="8"/>
  <c r="H37" i="8"/>
  <c r="H55" i="8"/>
  <c r="H17" i="8"/>
  <c r="H51" i="8"/>
  <c r="H52" i="8"/>
  <c r="H16" i="8"/>
  <c r="H10" i="8"/>
  <c r="H40" i="8"/>
  <c r="H18" i="8"/>
  <c r="H33" i="8"/>
  <c r="H19" i="8"/>
  <c r="H34" i="8"/>
  <c r="H12" i="8"/>
  <c r="H20" i="8"/>
  <c r="H35" i="8"/>
  <c r="H13" i="8"/>
  <c r="H30" i="8"/>
  <c r="H48" i="8"/>
  <c r="H8" i="8"/>
  <c r="H23" i="8"/>
  <c r="H38" i="8"/>
  <c r="H32" i="7"/>
  <c r="H48" i="7"/>
  <c r="H61" i="7"/>
  <c r="H11" i="7"/>
  <c r="H43" i="7"/>
  <c r="H60" i="7"/>
  <c r="H14" i="7"/>
  <c r="H46" i="7"/>
  <c r="H58" i="7"/>
  <c r="H57" i="7"/>
  <c r="H56" i="7"/>
  <c r="H21" i="7"/>
  <c r="H30" i="7"/>
  <c r="H39" i="7"/>
  <c r="H33" i="7"/>
  <c r="H26" i="7"/>
  <c r="H27" i="7"/>
  <c r="H40" i="7"/>
  <c r="H41" i="7"/>
  <c r="H18" i="7"/>
  <c r="H7" i="7"/>
  <c r="D63" i="7"/>
  <c r="H15" i="7"/>
  <c r="H59" i="7"/>
  <c r="H13" i="7"/>
  <c r="H29" i="7"/>
  <c r="H36" i="7"/>
  <c r="G63" i="7"/>
  <c r="H23" i="7"/>
  <c r="H8" i="7"/>
  <c r="H45" i="7"/>
  <c r="H55" i="7"/>
  <c r="H28" i="7"/>
  <c r="D50" i="7"/>
  <c r="H44" i="7"/>
  <c r="H22" i="7"/>
  <c r="H37" i="7"/>
  <c r="H34" i="7"/>
  <c r="H38" i="7"/>
  <c r="H42" i="7"/>
  <c r="H35" i="7"/>
  <c r="H9" i="7"/>
  <c r="H16" i="7"/>
  <c r="H24" i="7"/>
  <c r="H31" i="7"/>
  <c r="H12" i="7"/>
  <c r="H10" i="7"/>
  <c r="H17" i="7"/>
  <c r="H25" i="7"/>
  <c r="H47" i="7"/>
  <c r="H19" i="7"/>
  <c r="H49" i="7"/>
  <c r="H20" i="7"/>
  <c r="H64" i="6"/>
  <c r="H66" i="6"/>
  <c r="H14" i="6"/>
  <c r="H15" i="6"/>
  <c r="H31" i="6"/>
  <c r="H67" i="6"/>
  <c r="H35" i="6"/>
  <c r="H12" i="6"/>
  <c r="H13" i="6"/>
  <c r="H69" i="6"/>
  <c r="G57" i="6"/>
  <c r="D71" i="6"/>
  <c r="G71" i="6"/>
  <c r="H47" i="6"/>
  <c r="H68" i="6"/>
  <c r="H28" i="6"/>
  <c r="H50" i="6"/>
  <c r="H45" i="6"/>
  <c r="H46" i="6"/>
  <c r="H43" i="6"/>
  <c r="H29" i="6"/>
  <c r="H38" i="6"/>
  <c r="H39" i="6"/>
  <c r="H8" i="6"/>
  <c r="H26" i="6"/>
  <c r="H33" i="6"/>
  <c r="H48" i="6"/>
  <c r="H44" i="6"/>
  <c r="H22" i="6"/>
  <c r="H37" i="6"/>
  <c r="H23" i="6"/>
  <c r="H24" i="6"/>
  <c r="H17" i="6"/>
  <c r="H54" i="6"/>
  <c r="D57" i="6"/>
  <c r="H40" i="6"/>
  <c r="H55" i="6"/>
  <c r="H9" i="6"/>
  <c r="H41" i="6"/>
  <c r="H56" i="6"/>
  <c r="H53" i="6"/>
  <c r="H32" i="6"/>
  <c r="H16" i="6"/>
  <c r="H25" i="6"/>
  <c r="H18" i="6"/>
  <c r="H27" i="6"/>
  <c r="H34" i="6"/>
  <c r="H49" i="6"/>
  <c r="H10" i="6"/>
  <c r="H42" i="6"/>
  <c r="H67" i="17"/>
  <c r="H9" i="17"/>
  <c r="H51" i="17"/>
  <c r="H66" i="17"/>
  <c r="H10" i="17"/>
  <c r="H18" i="17"/>
  <c r="H26" i="17"/>
  <c r="H34" i="17"/>
  <c r="H42" i="17"/>
  <c r="H50" i="17"/>
  <c r="H63" i="17"/>
  <c r="G68" i="17"/>
  <c r="H64" i="17"/>
  <c r="H8" i="17"/>
  <c r="H25" i="17"/>
  <c r="H33" i="17"/>
  <c r="H41" i="17"/>
  <c r="D68" i="17"/>
  <c r="H31" i="17"/>
  <c r="H39" i="17"/>
  <c r="H24" i="17"/>
  <c r="H40" i="17"/>
  <c r="H11" i="17"/>
  <c r="H49" i="17"/>
  <c r="H27" i="17"/>
  <c r="H13" i="17"/>
  <c r="D54" i="17"/>
  <c r="H23" i="17"/>
  <c r="H45" i="17"/>
  <c r="H20" i="17"/>
  <c r="H43" i="17"/>
  <c r="H21" i="17"/>
  <c r="H36" i="17"/>
  <c r="H29" i="17"/>
  <c r="H37" i="17"/>
  <c r="H7" i="17"/>
  <c r="H15" i="17"/>
  <c r="H53" i="17"/>
  <c r="H17" i="17"/>
  <c r="H47" i="17"/>
  <c r="H64" i="16"/>
  <c r="H13" i="16"/>
  <c r="H21" i="16"/>
  <c r="H28" i="16"/>
  <c r="H46" i="16"/>
  <c r="D65" i="16"/>
  <c r="H15" i="16"/>
  <c r="H23" i="16"/>
  <c r="G65" i="16"/>
  <c r="H36" i="16"/>
  <c r="H52" i="16"/>
  <c r="H32" i="16"/>
  <c r="H40" i="16"/>
  <c r="H44" i="16"/>
  <c r="H59" i="16"/>
  <c r="H9" i="16"/>
  <c r="H43" i="16"/>
  <c r="H35" i="16"/>
  <c r="H61" i="16"/>
  <c r="G53" i="16"/>
  <c r="H11" i="16"/>
  <c r="D53" i="16"/>
  <c r="H14" i="16"/>
  <c r="H45" i="16"/>
  <c r="H7" i="16"/>
  <c r="H30" i="16"/>
  <c r="H38" i="16"/>
  <c r="H8" i="16"/>
  <c r="H31" i="16"/>
  <c r="H39" i="16"/>
  <c r="H16" i="16"/>
  <c r="H24" i="16"/>
  <c r="H47" i="16"/>
  <c r="H48" i="16"/>
  <c r="H29" i="16"/>
  <c r="H17" i="16"/>
  <c r="H10" i="16"/>
  <c r="H33" i="16"/>
  <c r="H18" i="16"/>
  <c r="H49" i="16"/>
  <c r="H37" i="16"/>
  <c r="H41" i="16"/>
  <c r="H26" i="16"/>
  <c r="H34" i="16"/>
  <c r="H42" i="16"/>
  <c r="H25" i="16"/>
  <c r="H19" i="16"/>
  <c r="H50" i="16"/>
  <c r="H12" i="16"/>
  <c r="H20" i="16"/>
  <c r="H51" i="16"/>
  <c r="H62" i="15"/>
  <c r="H63" i="15"/>
  <c r="D68" i="15"/>
  <c r="H19" i="15"/>
  <c r="H64" i="15"/>
  <c r="G68" i="15"/>
  <c r="H12" i="15"/>
  <c r="H26" i="15"/>
  <c r="H60" i="15"/>
  <c r="H47" i="15"/>
  <c r="H66" i="15"/>
  <c r="H14" i="15"/>
  <c r="H16" i="15"/>
  <c r="H8" i="15"/>
  <c r="H21" i="15"/>
  <c r="H42" i="15"/>
  <c r="H49" i="15"/>
  <c r="H29" i="15"/>
  <c r="H39" i="15"/>
  <c r="H53" i="15"/>
  <c r="H23" i="15"/>
  <c r="H10" i="15"/>
  <c r="H17" i="15"/>
  <c r="H31" i="15"/>
  <c r="H45" i="15"/>
  <c r="H25" i="15"/>
  <c r="H52" i="15"/>
  <c r="H33" i="15"/>
  <c r="H40" i="15"/>
  <c r="H9" i="15"/>
  <c r="D54" i="15"/>
  <c r="H15" i="15"/>
  <c r="H36" i="15"/>
  <c r="H37" i="15"/>
  <c r="H24" i="15"/>
  <c r="H13" i="15"/>
  <c r="H20" i="15"/>
  <c r="H41" i="15"/>
  <c r="H17" i="14"/>
  <c r="H15" i="14"/>
  <c r="H47" i="14"/>
  <c r="H51" i="14"/>
  <c r="H46" i="14"/>
  <c r="H45" i="14"/>
  <c r="H33" i="14"/>
  <c r="H11" i="14"/>
  <c r="H28" i="14"/>
  <c r="H44" i="14"/>
  <c r="H41" i="14"/>
  <c r="H9" i="14"/>
  <c r="H26" i="14"/>
  <c r="H18" i="14"/>
  <c r="H10" i="14"/>
  <c r="H19" i="14"/>
  <c r="H42" i="14"/>
  <c r="H52" i="14"/>
  <c r="H55" i="14"/>
  <c r="H35" i="14"/>
  <c r="H21" i="14"/>
  <c r="H53" i="14"/>
  <c r="H13" i="14"/>
  <c r="H29" i="14"/>
  <c r="H37" i="14"/>
  <c r="D56" i="14"/>
  <c r="H23" i="14"/>
  <c r="H38" i="14"/>
  <c r="H24" i="14"/>
  <c r="H39" i="14"/>
  <c r="H49" i="14"/>
  <c r="H27" i="14"/>
  <c r="H20" i="14"/>
  <c r="H43" i="14"/>
  <c r="H12" i="14"/>
  <c r="H14" i="14"/>
  <c r="H30" i="14"/>
  <c r="H31" i="14"/>
  <c r="H8" i="14"/>
  <c r="H25" i="14"/>
  <c r="H40" i="14"/>
  <c r="H34" i="14"/>
  <c r="H36" i="14"/>
  <c r="H22" i="14"/>
  <c r="H54" i="14"/>
  <c r="H7" i="14"/>
  <c r="H14" i="13"/>
  <c r="H19" i="13"/>
  <c r="H13" i="13"/>
  <c r="H10" i="13"/>
  <c r="H11" i="13"/>
  <c r="H12" i="13"/>
  <c r="H15" i="13"/>
  <c r="H17" i="13"/>
  <c r="H18" i="13"/>
  <c r="G56" i="8"/>
  <c r="H61" i="8"/>
  <c r="H54" i="7"/>
  <c r="G50" i="7"/>
  <c r="H21" i="6"/>
  <c r="H62" i="6"/>
  <c r="G54" i="17"/>
  <c r="H59" i="17"/>
  <c r="H22" i="16"/>
  <c r="H57" i="16"/>
  <c r="H68" i="15"/>
  <c r="G54" i="15"/>
  <c r="G56" i="14"/>
  <c r="H31" i="12"/>
  <c r="H34" i="12"/>
  <c r="H36" i="12"/>
  <c r="H35" i="12"/>
  <c r="H29" i="12"/>
  <c r="H37" i="12"/>
  <c r="H30" i="12"/>
  <c r="H38" i="12"/>
  <c r="H27" i="11"/>
  <c r="H26" i="11"/>
  <c r="H30" i="11"/>
  <c r="H32" i="11"/>
  <c r="H33" i="11"/>
  <c r="H31" i="11"/>
  <c r="H34" i="11"/>
  <c r="H58" i="10"/>
  <c r="H34" i="10"/>
  <c r="H30" i="10"/>
  <c r="H31" i="10"/>
  <c r="H32" i="10"/>
  <c r="H33" i="10"/>
  <c r="H35" i="10"/>
  <c r="H36" i="10"/>
  <c r="F65" i="13"/>
  <c r="E65" i="13"/>
  <c r="G64" i="13"/>
  <c r="D64" i="13"/>
  <c r="G63" i="13"/>
  <c r="D63" i="13"/>
  <c r="G62" i="13"/>
  <c r="D62" i="13"/>
  <c r="G61" i="13"/>
  <c r="D61" i="13"/>
  <c r="H61" i="13" s="1"/>
  <c r="G60" i="13"/>
  <c r="D60" i="13"/>
  <c r="G59" i="13"/>
  <c r="D59" i="13"/>
  <c r="G58" i="13"/>
  <c r="D58" i="13"/>
  <c r="G57" i="13"/>
  <c r="D57" i="13"/>
  <c r="F53" i="13"/>
  <c r="E53" i="13"/>
  <c r="C53" i="13"/>
  <c r="B53" i="13"/>
  <c r="G52" i="13"/>
  <c r="D52" i="13"/>
  <c r="G51" i="13"/>
  <c r="D51" i="13"/>
  <c r="G50" i="13"/>
  <c r="D50" i="13"/>
  <c r="G49" i="13"/>
  <c r="D49" i="13"/>
  <c r="G48" i="13"/>
  <c r="D48" i="13"/>
  <c r="G47" i="13"/>
  <c r="D47" i="13"/>
  <c r="G46" i="13"/>
  <c r="D46" i="13"/>
  <c r="G45" i="13"/>
  <c r="D45" i="13"/>
  <c r="G44" i="13"/>
  <c r="D44" i="13"/>
  <c r="G43" i="13"/>
  <c r="D43" i="13"/>
  <c r="G42" i="13"/>
  <c r="D42" i="13"/>
  <c r="G41" i="13"/>
  <c r="D41" i="13"/>
  <c r="G40" i="13"/>
  <c r="D40" i="13"/>
  <c r="G39" i="13"/>
  <c r="D39" i="13"/>
  <c r="G38" i="13"/>
  <c r="D38" i="13"/>
  <c r="G37" i="13"/>
  <c r="D37" i="13"/>
  <c r="G36" i="13"/>
  <c r="D36" i="13"/>
  <c r="G35" i="13"/>
  <c r="D35" i="13"/>
  <c r="G34" i="13"/>
  <c r="D34" i="13"/>
  <c r="G33" i="13"/>
  <c r="D33" i="13"/>
  <c r="G32" i="13"/>
  <c r="D32" i="13"/>
  <c r="G31" i="13"/>
  <c r="D31" i="13"/>
  <c r="G30" i="13"/>
  <c r="D30" i="13"/>
  <c r="G29" i="13"/>
  <c r="D29" i="13"/>
  <c r="G28" i="13"/>
  <c r="D28" i="13"/>
  <c r="H28" i="13" s="1"/>
  <c r="G27" i="13"/>
  <c r="D27" i="13"/>
  <c r="G26" i="13"/>
  <c r="D26" i="13"/>
  <c r="G25" i="13"/>
  <c r="D25" i="13"/>
  <c r="G24" i="13"/>
  <c r="D24" i="13"/>
  <c r="G23" i="13"/>
  <c r="D23" i="13"/>
  <c r="G22" i="13"/>
  <c r="D22" i="13"/>
  <c r="G21" i="13"/>
  <c r="D21" i="13"/>
  <c r="G20" i="13"/>
  <c r="D20" i="13"/>
  <c r="G9" i="13"/>
  <c r="D9" i="13"/>
  <c r="G8" i="13"/>
  <c r="D8" i="13"/>
  <c r="G7" i="13"/>
  <c r="D7" i="13"/>
  <c r="A3" i="13"/>
  <c r="F65" i="12"/>
  <c r="E65" i="12"/>
  <c r="G64" i="12"/>
  <c r="D64" i="12"/>
  <c r="G63" i="12"/>
  <c r="D63" i="12"/>
  <c r="G62" i="12"/>
  <c r="D62" i="12"/>
  <c r="G61" i="12"/>
  <c r="D61" i="12"/>
  <c r="G60" i="12"/>
  <c r="D60" i="12"/>
  <c r="G59" i="12"/>
  <c r="D59" i="12"/>
  <c r="G58" i="12"/>
  <c r="D58" i="12"/>
  <c r="H58" i="12" s="1"/>
  <c r="G57" i="12"/>
  <c r="D57" i="12"/>
  <c r="F53" i="12"/>
  <c r="E53" i="12"/>
  <c r="C53" i="12"/>
  <c r="B53" i="12"/>
  <c r="G52" i="12"/>
  <c r="D52" i="12"/>
  <c r="G51" i="12"/>
  <c r="D51" i="12"/>
  <c r="G50" i="12"/>
  <c r="D50" i="12"/>
  <c r="G49" i="12"/>
  <c r="D49" i="12"/>
  <c r="G48" i="12"/>
  <c r="D48" i="12"/>
  <c r="H48" i="12" s="1"/>
  <c r="G47" i="12"/>
  <c r="D47" i="12"/>
  <c r="G46" i="12"/>
  <c r="D46" i="12"/>
  <c r="G45" i="12"/>
  <c r="D45" i="12"/>
  <c r="G44" i="12"/>
  <c r="D44" i="12"/>
  <c r="G43" i="12"/>
  <c r="D43" i="12"/>
  <c r="H43" i="12" s="1"/>
  <c r="G42" i="12"/>
  <c r="D42" i="12"/>
  <c r="G41" i="12"/>
  <c r="D41" i="12"/>
  <c r="G40" i="12"/>
  <c r="D40" i="12"/>
  <c r="G39" i="12"/>
  <c r="H39" i="12" s="1"/>
  <c r="D39" i="12"/>
  <c r="G28" i="12"/>
  <c r="D28" i="12"/>
  <c r="G27" i="12"/>
  <c r="D27" i="12"/>
  <c r="G26" i="12"/>
  <c r="D26" i="12"/>
  <c r="G25" i="12"/>
  <c r="D25" i="12"/>
  <c r="G24" i="12"/>
  <c r="D24" i="12"/>
  <c r="G23" i="12"/>
  <c r="D23" i="12"/>
  <c r="G22" i="12"/>
  <c r="D22" i="12"/>
  <c r="H22" i="12" s="1"/>
  <c r="G21" i="12"/>
  <c r="H21" i="12" s="1"/>
  <c r="D21" i="12"/>
  <c r="G20" i="12"/>
  <c r="D20" i="12"/>
  <c r="G19" i="12"/>
  <c r="D19" i="12"/>
  <c r="G18" i="12"/>
  <c r="D18" i="12"/>
  <c r="G17" i="12"/>
  <c r="D17" i="12"/>
  <c r="G16" i="12"/>
  <c r="D16" i="12"/>
  <c r="H16" i="12" s="1"/>
  <c r="G15" i="12"/>
  <c r="D15" i="12"/>
  <c r="G14" i="12"/>
  <c r="D14" i="12"/>
  <c r="G13" i="12"/>
  <c r="H13" i="12" s="1"/>
  <c r="D13" i="12"/>
  <c r="G12" i="12"/>
  <c r="D12" i="12"/>
  <c r="G11" i="12"/>
  <c r="D11" i="12"/>
  <c r="G10" i="12"/>
  <c r="D10" i="12"/>
  <c r="G9" i="12"/>
  <c r="D9" i="12"/>
  <c r="H9" i="12" s="1"/>
  <c r="G8" i="12"/>
  <c r="D8" i="12"/>
  <c r="G7" i="12"/>
  <c r="D7" i="12"/>
  <c r="A3" i="12"/>
  <c r="F65" i="11"/>
  <c r="E65" i="11"/>
  <c r="G64" i="11"/>
  <c r="D64" i="11"/>
  <c r="G63" i="11"/>
  <c r="D63" i="11"/>
  <c r="G62" i="11"/>
  <c r="D62" i="11"/>
  <c r="G61" i="11"/>
  <c r="D61" i="11"/>
  <c r="G60" i="11"/>
  <c r="D60" i="11"/>
  <c r="H60" i="11" s="1"/>
  <c r="G59" i="11"/>
  <c r="D59" i="11"/>
  <c r="G58" i="11"/>
  <c r="D58" i="11"/>
  <c r="G57" i="11"/>
  <c r="D57" i="11"/>
  <c r="F52" i="11"/>
  <c r="E52" i="11"/>
  <c r="G51" i="11"/>
  <c r="D51" i="11"/>
  <c r="G50" i="11"/>
  <c r="D50" i="11"/>
  <c r="G49" i="11"/>
  <c r="D49" i="11"/>
  <c r="H49" i="11" s="1"/>
  <c r="G48" i="11"/>
  <c r="D48" i="11"/>
  <c r="G47" i="11"/>
  <c r="D47" i="11"/>
  <c r="G46" i="11"/>
  <c r="D46" i="11"/>
  <c r="G45" i="11"/>
  <c r="D45" i="11"/>
  <c r="G44" i="11"/>
  <c r="D44" i="11"/>
  <c r="G43" i="11"/>
  <c r="D43" i="11"/>
  <c r="G42" i="11"/>
  <c r="D42" i="11"/>
  <c r="H42" i="11" s="1"/>
  <c r="G41" i="11"/>
  <c r="D41" i="11"/>
  <c r="H41" i="11" s="1"/>
  <c r="G40" i="11"/>
  <c r="D40" i="11"/>
  <c r="G39" i="11"/>
  <c r="D39" i="11"/>
  <c r="G38" i="11"/>
  <c r="D38" i="11"/>
  <c r="G37" i="11"/>
  <c r="D37" i="11"/>
  <c r="G36" i="11"/>
  <c r="D36" i="11"/>
  <c r="G35" i="11"/>
  <c r="D35" i="11"/>
  <c r="G25" i="11"/>
  <c r="D25" i="11"/>
  <c r="G24" i="11"/>
  <c r="D24" i="11"/>
  <c r="H24" i="11" s="1"/>
  <c r="G23" i="11"/>
  <c r="D23" i="11"/>
  <c r="G22" i="11"/>
  <c r="D22" i="11"/>
  <c r="G21" i="11"/>
  <c r="D21" i="11"/>
  <c r="G20" i="11"/>
  <c r="D20" i="11"/>
  <c r="G19" i="11"/>
  <c r="D19" i="11"/>
  <c r="G18" i="11"/>
  <c r="D18" i="11"/>
  <c r="G17" i="11"/>
  <c r="D17" i="11"/>
  <c r="H17" i="11" s="1"/>
  <c r="G16" i="11"/>
  <c r="D16" i="11"/>
  <c r="G15" i="11"/>
  <c r="D15" i="11"/>
  <c r="G14" i="11"/>
  <c r="D14" i="11"/>
  <c r="G13" i="11"/>
  <c r="D13" i="11"/>
  <c r="G12" i="11"/>
  <c r="D12" i="11"/>
  <c r="G11" i="11"/>
  <c r="D11" i="11"/>
  <c r="G10" i="11"/>
  <c r="D10" i="11"/>
  <c r="G9" i="11"/>
  <c r="D9" i="11"/>
  <c r="G8" i="11"/>
  <c r="D8" i="11"/>
  <c r="H8" i="11" s="1"/>
  <c r="G7" i="11"/>
  <c r="D7" i="11"/>
  <c r="A3" i="11"/>
  <c r="F64" i="10"/>
  <c r="E64" i="10"/>
  <c r="G63" i="10"/>
  <c r="D63" i="10"/>
  <c r="H63" i="10" s="1"/>
  <c r="G62" i="10"/>
  <c r="D62" i="10"/>
  <c r="H62" i="10" s="1"/>
  <c r="G61" i="10"/>
  <c r="D61" i="10"/>
  <c r="G60" i="10"/>
  <c r="D60" i="10"/>
  <c r="G59" i="10"/>
  <c r="D59" i="10"/>
  <c r="G56" i="10"/>
  <c r="D56" i="10"/>
  <c r="G55" i="10"/>
  <c r="D55" i="10"/>
  <c r="H55" i="10" s="1"/>
  <c r="G54" i="10"/>
  <c r="D54" i="10"/>
  <c r="H54" i="10" s="1"/>
  <c r="F50" i="10"/>
  <c r="E50" i="10"/>
  <c r="C50" i="10"/>
  <c r="B50" i="10"/>
  <c r="G49" i="10"/>
  <c r="D49" i="10"/>
  <c r="G48" i="10"/>
  <c r="D48" i="10"/>
  <c r="G47" i="10"/>
  <c r="D47" i="10"/>
  <c r="G46" i="10"/>
  <c r="D46" i="10"/>
  <c r="G45" i="10"/>
  <c r="D45" i="10"/>
  <c r="G44" i="10"/>
  <c r="D44" i="10"/>
  <c r="G43" i="10"/>
  <c r="D43" i="10"/>
  <c r="G42" i="10"/>
  <c r="D42" i="10"/>
  <c r="G41" i="10"/>
  <c r="D41" i="10"/>
  <c r="G40" i="10"/>
  <c r="D40" i="10"/>
  <c r="G39" i="10"/>
  <c r="D39" i="10"/>
  <c r="G38" i="10"/>
  <c r="D38" i="10"/>
  <c r="G37" i="10"/>
  <c r="D37" i="10"/>
  <c r="G29" i="10"/>
  <c r="D29" i="10"/>
  <c r="H29" i="10" s="1"/>
  <c r="G28" i="10"/>
  <c r="D28" i="10"/>
  <c r="G27" i="10"/>
  <c r="D27" i="10"/>
  <c r="G26" i="10"/>
  <c r="D26" i="10"/>
  <c r="G25" i="10"/>
  <c r="D25" i="10"/>
  <c r="G24" i="10"/>
  <c r="D24" i="10"/>
  <c r="G23" i="10"/>
  <c r="D23" i="10"/>
  <c r="G22" i="10"/>
  <c r="D22" i="10"/>
  <c r="G21" i="10"/>
  <c r="D21" i="10"/>
  <c r="G20" i="10"/>
  <c r="D20" i="10"/>
  <c r="G19" i="10"/>
  <c r="D19" i="10"/>
  <c r="G18" i="10"/>
  <c r="D18" i="10"/>
  <c r="G17" i="10"/>
  <c r="D17" i="10"/>
  <c r="G16" i="10"/>
  <c r="D16" i="10"/>
  <c r="G15" i="10"/>
  <c r="D15" i="10"/>
  <c r="G14" i="10"/>
  <c r="D14" i="10"/>
  <c r="G13" i="10"/>
  <c r="D13" i="10"/>
  <c r="H13" i="10" s="1"/>
  <c r="G12" i="10"/>
  <c r="D12" i="10"/>
  <c r="G11" i="10"/>
  <c r="D11" i="10"/>
  <c r="G10" i="10"/>
  <c r="D10" i="10"/>
  <c r="G9" i="10"/>
  <c r="D9" i="10"/>
  <c r="G8" i="10"/>
  <c r="D8" i="10"/>
  <c r="G7" i="10"/>
  <c r="D7" i="10"/>
  <c r="A3" i="10"/>
  <c r="A3" i="1"/>
  <c r="H20" i="11" l="1"/>
  <c r="H57" i="11"/>
  <c r="H45" i="12"/>
  <c r="H12" i="12"/>
  <c r="H28" i="12"/>
  <c r="H64" i="13"/>
  <c r="H58" i="2"/>
  <c r="H45" i="2"/>
  <c r="H45" i="3"/>
  <c r="H46" i="5"/>
  <c r="H58" i="5"/>
  <c r="H64" i="4"/>
  <c r="H49" i="4"/>
  <c r="H52" i="9"/>
  <c r="H56" i="8"/>
  <c r="H70" i="8"/>
  <c r="H50" i="7"/>
  <c r="H63" i="7"/>
  <c r="H71" i="6"/>
  <c r="H57" i="6"/>
  <c r="H68" i="17"/>
  <c r="H54" i="17"/>
  <c r="H65" i="16"/>
  <c r="H53" i="16"/>
  <c r="H54" i="15"/>
  <c r="H56" i="14"/>
  <c r="H23" i="13"/>
  <c r="H48" i="13"/>
  <c r="H37" i="13"/>
  <c r="H42" i="13"/>
  <c r="H36" i="13"/>
  <c r="H44" i="13"/>
  <c r="H32" i="13"/>
  <c r="H29" i="13"/>
  <c r="H60" i="13"/>
  <c r="H35" i="13"/>
  <c r="H43" i="13"/>
  <c r="H21" i="13"/>
  <c r="H30" i="13"/>
  <c r="H38" i="13"/>
  <c r="H31" i="13"/>
  <c r="H39" i="13"/>
  <c r="H47" i="13"/>
  <c r="H24" i="13"/>
  <c r="H40" i="13"/>
  <c r="H59" i="13"/>
  <c r="H62" i="13"/>
  <c r="H63" i="13"/>
  <c r="H58" i="13"/>
  <c r="H50" i="13"/>
  <c r="H51" i="13"/>
  <c r="D53" i="13"/>
  <c r="H45" i="13"/>
  <c r="H52" i="13"/>
  <c r="H25" i="13"/>
  <c r="H46" i="13"/>
  <c r="D65" i="13"/>
  <c r="H20" i="13"/>
  <c r="H27" i="13"/>
  <c r="G65" i="13"/>
  <c r="H34" i="13"/>
  <c r="H41" i="13"/>
  <c r="H8" i="13"/>
  <c r="H33" i="13"/>
  <c r="H7" i="13"/>
  <c r="H9" i="13"/>
  <c r="H26" i="13"/>
  <c r="H22" i="13"/>
  <c r="H49" i="13"/>
  <c r="H42" i="12"/>
  <c r="H17" i="12"/>
  <c r="H25" i="12"/>
  <c r="H14" i="12"/>
  <c r="H40" i="12"/>
  <c r="H8" i="12"/>
  <c r="H24" i="12"/>
  <c r="H50" i="12"/>
  <c r="H51" i="12"/>
  <c r="H47" i="12"/>
  <c r="H52" i="12"/>
  <c r="H20" i="12"/>
  <c r="D53" i="12"/>
  <c r="H27" i="12"/>
  <c r="H7" i="12"/>
  <c r="H44" i="12"/>
  <c r="H61" i="12"/>
  <c r="H62" i="12"/>
  <c r="H23" i="12"/>
  <c r="H11" i="12"/>
  <c r="H49" i="12"/>
  <c r="H46" i="12"/>
  <c r="H18" i="12"/>
  <c r="H15" i="12"/>
  <c r="H41" i="12"/>
  <c r="H10" i="12"/>
  <c r="H19" i="12"/>
  <c r="H26" i="12"/>
  <c r="H63" i="12"/>
  <c r="H64" i="12"/>
  <c r="G65" i="12"/>
  <c r="H59" i="12"/>
  <c r="H60" i="12"/>
  <c r="D65" i="12"/>
  <c r="H57" i="12"/>
  <c r="H44" i="11"/>
  <c r="H59" i="11"/>
  <c r="H51" i="11"/>
  <c r="H45" i="11"/>
  <c r="H64" i="11"/>
  <c r="H61" i="11"/>
  <c r="H16" i="11"/>
  <c r="H11" i="11"/>
  <c r="H19" i="11"/>
  <c r="H36" i="11"/>
  <c r="H62" i="11"/>
  <c r="D65" i="11"/>
  <c r="H63" i="11"/>
  <c r="H21" i="11"/>
  <c r="H46" i="11"/>
  <c r="H37" i="11"/>
  <c r="H9" i="11"/>
  <c r="H23" i="11"/>
  <c r="H39" i="11"/>
  <c r="H40" i="11"/>
  <c r="H10" i="11"/>
  <c r="H13" i="11"/>
  <c r="H43" i="11"/>
  <c r="D52" i="11"/>
  <c r="H50" i="11"/>
  <c r="H35" i="11"/>
  <c r="H7" i="11"/>
  <c r="H14" i="11"/>
  <c r="H18" i="11"/>
  <c r="H25" i="11"/>
  <c r="H15" i="11"/>
  <c r="H47" i="11"/>
  <c r="H48" i="11"/>
  <c r="H12" i="11"/>
  <c r="H22" i="11"/>
  <c r="H38" i="11"/>
  <c r="H61" i="10"/>
  <c r="H40" i="10"/>
  <c r="D64" i="10"/>
  <c r="H56" i="10"/>
  <c r="H64" i="10" s="1"/>
  <c r="H39" i="10"/>
  <c r="H47" i="10"/>
  <c r="H17" i="10"/>
  <c r="H19" i="10"/>
  <c r="H27" i="10"/>
  <c r="H42" i="10"/>
  <c r="H26" i="10"/>
  <c r="H12" i="10"/>
  <c r="H28" i="10"/>
  <c r="H14" i="10"/>
  <c r="H22" i="10"/>
  <c r="H37" i="10"/>
  <c r="H45" i="10"/>
  <c r="H15" i="10"/>
  <c r="H38" i="10"/>
  <c r="H46" i="10"/>
  <c r="H59" i="10"/>
  <c r="D50" i="10"/>
  <c r="H41" i="10"/>
  <c r="H16" i="10"/>
  <c r="H23" i="10"/>
  <c r="H11" i="10"/>
  <c r="H20" i="10"/>
  <c r="H7" i="10"/>
  <c r="H21" i="10"/>
  <c r="H9" i="10"/>
  <c r="H24" i="10"/>
  <c r="G64" i="10"/>
  <c r="H43" i="10"/>
  <c r="H18" i="10"/>
  <c r="H25" i="10"/>
  <c r="H48" i="10"/>
  <c r="H60" i="10"/>
  <c r="H8" i="10"/>
  <c r="H49" i="10"/>
  <c r="G50" i="10"/>
  <c r="H44" i="10"/>
  <c r="H57" i="13"/>
  <c r="H58" i="11"/>
  <c r="H10" i="10"/>
  <c r="G65" i="11"/>
  <c r="G52" i="11"/>
  <c r="G53" i="12"/>
  <c r="G53" i="13"/>
  <c r="G48" i="1"/>
  <c r="G49" i="1"/>
  <c r="G50" i="1"/>
  <c r="G51" i="1"/>
  <c r="G52" i="1"/>
  <c r="G53" i="1"/>
  <c r="G54" i="1"/>
  <c r="G47" i="1"/>
  <c r="D48" i="1"/>
  <c r="H48" i="1" s="1"/>
  <c r="D49" i="1"/>
  <c r="D50" i="1"/>
  <c r="D51" i="1"/>
  <c r="D52" i="1"/>
  <c r="D53" i="1"/>
  <c r="D54" i="1"/>
  <c r="D47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D8" i="1"/>
  <c r="D9" i="1"/>
  <c r="D10" i="1"/>
  <c r="H10" i="1" s="1"/>
  <c r="D11" i="1"/>
  <c r="D12" i="1"/>
  <c r="D13" i="1"/>
  <c r="D14" i="1"/>
  <c r="D15" i="1"/>
  <c r="D16" i="1"/>
  <c r="D17" i="1"/>
  <c r="D18" i="1"/>
  <c r="H18" i="1" s="1"/>
  <c r="D19" i="1"/>
  <c r="D20" i="1"/>
  <c r="D21" i="1"/>
  <c r="D22" i="1"/>
  <c r="H22" i="1" s="1"/>
  <c r="D23" i="1"/>
  <c r="D24" i="1"/>
  <c r="D25" i="1"/>
  <c r="D26" i="1"/>
  <c r="H26" i="1" s="1"/>
  <c r="D27" i="1"/>
  <c r="D28" i="1"/>
  <c r="D29" i="1"/>
  <c r="D30" i="1"/>
  <c r="D31" i="1"/>
  <c r="D32" i="1"/>
  <c r="D33" i="1"/>
  <c r="D34" i="1"/>
  <c r="H34" i="1" s="1"/>
  <c r="D35" i="1"/>
  <c r="D36" i="1"/>
  <c r="D37" i="1"/>
  <c r="D38" i="1"/>
  <c r="H38" i="1" s="1"/>
  <c r="D39" i="1"/>
  <c r="D40" i="1"/>
  <c r="D41" i="1"/>
  <c r="D42" i="1"/>
  <c r="H42" i="1" s="1"/>
  <c r="D7" i="1"/>
  <c r="H65" i="12" l="1"/>
  <c r="H54" i="1"/>
  <c r="H55" i="1" s="1"/>
  <c r="H53" i="1"/>
  <c r="H47" i="1"/>
  <c r="H52" i="1"/>
  <c r="H51" i="1"/>
  <c r="H30" i="1"/>
  <c r="H14" i="1"/>
  <c r="H50" i="1"/>
  <c r="H49" i="1"/>
  <c r="H53" i="13"/>
  <c r="H65" i="13"/>
  <c r="H53" i="12"/>
  <c r="H65" i="11"/>
  <c r="H52" i="11"/>
  <c r="H50" i="10"/>
  <c r="H36" i="1"/>
  <c r="H37" i="1"/>
  <c r="H29" i="1"/>
  <c r="H13" i="1"/>
  <c r="H20" i="1"/>
  <c r="H41" i="1"/>
  <c r="H33" i="1"/>
  <c r="H25" i="1"/>
  <c r="H21" i="1"/>
  <c r="H17" i="1"/>
  <c r="H9" i="1"/>
  <c r="H40" i="1"/>
  <c r="H32" i="1"/>
  <c r="H28" i="1"/>
  <c r="H24" i="1"/>
  <c r="H16" i="1"/>
  <c r="H12" i="1"/>
  <c r="H8" i="1"/>
  <c r="H7" i="1"/>
  <c r="H39" i="1"/>
  <c r="H35" i="1"/>
  <c r="H31" i="1"/>
  <c r="H27" i="1"/>
  <c r="H23" i="1"/>
  <c r="H19" i="1"/>
  <c r="H15" i="1"/>
  <c r="H11" i="1"/>
  <c r="F55" i="1"/>
  <c r="E55" i="1"/>
  <c r="C55" i="1"/>
  <c r="B55" i="1"/>
  <c r="H43" i="1" l="1"/>
  <c r="G55" i="1"/>
  <c r="D55" i="1"/>
  <c r="C43" i="1"/>
  <c r="E43" i="1"/>
  <c r="F43" i="1"/>
  <c r="G43" i="1"/>
  <c r="B43" i="1"/>
  <c r="D43" i="1" l="1"/>
</calcChain>
</file>

<file path=xl/sharedStrings.xml><?xml version="1.0" encoding="utf-8"?>
<sst xmlns="http://schemas.openxmlformats.org/spreadsheetml/2006/main" count="1300" uniqueCount="109">
  <si>
    <t>Total</t>
  </si>
  <si>
    <t>Laws</t>
  </si>
  <si>
    <t>Department</t>
  </si>
  <si>
    <t>Undergraduate</t>
  </si>
  <si>
    <t>Graduate</t>
  </si>
  <si>
    <t>Anatomy and Developmental Biology</t>
  </si>
  <si>
    <t>Anthropology</t>
  </si>
  <si>
    <t>Institute of Archaeology</t>
  </si>
  <si>
    <t>Bartlett School of Architecture</t>
  </si>
  <si>
    <t>Biochemistry and Molecular Biology</t>
  </si>
  <si>
    <t>Biology</t>
  </si>
  <si>
    <t>Chemical and Biochemical Engineering</t>
  </si>
  <si>
    <t>Chemistry</t>
  </si>
  <si>
    <t>Civil and Environmental Engineering</t>
  </si>
  <si>
    <t>Computer Science</t>
  </si>
  <si>
    <t>Development Planning Unit</t>
  </si>
  <si>
    <t>Dutch Language and Literature</t>
  </si>
  <si>
    <t>Economics</t>
  </si>
  <si>
    <t>Electronic and Electrical Engineering</t>
  </si>
  <si>
    <t>English Language and Literature</t>
  </si>
  <si>
    <t>Slade School of Fine Art</t>
  </si>
  <si>
    <t>Geography</t>
  </si>
  <si>
    <t>Geological Sciences</t>
  </si>
  <si>
    <t>German</t>
  </si>
  <si>
    <t>History</t>
  </si>
  <si>
    <t>Italian</t>
  </si>
  <si>
    <t>Mathematics</t>
  </si>
  <si>
    <t>Mechanical Engineering</t>
  </si>
  <si>
    <t>Philosophy</t>
  </si>
  <si>
    <t>Phonetics and Linguistics</t>
  </si>
  <si>
    <t>Photogrammetry and Surveying</t>
  </si>
  <si>
    <t>Physics and Astronomy</t>
  </si>
  <si>
    <t>Physiology</t>
  </si>
  <si>
    <t>Psychology</t>
  </si>
  <si>
    <t>Scandinavian Studies</t>
  </si>
  <si>
    <t>Science and Technology Studies</t>
  </si>
  <si>
    <t>Male</t>
  </si>
  <si>
    <t>Greek and Latin</t>
  </si>
  <si>
    <t>Hebrew and Jewish Studies</t>
  </si>
  <si>
    <t>History of Art</t>
  </si>
  <si>
    <t>Faculty</t>
  </si>
  <si>
    <t>Arts and Humanities</t>
  </si>
  <si>
    <t>Built Environment</t>
  </si>
  <si>
    <t>Clinical Sciences</t>
  </si>
  <si>
    <t>Engineering</t>
  </si>
  <si>
    <t>Life Sciences</t>
  </si>
  <si>
    <t>Mathematical and Physical Sciences</t>
  </si>
  <si>
    <t>Social and Historical Sciences</t>
  </si>
  <si>
    <t>Home</t>
  </si>
  <si>
    <t>Overseas</t>
  </si>
  <si>
    <t>Table Q</t>
  </si>
  <si>
    <t>Full Time Affiliate Student numbers</t>
  </si>
  <si>
    <t>Faculty of Clinical Sciences</t>
  </si>
  <si>
    <t>Bartlett School of Planning</t>
  </si>
  <si>
    <t>Biochemical Engineering</t>
  </si>
  <si>
    <t>Division of Biosciences</t>
  </si>
  <si>
    <t>Institute of Child Health</t>
  </si>
  <si>
    <t>Chemical Engineering</t>
  </si>
  <si>
    <t>Civil, Environmental and Geomatic Eng.</t>
  </si>
  <si>
    <t>Earth Sciences</t>
  </si>
  <si>
    <t>Eastman Dental Institute</t>
  </si>
  <si>
    <t>European Social and Political Studies</t>
  </si>
  <si>
    <t>French</t>
  </si>
  <si>
    <t>Language Centre (Affiliates)</t>
  </si>
  <si>
    <t>Management Science and Innovation</t>
  </si>
  <si>
    <t>UCL Medical School</t>
  </si>
  <si>
    <t>Political Science</t>
  </si>
  <si>
    <t>Division of Population Health</t>
  </si>
  <si>
    <t>Division of Psychology and Language Sciences</t>
  </si>
  <si>
    <t>School of Slavonic and E. European Stds</t>
  </si>
  <si>
    <t>Spanish and Latin American Studies</t>
  </si>
  <si>
    <t>Statistical Science</t>
  </si>
  <si>
    <t>Brain Sciences</t>
  </si>
  <si>
    <t>Engineering Sciences</t>
  </si>
  <si>
    <t>Medical Sciences</t>
  </si>
  <si>
    <t>Population Health Sciences</t>
  </si>
  <si>
    <t>As figures relate to the official HEFCE census date, 1 December, affiliate students who start in January are not included.</t>
  </si>
  <si>
    <t>Medical Physics</t>
  </si>
  <si>
    <t>Biomedical Sciences</t>
  </si>
  <si>
    <t>Centre for European Studies</t>
  </si>
  <si>
    <t>Centre for Intercultural Studies</t>
  </si>
  <si>
    <t>Gatsby Computational Neuroscience Unit</t>
  </si>
  <si>
    <t>Division of Infection and Immunity</t>
  </si>
  <si>
    <t>Pre-Clinical Studies</t>
  </si>
  <si>
    <t>Division of Medicine</t>
  </si>
  <si>
    <t>Space and Climate Physics</t>
  </si>
  <si>
    <t>Bartlett School of Graduate Studies</t>
  </si>
  <si>
    <t>Centre for Advanced Spatial Analysis</t>
  </si>
  <si>
    <t>Epidemiology and Public Health</t>
  </si>
  <si>
    <t>Geomatic Engineering</t>
  </si>
  <si>
    <t>CALT</t>
  </si>
  <si>
    <t>Immunology and Molecular Pathology</t>
  </si>
  <si>
    <t>Medicine</t>
  </si>
  <si>
    <t>Nuclear Medicine</t>
  </si>
  <si>
    <t>Wolfson Inst. for Biomedical Research</t>
  </si>
  <si>
    <t>Institute of Neurology</t>
  </si>
  <si>
    <t>Pharmacology</t>
  </si>
  <si>
    <t>Comparative Literature Affiliates</t>
  </si>
  <si>
    <t>Library, Archive and Information Studies</t>
  </si>
  <si>
    <t>Modern European Studies</t>
  </si>
  <si>
    <t>Institute of Ophthalmology</t>
  </si>
  <si>
    <t>Bartlett School</t>
  </si>
  <si>
    <t>Epidemiology and Public Health Medicine</t>
  </si>
  <si>
    <t>Human Communication Science</t>
  </si>
  <si>
    <t>Laryngology and Otology</t>
  </si>
  <si>
    <t>School of Slavonic and East European Stds</t>
  </si>
  <si>
    <t>Clinical Studies</t>
  </si>
  <si>
    <t>School of Slavonic and East European Studies</t>
  </si>
  <si>
    <t>Faculty of Life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</si>
</sst>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8"/>
      <color theme="0"/>
      <name val="Arial"/>
      <family val="2"/>
    </font>
    <font>
      <sz val="8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3" xfId="0" applyFont="1" applyBorder="1"/>
    <xf numFmtId="0" fontId="5" fillId="0" borderId="2" xfId="0" applyFont="1" applyBorder="1"/>
    <xf numFmtId="0" fontId="5" fillId="0" borderId="13" xfId="0" applyFont="1" applyBorder="1"/>
    <xf numFmtId="0" fontId="3" fillId="0" borderId="15" xfId="0" applyFont="1" applyBorder="1"/>
    <xf numFmtId="0" fontId="3" fillId="0" borderId="20" xfId="0" applyFont="1" applyBorder="1"/>
    <xf numFmtId="0" fontId="5" fillId="0" borderId="22" xfId="0" applyFont="1" applyBorder="1"/>
    <xf numFmtId="0" fontId="3" fillId="0" borderId="25" xfId="0" applyFont="1" applyBorder="1"/>
    <xf numFmtId="0" fontId="5" fillId="0" borderId="14" xfId="0" applyFont="1" applyBorder="1"/>
    <xf numFmtId="0" fontId="5" fillId="0" borderId="4" xfId="0" applyFont="1" applyBorder="1"/>
    <xf numFmtId="0" fontId="5" fillId="0" borderId="8" xfId="0" applyFont="1" applyBorder="1"/>
    <xf numFmtId="0" fontId="8" fillId="0" borderId="17" xfId="0" applyFont="1" applyBorder="1"/>
    <xf numFmtId="0" fontId="8" fillId="0" borderId="19" xfId="0" applyFont="1" applyBorder="1"/>
    <xf numFmtId="0" fontId="5" fillId="0" borderId="24" xfId="0" applyFont="1" applyBorder="1"/>
    <xf numFmtId="0" fontId="6" fillId="2" borderId="26" xfId="0" applyFont="1" applyFill="1" applyBorder="1" applyAlignment="1">
      <alignment horizontal="center"/>
    </xf>
    <xf numFmtId="0" fontId="3" fillId="0" borderId="0" xfId="0" applyFont="1" applyBorder="1"/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1" xfId="0" applyFont="1" applyFill="1" applyBorder="1" applyAlignment="1"/>
    <xf numFmtId="0" fontId="6" fillId="2" borderId="23" xfId="0" applyFont="1" applyFill="1" applyBorder="1" applyAlignment="1"/>
    <xf numFmtId="0" fontId="7" fillId="2" borderId="28" xfId="0" applyFont="1" applyFill="1" applyBorder="1" applyAlignment="1">
      <alignment wrapText="1"/>
    </xf>
    <xf numFmtId="0" fontId="7" fillId="2" borderId="29" xfId="0" applyFont="1" applyFill="1" applyBorder="1" applyAlignment="1">
      <alignment wrapText="1"/>
    </xf>
    <xf numFmtId="0" fontId="7" fillId="2" borderId="30" xfId="0" applyFont="1" applyFill="1" applyBorder="1" applyAlignment="1">
      <alignment wrapText="1"/>
    </xf>
    <xf numFmtId="0" fontId="7" fillId="2" borderId="28" xfId="0" applyFont="1" applyFill="1" applyBorder="1" applyAlignment="1">
      <alignment horizontal="center" wrapText="1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6" fillId="2" borderId="31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 wrapText="1"/>
    </xf>
    <xf numFmtId="0" fontId="2" fillId="0" borderId="0" xfId="0" applyFont="1" applyAlignment="1">
      <alignment horizontal="left"/>
    </xf>
    <xf numFmtId="0" fontId="6" fillId="2" borderId="16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7" fillId="2" borderId="27" xfId="0" applyFont="1" applyFill="1" applyBorder="1" applyAlignment="1">
      <alignment horizontal="center" wrapText="1"/>
    </xf>
    <xf numFmtId="0" fontId="7" fillId="2" borderId="23" xfId="0" applyFont="1" applyFill="1" applyBorder="1" applyAlignment="1">
      <alignment horizontal="center" wrapText="1"/>
    </xf>
    <xf numFmtId="0" fontId="6" fillId="2" borderId="3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tabSelected="1" view="pageLayout" zoomScale="70" zoomScaleNormal="100" zoomScalePageLayoutView="70" workbookViewId="0">
      <selection activeCell="D72" sqref="D71:D72"/>
    </sheetView>
  </sheetViews>
  <sheetFormatPr defaultColWidth="9.140625" defaultRowHeight="15" x14ac:dyDescent="0.25"/>
  <cols>
    <col min="1" max="1" width="29.28515625" bestFit="1" customWidth="1"/>
    <col min="2" max="8" width="8.5703125" customWidth="1"/>
  </cols>
  <sheetData>
    <row r="1" spans="1:8" ht="18" x14ac:dyDescent="0.25">
      <c r="A1" s="1" t="s">
        <v>50</v>
      </c>
      <c r="B1" s="3"/>
    </row>
    <row r="2" spans="1:8" x14ac:dyDescent="0.25">
      <c r="A2" s="33" t="s">
        <v>51</v>
      </c>
      <c r="B2" s="33"/>
      <c r="C2" s="33"/>
      <c r="D2" s="33"/>
      <c r="E2" s="33"/>
      <c r="F2" s="33"/>
      <c r="G2" s="33"/>
      <c r="H2" s="33"/>
    </row>
    <row r="3" spans="1:8" ht="15.75" thickBot="1" x14ac:dyDescent="0.3">
      <c r="A3" s="2" t="str">
        <f ca="1">RIGHT(CELL("filename",A1),LEN(CELL("filename",A1))-FIND("]",CELL("filename",A1)))</f>
        <v>2011-12</v>
      </c>
      <c r="B3" s="3"/>
    </row>
    <row r="4" spans="1:8" ht="15" customHeight="1" x14ac:dyDescent="0.25">
      <c r="A4" s="34" t="s">
        <v>2</v>
      </c>
      <c r="B4" s="37" t="s">
        <v>3</v>
      </c>
      <c r="C4" s="38"/>
      <c r="D4" s="38"/>
      <c r="E4" s="37" t="s">
        <v>4</v>
      </c>
      <c r="F4" s="38"/>
      <c r="G4" s="38"/>
      <c r="H4" s="39" t="s">
        <v>0</v>
      </c>
    </row>
    <row r="5" spans="1:8" ht="15" customHeight="1" x14ac:dyDescent="0.25">
      <c r="A5" s="35"/>
      <c r="B5" s="42" t="s">
        <v>48</v>
      </c>
      <c r="C5" s="44" t="s">
        <v>49</v>
      </c>
      <c r="D5" s="46" t="s">
        <v>0</v>
      </c>
      <c r="E5" s="42" t="s">
        <v>48</v>
      </c>
      <c r="F5" s="44" t="s">
        <v>49</v>
      </c>
      <c r="G5" s="46" t="s">
        <v>0</v>
      </c>
      <c r="H5" s="40"/>
    </row>
    <row r="6" spans="1:8" x14ac:dyDescent="0.25">
      <c r="A6" s="36"/>
      <c r="B6" s="43"/>
      <c r="C6" s="45"/>
      <c r="D6" s="47"/>
      <c r="E6" s="43"/>
      <c r="F6" s="45"/>
      <c r="G6" s="47"/>
      <c r="H6" s="41"/>
    </row>
    <row r="7" spans="1:8" x14ac:dyDescent="0.25">
      <c r="A7" s="14" t="s">
        <v>6</v>
      </c>
      <c r="B7" s="6">
        <v>4</v>
      </c>
      <c r="C7" s="4">
        <v>29</v>
      </c>
      <c r="D7" s="5">
        <f>B7+C7</f>
        <v>33</v>
      </c>
      <c r="E7" s="6">
        <v>4</v>
      </c>
      <c r="F7" s="4">
        <v>1</v>
      </c>
      <c r="G7" s="5">
        <f t="shared" ref="G7:G49" si="0">E7+F7</f>
        <v>5</v>
      </c>
      <c r="H7" s="9">
        <f>G7+D7</f>
        <v>38</v>
      </c>
    </row>
    <row r="8" spans="1:8" x14ac:dyDescent="0.25">
      <c r="A8" s="14" t="s">
        <v>7</v>
      </c>
      <c r="B8" s="6">
        <v>4</v>
      </c>
      <c r="C8" s="4">
        <v>5</v>
      </c>
      <c r="D8" s="5">
        <f t="shared" ref="D8:D49" si="1">B8+C8</f>
        <v>9</v>
      </c>
      <c r="E8" s="6">
        <v>4</v>
      </c>
      <c r="F8" s="4">
        <v>1</v>
      </c>
      <c r="G8" s="5">
        <f t="shared" si="0"/>
        <v>5</v>
      </c>
      <c r="H8" s="9">
        <f t="shared" ref="H8:H49" si="2">G8+D8</f>
        <v>14</v>
      </c>
    </row>
    <row r="9" spans="1:8" x14ac:dyDescent="0.25">
      <c r="A9" s="14" t="s">
        <v>8</v>
      </c>
      <c r="B9" s="6">
        <v>0</v>
      </c>
      <c r="C9" s="4">
        <v>0</v>
      </c>
      <c r="D9" s="5">
        <f t="shared" si="1"/>
        <v>0</v>
      </c>
      <c r="E9" s="6">
        <v>0</v>
      </c>
      <c r="F9" s="4">
        <v>1</v>
      </c>
      <c r="G9" s="5">
        <f t="shared" si="0"/>
        <v>1</v>
      </c>
      <c r="H9" s="9">
        <f t="shared" si="2"/>
        <v>1</v>
      </c>
    </row>
    <row r="10" spans="1:8" x14ac:dyDescent="0.25">
      <c r="A10" s="14" t="s">
        <v>53</v>
      </c>
      <c r="B10" s="6">
        <v>3</v>
      </c>
      <c r="C10" s="4">
        <v>6</v>
      </c>
      <c r="D10" s="5">
        <f t="shared" si="1"/>
        <v>9</v>
      </c>
      <c r="E10" s="6">
        <v>1</v>
      </c>
      <c r="F10" s="4">
        <v>0</v>
      </c>
      <c r="G10" s="5">
        <f t="shared" si="0"/>
        <v>1</v>
      </c>
      <c r="H10" s="9">
        <f t="shared" si="2"/>
        <v>10</v>
      </c>
    </row>
    <row r="11" spans="1:8" x14ac:dyDescent="0.25">
      <c r="A11" s="14" t="s">
        <v>54</v>
      </c>
      <c r="B11" s="6">
        <v>3</v>
      </c>
      <c r="C11" s="4">
        <v>0</v>
      </c>
      <c r="D11" s="5">
        <f t="shared" si="1"/>
        <v>3</v>
      </c>
      <c r="E11" s="6">
        <v>1</v>
      </c>
      <c r="F11" s="4">
        <v>0</v>
      </c>
      <c r="G11" s="5">
        <f t="shared" si="0"/>
        <v>1</v>
      </c>
      <c r="H11" s="9">
        <f t="shared" si="2"/>
        <v>4</v>
      </c>
    </row>
    <row r="12" spans="1:8" x14ac:dyDescent="0.25">
      <c r="A12" s="14" t="s">
        <v>55</v>
      </c>
      <c r="B12" s="6">
        <v>0</v>
      </c>
      <c r="C12" s="4">
        <v>30</v>
      </c>
      <c r="D12" s="5">
        <f t="shared" si="1"/>
        <v>30</v>
      </c>
      <c r="E12" s="6">
        <v>0</v>
      </c>
      <c r="F12" s="4">
        <v>0</v>
      </c>
      <c r="G12" s="5">
        <f t="shared" si="0"/>
        <v>0</v>
      </c>
      <c r="H12" s="9">
        <f t="shared" si="2"/>
        <v>30</v>
      </c>
    </row>
    <row r="13" spans="1:8" x14ac:dyDescent="0.25">
      <c r="A13" s="14" t="s">
        <v>56</v>
      </c>
      <c r="B13" s="6">
        <v>0</v>
      </c>
      <c r="C13" s="4">
        <v>13</v>
      </c>
      <c r="D13" s="5">
        <f t="shared" si="1"/>
        <v>13</v>
      </c>
      <c r="E13" s="6">
        <v>0</v>
      </c>
      <c r="F13" s="4">
        <v>1</v>
      </c>
      <c r="G13" s="5">
        <f t="shared" si="0"/>
        <v>1</v>
      </c>
      <c r="H13" s="9">
        <f t="shared" si="2"/>
        <v>14</v>
      </c>
    </row>
    <row r="14" spans="1:8" x14ac:dyDescent="0.25">
      <c r="A14" s="14" t="s">
        <v>57</v>
      </c>
      <c r="B14" s="6">
        <v>4</v>
      </c>
      <c r="C14" s="4">
        <v>1</v>
      </c>
      <c r="D14" s="5">
        <f t="shared" si="1"/>
        <v>5</v>
      </c>
      <c r="E14" s="6">
        <v>0</v>
      </c>
      <c r="F14" s="4">
        <v>0</v>
      </c>
      <c r="G14" s="5">
        <f t="shared" si="0"/>
        <v>0</v>
      </c>
      <c r="H14" s="9">
        <f t="shared" si="2"/>
        <v>5</v>
      </c>
    </row>
    <row r="15" spans="1:8" x14ac:dyDescent="0.25">
      <c r="A15" s="14" t="s">
        <v>12</v>
      </c>
      <c r="B15" s="6">
        <v>4</v>
      </c>
      <c r="C15" s="4">
        <v>3</v>
      </c>
      <c r="D15" s="5">
        <f t="shared" si="1"/>
        <v>7</v>
      </c>
      <c r="E15" s="6">
        <v>0</v>
      </c>
      <c r="F15" s="4">
        <v>0</v>
      </c>
      <c r="G15" s="5">
        <f t="shared" si="0"/>
        <v>0</v>
      </c>
      <c r="H15" s="9">
        <f t="shared" si="2"/>
        <v>7</v>
      </c>
    </row>
    <row r="16" spans="1:8" x14ac:dyDescent="0.25">
      <c r="A16" s="14" t="s">
        <v>58</v>
      </c>
      <c r="B16" s="6">
        <v>3</v>
      </c>
      <c r="C16" s="4">
        <v>3</v>
      </c>
      <c r="D16" s="5">
        <f t="shared" si="1"/>
        <v>6</v>
      </c>
      <c r="E16" s="6">
        <v>2</v>
      </c>
      <c r="F16" s="4">
        <v>2</v>
      </c>
      <c r="G16" s="5">
        <f t="shared" si="0"/>
        <v>4</v>
      </c>
      <c r="H16" s="9">
        <f t="shared" si="2"/>
        <v>10</v>
      </c>
    </row>
    <row r="17" spans="1:8" x14ac:dyDescent="0.25">
      <c r="A17" s="14" t="s">
        <v>14</v>
      </c>
      <c r="B17" s="6">
        <v>3</v>
      </c>
      <c r="C17" s="4">
        <v>11</v>
      </c>
      <c r="D17" s="5">
        <f t="shared" si="1"/>
        <v>14</v>
      </c>
      <c r="E17" s="6">
        <v>2</v>
      </c>
      <c r="F17" s="4">
        <v>0</v>
      </c>
      <c r="G17" s="5">
        <f t="shared" si="0"/>
        <v>2</v>
      </c>
      <c r="H17" s="9">
        <f t="shared" si="2"/>
        <v>16</v>
      </c>
    </row>
    <row r="18" spans="1:8" x14ac:dyDescent="0.25">
      <c r="A18" s="14" t="s">
        <v>16</v>
      </c>
      <c r="B18" s="6">
        <v>8</v>
      </c>
      <c r="C18" s="4">
        <v>0</v>
      </c>
      <c r="D18" s="5">
        <f t="shared" si="1"/>
        <v>8</v>
      </c>
      <c r="E18" s="6">
        <v>0</v>
      </c>
      <c r="F18" s="4">
        <v>0</v>
      </c>
      <c r="G18" s="5">
        <f t="shared" si="0"/>
        <v>0</v>
      </c>
      <c r="H18" s="9">
        <f t="shared" si="2"/>
        <v>8</v>
      </c>
    </row>
    <row r="19" spans="1:8" x14ac:dyDescent="0.25">
      <c r="A19" s="14" t="s">
        <v>59</v>
      </c>
      <c r="B19" s="6">
        <v>2</v>
      </c>
      <c r="C19" s="4">
        <v>0</v>
      </c>
      <c r="D19" s="5">
        <f t="shared" si="1"/>
        <v>2</v>
      </c>
      <c r="E19" s="6">
        <v>0</v>
      </c>
      <c r="F19" s="4">
        <v>0</v>
      </c>
      <c r="G19" s="5">
        <f t="shared" si="0"/>
        <v>0</v>
      </c>
      <c r="H19" s="9">
        <f t="shared" si="2"/>
        <v>2</v>
      </c>
    </row>
    <row r="20" spans="1:8" x14ac:dyDescent="0.25">
      <c r="A20" s="14" t="s">
        <v>60</v>
      </c>
      <c r="B20" s="6">
        <v>0</v>
      </c>
      <c r="C20" s="4">
        <v>0</v>
      </c>
      <c r="D20" s="5">
        <f t="shared" si="1"/>
        <v>0</v>
      </c>
      <c r="E20" s="6">
        <v>4</v>
      </c>
      <c r="F20" s="4">
        <v>0</v>
      </c>
      <c r="G20" s="5">
        <f t="shared" si="0"/>
        <v>4</v>
      </c>
      <c r="H20" s="9">
        <f t="shared" si="2"/>
        <v>4</v>
      </c>
    </row>
    <row r="21" spans="1:8" x14ac:dyDescent="0.25">
      <c r="A21" s="14" t="s">
        <v>17</v>
      </c>
      <c r="B21" s="6">
        <v>0</v>
      </c>
      <c r="C21" s="4">
        <v>46</v>
      </c>
      <c r="D21" s="5">
        <f t="shared" si="1"/>
        <v>46</v>
      </c>
      <c r="E21" s="6">
        <v>3</v>
      </c>
      <c r="F21" s="4">
        <v>1</v>
      </c>
      <c r="G21" s="5">
        <f t="shared" si="0"/>
        <v>4</v>
      </c>
      <c r="H21" s="9">
        <f t="shared" si="2"/>
        <v>50</v>
      </c>
    </row>
    <row r="22" spans="1:8" x14ac:dyDescent="0.25">
      <c r="A22" s="14" t="s">
        <v>18</v>
      </c>
      <c r="B22" s="6">
        <v>2</v>
      </c>
      <c r="C22" s="4">
        <v>10</v>
      </c>
      <c r="D22" s="5">
        <f t="shared" si="1"/>
        <v>12</v>
      </c>
      <c r="E22" s="6">
        <v>1</v>
      </c>
      <c r="F22" s="4">
        <v>0</v>
      </c>
      <c r="G22" s="5">
        <f t="shared" si="0"/>
        <v>1</v>
      </c>
      <c r="H22" s="9">
        <f t="shared" si="2"/>
        <v>13</v>
      </c>
    </row>
    <row r="23" spans="1:8" x14ac:dyDescent="0.25">
      <c r="A23" s="14" t="s">
        <v>19</v>
      </c>
      <c r="B23" s="6">
        <v>0</v>
      </c>
      <c r="C23" s="4">
        <v>37</v>
      </c>
      <c r="D23" s="5">
        <f t="shared" si="1"/>
        <v>37</v>
      </c>
      <c r="E23" s="6"/>
      <c r="F23" s="4">
        <v>0</v>
      </c>
      <c r="G23" s="5">
        <f t="shared" si="0"/>
        <v>0</v>
      </c>
      <c r="H23" s="9">
        <f t="shared" si="2"/>
        <v>37</v>
      </c>
    </row>
    <row r="24" spans="1:8" x14ac:dyDescent="0.25">
      <c r="A24" s="14" t="s">
        <v>61</v>
      </c>
      <c r="B24" s="6">
        <v>11</v>
      </c>
      <c r="C24" s="4">
        <v>3</v>
      </c>
      <c r="D24" s="5">
        <f t="shared" si="1"/>
        <v>14</v>
      </c>
      <c r="E24" s="6"/>
      <c r="F24" s="4">
        <v>0</v>
      </c>
      <c r="G24" s="5">
        <f t="shared" si="0"/>
        <v>0</v>
      </c>
      <c r="H24" s="9">
        <f t="shared" si="2"/>
        <v>14</v>
      </c>
    </row>
    <row r="25" spans="1:8" x14ac:dyDescent="0.25">
      <c r="A25" s="14" t="s">
        <v>20</v>
      </c>
      <c r="B25" s="6">
        <v>2</v>
      </c>
      <c r="C25" s="4">
        <v>7</v>
      </c>
      <c r="D25" s="5">
        <f t="shared" si="1"/>
        <v>9</v>
      </c>
      <c r="E25" s="6"/>
      <c r="F25" s="4">
        <v>0</v>
      </c>
      <c r="G25" s="5">
        <f t="shared" si="0"/>
        <v>0</v>
      </c>
      <c r="H25" s="9">
        <f t="shared" si="2"/>
        <v>9</v>
      </c>
    </row>
    <row r="26" spans="1:8" x14ac:dyDescent="0.25">
      <c r="A26" s="14" t="s">
        <v>62</v>
      </c>
      <c r="B26" s="6">
        <v>22</v>
      </c>
      <c r="C26" s="4">
        <v>8</v>
      </c>
      <c r="D26" s="5">
        <f t="shared" si="1"/>
        <v>30</v>
      </c>
      <c r="E26" s="6">
        <v>1</v>
      </c>
      <c r="F26" s="4">
        <v>0</v>
      </c>
      <c r="G26" s="5">
        <f t="shared" si="0"/>
        <v>1</v>
      </c>
      <c r="H26" s="9">
        <f t="shared" si="2"/>
        <v>31</v>
      </c>
    </row>
    <row r="27" spans="1:8" x14ac:dyDescent="0.25">
      <c r="A27" s="14" t="s">
        <v>21</v>
      </c>
      <c r="B27" s="6">
        <v>8</v>
      </c>
      <c r="C27" s="4">
        <v>8</v>
      </c>
      <c r="D27" s="5">
        <f t="shared" si="1"/>
        <v>16</v>
      </c>
      <c r="E27" s="6"/>
      <c r="F27" s="4">
        <v>2</v>
      </c>
      <c r="G27" s="5">
        <f t="shared" si="0"/>
        <v>2</v>
      </c>
      <c r="H27" s="9">
        <f t="shared" si="2"/>
        <v>18</v>
      </c>
    </row>
    <row r="28" spans="1:8" x14ac:dyDescent="0.25">
      <c r="A28" s="14" t="s">
        <v>23</v>
      </c>
      <c r="B28" s="6">
        <v>23</v>
      </c>
      <c r="C28" s="4">
        <v>1</v>
      </c>
      <c r="D28" s="5">
        <f t="shared" si="1"/>
        <v>24</v>
      </c>
      <c r="E28" s="6">
        <v>2</v>
      </c>
      <c r="F28" s="4">
        <v>0</v>
      </c>
      <c r="G28" s="5">
        <f t="shared" si="0"/>
        <v>2</v>
      </c>
      <c r="H28" s="9">
        <f t="shared" si="2"/>
        <v>26</v>
      </c>
    </row>
    <row r="29" spans="1:8" x14ac:dyDescent="0.25">
      <c r="A29" s="14" t="s">
        <v>37</v>
      </c>
      <c r="B29" s="6">
        <v>6</v>
      </c>
      <c r="C29" s="4">
        <v>5</v>
      </c>
      <c r="D29" s="5">
        <f t="shared" si="1"/>
        <v>11</v>
      </c>
      <c r="E29" s="6">
        <v>1</v>
      </c>
      <c r="F29" s="4">
        <v>0</v>
      </c>
      <c r="G29" s="5">
        <f t="shared" si="0"/>
        <v>1</v>
      </c>
      <c r="H29" s="9">
        <f t="shared" si="2"/>
        <v>12</v>
      </c>
    </row>
    <row r="30" spans="1:8" x14ac:dyDescent="0.25">
      <c r="A30" s="14" t="s">
        <v>38</v>
      </c>
      <c r="B30" s="6">
        <v>0</v>
      </c>
      <c r="C30" s="4">
        <v>2</v>
      </c>
      <c r="D30" s="5">
        <f t="shared" ref="D30:D36" si="3">B30+C30</f>
        <v>2</v>
      </c>
      <c r="E30" s="6"/>
      <c r="F30" s="4">
        <v>0</v>
      </c>
      <c r="G30" s="5">
        <f t="shared" ref="G30:G36" si="4">E30+F30</f>
        <v>0</v>
      </c>
      <c r="H30" s="9">
        <f t="shared" ref="H30:H36" si="5">G30+D30</f>
        <v>2</v>
      </c>
    </row>
    <row r="31" spans="1:8" x14ac:dyDescent="0.25">
      <c r="A31" s="14" t="s">
        <v>24</v>
      </c>
      <c r="B31" s="6">
        <v>10</v>
      </c>
      <c r="C31" s="4">
        <v>37</v>
      </c>
      <c r="D31" s="5">
        <f t="shared" si="3"/>
        <v>47</v>
      </c>
      <c r="E31" s="6">
        <v>3</v>
      </c>
      <c r="F31" s="4">
        <v>0</v>
      </c>
      <c r="G31" s="5">
        <f t="shared" si="4"/>
        <v>3</v>
      </c>
      <c r="H31" s="9">
        <f t="shared" si="5"/>
        <v>50</v>
      </c>
    </row>
    <row r="32" spans="1:8" x14ac:dyDescent="0.25">
      <c r="A32" s="14" t="s">
        <v>39</v>
      </c>
      <c r="B32" s="6">
        <v>3</v>
      </c>
      <c r="C32" s="4">
        <v>10</v>
      </c>
      <c r="D32" s="5">
        <f t="shared" si="3"/>
        <v>13</v>
      </c>
      <c r="E32" s="6">
        <v>1</v>
      </c>
      <c r="F32" s="4">
        <v>0</v>
      </c>
      <c r="G32" s="5">
        <f t="shared" si="4"/>
        <v>1</v>
      </c>
      <c r="H32" s="9">
        <f t="shared" si="5"/>
        <v>14</v>
      </c>
    </row>
    <row r="33" spans="1:8" x14ac:dyDescent="0.25">
      <c r="A33" s="14" t="s">
        <v>25</v>
      </c>
      <c r="B33" s="6">
        <v>32</v>
      </c>
      <c r="C33" s="4">
        <v>0</v>
      </c>
      <c r="D33" s="5">
        <f t="shared" si="3"/>
        <v>32</v>
      </c>
      <c r="E33" s="6">
        <v>1</v>
      </c>
      <c r="F33" s="4">
        <v>0</v>
      </c>
      <c r="G33" s="5">
        <f t="shared" si="4"/>
        <v>1</v>
      </c>
      <c r="H33" s="9">
        <f t="shared" si="5"/>
        <v>33</v>
      </c>
    </row>
    <row r="34" spans="1:8" x14ac:dyDescent="0.25">
      <c r="A34" s="14" t="s">
        <v>63</v>
      </c>
      <c r="B34" s="6">
        <v>10</v>
      </c>
      <c r="C34" s="4">
        <v>203</v>
      </c>
      <c r="D34" s="5">
        <f t="shared" si="3"/>
        <v>213</v>
      </c>
      <c r="E34" s="6">
        <v>0</v>
      </c>
      <c r="F34" s="4">
        <v>0</v>
      </c>
      <c r="G34" s="5">
        <f t="shared" si="4"/>
        <v>0</v>
      </c>
      <c r="H34" s="9">
        <f t="shared" si="5"/>
        <v>213</v>
      </c>
    </row>
    <row r="35" spans="1:8" x14ac:dyDescent="0.25">
      <c r="A35" s="14" t="s">
        <v>1</v>
      </c>
      <c r="B35" s="6">
        <v>43</v>
      </c>
      <c r="C35" s="4">
        <v>7</v>
      </c>
      <c r="D35" s="5">
        <f t="shared" si="3"/>
        <v>50</v>
      </c>
      <c r="E35" s="6"/>
      <c r="F35" s="4">
        <v>25</v>
      </c>
      <c r="G35" s="5">
        <f t="shared" si="4"/>
        <v>25</v>
      </c>
      <c r="H35" s="9">
        <f t="shared" si="5"/>
        <v>75</v>
      </c>
    </row>
    <row r="36" spans="1:8" x14ac:dyDescent="0.25">
      <c r="A36" s="14" t="s">
        <v>64</v>
      </c>
      <c r="B36" s="6">
        <v>1</v>
      </c>
      <c r="C36" s="4">
        <v>8</v>
      </c>
      <c r="D36" s="5">
        <f t="shared" si="3"/>
        <v>9</v>
      </c>
      <c r="E36" s="6"/>
      <c r="F36" s="4">
        <v>0</v>
      </c>
      <c r="G36" s="5">
        <f t="shared" si="4"/>
        <v>0</v>
      </c>
      <c r="H36" s="9">
        <f t="shared" si="5"/>
        <v>9</v>
      </c>
    </row>
    <row r="37" spans="1:8" x14ac:dyDescent="0.25">
      <c r="A37" s="14" t="s">
        <v>26</v>
      </c>
      <c r="B37" s="6">
        <v>0</v>
      </c>
      <c r="C37" s="4">
        <v>9</v>
      </c>
      <c r="D37" s="5">
        <f t="shared" si="1"/>
        <v>9</v>
      </c>
      <c r="E37" s="6">
        <v>0</v>
      </c>
      <c r="F37" s="4">
        <v>0</v>
      </c>
      <c r="G37" s="5">
        <f t="shared" si="0"/>
        <v>0</v>
      </c>
      <c r="H37" s="9">
        <f t="shared" si="2"/>
        <v>9</v>
      </c>
    </row>
    <row r="38" spans="1:8" x14ac:dyDescent="0.25">
      <c r="A38" s="14" t="s">
        <v>27</v>
      </c>
      <c r="B38" s="6">
        <v>1</v>
      </c>
      <c r="C38" s="4">
        <v>8</v>
      </c>
      <c r="D38" s="5">
        <f t="shared" si="1"/>
        <v>9</v>
      </c>
      <c r="E38" s="6">
        <v>0</v>
      </c>
      <c r="F38" s="4">
        <v>0</v>
      </c>
      <c r="G38" s="5">
        <f t="shared" si="0"/>
        <v>0</v>
      </c>
      <c r="H38" s="9">
        <f t="shared" si="2"/>
        <v>9</v>
      </c>
    </row>
    <row r="39" spans="1:8" x14ac:dyDescent="0.25">
      <c r="A39" s="14" t="s">
        <v>65</v>
      </c>
      <c r="B39" s="6">
        <v>1</v>
      </c>
      <c r="C39" s="4">
        <v>0</v>
      </c>
      <c r="D39" s="5">
        <f t="shared" si="1"/>
        <v>1</v>
      </c>
      <c r="E39" s="6">
        <v>0</v>
      </c>
      <c r="F39" s="4">
        <v>0</v>
      </c>
      <c r="G39" s="5">
        <f t="shared" si="0"/>
        <v>0</v>
      </c>
      <c r="H39" s="9">
        <f t="shared" si="2"/>
        <v>1</v>
      </c>
    </row>
    <row r="40" spans="1:8" x14ac:dyDescent="0.25">
      <c r="A40" s="14" t="s">
        <v>28</v>
      </c>
      <c r="B40" s="6">
        <v>0</v>
      </c>
      <c r="C40" s="4">
        <v>12</v>
      </c>
      <c r="D40" s="5">
        <f t="shared" si="1"/>
        <v>12</v>
      </c>
      <c r="E40" s="6">
        <v>1</v>
      </c>
      <c r="F40" s="4">
        <v>0</v>
      </c>
      <c r="G40" s="5">
        <f t="shared" si="0"/>
        <v>1</v>
      </c>
      <c r="H40" s="9">
        <f t="shared" si="2"/>
        <v>13</v>
      </c>
    </row>
    <row r="41" spans="1:8" x14ac:dyDescent="0.25">
      <c r="A41" s="14" t="s">
        <v>31</v>
      </c>
      <c r="B41" s="6">
        <v>5</v>
      </c>
      <c r="C41" s="4">
        <v>5</v>
      </c>
      <c r="D41" s="5">
        <f t="shared" si="1"/>
        <v>10</v>
      </c>
      <c r="E41" s="6">
        <v>0</v>
      </c>
      <c r="F41" s="4">
        <v>0</v>
      </c>
      <c r="G41" s="5">
        <f t="shared" si="0"/>
        <v>0</v>
      </c>
      <c r="H41" s="9">
        <f t="shared" si="2"/>
        <v>10</v>
      </c>
    </row>
    <row r="42" spans="1:8" x14ac:dyDescent="0.25">
      <c r="A42" s="14" t="s">
        <v>66</v>
      </c>
      <c r="B42" s="6">
        <v>0</v>
      </c>
      <c r="C42" s="4">
        <v>51</v>
      </c>
      <c r="D42" s="5">
        <f t="shared" si="1"/>
        <v>51</v>
      </c>
      <c r="E42" s="6">
        <v>0</v>
      </c>
      <c r="F42" s="4">
        <v>0</v>
      </c>
      <c r="G42" s="5">
        <f t="shared" si="0"/>
        <v>0</v>
      </c>
      <c r="H42" s="9">
        <f t="shared" si="2"/>
        <v>51</v>
      </c>
    </row>
    <row r="43" spans="1:8" x14ac:dyDescent="0.25">
      <c r="A43" s="14" t="s">
        <v>67</v>
      </c>
      <c r="B43" s="6">
        <v>0</v>
      </c>
      <c r="C43" s="4">
        <v>0</v>
      </c>
      <c r="D43" s="5">
        <f t="shared" si="1"/>
        <v>0</v>
      </c>
      <c r="E43" s="6">
        <v>1</v>
      </c>
      <c r="F43" s="4">
        <v>0</v>
      </c>
      <c r="G43" s="5">
        <f t="shared" si="0"/>
        <v>1</v>
      </c>
      <c r="H43" s="9">
        <f t="shared" si="2"/>
        <v>1</v>
      </c>
    </row>
    <row r="44" spans="1:8" x14ac:dyDescent="0.25">
      <c r="A44" s="14" t="s">
        <v>68</v>
      </c>
      <c r="B44" s="6">
        <v>4</v>
      </c>
      <c r="C44" s="4">
        <v>56</v>
      </c>
      <c r="D44" s="5">
        <f t="shared" si="1"/>
        <v>60</v>
      </c>
      <c r="E44" s="6">
        <v>5</v>
      </c>
      <c r="F44" s="4">
        <v>0</v>
      </c>
      <c r="G44" s="5">
        <f t="shared" si="0"/>
        <v>5</v>
      </c>
      <c r="H44" s="9">
        <f t="shared" si="2"/>
        <v>65</v>
      </c>
    </row>
    <row r="45" spans="1:8" x14ac:dyDescent="0.25">
      <c r="A45" s="14" t="s">
        <v>34</v>
      </c>
      <c r="B45" s="6">
        <v>10</v>
      </c>
      <c r="C45" s="4">
        <v>2</v>
      </c>
      <c r="D45" s="5">
        <f t="shared" si="1"/>
        <v>12</v>
      </c>
      <c r="E45" s="6">
        <v>0</v>
      </c>
      <c r="F45" s="4">
        <v>0</v>
      </c>
      <c r="G45" s="5">
        <f t="shared" si="0"/>
        <v>0</v>
      </c>
      <c r="H45" s="9">
        <f t="shared" si="2"/>
        <v>12</v>
      </c>
    </row>
    <row r="46" spans="1:8" x14ac:dyDescent="0.25">
      <c r="A46" s="14" t="s">
        <v>69</v>
      </c>
      <c r="B46" s="6">
        <v>26</v>
      </c>
      <c r="C46" s="4">
        <v>12</v>
      </c>
      <c r="D46" s="5">
        <f t="shared" si="1"/>
        <v>38</v>
      </c>
      <c r="E46" s="6">
        <v>0</v>
      </c>
      <c r="F46" s="4">
        <v>0</v>
      </c>
      <c r="G46" s="5">
        <f t="shared" si="0"/>
        <v>0</v>
      </c>
      <c r="H46" s="9">
        <f t="shared" si="2"/>
        <v>38</v>
      </c>
    </row>
    <row r="47" spans="1:8" x14ac:dyDescent="0.25">
      <c r="A47" s="14" t="s">
        <v>35</v>
      </c>
      <c r="B47" s="6">
        <v>0</v>
      </c>
      <c r="C47" s="4">
        <v>7</v>
      </c>
      <c r="D47" s="5">
        <f t="shared" si="1"/>
        <v>7</v>
      </c>
      <c r="E47" s="6">
        <v>0</v>
      </c>
      <c r="F47" s="4">
        <v>0</v>
      </c>
      <c r="G47" s="5">
        <f t="shared" si="0"/>
        <v>0</v>
      </c>
      <c r="H47" s="9">
        <f t="shared" si="2"/>
        <v>7</v>
      </c>
    </row>
    <row r="48" spans="1:8" x14ac:dyDescent="0.25">
      <c r="A48" s="14" t="s">
        <v>70</v>
      </c>
      <c r="B48" s="6">
        <v>13</v>
      </c>
      <c r="C48" s="4">
        <v>6</v>
      </c>
      <c r="D48" s="5">
        <f t="shared" si="1"/>
        <v>19</v>
      </c>
      <c r="E48" s="6">
        <v>0</v>
      </c>
      <c r="F48" s="4">
        <v>0</v>
      </c>
      <c r="G48" s="5">
        <f t="shared" si="0"/>
        <v>0</v>
      </c>
      <c r="H48" s="9">
        <f t="shared" si="2"/>
        <v>19</v>
      </c>
    </row>
    <row r="49" spans="1:8" ht="15.75" thickBot="1" x14ac:dyDescent="0.3">
      <c r="A49" s="15" t="s">
        <v>71</v>
      </c>
      <c r="B49" s="11">
        <v>2</v>
      </c>
      <c r="C49" s="12">
        <v>0</v>
      </c>
      <c r="D49" s="13">
        <f t="shared" si="1"/>
        <v>2</v>
      </c>
      <c r="E49" s="11">
        <v>0</v>
      </c>
      <c r="F49" s="12">
        <v>0</v>
      </c>
      <c r="G49" s="13">
        <f t="shared" si="0"/>
        <v>0</v>
      </c>
      <c r="H49" s="16">
        <f t="shared" si="2"/>
        <v>2</v>
      </c>
    </row>
    <row r="50" spans="1:8" ht="16.5" thickTop="1" thickBot="1" x14ac:dyDescent="0.3">
      <c r="A50" s="8" t="s">
        <v>0</v>
      </c>
      <c r="B50" s="7">
        <f t="shared" ref="B50:H50" si="6">SUM(B7:B49)</f>
        <v>273</v>
      </c>
      <c r="C50" s="7">
        <f t="shared" si="6"/>
        <v>661</v>
      </c>
      <c r="D50" s="7">
        <f t="shared" si="6"/>
        <v>934</v>
      </c>
      <c r="E50" s="7">
        <f t="shared" si="6"/>
        <v>38</v>
      </c>
      <c r="F50" s="7">
        <f t="shared" si="6"/>
        <v>34</v>
      </c>
      <c r="G50" s="8">
        <f t="shared" si="6"/>
        <v>72</v>
      </c>
      <c r="H50" s="10">
        <f t="shared" si="6"/>
        <v>1006</v>
      </c>
    </row>
    <row r="51" spans="1:8" ht="15.75" thickBot="1" x14ac:dyDescent="0.3"/>
    <row r="52" spans="1:8" x14ac:dyDescent="0.25">
      <c r="A52" s="21" t="s">
        <v>40</v>
      </c>
      <c r="B52" s="37" t="s">
        <v>3</v>
      </c>
      <c r="C52" s="38"/>
      <c r="D52" s="38"/>
      <c r="E52" s="37" t="s">
        <v>4</v>
      </c>
      <c r="F52" s="38"/>
      <c r="G52" s="38"/>
      <c r="H52" s="21" t="s">
        <v>0</v>
      </c>
    </row>
    <row r="53" spans="1:8" x14ac:dyDescent="0.25">
      <c r="A53" s="22"/>
      <c r="B53" s="28" t="s">
        <v>48</v>
      </c>
      <c r="C53" s="29" t="s">
        <v>49</v>
      </c>
      <c r="D53" s="30" t="s">
        <v>0</v>
      </c>
      <c r="E53" s="28" t="s">
        <v>48</v>
      </c>
      <c r="F53" s="29" t="s">
        <v>49</v>
      </c>
      <c r="G53" s="30" t="s">
        <v>0</v>
      </c>
      <c r="H53" s="22"/>
    </row>
    <row r="54" spans="1:8" x14ac:dyDescent="0.25">
      <c r="A54" s="14" t="s">
        <v>41</v>
      </c>
      <c r="B54" s="6">
        <v>137</v>
      </c>
      <c r="C54" s="4">
        <v>286</v>
      </c>
      <c r="D54" s="5">
        <f t="shared" ref="D54:D63" si="7">SUM(B54+C54)</f>
        <v>423</v>
      </c>
      <c r="E54" s="6">
        <v>6</v>
      </c>
      <c r="F54" s="4">
        <v>0</v>
      </c>
      <c r="G54" s="5">
        <f t="shared" ref="G54:G63" si="8">F54+E54</f>
        <v>6</v>
      </c>
      <c r="H54" s="9">
        <f t="shared" ref="H54:H63" si="9">D54+G54</f>
        <v>429</v>
      </c>
    </row>
    <row r="55" spans="1:8" x14ac:dyDescent="0.25">
      <c r="A55" s="14" t="s">
        <v>72</v>
      </c>
      <c r="B55" s="6">
        <v>4</v>
      </c>
      <c r="C55" s="4">
        <v>56</v>
      </c>
      <c r="D55" s="5">
        <f t="shared" si="7"/>
        <v>60</v>
      </c>
      <c r="E55" s="6">
        <v>5</v>
      </c>
      <c r="F55" s="4">
        <v>0</v>
      </c>
      <c r="G55" s="5">
        <f t="shared" si="8"/>
        <v>5</v>
      </c>
      <c r="H55" s="9">
        <f t="shared" si="9"/>
        <v>65</v>
      </c>
    </row>
    <row r="56" spans="1:8" x14ac:dyDescent="0.25">
      <c r="A56" s="14" t="s">
        <v>42</v>
      </c>
      <c r="B56" s="6">
        <v>3</v>
      </c>
      <c r="C56" s="4">
        <v>6</v>
      </c>
      <c r="D56" s="5">
        <f t="shared" si="7"/>
        <v>9</v>
      </c>
      <c r="E56" s="6">
        <v>1</v>
      </c>
      <c r="F56" s="4">
        <v>1</v>
      </c>
      <c r="G56" s="5">
        <f t="shared" si="8"/>
        <v>2</v>
      </c>
      <c r="H56" s="9">
        <f t="shared" si="9"/>
        <v>11</v>
      </c>
    </row>
    <row r="57" spans="1:8" x14ac:dyDescent="0.25">
      <c r="A57" s="14" t="s">
        <v>73</v>
      </c>
      <c r="B57" s="6">
        <v>17</v>
      </c>
      <c r="C57" s="4">
        <v>41</v>
      </c>
      <c r="D57" s="5">
        <f t="shared" ref="D57:D58" si="10">SUM(B57+C57)</f>
        <v>58</v>
      </c>
      <c r="E57" s="6">
        <v>6</v>
      </c>
      <c r="F57" s="4">
        <v>2</v>
      </c>
      <c r="G57" s="5">
        <f t="shared" ref="G57:G58" si="11">F57+E57</f>
        <v>8</v>
      </c>
      <c r="H57" s="9">
        <f t="shared" ref="H57:H58" si="12">D57+G57</f>
        <v>66</v>
      </c>
    </row>
    <row r="58" spans="1:8" x14ac:dyDescent="0.25">
      <c r="A58" s="14" t="s">
        <v>1</v>
      </c>
      <c r="B58" s="6">
        <v>43</v>
      </c>
      <c r="C58" s="4">
        <v>7</v>
      </c>
      <c r="D58" s="5">
        <f t="shared" si="10"/>
        <v>50</v>
      </c>
      <c r="E58" s="6">
        <v>0</v>
      </c>
      <c r="F58" s="4">
        <v>25</v>
      </c>
      <c r="G58" s="5">
        <f t="shared" si="11"/>
        <v>25</v>
      </c>
      <c r="H58" s="9">
        <f t="shared" si="12"/>
        <v>75</v>
      </c>
    </row>
    <row r="59" spans="1:8" x14ac:dyDescent="0.25">
      <c r="A59" s="14" t="s">
        <v>45</v>
      </c>
      <c r="B59" s="6"/>
      <c r="C59" s="4">
        <v>30</v>
      </c>
      <c r="D59" s="5">
        <f t="shared" si="7"/>
        <v>30</v>
      </c>
      <c r="E59" s="6">
        <v>0</v>
      </c>
      <c r="F59" s="4">
        <v>0</v>
      </c>
      <c r="G59" s="5">
        <f t="shared" si="8"/>
        <v>0</v>
      </c>
      <c r="H59" s="9">
        <f t="shared" si="9"/>
        <v>30</v>
      </c>
    </row>
    <row r="60" spans="1:8" x14ac:dyDescent="0.25">
      <c r="A60" s="14" t="s">
        <v>46</v>
      </c>
      <c r="B60" s="6">
        <v>13</v>
      </c>
      <c r="C60" s="4">
        <v>24</v>
      </c>
      <c r="D60" s="5">
        <f t="shared" si="7"/>
        <v>37</v>
      </c>
      <c r="E60" s="6">
        <v>0</v>
      </c>
      <c r="F60" s="4">
        <v>0</v>
      </c>
      <c r="G60" s="5">
        <f t="shared" si="8"/>
        <v>0</v>
      </c>
      <c r="H60" s="9">
        <f t="shared" si="9"/>
        <v>37</v>
      </c>
    </row>
    <row r="61" spans="1:8" x14ac:dyDescent="0.25">
      <c r="A61" s="14" t="s">
        <v>74</v>
      </c>
      <c r="B61" s="6">
        <v>1</v>
      </c>
      <c r="C61" s="4">
        <v>0</v>
      </c>
      <c r="D61" s="5">
        <f t="shared" si="7"/>
        <v>1</v>
      </c>
      <c r="E61" s="6">
        <v>4</v>
      </c>
      <c r="F61" s="4">
        <v>0</v>
      </c>
      <c r="G61" s="5">
        <f t="shared" si="8"/>
        <v>4</v>
      </c>
      <c r="H61" s="9">
        <f t="shared" si="9"/>
        <v>5</v>
      </c>
    </row>
    <row r="62" spans="1:8" x14ac:dyDescent="0.25">
      <c r="A62" s="14" t="s">
        <v>75</v>
      </c>
      <c r="B62" s="6">
        <v>0</v>
      </c>
      <c r="C62" s="4">
        <v>13</v>
      </c>
      <c r="D62" s="5">
        <f t="shared" si="7"/>
        <v>13</v>
      </c>
      <c r="E62" s="6">
        <v>1</v>
      </c>
      <c r="F62" s="4">
        <v>1</v>
      </c>
      <c r="G62" s="5">
        <f t="shared" si="8"/>
        <v>2</v>
      </c>
      <c r="H62" s="9">
        <f t="shared" si="9"/>
        <v>15</v>
      </c>
    </row>
    <row r="63" spans="1:8" ht="15.75" thickBot="1" x14ac:dyDescent="0.3">
      <c r="A63" s="15" t="s">
        <v>47</v>
      </c>
      <c r="B63" s="11">
        <v>55</v>
      </c>
      <c r="C63" s="12">
        <v>198</v>
      </c>
      <c r="D63" s="12">
        <f t="shared" si="7"/>
        <v>253</v>
      </c>
      <c r="E63" s="11">
        <v>15</v>
      </c>
      <c r="F63" s="12">
        <v>5</v>
      </c>
      <c r="G63" s="13">
        <f t="shared" si="8"/>
        <v>20</v>
      </c>
      <c r="H63" s="16">
        <f t="shared" si="9"/>
        <v>273</v>
      </c>
    </row>
    <row r="64" spans="1:8" ht="16.5" thickTop="1" thickBot="1" x14ac:dyDescent="0.3">
      <c r="A64" s="8" t="s">
        <v>0</v>
      </c>
      <c r="B64" s="7">
        <f t="shared" ref="B64:C64" si="13">SUM(B54:B63)</f>
        <v>273</v>
      </c>
      <c r="C64" s="7">
        <f t="shared" si="13"/>
        <v>661</v>
      </c>
      <c r="D64" s="7">
        <f>SUM(D54:D63)</f>
        <v>934</v>
      </c>
      <c r="E64" s="7">
        <f>SUM(E54:E63)</f>
        <v>38</v>
      </c>
      <c r="F64" s="7">
        <f>SUM(F54:F63)</f>
        <v>34</v>
      </c>
      <c r="G64" s="8">
        <f>SUM(G54:G63)</f>
        <v>72</v>
      </c>
      <c r="H64" s="10">
        <f>SUM(H54:H63)</f>
        <v>1006</v>
      </c>
    </row>
    <row r="66" spans="1:8" x14ac:dyDescent="0.25">
      <c r="A66" s="48" t="s">
        <v>76</v>
      </c>
      <c r="B66" s="48"/>
      <c r="C66" s="48"/>
      <c r="D66" s="48"/>
      <c r="E66" s="48"/>
      <c r="F66" s="48"/>
      <c r="G66" s="48"/>
      <c r="H66" s="48"/>
    </row>
    <row r="70" spans="1:8" x14ac:dyDescent="0.25">
      <c r="A70" s="49"/>
      <c r="B70" s="49"/>
      <c r="C70" s="49"/>
      <c r="D70" s="49"/>
      <c r="E70" s="49"/>
      <c r="F70" s="49"/>
      <c r="G70" s="49"/>
      <c r="H70" s="49"/>
    </row>
  </sheetData>
  <mergeCells count="15">
    <mergeCell ref="A66:H66"/>
    <mergeCell ref="A70:H70"/>
    <mergeCell ref="G5:G6"/>
    <mergeCell ref="B52:D52"/>
    <mergeCell ref="E52:G52"/>
    <mergeCell ref="A2:H2"/>
    <mergeCell ref="A4:A6"/>
    <mergeCell ref="B4:D4"/>
    <mergeCell ref="E4:G4"/>
    <mergeCell ref="H4:H6"/>
    <mergeCell ref="B5:B6"/>
    <mergeCell ref="C5:C6"/>
    <mergeCell ref="D5:D6"/>
    <mergeCell ref="E5:E6"/>
    <mergeCell ref="F5:F6"/>
  </mergeCells>
  <pageMargins left="0.25" right="0.25" top="0.75" bottom="0.75" header="0.3" footer="0.3"/>
  <pageSetup paperSize="9" orientation="portrait" r:id="rId1"/>
  <headerFooter>
    <oddHeader>&amp;CUCL Student Data Statistics</oddHeader>
    <oddFooter>&amp;C&amp;P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view="pageLayout" topLeftCell="A52" zoomScale="85" zoomScaleNormal="100" zoomScalePageLayoutView="85" workbookViewId="0">
      <selection activeCell="A2" sqref="A2:H2"/>
    </sheetView>
  </sheetViews>
  <sheetFormatPr defaultColWidth="9.140625" defaultRowHeight="15" x14ac:dyDescent="0.25"/>
  <cols>
    <col min="1" max="1" width="29.28515625" bestFit="1" customWidth="1"/>
    <col min="2" max="8" width="8.5703125" customWidth="1"/>
  </cols>
  <sheetData>
    <row r="1" spans="1:8" ht="18" x14ac:dyDescent="0.25">
      <c r="A1" s="1" t="s">
        <v>50</v>
      </c>
      <c r="B1" s="3"/>
    </row>
    <row r="2" spans="1:8" x14ac:dyDescent="0.25">
      <c r="A2" s="33" t="s">
        <v>51</v>
      </c>
      <c r="B2" s="33"/>
      <c r="C2" s="33"/>
      <c r="D2" s="33"/>
      <c r="E2" s="33"/>
      <c r="F2" s="33"/>
      <c r="G2" s="33"/>
      <c r="H2" s="33"/>
    </row>
    <row r="3" spans="1:8" x14ac:dyDescent="0.25">
      <c r="A3" s="2" t="str">
        <f ca="1">RIGHT(CELL("filename",A1),LEN(CELL("filename",A1))-FIND("]",CELL("filename",A1)))</f>
        <v>2010-11</v>
      </c>
      <c r="B3" s="3"/>
    </row>
    <row r="4" spans="1:8" ht="15.75" thickBot="1" x14ac:dyDescent="0.3">
      <c r="A4" s="3"/>
      <c r="B4" s="3"/>
    </row>
    <row r="5" spans="1:8" ht="15" customHeight="1" x14ac:dyDescent="0.25">
      <c r="A5" s="21" t="s">
        <v>2</v>
      </c>
      <c r="B5" s="37" t="s">
        <v>3</v>
      </c>
      <c r="C5" s="38"/>
      <c r="D5" s="38"/>
      <c r="E5" s="37" t="s">
        <v>4</v>
      </c>
      <c r="F5" s="38"/>
      <c r="G5" s="38"/>
      <c r="H5" s="21" t="s">
        <v>0</v>
      </c>
    </row>
    <row r="6" spans="1:8" ht="15" customHeight="1" x14ac:dyDescent="0.25">
      <c r="A6" s="22"/>
      <c r="B6" s="28" t="s">
        <v>48</v>
      </c>
      <c r="C6" s="29" t="s">
        <v>49</v>
      </c>
      <c r="D6" s="30" t="s">
        <v>0</v>
      </c>
      <c r="E6" s="28" t="s">
        <v>48</v>
      </c>
      <c r="F6" s="29" t="s">
        <v>49</v>
      </c>
      <c r="G6" s="30" t="s">
        <v>0</v>
      </c>
      <c r="H6" s="22"/>
    </row>
    <row r="7" spans="1:8" x14ac:dyDescent="0.25">
      <c r="A7" s="14" t="s">
        <v>6</v>
      </c>
      <c r="B7" s="6">
        <v>5</v>
      </c>
      <c r="C7" s="4">
        <v>19</v>
      </c>
      <c r="D7" s="5">
        <f>B7+C7</f>
        <v>24</v>
      </c>
      <c r="E7" s="6">
        <v>1</v>
      </c>
      <c r="F7" s="4">
        <v>0</v>
      </c>
      <c r="G7" s="5">
        <f t="shared" ref="G7:G51" si="0">E7+F7</f>
        <v>1</v>
      </c>
      <c r="H7" s="9">
        <f>G7+D7</f>
        <v>25</v>
      </c>
    </row>
    <row r="8" spans="1:8" x14ac:dyDescent="0.25">
      <c r="A8" s="14" t="s">
        <v>7</v>
      </c>
      <c r="B8" s="6">
        <v>4</v>
      </c>
      <c r="C8" s="4">
        <v>9</v>
      </c>
      <c r="D8" s="5">
        <f t="shared" ref="D8:D51" si="1">B8+C8</f>
        <v>13</v>
      </c>
      <c r="E8" s="6">
        <v>4</v>
      </c>
      <c r="F8" s="4">
        <v>1</v>
      </c>
      <c r="G8" s="5">
        <f t="shared" si="0"/>
        <v>5</v>
      </c>
      <c r="H8" s="9">
        <f t="shared" ref="H8:H51" si="2">G8+D8</f>
        <v>18</v>
      </c>
    </row>
    <row r="9" spans="1:8" x14ac:dyDescent="0.25">
      <c r="A9" s="14" t="s">
        <v>8</v>
      </c>
      <c r="B9" s="6">
        <v>0</v>
      </c>
      <c r="C9" s="4">
        <v>1</v>
      </c>
      <c r="D9" s="5">
        <f t="shared" si="1"/>
        <v>1</v>
      </c>
      <c r="E9" s="6">
        <v>0</v>
      </c>
      <c r="F9" s="4">
        <v>1</v>
      </c>
      <c r="G9" s="5">
        <f t="shared" si="0"/>
        <v>1</v>
      </c>
      <c r="H9" s="9">
        <f t="shared" si="2"/>
        <v>2</v>
      </c>
    </row>
    <row r="10" spans="1:8" x14ac:dyDescent="0.25">
      <c r="A10" s="14" t="s">
        <v>53</v>
      </c>
      <c r="B10" s="6">
        <v>0</v>
      </c>
      <c r="C10" s="4">
        <v>4</v>
      </c>
      <c r="D10" s="5">
        <f t="shared" si="1"/>
        <v>4</v>
      </c>
      <c r="E10" s="6">
        <v>2</v>
      </c>
      <c r="F10" s="4">
        <v>0</v>
      </c>
      <c r="G10" s="5">
        <f t="shared" si="0"/>
        <v>2</v>
      </c>
      <c r="H10" s="9">
        <f t="shared" si="2"/>
        <v>6</v>
      </c>
    </row>
    <row r="11" spans="1:8" x14ac:dyDescent="0.25">
      <c r="A11" s="14" t="s">
        <v>54</v>
      </c>
      <c r="B11" s="6">
        <v>2</v>
      </c>
      <c r="C11" s="4">
        <v>0</v>
      </c>
      <c r="D11" s="5">
        <f t="shared" si="1"/>
        <v>2</v>
      </c>
      <c r="E11" s="6">
        <v>1</v>
      </c>
      <c r="F11" s="4">
        <v>0</v>
      </c>
      <c r="G11" s="5">
        <f t="shared" si="0"/>
        <v>1</v>
      </c>
      <c r="H11" s="9">
        <f t="shared" si="2"/>
        <v>3</v>
      </c>
    </row>
    <row r="12" spans="1:8" x14ac:dyDescent="0.25">
      <c r="A12" s="14" t="s">
        <v>55</v>
      </c>
      <c r="B12" s="6">
        <v>0</v>
      </c>
      <c r="C12" s="4">
        <v>25</v>
      </c>
      <c r="D12" s="5">
        <f t="shared" si="1"/>
        <v>25</v>
      </c>
      <c r="E12" s="6">
        <v>0</v>
      </c>
      <c r="F12" s="4">
        <v>0</v>
      </c>
      <c r="G12" s="5">
        <f t="shared" si="0"/>
        <v>0</v>
      </c>
      <c r="H12" s="9">
        <f t="shared" si="2"/>
        <v>25</v>
      </c>
    </row>
    <row r="13" spans="1:8" x14ac:dyDescent="0.25">
      <c r="A13" s="14" t="s">
        <v>57</v>
      </c>
      <c r="B13" s="6">
        <v>6</v>
      </c>
      <c r="C13" s="4">
        <v>2</v>
      </c>
      <c r="D13" s="5">
        <f t="shared" si="1"/>
        <v>8</v>
      </c>
      <c r="E13" s="6">
        <v>0</v>
      </c>
      <c r="F13" s="4">
        <v>0</v>
      </c>
      <c r="G13" s="5">
        <f t="shared" si="0"/>
        <v>0</v>
      </c>
      <c r="H13" s="9">
        <f t="shared" si="2"/>
        <v>8</v>
      </c>
    </row>
    <row r="14" spans="1:8" x14ac:dyDescent="0.25">
      <c r="A14" s="14" t="s">
        <v>12</v>
      </c>
      <c r="B14" s="6">
        <v>2</v>
      </c>
      <c r="C14" s="4">
        <v>5</v>
      </c>
      <c r="D14" s="5">
        <f t="shared" si="1"/>
        <v>7</v>
      </c>
      <c r="E14" s="6">
        <v>0</v>
      </c>
      <c r="F14" s="4">
        <v>0</v>
      </c>
      <c r="G14" s="5">
        <f t="shared" si="0"/>
        <v>0</v>
      </c>
      <c r="H14" s="9">
        <f t="shared" si="2"/>
        <v>7</v>
      </c>
    </row>
    <row r="15" spans="1:8" x14ac:dyDescent="0.25">
      <c r="A15" s="14" t="s">
        <v>56</v>
      </c>
      <c r="B15" s="6">
        <v>0</v>
      </c>
      <c r="C15" s="4">
        <v>5</v>
      </c>
      <c r="D15" s="5">
        <f t="shared" si="1"/>
        <v>5</v>
      </c>
      <c r="E15" s="6">
        <v>0</v>
      </c>
      <c r="F15" s="4">
        <v>1</v>
      </c>
      <c r="G15" s="5">
        <f t="shared" si="0"/>
        <v>1</v>
      </c>
      <c r="H15" s="9">
        <f t="shared" si="2"/>
        <v>6</v>
      </c>
    </row>
    <row r="16" spans="1:8" x14ac:dyDescent="0.25">
      <c r="A16" s="14" t="s">
        <v>58</v>
      </c>
      <c r="B16" s="6">
        <v>7</v>
      </c>
      <c r="C16" s="4">
        <v>6</v>
      </c>
      <c r="D16" s="5">
        <f t="shared" si="1"/>
        <v>13</v>
      </c>
      <c r="E16" s="6">
        <v>2</v>
      </c>
      <c r="F16" s="4">
        <v>2</v>
      </c>
      <c r="G16" s="5">
        <f t="shared" si="0"/>
        <v>4</v>
      </c>
      <c r="H16" s="9">
        <f t="shared" si="2"/>
        <v>17</v>
      </c>
    </row>
    <row r="17" spans="1:8" x14ac:dyDescent="0.25">
      <c r="A17" s="14" t="s">
        <v>14</v>
      </c>
      <c r="B17" s="6">
        <v>7</v>
      </c>
      <c r="C17" s="4">
        <v>10</v>
      </c>
      <c r="D17" s="5">
        <f t="shared" si="1"/>
        <v>17</v>
      </c>
      <c r="E17" s="6">
        <v>1</v>
      </c>
      <c r="F17" s="4">
        <v>1</v>
      </c>
      <c r="G17" s="5">
        <f t="shared" si="0"/>
        <v>2</v>
      </c>
      <c r="H17" s="9">
        <f t="shared" si="2"/>
        <v>19</v>
      </c>
    </row>
    <row r="18" spans="1:8" x14ac:dyDescent="0.25">
      <c r="A18" s="14" t="s">
        <v>15</v>
      </c>
      <c r="B18" s="6">
        <v>0</v>
      </c>
      <c r="C18" s="4">
        <v>0</v>
      </c>
      <c r="D18" s="5">
        <f t="shared" si="1"/>
        <v>0</v>
      </c>
      <c r="E18" s="6">
        <v>0</v>
      </c>
      <c r="F18" s="4">
        <v>1</v>
      </c>
      <c r="G18" s="5">
        <f t="shared" si="0"/>
        <v>1</v>
      </c>
      <c r="H18" s="9">
        <f t="shared" si="2"/>
        <v>1</v>
      </c>
    </row>
    <row r="19" spans="1:8" x14ac:dyDescent="0.25">
      <c r="A19" s="14" t="s">
        <v>16</v>
      </c>
      <c r="B19" s="6">
        <v>10</v>
      </c>
      <c r="C19" s="4">
        <v>0</v>
      </c>
      <c r="D19" s="5">
        <f t="shared" si="1"/>
        <v>10</v>
      </c>
      <c r="E19" s="6">
        <v>1</v>
      </c>
      <c r="F19" s="4">
        <v>0</v>
      </c>
      <c r="G19" s="5">
        <f t="shared" si="0"/>
        <v>1</v>
      </c>
      <c r="H19" s="9">
        <f t="shared" si="2"/>
        <v>11</v>
      </c>
    </row>
    <row r="20" spans="1:8" x14ac:dyDescent="0.25">
      <c r="A20" s="14" t="s">
        <v>59</v>
      </c>
      <c r="B20" s="6">
        <v>3</v>
      </c>
      <c r="C20" s="4">
        <v>1</v>
      </c>
      <c r="D20" s="5">
        <f t="shared" si="1"/>
        <v>4</v>
      </c>
      <c r="E20" s="6">
        <v>0</v>
      </c>
      <c r="F20" s="4">
        <v>0</v>
      </c>
      <c r="G20" s="5">
        <f t="shared" si="0"/>
        <v>0</v>
      </c>
      <c r="H20" s="9">
        <f t="shared" si="2"/>
        <v>4</v>
      </c>
    </row>
    <row r="21" spans="1:8" x14ac:dyDescent="0.25">
      <c r="A21" s="14" t="s">
        <v>60</v>
      </c>
      <c r="B21" s="6">
        <v>0</v>
      </c>
      <c r="C21" s="4">
        <v>0</v>
      </c>
      <c r="D21" s="5">
        <f t="shared" si="1"/>
        <v>0</v>
      </c>
      <c r="E21" s="6">
        <v>6</v>
      </c>
      <c r="F21" s="4">
        <v>0</v>
      </c>
      <c r="G21" s="5">
        <f t="shared" si="0"/>
        <v>6</v>
      </c>
      <c r="H21" s="9">
        <f t="shared" si="2"/>
        <v>6</v>
      </c>
    </row>
    <row r="22" spans="1:8" x14ac:dyDescent="0.25">
      <c r="A22" s="14" t="s">
        <v>17</v>
      </c>
      <c r="B22" s="6">
        <v>0</v>
      </c>
      <c r="C22" s="4">
        <v>50</v>
      </c>
      <c r="D22" s="5">
        <f t="shared" si="1"/>
        <v>50</v>
      </c>
      <c r="E22" s="6">
        <v>6</v>
      </c>
      <c r="F22" s="4">
        <v>1</v>
      </c>
      <c r="G22" s="5">
        <f t="shared" si="0"/>
        <v>7</v>
      </c>
      <c r="H22" s="9">
        <f t="shared" si="2"/>
        <v>57</v>
      </c>
    </row>
    <row r="23" spans="1:8" x14ac:dyDescent="0.25">
      <c r="A23" s="14" t="s">
        <v>18</v>
      </c>
      <c r="B23" s="6">
        <v>0</v>
      </c>
      <c r="C23" s="4">
        <v>4</v>
      </c>
      <c r="D23" s="5">
        <f t="shared" si="1"/>
        <v>4</v>
      </c>
      <c r="E23" s="6">
        <v>0</v>
      </c>
      <c r="F23" s="4">
        <v>0</v>
      </c>
      <c r="G23" s="5">
        <f t="shared" si="0"/>
        <v>0</v>
      </c>
      <c r="H23" s="9">
        <f t="shared" si="2"/>
        <v>4</v>
      </c>
    </row>
    <row r="24" spans="1:8" x14ac:dyDescent="0.25">
      <c r="A24" s="14" t="s">
        <v>19</v>
      </c>
      <c r="B24" s="6">
        <v>1</v>
      </c>
      <c r="C24" s="4">
        <v>44</v>
      </c>
      <c r="D24" s="5">
        <f t="shared" si="1"/>
        <v>45</v>
      </c>
      <c r="E24" s="6">
        <v>2</v>
      </c>
      <c r="F24" s="4">
        <v>0</v>
      </c>
      <c r="G24" s="5">
        <f t="shared" si="0"/>
        <v>2</v>
      </c>
      <c r="H24" s="9">
        <f t="shared" si="2"/>
        <v>47</v>
      </c>
    </row>
    <row r="25" spans="1:8" x14ac:dyDescent="0.25">
      <c r="A25" s="14" t="s">
        <v>61</v>
      </c>
      <c r="B25" s="6">
        <v>11</v>
      </c>
      <c r="C25" s="4">
        <v>5</v>
      </c>
      <c r="D25" s="5">
        <f t="shared" si="1"/>
        <v>16</v>
      </c>
      <c r="E25" s="6">
        <v>0</v>
      </c>
      <c r="F25" s="4">
        <v>0</v>
      </c>
      <c r="G25" s="5">
        <f t="shared" si="0"/>
        <v>0</v>
      </c>
      <c r="H25" s="9">
        <f t="shared" si="2"/>
        <v>16</v>
      </c>
    </row>
    <row r="26" spans="1:8" x14ac:dyDescent="0.25">
      <c r="A26" s="14" t="s">
        <v>20</v>
      </c>
      <c r="B26" s="6">
        <v>4</v>
      </c>
      <c r="C26" s="4">
        <v>7</v>
      </c>
      <c r="D26" s="5">
        <f t="shared" ref="D26:D34" si="3">B26+C26</f>
        <v>11</v>
      </c>
      <c r="E26" s="6">
        <v>0</v>
      </c>
      <c r="F26" s="4">
        <v>0</v>
      </c>
      <c r="G26" s="5">
        <f t="shared" ref="G26:G34" si="4">E26+F26</f>
        <v>0</v>
      </c>
      <c r="H26" s="9">
        <f t="shared" ref="H26:H34" si="5">G26+D26</f>
        <v>11</v>
      </c>
    </row>
    <row r="27" spans="1:8" x14ac:dyDescent="0.25">
      <c r="A27" s="14" t="s">
        <v>62</v>
      </c>
      <c r="B27" s="6">
        <v>30</v>
      </c>
      <c r="C27" s="4">
        <v>10</v>
      </c>
      <c r="D27" s="5">
        <f t="shared" si="3"/>
        <v>40</v>
      </c>
      <c r="E27" s="6">
        <v>1</v>
      </c>
      <c r="F27" s="4">
        <v>0</v>
      </c>
      <c r="G27" s="5">
        <f t="shared" si="4"/>
        <v>1</v>
      </c>
      <c r="H27" s="9">
        <f t="shared" si="5"/>
        <v>41</v>
      </c>
    </row>
    <row r="28" spans="1:8" x14ac:dyDescent="0.25">
      <c r="A28" s="14" t="s">
        <v>21</v>
      </c>
      <c r="B28" s="6">
        <v>9</v>
      </c>
      <c r="C28" s="4">
        <v>10</v>
      </c>
      <c r="D28" s="5">
        <f t="shared" si="3"/>
        <v>19</v>
      </c>
      <c r="E28" s="6">
        <v>0</v>
      </c>
      <c r="F28" s="4">
        <v>1</v>
      </c>
      <c r="G28" s="5">
        <f t="shared" si="4"/>
        <v>1</v>
      </c>
      <c r="H28" s="9">
        <f t="shared" si="5"/>
        <v>20</v>
      </c>
    </row>
    <row r="29" spans="1:8" x14ac:dyDescent="0.25">
      <c r="A29" s="14" t="s">
        <v>23</v>
      </c>
      <c r="B29" s="6">
        <v>16</v>
      </c>
      <c r="C29" s="4">
        <v>2</v>
      </c>
      <c r="D29" s="5">
        <f t="shared" si="3"/>
        <v>18</v>
      </c>
      <c r="E29" s="6">
        <v>0</v>
      </c>
      <c r="F29" s="4">
        <v>0</v>
      </c>
      <c r="G29" s="5">
        <f t="shared" si="4"/>
        <v>0</v>
      </c>
      <c r="H29" s="9">
        <f t="shared" si="5"/>
        <v>18</v>
      </c>
    </row>
    <row r="30" spans="1:8" x14ac:dyDescent="0.25">
      <c r="A30" s="14" t="s">
        <v>37</v>
      </c>
      <c r="B30" s="6">
        <v>8</v>
      </c>
      <c r="C30" s="4">
        <v>2</v>
      </c>
      <c r="D30" s="5">
        <f t="shared" si="3"/>
        <v>10</v>
      </c>
      <c r="E30" s="6">
        <v>0</v>
      </c>
      <c r="F30" s="4">
        <v>0</v>
      </c>
      <c r="G30" s="5">
        <f t="shared" si="4"/>
        <v>0</v>
      </c>
      <c r="H30" s="9">
        <f t="shared" si="5"/>
        <v>10</v>
      </c>
    </row>
    <row r="31" spans="1:8" x14ac:dyDescent="0.25">
      <c r="A31" s="14" t="s">
        <v>38</v>
      </c>
      <c r="B31" s="6">
        <v>0</v>
      </c>
      <c r="C31" s="4">
        <v>1</v>
      </c>
      <c r="D31" s="5">
        <f t="shared" si="3"/>
        <v>1</v>
      </c>
      <c r="E31" s="6">
        <v>0</v>
      </c>
      <c r="F31" s="4">
        <v>0</v>
      </c>
      <c r="G31" s="5">
        <f t="shared" si="4"/>
        <v>0</v>
      </c>
      <c r="H31" s="9">
        <f t="shared" si="5"/>
        <v>1</v>
      </c>
    </row>
    <row r="32" spans="1:8" x14ac:dyDescent="0.25">
      <c r="A32" s="14" t="s">
        <v>24</v>
      </c>
      <c r="B32" s="6">
        <v>8</v>
      </c>
      <c r="C32" s="4">
        <v>28</v>
      </c>
      <c r="D32" s="5">
        <f t="shared" si="3"/>
        <v>36</v>
      </c>
      <c r="E32" s="6">
        <v>5</v>
      </c>
      <c r="F32" s="4">
        <v>0</v>
      </c>
      <c r="G32" s="5">
        <f t="shared" si="4"/>
        <v>5</v>
      </c>
      <c r="H32" s="9">
        <f t="shared" si="5"/>
        <v>41</v>
      </c>
    </row>
    <row r="33" spans="1:8" x14ac:dyDescent="0.25">
      <c r="A33" s="14" t="s">
        <v>39</v>
      </c>
      <c r="B33" s="6">
        <v>4</v>
      </c>
      <c r="C33" s="4">
        <v>13</v>
      </c>
      <c r="D33" s="5">
        <f t="shared" si="3"/>
        <v>17</v>
      </c>
      <c r="E33" s="6">
        <v>2</v>
      </c>
      <c r="F33" s="4">
        <v>0</v>
      </c>
      <c r="G33" s="5">
        <f t="shared" si="4"/>
        <v>2</v>
      </c>
      <c r="H33" s="9">
        <f t="shared" si="5"/>
        <v>19</v>
      </c>
    </row>
    <row r="34" spans="1:8" x14ac:dyDescent="0.25">
      <c r="A34" s="14" t="s">
        <v>25</v>
      </c>
      <c r="B34" s="6">
        <v>29</v>
      </c>
      <c r="C34" s="4">
        <v>1</v>
      </c>
      <c r="D34" s="5">
        <f t="shared" si="3"/>
        <v>30</v>
      </c>
      <c r="E34" s="6">
        <v>0</v>
      </c>
      <c r="F34" s="4">
        <v>0</v>
      </c>
      <c r="G34" s="5">
        <f t="shared" si="4"/>
        <v>0</v>
      </c>
      <c r="H34" s="9">
        <f t="shared" si="5"/>
        <v>30</v>
      </c>
    </row>
    <row r="35" spans="1:8" x14ac:dyDescent="0.25">
      <c r="A35" s="14" t="s">
        <v>63</v>
      </c>
      <c r="B35" s="6">
        <v>16</v>
      </c>
      <c r="C35" s="4">
        <v>187</v>
      </c>
      <c r="D35" s="5">
        <f t="shared" si="1"/>
        <v>203</v>
      </c>
      <c r="E35" s="6">
        <v>0</v>
      </c>
      <c r="F35" s="4">
        <v>0</v>
      </c>
      <c r="G35" s="5">
        <f t="shared" si="0"/>
        <v>0</v>
      </c>
      <c r="H35" s="9">
        <f t="shared" si="2"/>
        <v>203</v>
      </c>
    </row>
    <row r="36" spans="1:8" x14ac:dyDescent="0.25">
      <c r="A36" s="14" t="s">
        <v>1</v>
      </c>
      <c r="B36" s="6">
        <v>48</v>
      </c>
      <c r="C36" s="4">
        <v>10</v>
      </c>
      <c r="D36" s="5">
        <f t="shared" si="1"/>
        <v>58</v>
      </c>
      <c r="E36" s="6">
        <v>0</v>
      </c>
      <c r="F36" s="4">
        <v>29</v>
      </c>
      <c r="G36" s="5">
        <f t="shared" si="0"/>
        <v>29</v>
      </c>
      <c r="H36" s="9">
        <f t="shared" si="2"/>
        <v>87</v>
      </c>
    </row>
    <row r="37" spans="1:8" x14ac:dyDescent="0.25">
      <c r="A37" s="14" t="s">
        <v>64</v>
      </c>
      <c r="B37" s="6">
        <v>1</v>
      </c>
      <c r="C37" s="4">
        <v>2</v>
      </c>
      <c r="D37" s="5">
        <f t="shared" si="1"/>
        <v>3</v>
      </c>
      <c r="E37" s="6">
        <v>0</v>
      </c>
      <c r="F37" s="4">
        <v>0</v>
      </c>
      <c r="G37" s="5">
        <f t="shared" si="0"/>
        <v>0</v>
      </c>
      <c r="H37" s="9">
        <f t="shared" si="2"/>
        <v>3</v>
      </c>
    </row>
    <row r="38" spans="1:8" x14ac:dyDescent="0.25">
      <c r="A38" s="14" t="s">
        <v>26</v>
      </c>
      <c r="B38" s="6">
        <v>0</v>
      </c>
      <c r="C38" s="4">
        <v>9</v>
      </c>
      <c r="D38" s="5">
        <f t="shared" si="1"/>
        <v>9</v>
      </c>
      <c r="E38" s="6">
        <v>0</v>
      </c>
      <c r="F38" s="4">
        <v>0</v>
      </c>
      <c r="G38" s="5">
        <f t="shared" si="0"/>
        <v>0</v>
      </c>
      <c r="H38" s="9">
        <f t="shared" si="2"/>
        <v>9</v>
      </c>
    </row>
    <row r="39" spans="1:8" x14ac:dyDescent="0.25">
      <c r="A39" s="14" t="s">
        <v>27</v>
      </c>
      <c r="B39" s="6">
        <v>1</v>
      </c>
      <c r="C39" s="4">
        <v>2</v>
      </c>
      <c r="D39" s="5">
        <f t="shared" si="1"/>
        <v>3</v>
      </c>
      <c r="E39" s="6">
        <v>0</v>
      </c>
      <c r="F39" s="4">
        <v>1</v>
      </c>
      <c r="G39" s="5">
        <f t="shared" si="0"/>
        <v>1</v>
      </c>
      <c r="H39" s="9">
        <f t="shared" si="2"/>
        <v>4</v>
      </c>
    </row>
    <row r="40" spans="1:8" x14ac:dyDescent="0.25">
      <c r="A40" s="14" t="s">
        <v>65</v>
      </c>
      <c r="B40" s="6">
        <v>1</v>
      </c>
      <c r="C40" s="4">
        <v>0</v>
      </c>
      <c r="D40" s="5">
        <f t="shared" si="1"/>
        <v>1</v>
      </c>
      <c r="E40" s="6">
        <v>0</v>
      </c>
      <c r="F40" s="4">
        <v>0</v>
      </c>
      <c r="G40" s="5">
        <f t="shared" si="0"/>
        <v>0</v>
      </c>
      <c r="H40" s="9">
        <f t="shared" si="2"/>
        <v>1</v>
      </c>
    </row>
    <row r="41" spans="1:8" x14ac:dyDescent="0.25">
      <c r="A41" s="14" t="s">
        <v>77</v>
      </c>
      <c r="B41" s="6">
        <v>1</v>
      </c>
      <c r="C41" s="4">
        <v>0</v>
      </c>
      <c r="D41" s="5">
        <f t="shared" si="1"/>
        <v>1</v>
      </c>
      <c r="E41" s="6">
        <v>2</v>
      </c>
      <c r="F41" s="4">
        <v>1</v>
      </c>
      <c r="G41" s="5">
        <f t="shared" si="0"/>
        <v>3</v>
      </c>
      <c r="H41" s="9">
        <f t="shared" si="2"/>
        <v>4</v>
      </c>
    </row>
    <row r="42" spans="1:8" x14ac:dyDescent="0.25">
      <c r="A42" s="14" t="s">
        <v>28</v>
      </c>
      <c r="B42" s="6">
        <v>0</v>
      </c>
      <c r="C42" s="4">
        <v>15</v>
      </c>
      <c r="D42" s="5">
        <f t="shared" si="1"/>
        <v>15</v>
      </c>
      <c r="E42" s="6">
        <v>1</v>
      </c>
      <c r="F42" s="4">
        <v>0</v>
      </c>
      <c r="G42" s="5">
        <f t="shared" si="0"/>
        <v>1</v>
      </c>
      <c r="H42" s="9">
        <f t="shared" si="2"/>
        <v>16</v>
      </c>
    </row>
    <row r="43" spans="1:8" x14ac:dyDescent="0.25">
      <c r="A43" s="14" t="s">
        <v>31</v>
      </c>
      <c r="B43" s="6">
        <v>2</v>
      </c>
      <c r="C43" s="4">
        <v>9</v>
      </c>
      <c r="D43" s="5">
        <f t="shared" si="1"/>
        <v>11</v>
      </c>
      <c r="E43" s="6">
        <v>1</v>
      </c>
      <c r="F43" s="4">
        <v>0</v>
      </c>
      <c r="G43" s="5">
        <f t="shared" si="0"/>
        <v>1</v>
      </c>
      <c r="H43" s="9">
        <f t="shared" si="2"/>
        <v>12</v>
      </c>
    </row>
    <row r="44" spans="1:8" x14ac:dyDescent="0.25">
      <c r="A44" s="14" t="s">
        <v>66</v>
      </c>
      <c r="B44" s="6">
        <v>0</v>
      </c>
      <c r="C44" s="4">
        <v>57</v>
      </c>
      <c r="D44" s="5">
        <f t="shared" si="1"/>
        <v>57</v>
      </c>
      <c r="E44" s="6">
        <v>2</v>
      </c>
      <c r="F44" s="4">
        <v>1</v>
      </c>
      <c r="G44" s="5">
        <f t="shared" si="0"/>
        <v>3</v>
      </c>
      <c r="H44" s="9">
        <f t="shared" si="2"/>
        <v>60</v>
      </c>
    </row>
    <row r="45" spans="1:8" x14ac:dyDescent="0.25">
      <c r="A45" s="14" t="s">
        <v>67</v>
      </c>
      <c r="B45" s="6">
        <v>0</v>
      </c>
      <c r="C45" s="4">
        <v>0</v>
      </c>
      <c r="D45" s="5">
        <f t="shared" si="1"/>
        <v>0</v>
      </c>
      <c r="E45" s="6">
        <v>0</v>
      </c>
      <c r="F45" s="4">
        <v>1</v>
      </c>
      <c r="G45" s="5">
        <f t="shared" si="0"/>
        <v>1</v>
      </c>
      <c r="H45" s="9">
        <f t="shared" si="2"/>
        <v>1</v>
      </c>
    </row>
    <row r="46" spans="1:8" x14ac:dyDescent="0.25">
      <c r="A46" s="14" t="s">
        <v>68</v>
      </c>
      <c r="B46" s="6">
        <v>7</v>
      </c>
      <c r="C46" s="4">
        <v>49</v>
      </c>
      <c r="D46" s="5">
        <f t="shared" si="1"/>
        <v>56</v>
      </c>
      <c r="E46" s="6">
        <v>4</v>
      </c>
      <c r="F46" s="4">
        <v>0</v>
      </c>
      <c r="G46" s="5">
        <f t="shared" si="0"/>
        <v>4</v>
      </c>
      <c r="H46" s="9">
        <f t="shared" si="2"/>
        <v>60</v>
      </c>
    </row>
    <row r="47" spans="1:8" x14ac:dyDescent="0.25">
      <c r="A47" s="14" t="s">
        <v>34</v>
      </c>
      <c r="B47" s="6">
        <v>8</v>
      </c>
      <c r="C47" s="4">
        <v>1</v>
      </c>
      <c r="D47" s="5">
        <f t="shared" si="1"/>
        <v>9</v>
      </c>
      <c r="E47" s="6">
        <v>0</v>
      </c>
      <c r="F47" s="4">
        <v>0</v>
      </c>
      <c r="G47" s="5">
        <f t="shared" si="0"/>
        <v>0</v>
      </c>
      <c r="H47" s="9">
        <f t="shared" si="2"/>
        <v>9</v>
      </c>
    </row>
    <row r="48" spans="1:8" x14ac:dyDescent="0.25">
      <c r="A48" s="14" t="s">
        <v>69</v>
      </c>
      <c r="B48" s="6">
        <v>24</v>
      </c>
      <c r="C48" s="4">
        <v>3</v>
      </c>
      <c r="D48" s="5">
        <f t="shared" si="1"/>
        <v>27</v>
      </c>
      <c r="E48" s="6">
        <v>2</v>
      </c>
      <c r="F48" s="4">
        <v>0</v>
      </c>
      <c r="G48" s="5">
        <f t="shared" si="0"/>
        <v>2</v>
      </c>
      <c r="H48" s="9">
        <f t="shared" si="2"/>
        <v>29</v>
      </c>
    </row>
    <row r="49" spans="1:8" x14ac:dyDescent="0.25">
      <c r="A49" s="14" t="s">
        <v>35</v>
      </c>
      <c r="B49" s="6">
        <v>0</v>
      </c>
      <c r="C49" s="4">
        <v>8</v>
      </c>
      <c r="D49" s="5">
        <f t="shared" si="1"/>
        <v>8</v>
      </c>
      <c r="E49" s="6">
        <v>1</v>
      </c>
      <c r="F49" s="4">
        <v>0</v>
      </c>
      <c r="G49" s="5">
        <f t="shared" si="0"/>
        <v>1</v>
      </c>
      <c r="H49" s="9">
        <f t="shared" si="2"/>
        <v>9</v>
      </c>
    </row>
    <row r="50" spans="1:8" x14ac:dyDescent="0.25">
      <c r="A50" s="14" t="s">
        <v>70</v>
      </c>
      <c r="B50" s="6">
        <v>13</v>
      </c>
      <c r="C50" s="4">
        <v>4</v>
      </c>
      <c r="D50" s="5">
        <f t="shared" si="1"/>
        <v>17</v>
      </c>
      <c r="E50" s="6">
        <v>0</v>
      </c>
      <c r="F50" s="4">
        <v>0</v>
      </c>
      <c r="G50" s="5">
        <f t="shared" si="0"/>
        <v>0</v>
      </c>
      <c r="H50" s="9">
        <f t="shared" si="2"/>
        <v>17</v>
      </c>
    </row>
    <row r="51" spans="1:8" ht="15.75" thickBot="1" x14ac:dyDescent="0.3">
      <c r="A51" s="15" t="s">
        <v>71</v>
      </c>
      <c r="B51" s="11">
        <v>3</v>
      </c>
      <c r="C51" s="12">
        <v>0</v>
      </c>
      <c r="D51" s="13">
        <f t="shared" si="1"/>
        <v>3</v>
      </c>
      <c r="E51" s="11">
        <v>0</v>
      </c>
      <c r="F51" s="12">
        <v>0</v>
      </c>
      <c r="G51" s="13">
        <f t="shared" si="0"/>
        <v>0</v>
      </c>
      <c r="H51" s="16">
        <f t="shared" si="2"/>
        <v>3</v>
      </c>
    </row>
    <row r="52" spans="1:8" ht="16.5" thickTop="1" thickBot="1" x14ac:dyDescent="0.3">
      <c r="A52" s="8" t="s">
        <v>0</v>
      </c>
      <c r="B52" s="7">
        <f t="shared" ref="B52:H52" si="6">SUM(B7:B51)</f>
        <v>291</v>
      </c>
      <c r="C52" s="7">
        <f t="shared" si="6"/>
        <v>620</v>
      </c>
      <c r="D52" s="7">
        <f t="shared" si="6"/>
        <v>911</v>
      </c>
      <c r="E52" s="7">
        <f t="shared" si="6"/>
        <v>47</v>
      </c>
      <c r="F52" s="7">
        <f t="shared" si="6"/>
        <v>42</v>
      </c>
      <c r="G52" s="8">
        <f t="shared" si="6"/>
        <v>89</v>
      </c>
      <c r="H52" s="10">
        <f t="shared" si="6"/>
        <v>1000</v>
      </c>
    </row>
    <row r="53" spans="1:8" x14ac:dyDescent="0.25">
      <c r="A53" s="18"/>
      <c r="B53" s="18"/>
      <c r="C53" s="18"/>
      <c r="D53" s="18"/>
      <c r="E53" s="18"/>
      <c r="F53" s="18"/>
      <c r="G53" s="18"/>
      <c r="H53" s="18"/>
    </row>
    <row r="54" spans="1:8" ht="15.75" thickBot="1" x14ac:dyDescent="0.3"/>
    <row r="55" spans="1:8" x14ac:dyDescent="0.25">
      <c r="A55" s="23" t="s">
        <v>40</v>
      </c>
      <c r="B55" s="37" t="s">
        <v>3</v>
      </c>
      <c r="C55" s="38"/>
      <c r="D55" s="38"/>
      <c r="E55" s="37" t="s">
        <v>4</v>
      </c>
      <c r="F55" s="38"/>
      <c r="G55" s="38"/>
      <c r="H55" s="23" t="s">
        <v>0</v>
      </c>
    </row>
    <row r="56" spans="1:8" x14ac:dyDescent="0.25">
      <c r="A56" s="24"/>
      <c r="B56" s="25" t="s">
        <v>48</v>
      </c>
      <c r="C56" s="26" t="s">
        <v>49</v>
      </c>
      <c r="D56" s="27" t="s">
        <v>0</v>
      </c>
      <c r="E56" s="25" t="s">
        <v>48</v>
      </c>
      <c r="F56" s="26" t="s">
        <v>49</v>
      </c>
      <c r="G56" s="27" t="s">
        <v>0</v>
      </c>
      <c r="H56" s="24"/>
    </row>
    <row r="57" spans="1:8" x14ac:dyDescent="0.25">
      <c r="A57" s="14" t="s">
        <v>41</v>
      </c>
      <c r="B57" s="6">
        <v>146</v>
      </c>
      <c r="C57" s="4">
        <v>279</v>
      </c>
      <c r="D57" s="5">
        <f t="shared" ref="D57:D64" si="7">SUM(B57+C57)</f>
        <v>425</v>
      </c>
      <c r="E57" s="6">
        <v>5</v>
      </c>
      <c r="F57" s="4">
        <v>0</v>
      </c>
      <c r="G57" s="5">
        <f t="shared" ref="G57:G64" si="8">F57+E57</f>
        <v>5</v>
      </c>
      <c r="H57" s="9">
        <f t="shared" ref="H57:H64" si="9">D57+G57</f>
        <v>430</v>
      </c>
    </row>
    <row r="58" spans="1:8" x14ac:dyDescent="0.25">
      <c r="A58" s="14" t="s">
        <v>78</v>
      </c>
      <c r="B58" s="6">
        <v>1</v>
      </c>
      <c r="C58" s="4">
        <v>5</v>
      </c>
      <c r="D58" s="5">
        <f t="shared" si="7"/>
        <v>6</v>
      </c>
      <c r="E58" s="6">
        <v>6</v>
      </c>
      <c r="F58" s="4">
        <v>2</v>
      </c>
      <c r="G58" s="5">
        <f t="shared" si="8"/>
        <v>8</v>
      </c>
      <c r="H58" s="9">
        <f t="shared" si="9"/>
        <v>14</v>
      </c>
    </row>
    <row r="59" spans="1:8" x14ac:dyDescent="0.25">
      <c r="A59" s="14" t="s">
        <v>42</v>
      </c>
      <c r="B59" s="6">
        <v>0</v>
      </c>
      <c r="C59" s="4">
        <v>5</v>
      </c>
      <c r="D59" s="5">
        <f t="shared" si="7"/>
        <v>5</v>
      </c>
      <c r="E59" s="6">
        <v>2</v>
      </c>
      <c r="F59" s="4">
        <v>2</v>
      </c>
      <c r="G59" s="5">
        <f t="shared" si="8"/>
        <v>4</v>
      </c>
      <c r="H59" s="9">
        <f t="shared" si="9"/>
        <v>9</v>
      </c>
    </row>
    <row r="60" spans="1:8" x14ac:dyDescent="0.25">
      <c r="A60" s="14" t="s">
        <v>73</v>
      </c>
      <c r="B60" s="6">
        <v>25</v>
      </c>
      <c r="C60" s="4">
        <v>26</v>
      </c>
      <c r="D60" s="5">
        <f t="shared" si="7"/>
        <v>51</v>
      </c>
      <c r="E60" s="6">
        <v>6</v>
      </c>
      <c r="F60" s="4">
        <v>5</v>
      </c>
      <c r="G60" s="5">
        <f t="shared" si="8"/>
        <v>11</v>
      </c>
      <c r="H60" s="9">
        <f t="shared" si="9"/>
        <v>62</v>
      </c>
    </row>
    <row r="61" spans="1:8" x14ac:dyDescent="0.25">
      <c r="A61" s="14" t="s">
        <v>1</v>
      </c>
      <c r="B61" s="6">
        <v>48</v>
      </c>
      <c r="C61" s="4">
        <v>10</v>
      </c>
      <c r="D61" s="5">
        <f t="shared" si="7"/>
        <v>58</v>
      </c>
      <c r="E61" s="6">
        <v>0</v>
      </c>
      <c r="F61" s="4">
        <v>29</v>
      </c>
      <c r="G61" s="5">
        <f t="shared" si="8"/>
        <v>29</v>
      </c>
      <c r="H61" s="9">
        <f t="shared" si="9"/>
        <v>87</v>
      </c>
    </row>
    <row r="62" spans="1:8" x14ac:dyDescent="0.25">
      <c r="A62" s="14" t="s">
        <v>45</v>
      </c>
      <c r="B62" s="6">
        <v>7</v>
      </c>
      <c r="C62" s="4">
        <v>74</v>
      </c>
      <c r="D62" s="5">
        <f t="shared" si="7"/>
        <v>81</v>
      </c>
      <c r="E62" s="6">
        <v>4</v>
      </c>
      <c r="F62" s="4">
        <v>0</v>
      </c>
      <c r="G62" s="5">
        <f t="shared" si="8"/>
        <v>4</v>
      </c>
      <c r="H62" s="9">
        <f t="shared" si="9"/>
        <v>85</v>
      </c>
    </row>
    <row r="63" spans="1:8" x14ac:dyDescent="0.25">
      <c r="A63" s="14" t="s">
        <v>46</v>
      </c>
      <c r="B63" s="6">
        <v>10</v>
      </c>
      <c r="C63" s="4">
        <v>32</v>
      </c>
      <c r="D63" s="5">
        <f t="shared" si="7"/>
        <v>42</v>
      </c>
      <c r="E63" s="6">
        <v>2</v>
      </c>
      <c r="F63" s="4">
        <v>0</v>
      </c>
      <c r="G63" s="5">
        <f t="shared" si="8"/>
        <v>2</v>
      </c>
      <c r="H63" s="9">
        <f t="shared" si="9"/>
        <v>44</v>
      </c>
    </row>
    <row r="64" spans="1:8" ht="15.75" thickBot="1" x14ac:dyDescent="0.3">
      <c r="A64" s="15" t="s">
        <v>47</v>
      </c>
      <c r="B64" s="11">
        <v>54</v>
      </c>
      <c r="C64" s="12">
        <v>189</v>
      </c>
      <c r="D64" s="12">
        <f t="shared" si="7"/>
        <v>243</v>
      </c>
      <c r="E64" s="11">
        <v>22</v>
      </c>
      <c r="F64" s="12">
        <v>4</v>
      </c>
      <c r="G64" s="13">
        <f t="shared" si="8"/>
        <v>26</v>
      </c>
      <c r="H64" s="16">
        <f t="shared" si="9"/>
        <v>269</v>
      </c>
    </row>
    <row r="65" spans="1:8" ht="16.5" thickTop="1" thickBot="1" x14ac:dyDescent="0.3">
      <c r="A65" s="8" t="s">
        <v>0</v>
      </c>
      <c r="B65" s="7">
        <f t="shared" ref="B65:H65" si="10">SUM(B57:B64)</f>
        <v>291</v>
      </c>
      <c r="C65" s="7">
        <f t="shared" si="10"/>
        <v>620</v>
      </c>
      <c r="D65" s="7">
        <f t="shared" si="10"/>
        <v>911</v>
      </c>
      <c r="E65" s="7">
        <f t="shared" si="10"/>
        <v>47</v>
      </c>
      <c r="F65" s="7">
        <f t="shared" si="10"/>
        <v>42</v>
      </c>
      <c r="G65" s="8">
        <f t="shared" si="10"/>
        <v>89</v>
      </c>
      <c r="H65" s="10">
        <f t="shared" si="10"/>
        <v>1000</v>
      </c>
    </row>
    <row r="67" spans="1:8" x14ac:dyDescent="0.25">
      <c r="A67" s="48" t="s">
        <v>76</v>
      </c>
      <c r="B67" s="48"/>
      <c r="C67" s="48"/>
      <c r="D67" s="48"/>
      <c r="E67" s="48"/>
      <c r="F67" s="48"/>
      <c r="G67" s="48"/>
      <c r="H67" s="48"/>
    </row>
    <row r="71" spans="1:8" x14ac:dyDescent="0.25">
      <c r="A71" s="49"/>
      <c r="B71" s="49"/>
      <c r="C71" s="49"/>
      <c r="D71" s="49"/>
      <c r="E71" s="49"/>
      <c r="F71" s="49"/>
      <c r="G71" s="49"/>
      <c r="H71" s="49"/>
    </row>
  </sheetData>
  <mergeCells count="7">
    <mergeCell ref="A2:H2"/>
    <mergeCell ref="B5:D5"/>
    <mergeCell ref="E5:G5"/>
    <mergeCell ref="A67:H67"/>
    <mergeCell ref="A71:H71"/>
    <mergeCell ref="B55:D55"/>
    <mergeCell ref="E55:G55"/>
  </mergeCells>
  <pageMargins left="0.25" right="0.25" top="0.75" bottom="0.75" header="0.3" footer="0.3"/>
  <pageSetup paperSize="9" orientation="portrait" r:id="rId1"/>
  <headerFooter>
    <oddHeader>&amp;CUCL Student Data Statistics</oddHeader>
    <oddFooter>&amp;C&amp;P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view="pageLayout" zoomScale="85" zoomScaleNormal="100" zoomScalePageLayoutView="85" workbookViewId="0">
      <selection activeCell="F9" sqref="F9"/>
    </sheetView>
  </sheetViews>
  <sheetFormatPr defaultColWidth="9.140625" defaultRowHeight="15" x14ac:dyDescent="0.25"/>
  <cols>
    <col min="1" max="1" width="29.28515625" bestFit="1" customWidth="1"/>
    <col min="2" max="8" width="8.5703125" customWidth="1"/>
  </cols>
  <sheetData>
    <row r="1" spans="1:8" ht="18" x14ac:dyDescent="0.25">
      <c r="A1" s="1" t="s">
        <v>50</v>
      </c>
      <c r="B1" s="3"/>
    </row>
    <row r="2" spans="1:8" x14ac:dyDescent="0.25">
      <c r="A2" s="33" t="s">
        <v>51</v>
      </c>
      <c r="B2" s="33"/>
      <c r="C2" s="33"/>
      <c r="D2" s="33"/>
      <c r="E2" s="33"/>
      <c r="F2" s="33"/>
      <c r="G2" s="33"/>
      <c r="H2" s="33"/>
    </row>
    <row r="3" spans="1:8" x14ac:dyDescent="0.25">
      <c r="A3" s="2" t="str">
        <f ca="1">RIGHT(CELL("filename",A1),LEN(CELL("filename",A1))-FIND("]",CELL("filename",A1)))</f>
        <v>2009-10</v>
      </c>
      <c r="B3" s="3"/>
    </row>
    <row r="4" spans="1:8" ht="15.75" thickBot="1" x14ac:dyDescent="0.3">
      <c r="A4" s="3"/>
      <c r="B4" s="3"/>
    </row>
    <row r="5" spans="1:8" ht="15" customHeight="1" x14ac:dyDescent="0.25">
      <c r="A5" s="21" t="s">
        <v>2</v>
      </c>
      <c r="B5" s="37" t="s">
        <v>3</v>
      </c>
      <c r="C5" s="38"/>
      <c r="D5" s="38"/>
      <c r="E5" s="37" t="s">
        <v>4</v>
      </c>
      <c r="F5" s="38"/>
      <c r="G5" s="38"/>
      <c r="H5" s="21" t="s">
        <v>0</v>
      </c>
    </row>
    <row r="6" spans="1:8" ht="15" customHeight="1" x14ac:dyDescent="0.25">
      <c r="A6" s="22"/>
      <c r="B6" s="28" t="s">
        <v>48</v>
      </c>
      <c r="C6" s="29" t="s">
        <v>49</v>
      </c>
      <c r="D6" s="30" t="s">
        <v>0</v>
      </c>
      <c r="E6" s="28" t="s">
        <v>48</v>
      </c>
      <c r="F6" s="29" t="s">
        <v>49</v>
      </c>
      <c r="G6" s="30" t="s">
        <v>0</v>
      </c>
      <c r="H6" s="22"/>
    </row>
    <row r="7" spans="1:8" x14ac:dyDescent="0.25">
      <c r="A7" s="14" t="s">
        <v>6</v>
      </c>
      <c r="B7" s="6">
        <v>1</v>
      </c>
      <c r="C7" s="4">
        <v>11</v>
      </c>
      <c r="D7" s="5">
        <f>B7+C7</f>
        <v>12</v>
      </c>
      <c r="E7" s="6">
        <v>2</v>
      </c>
      <c r="F7" s="4">
        <v>0</v>
      </c>
      <c r="G7" s="5">
        <f t="shared" ref="G7:G52" si="0">E7+F7</f>
        <v>2</v>
      </c>
      <c r="H7" s="9">
        <f>G7+D7</f>
        <v>14</v>
      </c>
    </row>
    <row r="8" spans="1:8" x14ac:dyDescent="0.25">
      <c r="A8" s="14" t="s">
        <v>7</v>
      </c>
      <c r="B8" s="6">
        <v>6</v>
      </c>
      <c r="C8" s="4">
        <v>4</v>
      </c>
      <c r="D8" s="5">
        <f t="shared" ref="D8:D52" si="1">B8+C8</f>
        <v>10</v>
      </c>
      <c r="E8" s="6">
        <v>4</v>
      </c>
      <c r="F8" s="4">
        <v>2</v>
      </c>
      <c r="G8" s="5">
        <f t="shared" si="0"/>
        <v>6</v>
      </c>
      <c r="H8" s="9">
        <f t="shared" ref="H8:H52" si="2">G8+D8</f>
        <v>16</v>
      </c>
    </row>
    <row r="9" spans="1:8" x14ac:dyDescent="0.25">
      <c r="A9" s="14" t="s">
        <v>8</v>
      </c>
      <c r="B9" s="6">
        <v>0</v>
      </c>
      <c r="C9" s="4">
        <v>0</v>
      </c>
      <c r="D9" s="5">
        <f t="shared" si="1"/>
        <v>0</v>
      </c>
      <c r="E9" s="6">
        <v>0</v>
      </c>
      <c r="F9" s="4">
        <v>1</v>
      </c>
      <c r="G9" s="5">
        <f t="shared" si="0"/>
        <v>1</v>
      </c>
      <c r="H9" s="9">
        <f t="shared" si="2"/>
        <v>1</v>
      </c>
    </row>
    <row r="10" spans="1:8" x14ac:dyDescent="0.25">
      <c r="A10" s="14" t="s">
        <v>53</v>
      </c>
      <c r="B10" s="6">
        <v>6</v>
      </c>
      <c r="C10" s="4">
        <v>4</v>
      </c>
      <c r="D10" s="5">
        <f t="shared" si="1"/>
        <v>10</v>
      </c>
      <c r="E10" s="6">
        <v>3</v>
      </c>
      <c r="F10" s="4">
        <v>1</v>
      </c>
      <c r="G10" s="5">
        <f t="shared" si="0"/>
        <v>4</v>
      </c>
      <c r="H10" s="9">
        <f t="shared" si="2"/>
        <v>14</v>
      </c>
    </row>
    <row r="11" spans="1:8" x14ac:dyDescent="0.25">
      <c r="A11" s="14" t="s">
        <v>54</v>
      </c>
      <c r="B11" s="6">
        <v>3</v>
      </c>
      <c r="C11" s="4">
        <v>2</v>
      </c>
      <c r="D11" s="5">
        <f t="shared" si="1"/>
        <v>5</v>
      </c>
      <c r="E11" s="6">
        <v>0</v>
      </c>
      <c r="F11" s="4">
        <v>0</v>
      </c>
      <c r="G11" s="5">
        <f t="shared" si="0"/>
        <v>0</v>
      </c>
      <c r="H11" s="9">
        <f t="shared" si="2"/>
        <v>5</v>
      </c>
    </row>
    <row r="12" spans="1:8" x14ac:dyDescent="0.25">
      <c r="A12" s="14" t="s">
        <v>55</v>
      </c>
      <c r="B12" s="6">
        <v>0</v>
      </c>
      <c r="C12" s="4">
        <v>22</v>
      </c>
      <c r="D12" s="5">
        <f t="shared" si="1"/>
        <v>22</v>
      </c>
      <c r="E12" s="6">
        <v>1</v>
      </c>
      <c r="F12" s="4">
        <v>0</v>
      </c>
      <c r="G12" s="5">
        <f t="shared" si="0"/>
        <v>1</v>
      </c>
      <c r="H12" s="9">
        <f t="shared" si="2"/>
        <v>23</v>
      </c>
    </row>
    <row r="13" spans="1:8" x14ac:dyDescent="0.25">
      <c r="A13" s="14" t="s">
        <v>79</v>
      </c>
      <c r="B13" s="6">
        <v>0</v>
      </c>
      <c r="C13" s="4">
        <v>0</v>
      </c>
      <c r="D13" s="5">
        <f t="shared" si="1"/>
        <v>0</v>
      </c>
      <c r="E13" s="6">
        <v>2</v>
      </c>
      <c r="F13" s="4">
        <v>0</v>
      </c>
      <c r="G13" s="5">
        <f t="shared" si="0"/>
        <v>2</v>
      </c>
      <c r="H13" s="9">
        <f t="shared" si="2"/>
        <v>2</v>
      </c>
    </row>
    <row r="14" spans="1:8" x14ac:dyDescent="0.25">
      <c r="A14" s="14" t="s">
        <v>80</v>
      </c>
      <c r="B14" s="6">
        <v>0</v>
      </c>
      <c r="C14" s="4">
        <v>0</v>
      </c>
      <c r="D14" s="5">
        <f t="shared" si="1"/>
        <v>0</v>
      </c>
      <c r="E14" s="6">
        <v>3</v>
      </c>
      <c r="F14" s="4">
        <v>0</v>
      </c>
      <c r="G14" s="5">
        <f t="shared" si="0"/>
        <v>3</v>
      </c>
      <c r="H14" s="9">
        <f t="shared" si="2"/>
        <v>3</v>
      </c>
    </row>
    <row r="15" spans="1:8" x14ac:dyDescent="0.25">
      <c r="A15" s="14" t="s">
        <v>57</v>
      </c>
      <c r="B15" s="6">
        <v>8</v>
      </c>
      <c r="C15" s="4">
        <v>4</v>
      </c>
      <c r="D15" s="5">
        <f t="shared" si="1"/>
        <v>12</v>
      </c>
      <c r="E15" s="6">
        <v>0</v>
      </c>
      <c r="F15" s="4">
        <v>0</v>
      </c>
      <c r="G15" s="5">
        <f t="shared" si="0"/>
        <v>0</v>
      </c>
      <c r="H15" s="9">
        <f t="shared" si="2"/>
        <v>12</v>
      </c>
    </row>
    <row r="16" spans="1:8" x14ac:dyDescent="0.25">
      <c r="A16" s="14" t="s">
        <v>12</v>
      </c>
      <c r="B16" s="6">
        <v>3</v>
      </c>
      <c r="C16" s="4">
        <v>3</v>
      </c>
      <c r="D16" s="5">
        <f t="shared" si="1"/>
        <v>6</v>
      </c>
      <c r="E16" s="6">
        <v>0</v>
      </c>
      <c r="F16" s="4">
        <v>0</v>
      </c>
      <c r="G16" s="5">
        <f t="shared" si="0"/>
        <v>0</v>
      </c>
      <c r="H16" s="9">
        <f t="shared" si="2"/>
        <v>6</v>
      </c>
    </row>
    <row r="17" spans="1:8" x14ac:dyDescent="0.25">
      <c r="A17" s="14" t="s">
        <v>56</v>
      </c>
      <c r="B17" s="6">
        <v>0</v>
      </c>
      <c r="C17" s="4">
        <v>6</v>
      </c>
      <c r="D17" s="5">
        <f t="shared" si="1"/>
        <v>6</v>
      </c>
      <c r="E17" s="6">
        <v>1</v>
      </c>
      <c r="F17" s="4">
        <v>0</v>
      </c>
      <c r="G17" s="5">
        <f t="shared" si="0"/>
        <v>1</v>
      </c>
      <c r="H17" s="9">
        <f t="shared" si="2"/>
        <v>7</v>
      </c>
    </row>
    <row r="18" spans="1:8" x14ac:dyDescent="0.25">
      <c r="A18" s="14" t="s">
        <v>58</v>
      </c>
      <c r="B18" s="6">
        <v>3</v>
      </c>
      <c r="C18" s="4">
        <v>4</v>
      </c>
      <c r="D18" s="5">
        <f t="shared" si="1"/>
        <v>7</v>
      </c>
      <c r="E18" s="6">
        <v>2</v>
      </c>
      <c r="F18" s="4">
        <v>2</v>
      </c>
      <c r="G18" s="5">
        <f t="shared" si="0"/>
        <v>4</v>
      </c>
      <c r="H18" s="9">
        <f t="shared" si="2"/>
        <v>11</v>
      </c>
    </row>
    <row r="19" spans="1:8" x14ac:dyDescent="0.25">
      <c r="A19" s="14" t="s">
        <v>14</v>
      </c>
      <c r="B19" s="6">
        <v>8</v>
      </c>
      <c r="C19" s="4">
        <v>7</v>
      </c>
      <c r="D19" s="5">
        <f t="shared" si="1"/>
        <v>15</v>
      </c>
      <c r="E19" s="6">
        <v>0</v>
      </c>
      <c r="F19" s="4">
        <v>1</v>
      </c>
      <c r="G19" s="5">
        <f t="shared" si="0"/>
        <v>1</v>
      </c>
      <c r="H19" s="9">
        <f t="shared" si="2"/>
        <v>16</v>
      </c>
    </row>
    <row r="20" spans="1:8" x14ac:dyDescent="0.25">
      <c r="A20" s="14" t="s">
        <v>16</v>
      </c>
      <c r="B20" s="6">
        <v>6</v>
      </c>
      <c r="C20" s="4">
        <v>0</v>
      </c>
      <c r="D20" s="5">
        <f t="shared" si="1"/>
        <v>6</v>
      </c>
      <c r="E20" s="6">
        <v>0</v>
      </c>
      <c r="F20" s="4">
        <v>0</v>
      </c>
      <c r="G20" s="5">
        <f t="shared" si="0"/>
        <v>0</v>
      </c>
      <c r="H20" s="9">
        <f t="shared" si="2"/>
        <v>6</v>
      </c>
    </row>
    <row r="21" spans="1:8" x14ac:dyDescent="0.25">
      <c r="A21" s="14" t="s">
        <v>59</v>
      </c>
      <c r="B21" s="6">
        <v>3</v>
      </c>
      <c r="C21" s="4">
        <v>0</v>
      </c>
      <c r="D21" s="5">
        <f t="shared" si="1"/>
        <v>3</v>
      </c>
      <c r="E21" s="6">
        <v>0</v>
      </c>
      <c r="F21" s="4">
        <v>0</v>
      </c>
      <c r="G21" s="5">
        <f t="shared" si="0"/>
        <v>0</v>
      </c>
      <c r="H21" s="9">
        <f t="shared" si="2"/>
        <v>3</v>
      </c>
    </row>
    <row r="22" spans="1:8" x14ac:dyDescent="0.25">
      <c r="A22" s="14" t="s">
        <v>60</v>
      </c>
      <c r="B22" s="6">
        <v>0</v>
      </c>
      <c r="C22" s="4">
        <v>0</v>
      </c>
      <c r="D22" s="5">
        <f t="shared" si="1"/>
        <v>0</v>
      </c>
      <c r="E22" s="6">
        <v>6</v>
      </c>
      <c r="F22" s="4">
        <v>9</v>
      </c>
      <c r="G22" s="5">
        <f t="shared" si="0"/>
        <v>15</v>
      </c>
      <c r="H22" s="9">
        <f t="shared" si="2"/>
        <v>15</v>
      </c>
    </row>
    <row r="23" spans="1:8" x14ac:dyDescent="0.25">
      <c r="A23" s="14" t="s">
        <v>17</v>
      </c>
      <c r="B23" s="6">
        <v>0</v>
      </c>
      <c r="C23" s="4">
        <v>44</v>
      </c>
      <c r="D23" s="5">
        <f t="shared" si="1"/>
        <v>44</v>
      </c>
      <c r="E23" s="6">
        <v>5</v>
      </c>
      <c r="F23" s="4">
        <v>0</v>
      </c>
      <c r="G23" s="5">
        <f t="shared" si="0"/>
        <v>5</v>
      </c>
      <c r="H23" s="9">
        <f t="shared" si="2"/>
        <v>49</v>
      </c>
    </row>
    <row r="24" spans="1:8" x14ac:dyDescent="0.25">
      <c r="A24" s="14" t="s">
        <v>18</v>
      </c>
      <c r="B24" s="6">
        <v>2</v>
      </c>
      <c r="C24" s="4">
        <v>2</v>
      </c>
      <c r="D24" s="5">
        <f t="shared" si="1"/>
        <v>4</v>
      </c>
      <c r="E24" s="6">
        <v>0</v>
      </c>
      <c r="F24" s="4">
        <v>0</v>
      </c>
      <c r="G24" s="5">
        <f t="shared" si="0"/>
        <v>0</v>
      </c>
      <c r="H24" s="9">
        <f t="shared" si="2"/>
        <v>4</v>
      </c>
    </row>
    <row r="25" spans="1:8" x14ac:dyDescent="0.25">
      <c r="A25" s="14" t="s">
        <v>19</v>
      </c>
      <c r="B25" s="6">
        <v>1</v>
      </c>
      <c r="C25" s="4">
        <v>44</v>
      </c>
      <c r="D25" s="5">
        <f t="shared" si="1"/>
        <v>45</v>
      </c>
      <c r="E25" s="6">
        <v>0</v>
      </c>
      <c r="F25" s="4">
        <v>0</v>
      </c>
      <c r="G25" s="5">
        <f t="shared" si="0"/>
        <v>0</v>
      </c>
      <c r="H25" s="9">
        <f t="shared" si="2"/>
        <v>45</v>
      </c>
    </row>
    <row r="26" spans="1:8" x14ac:dyDescent="0.25">
      <c r="A26" s="14" t="s">
        <v>61</v>
      </c>
      <c r="B26" s="6">
        <v>9</v>
      </c>
      <c r="C26" s="4">
        <v>5</v>
      </c>
      <c r="D26" s="5">
        <f t="shared" si="1"/>
        <v>14</v>
      </c>
      <c r="E26" s="6">
        <v>0</v>
      </c>
      <c r="F26" s="4">
        <v>0</v>
      </c>
      <c r="G26" s="5">
        <f t="shared" si="0"/>
        <v>0</v>
      </c>
      <c r="H26" s="9">
        <f t="shared" si="2"/>
        <v>14</v>
      </c>
    </row>
    <row r="27" spans="1:8" x14ac:dyDescent="0.25">
      <c r="A27" s="14" t="s">
        <v>20</v>
      </c>
      <c r="B27" s="6">
        <v>2</v>
      </c>
      <c r="C27" s="4">
        <v>6</v>
      </c>
      <c r="D27" s="5">
        <f t="shared" si="1"/>
        <v>8</v>
      </c>
      <c r="E27" s="6">
        <v>0</v>
      </c>
      <c r="F27" s="4">
        <v>0</v>
      </c>
      <c r="G27" s="5">
        <f t="shared" si="0"/>
        <v>0</v>
      </c>
      <c r="H27" s="9">
        <f t="shared" si="2"/>
        <v>8</v>
      </c>
    </row>
    <row r="28" spans="1:8" x14ac:dyDescent="0.25">
      <c r="A28" s="14" t="s">
        <v>62</v>
      </c>
      <c r="B28" s="6">
        <v>27</v>
      </c>
      <c r="C28" s="4">
        <v>8</v>
      </c>
      <c r="D28" s="5">
        <f t="shared" si="1"/>
        <v>35</v>
      </c>
      <c r="E28" s="6">
        <v>0</v>
      </c>
      <c r="F28" s="4">
        <v>0</v>
      </c>
      <c r="G28" s="5">
        <f t="shared" si="0"/>
        <v>0</v>
      </c>
      <c r="H28" s="9">
        <f t="shared" si="2"/>
        <v>35</v>
      </c>
    </row>
    <row r="29" spans="1:8" x14ac:dyDescent="0.25">
      <c r="A29" s="14" t="s">
        <v>21</v>
      </c>
      <c r="B29" s="6">
        <v>7</v>
      </c>
      <c r="C29" s="4">
        <v>11</v>
      </c>
      <c r="D29" s="5">
        <f t="shared" ref="D29:D38" si="3">B29+C29</f>
        <v>18</v>
      </c>
      <c r="E29" s="6">
        <v>0</v>
      </c>
      <c r="F29" s="4">
        <v>1</v>
      </c>
      <c r="G29" s="5">
        <f t="shared" ref="G29:G38" si="4">E29+F29</f>
        <v>1</v>
      </c>
      <c r="H29" s="9">
        <f t="shared" ref="H29:H38" si="5">G29+D29</f>
        <v>19</v>
      </c>
    </row>
    <row r="30" spans="1:8" x14ac:dyDescent="0.25">
      <c r="A30" s="14" t="s">
        <v>23</v>
      </c>
      <c r="B30" s="6">
        <v>20</v>
      </c>
      <c r="C30" s="4">
        <v>0</v>
      </c>
      <c r="D30" s="5">
        <f t="shared" si="3"/>
        <v>20</v>
      </c>
      <c r="E30" s="6">
        <v>0</v>
      </c>
      <c r="F30" s="4">
        <v>0</v>
      </c>
      <c r="G30" s="5">
        <f t="shared" si="4"/>
        <v>0</v>
      </c>
      <c r="H30" s="9">
        <f t="shared" si="5"/>
        <v>20</v>
      </c>
    </row>
    <row r="31" spans="1:8" x14ac:dyDescent="0.25">
      <c r="A31" s="14" t="s">
        <v>37</v>
      </c>
      <c r="B31" s="6">
        <v>9</v>
      </c>
      <c r="C31" s="4">
        <v>6</v>
      </c>
      <c r="D31" s="5">
        <f t="shared" si="3"/>
        <v>15</v>
      </c>
      <c r="E31" s="6">
        <v>0</v>
      </c>
      <c r="F31" s="4">
        <v>0</v>
      </c>
      <c r="G31" s="5">
        <f t="shared" si="4"/>
        <v>0</v>
      </c>
      <c r="H31" s="9">
        <f t="shared" si="5"/>
        <v>15</v>
      </c>
    </row>
    <row r="32" spans="1:8" x14ac:dyDescent="0.25">
      <c r="A32" s="14" t="s">
        <v>38</v>
      </c>
      <c r="B32" s="6">
        <v>0</v>
      </c>
      <c r="C32" s="4">
        <v>1</v>
      </c>
      <c r="D32" s="5">
        <f t="shared" si="3"/>
        <v>1</v>
      </c>
      <c r="E32" s="6">
        <v>1</v>
      </c>
      <c r="F32" s="4">
        <v>0</v>
      </c>
      <c r="G32" s="5">
        <f t="shared" si="4"/>
        <v>1</v>
      </c>
      <c r="H32" s="9">
        <f t="shared" si="5"/>
        <v>2</v>
      </c>
    </row>
    <row r="33" spans="1:8" x14ac:dyDescent="0.25">
      <c r="A33" s="14" t="s">
        <v>24</v>
      </c>
      <c r="B33" s="6">
        <v>11</v>
      </c>
      <c r="C33" s="4">
        <v>21</v>
      </c>
      <c r="D33" s="5">
        <f t="shared" si="3"/>
        <v>32</v>
      </c>
      <c r="E33" s="6">
        <v>3</v>
      </c>
      <c r="F33" s="4">
        <v>0</v>
      </c>
      <c r="G33" s="5">
        <f t="shared" si="4"/>
        <v>3</v>
      </c>
      <c r="H33" s="9">
        <f t="shared" si="5"/>
        <v>35</v>
      </c>
    </row>
    <row r="34" spans="1:8" x14ac:dyDescent="0.25">
      <c r="A34" s="14" t="s">
        <v>39</v>
      </c>
      <c r="B34" s="6">
        <v>4</v>
      </c>
      <c r="C34" s="4">
        <v>11</v>
      </c>
      <c r="D34" s="5">
        <f t="shared" si="3"/>
        <v>15</v>
      </c>
      <c r="E34" s="6">
        <v>0</v>
      </c>
      <c r="F34" s="4">
        <v>0</v>
      </c>
      <c r="G34" s="5">
        <f t="shared" si="4"/>
        <v>0</v>
      </c>
      <c r="H34" s="9">
        <f t="shared" si="5"/>
        <v>15</v>
      </c>
    </row>
    <row r="35" spans="1:8" x14ac:dyDescent="0.25">
      <c r="A35" s="14" t="s">
        <v>25</v>
      </c>
      <c r="B35" s="6">
        <v>27</v>
      </c>
      <c r="C35" s="4">
        <v>0</v>
      </c>
      <c r="D35" s="5">
        <f t="shared" si="3"/>
        <v>27</v>
      </c>
      <c r="E35" s="6">
        <v>0</v>
      </c>
      <c r="F35" s="4">
        <v>0</v>
      </c>
      <c r="G35" s="5">
        <f t="shared" si="4"/>
        <v>0</v>
      </c>
      <c r="H35" s="9">
        <f t="shared" si="5"/>
        <v>27</v>
      </c>
    </row>
    <row r="36" spans="1:8" x14ac:dyDescent="0.25">
      <c r="A36" s="14" t="s">
        <v>63</v>
      </c>
      <c r="B36" s="6">
        <v>9</v>
      </c>
      <c r="C36" s="4">
        <v>204</v>
      </c>
      <c r="D36" s="5">
        <f t="shared" si="3"/>
        <v>213</v>
      </c>
      <c r="E36" s="6">
        <v>0</v>
      </c>
      <c r="F36" s="4">
        <v>0</v>
      </c>
      <c r="G36" s="5">
        <f t="shared" si="4"/>
        <v>0</v>
      </c>
      <c r="H36" s="9">
        <f t="shared" si="5"/>
        <v>213</v>
      </c>
    </row>
    <row r="37" spans="1:8" x14ac:dyDescent="0.25">
      <c r="A37" s="14" t="s">
        <v>1</v>
      </c>
      <c r="B37" s="6">
        <v>48</v>
      </c>
      <c r="C37" s="4">
        <v>7</v>
      </c>
      <c r="D37" s="5">
        <f t="shared" si="3"/>
        <v>55</v>
      </c>
      <c r="E37" s="6">
        <v>4</v>
      </c>
      <c r="F37" s="4">
        <v>22</v>
      </c>
      <c r="G37" s="5">
        <f t="shared" si="4"/>
        <v>26</v>
      </c>
      <c r="H37" s="9">
        <f t="shared" si="5"/>
        <v>81</v>
      </c>
    </row>
    <row r="38" spans="1:8" x14ac:dyDescent="0.25">
      <c r="A38" s="14" t="s">
        <v>64</v>
      </c>
      <c r="B38" s="6">
        <v>1</v>
      </c>
      <c r="C38" s="4">
        <v>1</v>
      </c>
      <c r="D38" s="5">
        <f t="shared" si="3"/>
        <v>2</v>
      </c>
      <c r="E38" s="6">
        <v>0</v>
      </c>
      <c r="F38" s="4">
        <v>0</v>
      </c>
      <c r="G38" s="5">
        <f t="shared" si="4"/>
        <v>0</v>
      </c>
      <c r="H38" s="9">
        <f t="shared" si="5"/>
        <v>2</v>
      </c>
    </row>
    <row r="39" spans="1:8" x14ac:dyDescent="0.25">
      <c r="A39" s="14" t="s">
        <v>26</v>
      </c>
      <c r="B39" s="6">
        <v>1</v>
      </c>
      <c r="C39" s="4">
        <v>12</v>
      </c>
      <c r="D39" s="5">
        <f t="shared" si="1"/>
        <v>13</v>
      </c>
      <c r="E39" s="6">
        <v>0</v>
      </c>
      <c r="F39" s="4">
        <v>0</v>
      </c>
      <c r="G39" s="5">
        <f t="shared" si="0"/>
        <v>0</v>
      </c>
      <c r="H39" s="9">
        <f t="shared" si="2"/>
        <v>13</v>
      </c>
    </row>
    <row r="40" spans="1:8" x14ac:dyDescent="0.25">
      <c r="A40" s="14" t="s">
        <v>27</v>
      </c>
      <c r="B40" s="6">
        <v>0</v>
      </c>
      <c r="C40" s="4">
        <v>3</v>
      </c>
      <c r="D40" s="5">
        <f t="shared" si="1"/>
        <v>3</v>
      </c>
      <c r="E40" s="6">
        <v>0</v>
      </c>
      <c r="F40" s="4">
        <v>0</v>
      </c>
      <c r="G40" s="5">
        <f t="shared" si="0"/>
        <v>0</v>
      </c>
      <c r="H40" s="9">
        <f t="shared" si="2"/>
        <v>3</v>
      </c>
    </row>
    <row r="41" spans="1:8" x14ac:dyDescent="0.25">
      <c r="A41" s="14" t="s">
        <v>65</v>
      </c>
      <c r="B41" s="6">
        <v>1</v>
      </c>
      <c r="C41" s="4">
        <v>0</v>
      </c>
      <c r="D41" s="5">
        <f t="shared" si="1"/>
        <v>1</v>
      </c>
      <c r="E41" s="6">
        <v>0</v>
      </c>
      <c r="F41" s="4">
        <v>0</v>
      </c>
      <c r="G41" s="5">
        <f t="shared" si="0"/>
        <v>0</v>
      </c>
      <c r="H41" s="9">
        <f t="shared" si="2"/>
        <v>1</v>
      </c>
    </row>
    <row r="42" spans="1:8" x14ac:dyDescent="0.25">
      <c r="A42" s="14" t="s">
        <v>77</v>
      </c>
      <c r="B42" s="6">
        <v>1</v>
      </c>
      <c r="C42" s="4">
        <v>0</v>
      </c>
      <c r="D42" s="5">
        <f t="shared" si="1"/>
        <v>1</v>
      </c>
      <c r="E42" s="6">
        <v>0</v>
      </c>
      <c r="F42" s="4">
        <v>0</v>
      </c>
      <c r="G42" s="5">
        <f t="shared" si="0"/>
        <v>0</v>
      </c>
      <c r="H42" s="9">
        <f t="shared" si="2"/>
        <v>1</v>
      </c>
    </row>
    <row r="43" spans="1:8" x14ac:dyDescent="0.25">
      <c r="A43" s="14" t="s">
        <v>28</v>
      </c>
      <c r="B43" s="6">
        <v>0</v>
      </c>
      <c r="C43" s="4">
        <v>8</v>
      </c>
      <c r="D43" s="5">
        <f t="shared" si="1"/>
        <v>8</v>
      </c>
      <c r="E43" s="6">
        <v>1</v>
      </c>
      <c r="F43" s="4">
        <v>0</v>
      </c>
      <c r="G43" s="5">
        <f t="shared" si="0"/>
        <v>1</v>
      </c>
      <c r="H43" s="9">
        <f t="shared" si="2"/>
        <v>9</v>
      </c>
    </row>
    <row r="44" spans="1:8" x14ac:dyDescent="0.25">
      <c r="A44" s="14" t="s">
        <v>31</v>
      </c>
      <c r="B44" s="6">
        <v>1</v>
      </c>
      <c r="C44" s="4">
        <v>7</v>
      </c>
      <c r="D44" s="5">
        <f t="shared" si="1"/>
        <v>8</v>
      </c>
      <c r="E44" s="6">
        <v>2</v>
      </c>
      <c r="F44" s="4">
        <v>0</v>
      </c>
      <c r="G44" s="5">
        <f t="shared" si="0"/>
        <v>2</v>
      </c>
      <c r="H44" s="9">
        <f t="shared" si="2"/>
        <v>10</v>
      </c>
    </row>
    <row r="45" spans="1:8" x14ac:dyDescent="0.25">
      <c r="A45" s="14" t="s">
        <v>66</v>
      </c>
      <c r="B45" s="6">
        <v>0</v>
      </c>
      <c r="C45" s="4">
        <v>37</v>
      </c>
      <c r="D45" s="5">
        <f t="shared" si="1"/>
        <v>37</v>
      </c>
      <c r="E45" s="6">
        <v>0</v>
      </c>
      <c r="F45" s="4">
        <v>0</v>
      </c>
      <c r="G45" s="5">
        <f t="shared" si="0"/>
        <v>0</v>
      </c>
      <c r="H45" s="9">
        <f t="shared" si="2"/>
        <v>37</v>
      </c>
    </row>
    <row r="46" spans="1:8" x14ac:dyDescent="0.25">
      <c r="A46" s="14" t="s">
        <v>67</v>
      </c>
      <c r="B46" s="6">
        <v>0</v>
      </c>
      <c r="C46" s="4">
        <v>0</v>
      </c>
      <c r="D46" s="5">
        <f t="shared" si="1"/>
        <v>0</v>
      </c>
      <c r="E46" s="6">
        <v>1</v>
      </c>
      <c r="F46" s="4">
        <v>0</v>
      </c>
      <c r="G46" s="5">
        <f t="shared" si="0"/>
        <v>1</v>
      </c>
      <c r="H46" s="9">
        <f t="shared" si="2"/>
        <v>1</v>
      </c>
    </row>
    <row r="47" spans="1:8" x14ac:dyDescent="0.25">
      <c r="A47" s="14" t="s">
        <v>68</v>
      </c>
      <c r="B47" s="6">
        <v>7</v>
      </c>
      <c r="C47" s="4">
        <v>37</v>
      </c>
      <c r="D47" s="5">
        <f t="shared" si="1"/>
        <v>44</v>
      </c>
      <c r="E47" s="6">
        <v>1</v>
      </c>
      <c r="F47" s="4">
        <v>0</v>
      </c>
      <c r="G47" s="5">
        <f t="shared" si="0"/>
        <v>1</v>
      </c>
      <c r="H47" s="9">
        <f t="shared" si="2"/>
        <v>45</v>
      </c>
    </row>
    <row r="48" spans="1:8" x14ac:dyDescent="0.25">
      <c r="A48" s="14" t="s">
        <v>34</v>
      </c>
      <c r="B48" s="6">
        <v>10</v>
      </c>
      <c r="C48" s="4">
        <v>0</v>
      </c>
      <c r="D48" s="5">
        <f t="shared" si="1"/>
        <v>10</v>
      </c>
      <c r="E48" s="6">
        <v>0</v>
      </c>
      <c r="F48" s="4">
        <v>0</v>
      </c>
      <c r="G48" s="5">
        <f t="shared" si="0"/>
        <v>0</v>
      </c>
      <c r="H48" s="9">
        <f t="shared" si="2"/>
        <v>10</v>
      </c>
    </row>
    <row r="49" spans="1:8" x14ac:dyDescent="0.25">
      <c r="A49" s="14" t="s">
        <v>69</v>
      </c>
      <c r="B49" s="6">
        <v>25</v>
      </c>
      <c r="C49" s="4">
        <v>4</v>
      </c>
      <c r="D49" s="5">
        <f t="shared" si="1"/>
        <v>29</v>
      </c>
      <c r="E49" s="6">
        <v>2</v>
      </c>
      <c r="F49" s="4">
        <v>0</v>
      </c>
      <c r="G49" s="5">
        <f t="shared" si="0"/>
        <v>2</v>
      </c>
      <c r="H49" s="9">
        <f t="shared" si="2"/>
        <v>31</v>
      </c>
    </row>
    <row r="50" spans="1:8" x14ac:dyDescent="0.25">
      <c r="A50" s="14" t="s">
        <v>35</v>
      </c>
      <c r="B50" s="6">
        <v>0</v>
      </c>
      <c r="C50" s="4">
        <v>5</v>
      </c>
      <c r="D50" s="5">
        <f t="shared" si="1"/>
        <v>5</v>
      </c>
      <c r="E50" s="6">
        <v>0</v>
      </c>
      <c r="F50" s="4">
        <v>1</v>
      </c>
      <c r="G50" s="5">
        <f t="shared" si="0"/>
        <v>1</v>
      </c>
      <c r="H50" s="9">
        <f t="shared" si="2"/>
        <v>6</v>
      </c>
    </row>
    <row r="51" spans="1:8" x14ac:dyDescent="0.25">
      <c r="A51" s="14" t="s">
        <v>70</v>
      </c>
      <c r="B51" s="6">
        <v>15</v>
      </c>
      <c r="C51" s="4">
        <v>1</v>
      </c>
      <c r="D51" s="5">
        <f t="shared" si="1"/>
        <v>16</v>
      </c>
      <c r="E51" s="6">
        <v>0</v>
      </c>
      <c r="F51" s="4">
        <v>0</v>
      </c>
      <c r="G51" s="5">
        <f t="shared" si="0"/>
        <v>0</v>
      </c>
      <c r="H51" s="9">
        <f t="shared" si="2"/>
        <v>16</v>
      </c>
    </row>
    <row r="52" spans="1:8" ht="15.75" thickBot="1" x14ac:dyDescent="0.3">
      <c r="A52" s="15" t="s">
        <v>71</v>
      </c>
      <c r="B52" s="11">
        <v>5</v>
      </c>
      <c r="C52" s="12">
        <v>1</v>
      </c>
      <c r="D52" s="13">
        <f t="shared" si="1"/>
        <v>6</v>
      </c>
      <c r="E52" s="11">
        <v>0</v>
      </c>
      <c r="F52" s="12">
        <v>0</v>
      </c>
      <c r="G52" s="13">
        <f t="shared" si="0"/>
        <v>0</v>
      </c>
      <c r="H52" s="16">
        <f t="shared" si="2"/>
        <v>6</v>
      </c>
    </row>
    <row r="53" spans="1:8" ht="16.5" thickTop="1" thickBot="1" x14ac:dyDescent="0.3">
      <c r="A53" s="8" t="s">
        <v>0</v>
      </c>
      <c r="B53" s="7">
        <f t="shared" ref="B53:H53" si="6">SUM(B7:B52)</f>
        <v>290</v>
      </c>
      <c r="C53" s="7">
        <f t="shared" si="6"/>
        <v>553</v>
      </c>
      <c r="D53" s="7">
        <f t="shared" si="6"/>
        <v>843</v>
      </c>
      <c r="E53" s="7">
        <f t="shared" si="6"/>
        <v>44</v>
      </c>
      <c r="F53" s="7">
        <f t="shared" si="6"/>
        <v>40</v>
      </c>
      <c r="G53" s="8">
        <f t="shared" si="6"/>
        <v>84</v>
      </c>
      <c r="H53" s="10">
        <f t="shared" si="6"/>
        <v>927</v>
      </c>
    </row>
    <row r="54" spans="1:8" ht="15.75" thickBot="1" x14ac:dyDescent="0.3">
      <c r="A54" s="18"/>
      <c r="B54" s="18"/>
      <c r="C54" s="18"/>
      <c r="D54" s="18"/>
      <c r="E54" s="18"/>
      <c r="F54" s="18"/>
      <c r="G54" s="18"/>
      <c r="H54" s="18"/>
    </row>
    <row r="55" spans="1:8" x14ac:dyDescent="0.25">
      <c r="A55" s="21" t="s">
        <v>40</v>
      </c>
      <c r="B55" s="37" t="s">
        <v>3</v>
      </c>
      <c r="C55" s="38"/>
      <c r="D55" s="38"/>
      <c r="E55" s="37" t="s">
        <v>4</v>
      </c>
      <c r="F55" s="38"/>
      <c r="G55" s="38"/>
      <c r="H55" s="21" t="s">
        <v>0</v>
      </c>
    </row>
    <row r="56" spans="1:8" x14ac:dyDescent="0.25">
      <c r="A56" s="22"/>
      <c r="B56" s="28" t="s">
        <v>48</v>
      </c>
      <c r="C56" s="29" t="s">
        <v>49</v>
      </c>
      <c r="D56" s="30" t="s">
        <v>0</v>
      </c>
      <c r="E56" s="28" t="s">
        <v>48</v>
      </c>
      <c r="F56" s="29" t="s">
        <v>49</v>
      </c>
      <c r="G56" s="30" t="s">
        <v>0</v>
      </c>
      <c r="H56" s="22"/>
    </row>
    <row r="57" spans="1:8" x14ac:dyDescent="0.25">
      <c r="A57" s="14" t="s">
        <v>41</v>
      </c>
      <c r="B57" s="6">
        <v>135</v>
      </c>
      <c r="C57" s="4">
        <v>283</v>
      </c>
      <c r="D57" s="5">
        <f t="shared" ref="D57:D64" si="7">SUM(B57+C57)</f>
        <v>418</v>
      </c>
      <c r="E57" s="6">
        <v>7</v>
      </c>
      <c r="F57" s="4">
        <v>0</v>
      </c>
      <c r="G57" s="5">
        <f t="shared" ref="G57:G64" si="8">F57+E57</f>
        <v>7</v>
      </c>
      <c r="H57" s="9">
        <f t="shared" ref="H57:H64" si="9">D57+G57</f>
        <v>425</v>
      </c>
    </row>
    <row r="58" spans="1:8" x14ac:dyDescent="0.25">
      <c r="A58" s="14" t="s">
        <v>78</v>
      </c>
      <c r="B58" s="6">
        <v>1</v>
      </c>
      <c r="C58" s="4">
        <v>6</v>
      </c>
      <c r="D58" s="5">
        <f t="shared" si="7"/>
        <v>7</v>
      </c>
      <c r="E58" s="6">
        <v>8</v>
      </c>
      <c r="F58" s="4">
        <v>9</v>
      </c>
      <c r="G58" s="5">
        <f t="shared" si="8"/>
        <v>17</v>
      </c>
      <c r="H58" s="9">
        <f t="shared" si="9"/>
        <v>24</v>
      </c>
    </row>
    <row r="59" spans="1:8" x14ac:dyDescent="0.25">
      <c r="A59" s="14" t="s">
        <v>42</v>
      </c>
      <c r="B59" s="6">
        <v>6</v>
      </c>
      <c r="C59" s="4">
        <v>4</v>
      </c>
      <c r="D59" s="5">
        <f t="shared" si="7"/>
        <v>10</v>
      </c>
      <c r="E59" s="6">
        <v>3</v>
      </c>
      <c r="F59" s="4">
        <v>2</v>
      </c>
      <c r="G59" s="5">
        <f t="shared" si="8"/>
        <v>5</v>
      </c>
      <c r="H59" s="9">
        <f t="shared" si="9"/>
        <v>15</v>
      </c>
    </row>
    <row r="60" spans="1:8" x14ac:dyDescent="0.25">
      <c r="A60" s="14" t="s">
        <v>73</v>
      </c>
      <c r="B60" s="6">
        <v>26</v>
      </c>
      <c r="C60" s="4">
        <v>23</v>
      </c>
      <c r="D60" s="5">
        <f t="shared" si="7"/>
        <v>49</v>
      </c>
      <c r="E60" s="6">
        <v>2</v>
      </c>
      <c r="F60" s="4">
        <v>3</v>
      </c>
      <c r="G60" s="5">
        <f t="shared" si="8"/>
        <v>5</v>
      </c>
      <c r="H60" s="9">
        <f t="shared" si="9"/>
        <v>54</v>
      </c>
    </row>
    <row r="61" spans="1:8" x14ac:dyDescent="0.25">
      <c r="A61" s="14" t="s">
        <v>1</v>
      </c>
      <c r="B61" s="6">
        <v>48</v>
      </c>
      <c r="C61" s="4">
        <v>7</v>
      </c>
      <c r="D61" s="5">
        <f t="shared" si="7"/>
        <v>55</v>
      </c>
      <c r="E61" s="6">
        <v>4</v>
      </c>
      <c r="F61" s="4">
        <v>22</v>
      </c>
      <c r="G61" s="5">
        <f t="shared" si="8"/>
        <v>26</v>
      </c>
      <c r="H61" s="9">
        <f t="shared" si="9"/>
        <v>81</v>
      </c>
    </row>
    <row r="62" spans="1:8" x14ac:dyDescent="0.25">
      <c r="A62" s="14" t="s">
        <v>45</v>
      </c>
      <c r="B62" s="6">
        <v>7</v>
      </c>
      <c r="C62" s="4">
        <v>59</v>
      </c>
      <c r="D62" s="5">
        <f t="shared" si="7"/>
        <v>66</v>
      </c>
      <c r="E62" s="6">
        <v>2</v>
      </c>
      <c r="F62" s="4">
        <v>0</v>
      </c>
      <c r="G62" s="5">
        <f t="shared" si="8"/>
        <v>2</v>
      </c>
      <c r="H62" s="9">
        <f t="shared" si="9"/>
        <v>68</v>
      </c>
    </row>
    <row r="63" spans="1:8" x14ac:dyDescent="0.25">
      <c r="A63" s="14" t="s">
        <v>46</v>
      </c>
      <c r="B63" s="6">
        <v>13</v>
      </c>
      <c r="C63" s="4">
        <v>28</v>
      </c>
      <c r="D63" s="5">
        <f t="shared" si="7"/>
        <v>41</v>
      </c>
      <c r="E63" s="6">
        <v>2</v>
      </c>
      <c r="F63" s="4">
        <v>1</v>
      </c>
      <c r="G63" s="5">
        <f t="shared" si="8"/>
        <v>3</v>
      </c>
      <c r="H63" s="9">
        <f t="shared" si="9"/>
        <v>44</v>
      </c>
    </row>
    <row r="64" spans="1:8" ht="15.75" thickBot="1" x14ac:dyDescent="0.3">
      <c r="A64" s="15" t="s">
        <v>47</v>
      </c>
      <c r="B64" s="11">
        <v>54</v>
      </c>
      <c r="C64" s="12">
        <v>143</v>
      </c>
      <c r="D64" s="12">
        <f t="shared" si="7"/>
        <v>197</v>
      </c>
      <c r="E64" s="11">
        <v>16</v>
      </c>
      <c r="F64" s="12">
        <v>3</v>
      </c>
      <c r="G64" s="13">
        <f t="shared" si="8"/>
        <v>19</v>
      </c>
      <c r="H64" s="16">
        <f t="shared" si="9"/>
        <v>216</v>
      </c>
    </row>
    <row r="65" spans="1:8" ht="16.5" thickTop="1" thickBot="1" x14ac:dyDescent="0.3">
      <c r="A65" s="8" t="s">
        <v>0</v>
      </c>
      <c r="B65" s="7">
        <f t="shared" ref="B65:H65" si="10">SUM(B57:B64)</f>
        <v>290</v>
      </c>
      <c r="C65" s="7">
        <f t="shared" si="10"/>
        <v>553</v>
      </c>
      <c r="D65" s="7">
        <f t="shared" si="10"/>
        <v>843</v>
      </c>
      <c r="E65" s="7">
        <f t="shared" si="10"/>
        <v>44</v>
      </c>
      <c r="F65" s="7">
        <f t="shared" si="10"/>
        <v>40</v>
      </c>
      <c r="G65" s="8">
        <f t="shared" si="10"/>
        <v>84</v>
      </c>
      <c r="H65" s="10">
        <f t="shared" si="10"/>
        <v>927</v>
      </c>
    </row>
    <row r="67" spans="1:8" x14ac:dyDescent="0.25">
      <c r="A67" s="48" t="s">
        <v>76</v>
      </c>
      <c r="B67" s="48"/>
      <c r="C67" s="48"/>
      <c r="D67" s="48"/>
      <c r="E67" s="48"/>
      <c r="F67" s="48"/>
      <c r="G67" s="48"/>
      <c r="H67" s="48"/>
    </row>
    <row r="71" spans="1:8" x14ac:dyDescent="0.25">
      <c r="A71" s="49"/>
      <c r="B71" s="49"/>
      <c r="C71" s="49"/>
      <c r="D71" s="49"/>
      <c r="E71" s="49"/>
      <c r="F71" s="49"/>
      <c r="G71" s="49"/>
      <c r="H71" s="49"/>
    </row>
  </sheetData>
  <mergeCells count="7">
    <mergeCell ref="A2:H2"/>
    <mergeCell ref="B5:D5"/>
    <mergeCell ref="E5:G5"/>
    <mergeCell ref="A67:H67"/>
    <mergeCell ref="A71:H71"/>
    <mergeCell ref="B55:D55"/>
    <mergeCell ref="E55:G55"/>
  </mergeCells>
  <pageMargins left="0.25" right="0.25" top="0.75" bottom="0.75" header="0.3" footer="0.3"/>
  <pageSetup paperSize="9" orientation="portrait" r:id="rId1"/>
  <headerFooter>
    <oddHeader>&amp;CUCL Student Data Statistics</oddHeader>
    <oddFooter>&amp;C&amp;P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view="pageLayout" topLeftCell="A37" zoomScale="85" zoomScaleNormal="100" zoomScalePageLayoutView="85" workbookViewId="0">
      <selection activeCell="F7" sqref="F7"/>
    </sheetView>
  </sheetViews>
  <sheetFormatPr defaultColWidth="9.140625" defaultRowHeight="15" x14ac:dyDescent="0.25"/>
  <cols>
    <col min="1" max="1" width="29.28515625" bestFit="1" customWidth="1"/>
    <col min="2" max="8" width="8.5703125" customWidth="1"/>
  </cols>
  <sheetData>
    <row r="1" spans="1:8" ht="18" x14ac:dyDescent="0.25">
      <c r="A1" s="1" t="s">
        <v>50</v>
      </c>
      <c r="B1" s="3"/>
    </row>
    <row r="2" spans="1:8" x14ac:dyDescent="0.25">
      <c r="A2" s="33" t="s">
        <v>51</v>
      </c>
      <c r="B2" s="33"/>
      <c r="C2" s="33"/>
      <c r="D2" s="33"/>
      <c r="E2" s="33"/>
      <c r="F2" s="33"/>
      <c r="G2" s="33"/>
      <c r="H2" s="33"/>
    </row>
    <row r="3" spans="1:8" x14ac:dyDescent="0.25">
      <c r="A3" s="2" t="str">
        <f ca="1">RIGHT(CELL("filename",A1),LEN(CELL("filename",A1))-FIND("]",CELL("filename",A1)))</f>
        <v>2008-09</v>
      </c>
      <c r="B3" s="3"/>
    </row>
    <row r="4" spans="1:8" ht="15.75" thickBot="1" x14ac:dyDescent="0.3">
      <c r="A4" s="3"/>
      <c r="B4" s="3"/>
    </row>
    <row r="5" spans="1:8" ht="15" customHeight="1" x14ac:dyDescent="0.25">
      <c r="A5" s="21" t="s">
        <v>2</v>
      </c>
      <c r="B5" s="37" t="s">
        <v>3</v>
      </c>
      <c r="C5" s="38"/>
      <c r="D5" s="38"/>
      <c r="E5" s="37" t="s">
        <v>4</v>
      </c>
      <c r="F5" s="38"/>
      <c r="G5" s="38"/>
      <c r="H5" s="21" t="s">
        <v>0</v>
      </c>
    </row>
    <row r="6" spans="1:8" ht="15" customHeight="1" x14ac:dyDescent="0.25">
      <c r="A6" s="22"/>
      <c r="B6" s="28" t="s">
        <v>48</v>
      </c>
      <c r="C6" s="29" t="s">
        <v>49</v>
      </c>
      <c r="D6" s="30" t="s">
        <v>0</v>
      </c>
      <c r="E6" s="28" t="s">
        <v>48</v>
      </c>
      <c r="F6" s="29" t="s">
        <v>49</v>
      </c>
      <c r="G6" s="30" t="s">
        <v>0</v>
      </c>
      <c r="H6" s="22"/>
    </row>
    <row r="7" spans="1:8" x14ac:dyDescent="0.25">
      <c r="A7" s="14" t="s">
        <v>6</v>
      </c>
      <c r="B7" s="6">
        <v>2</v>
      </c>
      <c r="C7" s="4">
        <v>9</v>
      </c>
      <c r="D7" s="5">
        <f>B7+C7</f>
        <v>11</v>
      </c>
      <c r="E7" s="6">
        <v>0</v>
      </c>
      <c r="F7" s="4">
        <v>0</v>
      </c>
      <c r="G7" s="5">
        <f t="shared" ref="G7:G52" si="0">E7+F7</f>
        <v>0</v>
      </c>
      <c r="H7" s="9">
        <f>G7+D7</f>
        <v>11</v>
      </c>
    </row>
    <row r="8" spans="1:8" x14ac:dyDescent="0.25">
      <c r="A8" s="14" t="s">
        <v>7</v>
      </c>
      <c r="B8" s="6">
        <v>0</v>
      </c>
      <c r="C8" s="4">
        <v>2</v>
      </c>
      <c r="D8" s="5">
        <f t="shared" ref="D8:D52" si="1">B8+C8</f>
        <v>2</v>
      </c>
      <c r="E8" s="6">
        <v>1</v>
      </c>
      <c r="F8" s="4">
        <v>2</v>
      </c>
      <c r="G8" s="5">
        <f t="shared" si="0"/>
        <v>3</v>
      </c>
      <c r="H8" s="9">
        <f t="shared" ref="H8:H52" si="2">G8+D8</f>
        <v>5</v>
      </c>
    </row>
    <row r="9" spans="1:8" x14ac:dyDescent="0.25">
      <c r="A9" s="14" t="s">
        <v>8</v>
      </c>
      <c r="B9" s="6">
        <v>0</v>
      </c>
      <c r="C9" s="4">
        <v>3</v>
      </c>
      <c r="D9" s="5">
        <f t="shared" si="1"/>
        <v>3</v>
      </c>
      <c r="E9" s="6">
        <v>1</v>
      </c>
      <c r="F9" s="4">
        <v>0</v>
      </c>
      <c r="G9" s="5">
        <f t="shared" si="0"/>
        <v>1</v>
      </c>
      <c r="H9" s="9">
        <f t="shared" si="2"/>
        <v>4</v>
      </c>
    </row>
    <row r="10" spans="1:8" x14ac:dyDescent="0.25">
      <c r="A10" s="14" t="s">
        <v>53</v>
      </c>
      <c r="B10" s="6">
        <v>2</v>
      </c>
      <c r="C10" s="4">
        <v>4</v>
      </c>
      <c r="D10" s="5">
        <f t="shared" ref="D10:D19" si="3">B10+C10</f>
        <v>6</v>
      </c>
      <c r="E10" s="6">
        <v>5</v>
      </c>
      <c r="F10" s="4">
        <v>0</v>
      </c>
      <c r="G10" s="5">
        <f t="shared" ref="G10:G19" si="4">E10+F10</f>
        <v>5</v>
      </c>
      <c r="H10" s="9">
        <f t="shared" ref="H10:H19" si="5">G10+D10</f>
        <v>11</v>
      </c>
    </row>
    <row r="11" spans="1:8" x14ac:dyDescent="0.25">
      <c r="A11" s="14" t="s">
        <v>54</v>
      </c>
      <c r="B11" s="6">
        <v>3</v>
      </c>
      <c r="C11" s="4">
        <v>4</v>
      </c>
      <c r="D11" s="5">
        <f t="shared" si="3"/>
        <v>7</v>
      </c>
      <c r="E11" s="6">
        <v>0</v>
      </c>
      <c r="F11" s="4">
        <v>0</v>
      </c>
      <c r="G11" s="5">
        <f t="shared" si="4"/>
        <v>0</v>
      </c>
      <c r="H11" s="9">
        <f t="shared" si="5"/>
        <v>7</v>
      </c>
    </row>
    <row r="12" spans="1:8" x14ac:dyDescent="0.25">
      <c r="A12" s="14" t="s">
        <v>55</v>
      </c>
      <c r="B12" s="6">
        <v>0</v>
      </c>
      <c r="C12" s="4">
        <v>18</v>
      </c>
      <c r="D12" s="5">
        <f t="shared" si="3"/>
        <v>18</v>
      </c>
      <c r="E12" s="6">
        <v>0</v>
      </c>
      <c r="F12" s="4">
        <v>0</v>
      </c>
      <c r="G12" s="5">
        <f t="shared" si="4"/>
        <v>0</v>
      </c>
      <c r="H12" s="9">
        <f t="shared" si="5"/>
        <v>18</v>
      </c>
    </row>
    <row r="13" spans="1:8" x14ac:dyDescent="0.25">
      <c r="A13" s="14" t="s">
        <v>80</v>
      </c>
      <c r="B13" s="6">
        <v>0</v>
      </c>
      <c r="C13" s="4">
        <v>0</v>
      </c>
      <c r="D13" s="5">
        <f t="shared" si="3"/>
        <v>0</v>
      </c>
      <c r="E13" s="6">
        <v>2</v>
      </c>
      <c r="F13" s="4">
        <v>0</v>
      </c>
      <c r="G13" s="5">
        <f t="shared" si="4"/>
        <v>2</v>
      </c>
      <c r="H13" s="9">
        <f t="shared" si="5"/>
        <v>2</v>
      </c>
    </row>
    <row r="14" spans="1:8" x14ac:dyDescent="0.25">
      <c r="A14" s="14" t="s">
        <v>57</v>
      </c>
      <c r="B14" s="6">
        <v>10</v>
      </c>
      <c r="C14" s="4">
        <v>7</v>
      </c>
      <c r="D14" s="5">
        <f t="shared" si="3"/>
        <v>17</v>
      </c>
      <c r="E14" s="6">
        <v>2</v>
      </c>
      <c r="F14" s="4">
        <v>0</v>
      </c>
      <c r="G14" s="5">
        <f t="shared" si="4"/>
        <v>2</v>
      </c>
      <c r="H14" s="9">
        <f t="shared" si="5"/>
        <v>19</v>
      </c>
    </row>
    <row r="15" spans="1:8" x14ac:dyDescent="0.25">
      <c r="A15" s="14" t="s">
        <v>12</v>
      </c>
      <c r="B15" s="6">
        <v>2</v>
      </c>
      <c r="C15" s="4">
        <v>5</v>
      </c>
      <c r="D15" s="5">
        <f t="shared" si="3"/>
        <v>7</v>
      </c>
      <c r="E15" s="6">
        <v>0</v>
      </c>
      <c r="F15" s="4">
        <v>0</v>
      </c>
      <c r="G15" s="5">
        <f t="shared" si="4"/>
        <v>0</v>
      </c>
      <c r="H15" s="9">
        <f t="shared" si="5"/>
        <v>7</v>
      </c>
    </row>
    <row r="16" spans="1:8" x14ac:dyDescent="0.25">
      <c r="A16" s="14" t="s">
        <v>56</v>
      </c>
      <c r="B16" s="6">
        <v>0</v>
      </c>
      <c r="C16" s="4">
        <v>4</v>
      </c>
      <c r="D16" s="5">
        <f t="shared" si="3"/>
        <v>4</v>
      </c>
      <c r="E16" s="6">
        <v>2</v>
      </c>
      <c r="F16" s="4">
        <v>1</v>
      </c>
      <c r="G16" s="5">
        <f t="shared" si="4"/>
        <v>3</v>
      </c>
      <c r="H16" s="9">
        <f t="shared" si="5"/>
        <v>7</v>
      </c>
    </row>
    <row r="17" spans="1:8" x14ac:dyDescent="0.25">
      <c r="A17" s="14" t="s">
        <v>58</v>
      </c>
      <c r="B17" s="6">
        <v>3</v>
      </c>
      <c r="C17" s="4">
        <v>6</v>
      </c>
      <c r="D17" s="5">
        <f t="shared" si="3"/>
        <v>9</v>
      </c>
      <c r="E17" s="6">
        <v>2</v>
      </c>
      <c r="F17" s="4">
        <v>0</v>
      </c>
      <c r="G17" s="5">
        <f t="shared" si="4"/>
        <v>2</v>
      </c>
      <c r="H17" s="9">
        <f t="shared" si="5"/>
        <v>11</v>
      </c>
    </row>
    <row r="18" spans="1:8" x14ac:dyDescent="0.25">
      <c r="A18" s="14" t="s">
        <v>14</v>
      </c>
      <c r="B18" s="6">
        <v>5</v>
      </c>
      <c r="C18" s="4">
        <v>4</v>
      </c>
      <c r="D18" s="5">
        <f t="shared" si="3"/>
        <v>9</v>
      </c>
      <c r="E18" s="6">
        <v>2</v>
      </c>
      <c r="F18" s="4">
        <v>1</v>
      </c>
      <c r="G18" s="5">
        <f t="shared" si="4"/>
        <v>3</v>
      </c>
      <c r="H18" s="9">
        <f t="shared" si="5"/>
        <v>12</v>
      </c>
    </row>
    <row r="19" spans="1:8" x14ac:dyDescent="0.25">
      <c r="A19" s="14" t="s">
        <v>16</v>
      </c>
      <c r="B19" s="6">
        <v>6</v>
      </c>
      <c r="C19" s="4">
        <v>0</v>
      </c>
      <c r="D19" s="5">
        <f t="shared" si="3"/>
        <v>6</v>
      </c>
      <c r="E19" s="6">
        <v>2</v>
      </c>
      <c r="F19" s="4">
        <v>0</v>
      </c>
      <c r="G19" s="5">
        <f t="shared" si="4"/>
        <v>2</v>
      </c>
      <c r="H19" s="9">
        <f t="shared" si="5"/>
        <v>8</v>
      </c>
    </row>
    <row r="20" spans="1:8" x14ac:dyDescent="0.25">
      <c r="A20" s="14" t="s">
        <v>59</v>
      </c>
      <c r="B20" s="6">
        <v>1</v>
      </c>
      <c r="C20" s="4">
        <v>1</v>
      </c>
      <c r="D20" s="5">
        <f t="shared" si="1"/>
        <v>2</v>
      </c>
      <c r="E20" s="6">
        <v>0</v>
      </c>
      <c r="F20" s="4">
        <v>0</v>
      </c>
      <c r="G20" s="5">
        <f t="shared" si="0"/>
        <v>0</v>
      </c>
      <c r="H20" s="9">
        <f t="shared" si="2"/>
        <v>2</v>
      </c>
    </row>
    <row r="21" spans="1:8" x14ac:dyDescent="0.25">
      <c r="A21" s="14" t="s">
        <v>60</v>
      </c>
      <c r="B21" s="6">
        <v>0</v>
      </c>
      <c r="C21" s="4">
        <v>0</v>
      </c>
      <c r="D21" s="5">
        <f t="shared" si="1"/>
        <v>0</v>
      </c>
      <c r="E21" s="6">
        <v>8</v>
      </c>
      <c r="F21" s="4">
        <v>5</v>
      </c>
      <c r="G21" s="5">
        <f t="shared" si="0"/>
        <v>13</v>
      </c>
      <c r="H21" s="9">
        <f t="shared" si="2"/>
        <v>13</v>
      </c>
    </row>
    <row r="22" spans="1:8" x14ac:dyDescent="0.25">
      <c r="A22" s="14" t="s">
        <v>17</v>
      </c>
      <c r="B22" s="6">
        <v>0</v>
      </c>
      <c r="C22" s="4">
        <v>65</v>
      </c>
      <c r="D22" s="5">
        <f t="shared" si="1"/>
        <v>65</v>
      </c>
      <c r="E22" s="6">
        <v>4</v>
      </c>
      <c r="F22" s="4">
        <v>0</v>
      </c>
      <c r="G22" s="5">
        <f t="shared" si="0"/>
        <v>4</v>
      </c>
      <c r="H22" s="9">
        <f t="shared" si="2"/>
        <v>69</v>
      </c>
    </row>
    <row r="23" spans="1:8" x14ac:dyDescent="0.25">
      <c r="A23" s="14" t="s">
        <v>18</v>
      </c>
      <c r="B23" s="6">
        <v>2</v>
      </c>
      <c r="C23" s="4">
        <v>3</v>
      </c>
      <c r="D23" s="5">
        <f t="shared" si="1"/>
        <v>5</v>
      </c>
      <c r="E23" s="6">
        <v>0</v>
      </c>
      <c r="F23" s="4">
        <v>1</v>
      </c>
      <c r="G23" s="5">
        <f t="shared" si="0"/>
        <v>1</v>
      </c>
      <c r="H23" s="9">
        <f t="shared" si="2"/>
        <v>6</v>
      </c>
    </row>
    <row r="24" spans="1:8" x14ac:dyDescent="0.25">
      <c r="A24" s="14" t="s">
        <v>19</v>
      </c>
      <c r="B24" s="6">
        <v>1</v>
      </c>
      <c r="C24" s="4">
        <v>27</v>
      </c>
      <c r="D24" s="5">
        <f t="shared" si="1"/>
        <v>28</v>
      </c>
      <c r="E24" s="6">
        <v>0</v>
      </c>
      <c r="F24" s="4">
        <v>0</v>
      </c>
      <c r="G24" s="5">
        <f t="shared" si="0"/>
        <v>0</v>
      </c>
      <c r="H24" s="9">
        <f t="shared" si="2"/>
        <v>28</v>
      </c>
    </row>
    <row r="25" spans="1:8" x14ac:dyDescent="0.25">
      <c r="A25" s="14" t="s">
        <v>61</v>
      </c>
      <c r="B25" s="6">
        <v>7</v>
      </c>
      <c r="C25" s="4">
        <v>2</v>
      </c>
      <c r="D25" s="5">
        <f t="shared" si="1"/>
        <v>9</v>
      </c>
      <c r="E25" s="6">
        <v>0</v>
      </c>
      <c r="F25" s="4">
        <v>0</v>
      </c>
      <c r="G25" s="5">
        <f t="shared" si="0"/>
        <v>0</v>
      </c>
      <c r="H25" s="9">
        <f t="shared" si="2"/>
        <v>9</v>
      </c>
    </row>
    <row r="26" spans="1:8" x14ac:dyDescent="0.25">
      <c r="A26" s="14" t="s">
        <v>20</v>
      </c>
      <c r="B26" s="6">
        <v>4</v>
      </c>
      <c r="C26" s="4">
        <v>7</v>
      </c>
      <c r="D26" s="5">
        <f t="shared" si="1"/>
        <v>11</v>
      </c>
      <c r="E26" s="6">
        <v>0</v>
      </c>
      <c r="F26" s="4">
        <v>1</v>
      </c>
      <c r="G26" s="5">
        <f t="shared" si="0"/>
        <v>1</v>
      </c>
      <c r="H26" s="9">
        <f t="shared" si="2"/>
        <v>12</v>
      </c>
    </row>
    <row r="27" spans="1:8" x14ac:dyDescent="0.25">
      <c r="A27" s="14" t="s">
        <v>62</v>
      </c>
      <c r="B27" s="6">
        <v>28</v>
      </c>
      <c r="C27" s="4">
        <v>6</v>
      </c>
      <c r="D27" s="5">
        <f t="shared" si="1"/>
        <v>34</v>
      </c>
      <c r="E27" s="6">
        <v>0</v>
      </c>
      <c r="F27" s="4">
        <v>0</v>
      </c>
      <c r="G27" s="5">
        <f t="shared" si="0"/>
        <v>0</v>
      </c>
      <c r="H27" s="9">
        <f t="shared" si="2"/>
        <v>34</v>
      </c>
    </row>
    <row r="28" spans="1:8" x14ac:dyDescent="0.25">
      <c r="A28" s="14" t="s">
        <v>81</v>
      </c>
      <c r="B28" s="6">
        <v>0</v>
      </c>
      <c r="C28" s="4">
        <v>0</v>
      </c>
      <c r="D28" s="5">
        <f t="shared" si="1"/>
        <v>0</v>
      </c>
      <c r="E28" s="6">
        <v>0</v>
      </c>
      <c r="F28" s="4">
        <v>1</v>
      </c>
      <c r="G28" s="5">
        <f t="shared" si="0"/>
        <v>1</v>
      </c>
      <c r="H28" s="9">
        <f t="shared" si="2"/>
        <v>1</v>
      </c>
    </row>
    <row r="29" spans="1:8" x14ac:dyDescent="0.25">
      <c r="A29" s="14" t="s">
        <v>21</v>
      </c>
      <c r="B29" s="6">
        <v>7</v>
      </c>
      <c r="C29" s="4">
        <v>4</v>
      </c>
      <c r="D29" s="5">
        <f t="shared" si="1"/>
        <v>11</v>
      </c>
      <c r="E29" s="6">
        <v>1</v>
      </c>
      <c r="F29" s="4">
        <v>0</v>
      </c>
      <c r="G29" s="5">
        <f t="shared" si="0"/>
        <v>1</v>
      </c>
      <c r="H29" s="9">
        <f t="shared" si="2"/>
        <v>12</v>
      </c>
    </row>
    <row r="30" spans="1:8" x14ac:dyDescent="0.25">
      <c r="A30" s="14" t="s">
        <v>23</v>
      </c>
      <c r="B30" s="6">
        <v>14</v>
      </c>
      <c r="C30" s="4">
        <v>2</v>
      </c>
      <c r="D30" s="5">
        <f t="shared" si="1"/>
        <v>16</v>
      </c>
      <c r="E30" s="6">
        <v>1</v>
      </c>
      <c r="F30" s="4">
        <v>0</v>
      </c>
      <c r="G30" s="5">
        <f t="shared" si="0"/>
        <v>1</v>
      </c>
      <c r="H30" s="9">
        <f t="shared" si="2"/>
        <v>17</v>
      </c>
    </row>
    <row r="31" spans="1:8" x14ac:dyDescent="0.25">
      <c r="A31" s="14" t="s">
        <v>37</v>
      </c>
      <c r="B31" s="6">
        <v>4</v>
      </c>
      <c r="C31" s="4">
        <v>3</v>
      </c>
      <c r="D31" s="5">
        <f t="shared" si="1"/>
        <v>7</v>
      </c>
      <c r="E31" s="6">
        <v>1</v>
      </c>
      <c r="F31" s="4">
        <v>0</v>
      </c>
      <c r="G31" s="5">
        <f t="shared" si="0"/>
        <v>1</v>
      </c>
      <c r="H31" s="9">
        <f t="shared" si="2"/>
        <v>8</v>
      </c>
    </row>
    <row r="32" spans="1:8" x14ac:dyDescent="0.25">
      <c r="A32" s="14" t="s">
        <v>24</v>
      </c>
      <c r="B32" s="6">
        <v>12</v>
      </c>
      <c r="C32" s="4">
        <v>24</v>
      </c>
      <c r="D32" s="5">
        <f t="shared" si="1"/>
        <v>36</v>
      </c>
      <c r="E32" s="6">
        <v>6</v>
      </c>
      <c r="F32" s="4">
        <v>1</v>
      </c>
      <c r="G32" s="5">
        <f t="shared" si="0"/>
        <v>7</v>
      </c>
      <c r="H32" s="9">
        <f t="shared" si="2"/>
        <v>43</v>
      </c>
    </row>
    <row r="33" spans="1:8" x14ac:dyDescent="0.25">
      <c r="A33" s="14" t="s">
        <v>39</v>
      </c>
      <c r="B33" s="6">
        <v>3</v>
      </c>
      <c r="C33" s="4">
        <v>9</v>
      </c>
      <c r="D33" s="5">
        <f t="shared" si="1"/>
        <v>12</v>
      </c>
      <c r="E33" s="6">
        <v>0</v>
      </c>
      <c r="F33" s="4">
        <v>0</v>
      </c>
      <c r="G33" s="5">
        <f t="shared" si="0"/>
        <v>0</v>
      </c>
      <c r="H33" s="9">
        <f t="shared" si="2"/>
        <v>12</v>
      </c>
    </row>
    <row r="34" spans="1:8" x14ac:dyDescent="0.25">
      <c r="A34" s="14" t="s">
        <v>82</v>
      </c>
      <c r="B34" s="6">
        <v>0</v>
      </c>
      <c r="C34" s="4">
        <v>1</v>
      </c>
      <c r="D34" s="5">
        <f t="shared" si="1"/>
        <v>1</v>
      </c>
      <c r="E34" s="6">
        <v>0</v>
      </c>
      <c r="F34" s="4">
        <v>0</v>
      </c>
      <c r="G34" s="5">
        <f t="shared" si="0"/>
        <v>0</v>
      </c>
      <c r="H34" s="9">
        <f t="shared" si="2"/>
        <v>1</v>
      </c>
    </row>
    <row r="35" spans="1:8" x14ac:dyDescent="0.25">
      <c r="A35" s="14" t="s">
        <v>25</v>
      </c>
      <c r="B35" s="6">
        <v>26</v>
      </c>
      <c r="C35" s="4">
        <v>0</v>
      </c>
      <c r="D35" s="5">
        <f t="shared" si="1"/>
        <v>26</v>
      </c>
      <c r="E35" s="6">
        <v>1</v>
      </c>
      <c r="F35" s="4">
        <v>0</v>
      </c>
      <c r="G35" s="5">
        <f t="shared" si="0"/>
        <v>1</v>
      </c>
      <c r="H35" s="9">
        <f t="shared" si="2"/>
        <v>27</v>
      </c>
    </row>
    <row r="36" spans="1:8" x14ac:dyDescent="0.25">
      <c r="A36" s="14" t="s">
        <v>63</v>
      </c>
      <c r="B36" s="6">
        <v>3</v>
      </c>
      <c r="C36" s="4">
        <v>188</v>
      </c>
      <c r="D36" s="5">
        <f t="shared" si="1"/>
        <v>191</v>
      </c>
      <c r="E36" s="6">
        <v>0</v>
      </c>
      <c r="F36" s="4">
        <v>0</v>
      </c>
      <c r="G36" s="5">
        <f t="shared" si="0"/>
        <v>0</v>
      </c>
      <c r="H36" s="9">
        <f t="shared" si="2"/>
        <v>191</v>
      </c>
    </row>
    <row r="37" spans="1:8" x14ac:dyDescent="0.25">
      <c r="A37" s="14" t="s">
        <v>1</v>
      </c>
      <c r="B37" s="6">
        <v>52</v>
      </c>
      <c r="C37" s="4">
        <v>7</v>
      </c>
      <c r="D37" s="5">
        <f t="shared" si="1"/>
        <v>59</v>
      </c>
      <c r="E37" s="6">
        <v>24</v>
      </c>
      <c r="F37" s="4">
        <v>3</v>
      </c>
      <c r="G37" s="5">
        <f t="shared" si="0"/>
        <v>27</v>
      </c>
      <c r="H37" s="9">
        <f t="shared" si="2"/>
        <v>86</v>
      </c>
    </row>
    <row r="38" spans="1:8" x14ac:dyDescent="0.25">
      <c r="A38" s="14" t="s">
        <v>64</v>
      </c>
      <c r="B38" s="6">
        <v>1</v>
      </c>
      <c r="C38" s="4">
        <v>0</v>
      </c>
      <c r="D38" s="5">
        <f t="shared" si="1"/>
        <v>1</v>
      </c>
      <c r="E38" s="6">
        <v>0</v>
      </c>
      <c r="F38" s="4">
        <v>0</v>
      </c>
      <c r="G38" s="5">
        <f t="shared" si="0"/>
        <v>0</v>
      </c>
      <c r="H38" s="9">
        <f t="shared" si="2"/>
        <v>1</v>
      </c>
    </row>
    <row r="39" spans="1:8" x14ac:dyDescent="0.25">
      <c r="A39" s="14" t="s">
        <v>83</v>
      </c>
      <c r="B39" s="6">
        <v>1</v>
      </c>
      <c r="C39" s="4">
        <v>0</v>
      </c>
      <c r="D39" s="5">
        <f t="shared" si="1"/>
        <v>1</v>
      </c>
      <c r="E39" s="6">
        <v>0</v>
      </c>
      <c r="F39" s="4">
        <v>0</v>
      </c>
      <c r="G39" s="5">
        <f t="shared" si="0"/>
        <v>0</v>
      </c>
      <c r="H39" s="9">
        <f t="shared" si="2"/>
        <v>1</v>
      </c>
    </row>
    <row r="40" spans="1:8" x14ac:dyDescent="0.25">
      <c r="A40" s="14" t="s">
        <v>26</v>
      </c>
      <c r="B40" s="6">
        <v>2</v>
      </c>
      <c r="C40" s="4">
        <v>5</v>
      </c>
      <c r="D40" s="5">
        <f t="shared" si="1"/>
        <v>7</v>
      </c>
      <c r="E40" s="6">
        <v>0</v>
      </c>
      <c r="F40" s="4">
        <v>0</v>
      </c>
      <c r="G40" s="5">
        <f t="shared" si="0"/>
        <v>0</v>
      </c>
      <c r="H40" s="9">
        <f t="shared" si="2"/>
        <v>7</v>
      </c>
    </row>
    <row r="41" spans="1:8" x14ac:dyDescent="0.25">
      <c r="A41" s="14" t="s">
        <v>27</v>
      </c>
      <c r="B41" s="6">
        <v>0</v>
      </c>
      <c r="C41" s="4">
        <v>5</v>
      </c>
      <c r="D41" s="5">
        <f t="shared" si="1"/>
        <v>5</v>
      </c>
      <c r="E41" s="6">
        <v>0</v>
      </c>
      <c r="F41" s="4">
        <v>1</v>
      </c>
      <c r="G41" s="5">
        <f t="shared" si="0"/>
        <v>1</v>
      </c>
      <c r="H41" s="9">
        <f t="shared" si="2"/>
        <v>6</v>
      </c>
    </row>
    <row r="42" spans="1:8" x14ac:dyDescent="0.25">
      <c r="A42" s="14" t="s">
        <v>84</v>
      </c>
      <c r="B42" s="6">
        <v>0</v>
      </c>
      <c r="C42" s="4">
        <v>0</v>
      </c>
      <c r="D42" s="5">
        <f t="shared" si="1"/>
        <v>0</v>
      </c>
      <c r="E42" s="6">
        <v>1</v>
      </c>
      <c r="F42" s="4">
        <v>1</v>
      </c>
      <c r="G42" s="5">
        <f t="shared" si="0"/>
        <v>2</v>
      </c>
      <c r="H42" s="9">
        <f t="shared" si="2"/>
        <v>2</v>
      </c>
    </row>
    <row r="43" spans="1:8" x14ac:dyDescent="0.25">
      <c r="A43" s="14" t="s">
        <v>28</v>
      </c>
      <c r="B43" s="6">
        <v>1</v>
      </c>
      <c r="C43" s="4">
        <v>12</v>
      </c>
      <c r="D43" s="5">
        <f t="shared" si="1"/>
        <v>13</v>
      </c>
      <c r="E43" s="6">
        <v>0</v>
      </c>
      <c r="F43" s="4">
        <v>0</v>
      </c>
      <c r="G43" s="5">
        <f t="shared" si="0"/>
        <v>0</v>
      </c>
      <c r="H43" s="9">
        <f t="shared" si="2"/>
        <v>13</v>
      </c>
    </row>
    <row r="44" spans="1:8" x14ac:dyDescent="0.25">
      <c r="A44" s="14" t="s">
        <v>31</v>
      </c>
      <c r="B44" s="6">
        <v>2</v>
      </c>
      <c r="C44" s="4">
        <v>4</v>
      </c>
      <c r="D44" s="5">
        <f t="shared" si="1"/>
        <v>6</v>
      </c>
      <c r="E44" s="6">
        <v>0</v>
      </c>
      <c r="F44" s="4">
        <v>0</v>
      </c>
      <c r="G44" s="5">
        <f t="shared" si="0"/>
        <v>0</v>
      </c>
      <c r="H44" s="9">
        <f t="shared" si="2"/>
        <v>6</v>
      </c>
    </row>
    <row r="45" spans="1:8" x14ac:dyDescent="0.25">
      <c r="A45" s="14" t="s">
        <v>66</v>
      </c>
      <c r="B45" s="6">
        <v>0</v>
      </c>
      <c r="C45" s="4">
        <v>25</v>
      </c>
      <c r="D45" s="5">
        <f t="shared" si="1"/>
        <v>25</v>
      </c>
      <c r="E45" s="6">
        <v>1</v>
      </c>
      <c r="F45" s="4">
        <v>1</v>
      </c>
      <c r="G45" s="5">
        <f t="shared" si="0"/>
        <v>2</v>
      </c>
      <c r="H45" s="9">
        <f t="shared" si="2"/>
        <v>27</v>
      </c>
    </row>
    <row r="46" spans="1:8" x14ac:dyDescent="0.25">
      <c r="A46" s="14" t="s">
        <v>68</v>
      </c>
      <c r="B46" s="6">
        <v>6</v>
      </c>
      <c r="C46" s="4">
        <v>41</v>
      </c>
      <c r="D46" s="5">
        <f t="shared" si="1"/>
        <v>47</v>
      </c>
      <c r="E46" s="6">
        <v>2</v>
      </c>
      <c r="F46" s="4">
        <v>0</v>
      </c>
      <c r="G46" s="5">
        <f t="shared" si="0"/>
        <v>2</v>
      </c>
      <c r="H46" s="9">
        <f t="shared" si="2"/>
        <v>49</v>
      </c>
    </row>
    <row r="47" spans="1:8" x14ac:dyDescent="0.25">
      <c r="A47" s="14" t="s">
        <v>34</v>
      </c>
      <c r="B47" s="6">
        <v>8</v>
      </c>
      <c r="C47" s="4">
        <v>0</v>
      </c>
      <c r="D47" s="5">
        <f t="shared" si="1"/>
        <v>8</v>
      </c>
      <c r="E47" s="6">
        <v>0</v>
      </c>
      <c r="F47" s="4">
        <v>0</v>
      </c>
      <c r="G47" s="5">
        <f t="shared" si="0"/>
        <v>0</v>
      </c>
      <c r="H47" s="9">
        <f t="shared" si="2"/>
        <v>8</v>
      </c>
    </row>
    <row r="48" spans="1:8" x14ac:dyDescent="0.25">
      <c r="A48" s="14" t="s">
        <v>69</v>
      </c>
      <c r="B48" s="6">
        <v>17</v>
      </c>
      <c r="C48" s="4">
        <v>4</v>
      </c>
      <c r="D48" s="5">
        <f t="shared" si="1"/>
        <v>21</v>
      </c>
      <c r="E48" s="6">
        <v>3</v>
      </c>
      <c r="F48" s="4">
        <v>0</v>
      </c>
      <c r="G48" s="5">
        <f t="shared" si="0"/>
        <v>3</v>
      </c>
      <c r="H48" s="9">
        <f t="shared" si="2"/>
        <v>24</v>
      </c>
    </row>
    <row r="49" spans="1:8" x14ac:dyDescent="0.25">
      <c r="A49" s="14" t="s">
        <v>35</v>
      </c>
      <c r="B49" s="6">
        <v>0</v>
      </c>
      <c r="C49" s="4">
        <v>2</v>
      </c>
      <c r="D49" s="5">
        <f t="shared" si="1"/>
        <v>2</v>
      </c>
      <c r="E49" s="6">
        <v>0</v>
      </c>
      <c r="F49" s="4">
        <v>0</v>
      </c>
      <c r="G49" s="5">
        <f t="shared" si="0"/>
        <v>0</v>
      </c>
      <c r="H49" s="9">
        <f t="shared" si="2"/>
        <v>2</v>
      </c>
    </row>
    <row r="50" spans="1:8" x14ac:dyDescent="0.25">
      <c r="A50" s="14" t="s">
        <v>85</v>
      </c>
      <c r="B50" s="6">
        <v>0</v>
      </c>
      <c r="C50" s="4">
        <v>0</v>
      </c>
      <c r="D50" s="5">
        <f t="shared" si="1"/>
        <v>0</v>
      </c>
      <c r="E50" s="6">
        <v>0</v>
      </c>
      <c r="F50" s="4">
        <v>1</v>
      </c>
      <c r="G50" s="5">
        <f t="shared" si="0"/>
        <v>1</v>
      </c>
      <c r="H50" s="9">
        <f t="shared" si="2"/>
        <v>1</v>
      </c>
    </row>
    <row r="51" spans="1:8" x14ac:dyDescent="0.25">
      <c r="A51" s="14" t="s">
        <v>70</v>
      </c>
      <c r="B51" s="6">
        <v>10</v>
      </c>
      <c r="C51" s="4">
        <v>3</v>
      </c>
      <c r="D51" s="5">
        <f t="shared" si="1"/>
        <v>13</v>
      </c>
      <c r="E51" s="6">
        <v>0</v>
      </c>
      <c r="F51" s="4">
        <v>0</v>
      </c>
      <c r="G51" s="5">
        <f t="shared" si="0"/>
        <v>0</v>
      </c>
      <c r="H51" s="9">
        <f t="shared" si="2"/>
        <v>13</v>
      </c>
    </row>
    <row r="52" spans="1:8" ht="15.75" thickBot="1" x14ac:dyDescent="0.3">
      <c r="A52" s="15" t="s">
        <v>71</v>
      </c>
      <c r="B52" s="11">
        <v>4</v>
      </c>
      <c r="C52" s="12">
        <v>0</v>
      </c>
      <c r="D52" s="13">
        <f t="shared" si="1"/>
        <v>4</v>
      </c>
      <c r="E52" s="11">
        <v>0</v>
      </c>
      <c r="F52" s="12">
        <v>1</v>
      </c>
      <c r="G52" s="13">
        <f t="shared" si="0"/>
        <v>1</v>
      </c>
      <c r="H52" s="16">
        <f t="shared" si="2"/>
        <v>5</v>
      </c>
    </row>
    <row r="53" spans="1:8" ht="16.5" thickTop="1" thickBot="1" x14ac:dyDescent="0.3">
      <c r="A53" s="8" t="s">
        <v>0</v>
      </c>
      <c r="B53" s="7">
        <f t="shared" ref="B53:H53" si="6">SUM(B7:B52)</f>
        <v>249</v>
      </c>
      <c r="C53" s="7">
        <f t="shared" si="6"/>
        <v>516</v>
      </c>
      <c r="D53" s="7">
        <f t="shared" si="6"/>
        <v>765</v>
      </c>
      <c r="E53" s="7">
        <f t="shared" si="6"/>
        <v>72</v>
      </c>
      <c r="F53" s="7">
        <f t="shared" si="6"/>
        <v>21</v>
      </c>
      <c r="G53" s="8">
        <f t="shared" si="6"/>
        <v>93</v>
      </c>
      <c r="H53" s="10">
        <f t="shared" si="6"/>
        <v>858</v>
      </c>
    </row>
    <row r="54" spans="1:8" ht="15.75" thickBot="1" x14ac:dyDescent="0.3"/>
    <row r="55" spans="1:8" x14ac:dyDescent="0.25">
      <c r="A55" s="21" t="s">
        <v>40</v>
      </c>
      <c r="B55" s="37" t="s">
        <v>3</v>
      </c>
      <c r="C55" s="38"/>
      <c r="D55" s="38"/>
      <c r="E55" s="37" t="s">
        <v>4</v>
      </c>
      <c r="F55" s="38"/>
      <c r="G55" s="38"/>
      <c r="H55" s="21" t="s">
        <v>0</v>
      </c>
    </row>
    <row r="56" spans="1:8" x14ac:dyDescent="0.25">
      <c r="A56" s="22"/>
      <c r="B56" s="28" t="s">
        <v>48</v>
      </c>
      <c r="C56" s="29" t="s">
        <v>49</v>
      </c>
      <c r="D56" s="30" t="s">
        <v>0</v>
      </c>
      <c r="E56" s="28" t="s">
        <v>48</v>
      </c>
      <c r="F56" s="29" t="s">
        <v>49</v>
      </c>
      <c r="G56" s="30" t="s">
        <v>0</v>
      </c>
      <c r="H56" s="22"/>
    </row>
    <row r="57" spans="1:8" x14ac:dyDescent="0.25">
      <c r="A57" s="14" t="s">
        <v>41</v>
      </c>
      <c r="B57" s="6">
        <v>112</v>
      </c>
      <c r="C57" s="4">
        <v>250</v>
      </c>
      <c r="D57" s="5">
        <f t="shared" ref="D57:D64" si="7">SUM(B57+C57)</f>
        <v>362</v>
      </c>
      <c r="E57" s="6">
        <v>7</v>
      </c>
      <c r="F57" s="4">
        <v>1</v>
      </c>
      <c r="G57" s="5">
        <f t="shared" ref="G57:G64" si="8">F57+E57</f>
        <v>8</v>
      </c>
      <c r="H57" s="9">
        <f t="shared" ref="H57:H64" si="9">D57+G57</f>
        <v>370</v>
      </c>
    </row>
    <row r="58" spans="1:8" x14ac:dyDescent="0.25">
      <c r="A58" s="14" t="s">
        <v>78</v>
      </c>
      <c r="B58" s="6"/>
      <c r="C58" s="4">
        <v>5</v>
      </c>
      <c r="D58" s="5">
        <f t="shared" si="7"/>
        <v>5</v>
      </c>
      <c r="E58" s="6">
        <v>11</v>
      </c>
      <c r="F58" s="4">
        <v>7</v>
      </c>
      <c r="G58" s="5">
        <f t="shared" si="8"/>
        <v>18</v>
      </c>
      <c r="H58" s="9">
        <f t="shared" si="9"/>
        <v>23</v>
      </c>
    </row>
    <row r="59" spans="1:8" x14ac:dyDescent="0.25">
      <c r="A59" s="14" t="s">
        <v>42</v>
      </c>
      <c r="B59" s="6">
        <v>2</v>
      </c>
      <c r="C59" s="4">
        <v>7</v>
      </c>
      <c r="D59" s="5">
        <f t="shared" si="7"/>
        <v>9</v>
      </c>
      <c r="E59" s="6">
        <v>6</v>
      </c>
      <c r="F59" s="4">
        <v>0</v>
      </c>
      <c r="G59" s="5">
        <f t="shared" si="8"/>
        <v>6</v>
      </c>
      <c r="H59" s="9">
        <f t="shared" si="9"/>
        <v>15</v>
      </c>
    </row>
    <row r="60" spans="1:8" x14ac:dyDescent="0.25">
      <c r="A60" s="14" t="s">
        <v>73</v>
      </c>
      <c r="B60" s="6">
        <v>24</v>
      </c>
      <c r="C60" s="4">
        <v>29</v>
      </c>
      <c r="D60" s="5">
        <f t="shared" si="7"/>
        <v>53</v>
      </c>
      <c r="E60" s="6">
        <v>6</v>
      </c>
      <c r="F60" s="4">
        <v>3</v>
      </c>
      <c r="G60" s="5">
        <f t="shared" si="8"/>
        <v>9</v>
      </c>
      <c r="H60" s="9">
        <f t="shared" si="9"/>
        <v>62</v>
      </c>
    </row>
    <row r="61" spans="1:8" x14ac:dyDescent="0.25">
      <c r="A61" s="14" t="s">
        <v>1</v>
      </c>
      <c r="B61" s="6">
        <v>52</v>
      </c>
      <c r="C61" s="4">
        <v>7</v>
      </c>
      <c r="D61" s="5">
        <f t="shared" si="7"/>
        <v>59</v>
      </c>
      <c r="E61" s="6">
        <v>24</v>
      </c>
      <c r="F61" s="4">
        <v>3</v>
      </c>
      <c r="G61" s="5">
        <f t="shared" si="8"/>
        <v>27</v>
      </c>
      <c r="H61" s="9">
        <f t="shared" si="9"/>
        <v>86</v>
      </c>
    </row>
    <row r="62" spans="1:8" x14ac:dyDescent="0.25">
      <c r="A62" s="14" t="s">
        <v>45</v>
      </c>
      <c r="B62" s="6">
        <v>7</v>
      </c>
      <c r="C62" s="4">
        <v>59</v>
      </c>
      <c r="D62" s="5">
        <f t="shared" si="7"/>
        <v>66</v>
      </c>
      <c r="E62" s="6">
        <v>2</v>
      </c>
      <c r="F62" s="4">
        <v>1</v>
      </c>
      <c r="G62" s="5">
        <f t="shared" si="8"/>
        <v>3</v>
      </c>
      <c r="H62" s="9">
        <f t="shared" si="9"/>
        <v>69</v>
      </c>
    </row>
    <row r="63" spans="1:8" x14ac:dyDescent="0.25">
      <c r="A63" s="14" t="s">
        <v>46</v>
      </c>
      <c r="B63" s="6">
        <v>11</v>
      </c>
      <c r="C63" s="4">
        <v>17</v>
      </c>
      <c r="D63" s="5">
        <f t="shared" si="7"/>
        <v>28</v>
      </c>
      <c r="E63" s="6">
        <v>0</v>
      </c>
      <c r="F63" s="4">
        <v>2</v>
      </c>
      <c r="G63" s="5">
        <f t="shared" si="8"/>
        <v>2</v>
      </c>
      <c r="H63" s="9">
        <f t="shared" si="9"/>
        <v>30</v>
      </c>
    </row>
    <row r="64" spans="1:8" ht="15.75" thickBot="1" x14ac:dyDescent="0.3">
      <c r="A64" s="15" t="s">
        <v>47</v>
      </c>
      <c r="B64" s="11">
        <v>41</v>
      </c>
      <c r="C64" s="12">
        <v>142</v>
      </c>
      <c r="D64" s="12">
        <f t="shared" si="7"/>
        <v>183</v>
      </c>
      <c r="E64" s="11">
        <v>16</v>
      </c>
      <c r="F64" s="12">
        <v>4</v>
      </c>
      <c r="G64" s="13">
        <f t="shared" si="8"/>
        <v>20</v>
      </c>
      <c r="H64" s="16">
        <f t="shared" si="9"/>
        <v>203</v>
      </c>
    </row>
    <row r="65" spans="1:8" ht="16.5" thickTop="1" thickBot="1" x14ac:dyDescent="0.3">
      <c r="A65" s="8" t="s">
        <v>0</v>
      </c>
      <c r="B65" s="7">
        <f t="shared" ref="B65:H65" si="10">SUM(B57:B64)</f>
        <v>249</v>
      </c>
      <c r="C65" s="7">
        <f t="shared" si="10"/>
        <v>516</v>
      </c>
      <c r="D65" s="7">
        <f t="shared" si="10"/>
        <v>765</v>
      </c>
      <c r="E65" s="7">
        <f t="shared" si="10"/>
        <v>72</v>
      </c>
      <c r="F65" s="7">
        <f t="shared" si="10"/>
        <v>21</v>
      </c>
      <c r="G65" s="8">
        <f t="shared" si="10"/>
        <v>93</v>
      </c>
      <c r="H65" s="10">
        <f t="shared" si="10"/>
        <v>858</v>
      </c>
    </row>
    <row r="67" spans="1:8" x14ac:dyDescent="0.25">
      <c r="A67" s="48" t="s">
        <v>76</v>
      </c>
      <c r="B67" s="48"/>
      <c r="C67" s="48"/>
      <c r="D67" s="48"/>
      <c r="E67" s="48"/>
      <c r="F67" s="48"/>
      <c r="G67" s="48"/>
      <c r="H67" s="48"/>
    </row>
    <row r="71" spans="1:8" x14ac:dyDescent="0.25">
      <c r="A71" s="49"/>
      <c r="B71" s="49"/>
      <c r="C71" s="49"/>
      <c r="D71" s="49"/>
      <c r="E71" s="49"/>
      <c r="F71" s="49"/>
      <c r="G71" s="49"/>
      <c r="H71" s="49"/>
    </row>
  </sheetData>
  <mergeCells count="7">
    <mergeCell ref="A2:H2"/>
    <mergeCell ref="B5:D5"/>
    <mergeCell ref="E5:G5"/>
    <mergeCell ref="A67:H67"/>
    <mergeCell ref="A71:H71"/>
    <mergeCell ref="B55:D55"/>
    <mergeCell ref="E55:G55"/>
  </mergeCells>
  <pageMargins left="0.25" right="0.25" top="0.75" bottom="0.75" header="0.3" footer="0.3"/>
  <pageSetup paperSize="9" orientation="portrait" r:id="rId1"/>
  <headerFooter>
    <oddHeader>&amp;CUCL Student Data Statistics</oddHeader>
    <oddFooter>&amp;C&amp;P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63"/>
  <sheetViews>
    <sheetView view="pageLayout" topLeftCell="A49" zoomScale="85" zoomScaleNormal="100" zoomScalePageLayoutView="85" workbookViewId="0">
      <selection activeCell="C68" sqref="C68"/>
    </sheetView>
  </sheetViews>
  <sheetFormatPr defaultColWidth="9.140625" defaultRowHeight="15" x14ac:dyDescent="0.25"/>
  <cols>
    <col min="1" max="1" width="29.28515625" bestFit="1" customWidth="1"/>
    <col min="2" max="8" width="8.5703125" customWidth="1"/>
  </cols>
  <sheetData>
    <row r="1" spans="1:8" ht="18" x14ac:dyDescent="0.25">
      <c r="A1" s="1" t="s">
        <v>50</v>
      </c>
      <c r="B1" s="3"/>
    </row>
    <row r="2" spans="1:8" x14ac:dyDescent="0.25">
      <c r="A2" s="33" t="s">
        <v>51</v>
      </c>
      <c r="B2" s="33"/>
      <c r="C2" s="33"/>
      <c r="D2" s="33"/>
      <c r="E2" s="33"/>
      <c r="F2" s="33"/>
      <c r="G2" s="33"/>
      <c r="H2" s="33"/>
    </row>
    <row r="3" spans="1:8" x14ac:dyDescent="0.25">
      <c r="A3" s="2" t="str">
        <f ca="1">RIGHT(CELL("filename",A1),LEN(CELL("filename",A1))-FIND("]",CELL("filename",A1)))</f>
        <v>2007-08</v>
      </c>
      <c r="B3" s="3"/>
    </row>
    <row r="4" spans="1:8" ht="15.75" thickBot="1" x14ac:dyDescent="0.3">
      <c r="A4" s="3"/>
      <c r="B4" s="3"/>
    </row>
    <row r="5" spans="1:8" ht="15" customHeight="1" x14ac:dyDescent="0.25">
      <c r="A5" s="21" t="s">
        <v>2</v>
      </c>
      <c r="B5" s="37" t="s">
        <v>3</v>
      </c>
      <c r="C5" s="38"/>
      <c r="D5" s="38"/>
      <c r="E5" s="37" t="s">
        <v>4</v>
      </c>
      <c r="F5" s="38"/>
      <c r="G5" s="38"/>
      <c r="H5" s="21" t="s">
        <v>0</v>
      </c>
    </row>
    <row r="6" spans="1:8" ht="15" customHeight="1" x14ac:dyDescent="0.25">
      <c r="A6" s="22"/>
      <c r="B6" s="28" t="s">
        <v>48</v>
      </c>
      <c r="C6" s="29" t="s">
        <v>49</v>
      </c>
      <c r="D6" s="30" t="s">
        <v>0</v>
      </c>
      <c r="E6" s="28" t="s">
        <v>48</v>
      </c>
      <c r="F6" s="29" t="s">
        <v>49</v>
      </c>
      <c r="G6" s="30" t="s">
        <v>0</v>
      </c>
      <c r="H6" s="22"/>
    </row>
    <row r="7" spans="1:8" x14ac:dyDescent="0.25">
      <c r="A7" s="14" t="s">
        <v>5</v>
      </c>
      <c r="B7" s="6">
        <v>0</v>
      </c>
      <c r="C7" s="4">
        <v>1</v>
      </c>
      <c r="D7" s="5">
        <f>B7+C7</f>
        <v>1</v>
      </c>
      <c r="E7" s="6">
        <v>0</v>
      </c>
      <c r="F7" s="4">
        <v>0</v>
      </c>
      <c r="G7" s="5">
        <f t="shared" ref="G7:G55" si="0">E7+F7</f>
        <v>0</v>
      </c>
      <c r="H7" s="9">
        <f>G7+D7</f>
        <v>1</v>
      </c>
    </row>
    <row r="8" spans="1:8" x14ac:dyDescent="0.25">
      <c r="A8" s="14" t="s">
        <v>6</v>
      </c>
      <c r="B8" s="6">
        <v>4</v>
      </c>
      <c r="C8" s="4">
        <v>8</v>
      </c>
      <c r="D8" s="5">
        <f t="shared" ref="D8:D55" si="1">B8+C8</f>
        <v>12</v>
      </c>
      <c r="E8" s="6">
        <v>1</v>
      </c>
      <c r="F8" s="4">
        <v>0</v>
      </c>
      <c r="G8" s="5">
        <f t="shared" si="0"/>
        <v>1</v>
      </c>
      <c r="H8" s="9">
        <f t="shared" ref="H8:H55" si="2">G8+D8</f>
        <v>13</v>
      </c>
    </row>
    <row r="9" spans="1:8" x14ac:dyDescent="0.25">
      <c r="A9" s="14" t="s">
        <v>7</v>
      </c>
      <c r="B9" s="6">
        <v>1</v>
      </c>
      <c r="C9" s="4">
        <v>10</v>
      </c>
      <c r="D9" s="5">
        <f t="shared" si="1"/>
        <v>11</v>
      </c>
      <c r="E9" s="6">
        <v>0</v>
      </c>
      <c r="F9" s="4">
        <v>1</v>
      </c>
      <c r="G9" s="5">
        <f t="shared" si="0"/>
        <v>1</v>
      </c>
      <c r="H9" s="9">
        <f t="shared" si="2"/>
        <v>12</v>
      </c>
    </row>
    <row r="10" spans="1:8" x14ac:dyDescent="0.25">
      <c r="A10" s="14" t="s">
        <v>8</v>
      </c>
      <c r="B10" s="6">
        <v>0</v>
      </c>
      <c r="C10" s="4">
        <v>3</v>
      </c>
      <c r="D10" s="5">
        <f t="shared" si="1"/>
        <v>3</v>
      </c>
      <c r="E10" s="6">
        <v>0</v>
      </c>
      <c r="F10" s="4">
        <v>0</v>
      </c>
      <c r="G10" s="5">
        <f t="shared" si="0"/>
        <v>0</v>
      </c>
      <c r="H10" s="9">
        <f t="shared" si="2"/>
        <v>3</v>
      </c>
    </row>
    <row r="11" spans="1:8" x14ac:dyDescent="0.25">
      <c r="A11" s="14" t="s">
        <v>86</v>
      </c>
      <c r="B11" s="6">
        <v>0</v>
      </c>
      <c r="C11" s="4">
        <v>0</v>
      </c>
      <c r="D11" s="5">
        <f t="shared" si="1"/>
        <v>0</v>
      </c>
      <c r="E11" s="6">
        <v>0</v>
      </c>
      <c r="F11" s="4">
        <v>1</v>
      </c>
      <c r="G11" s="5">
        <f t="shared" si="0"/>
        <v>1</v>
      </c>
      <c r="H11" s="9">
        <f t="shared" si="2"/>
        <v>1</v>
      </c>
    </row>
    <row r="12" spans="1:8" x14ac:dyDescent="0.25">
      <c r="A12" s="14" t="s">
        <v>53</v>
      </c>
      <c r="B12" s="6">
        <v>5</v>
      </c>
      <c r="C12" s="4">
        <v>4</v>
      </c>
      <c r="D12" s="5">
        <f t="shared" si="1"/>
        <v>9</v>
      </c>
      <c r="E12" s="6">
        <v>4</v>
      </c>
      <c r="F12" s="4">
        <v>0</v>
      </c>
      <c r="G12" s="5">
        <f t="shared" si="0"/>
        <v>4</v>
      </c>
      <c r="H12" s="9">
        <f t="shared" si="2"/>
        <v>13</v>
      </c>
    </row>
    <row r="13" spans="1:8" x14ac:dyDescent="0.25">
      <c r="A13" s="14" t="s">
        <v>54</v>
      </c>
      <c r="B13" s="6">
        <v>2</v>
      </c>
      <c r="C13" s="4">
        <v>2</v>
      </c>
      <c r="D13" s="5">
        <f t="shared" si="1"/>
        <v>4</v>
      </c>
      <c r="E13" s="6">
        <v>0</v>
      </c>
      <c r="F13" s="4">
        <v>1</v>
      </c>
      <c r="G13" s="5">
        <f t="shared" si="0"/>
        <v>1</v>
      </c>
      <c r="H13" s="9">
        <f t="shared" si="2"/>
        <v>5</v>
      </c>
    </row>
    <row r="14" spans="1:8" x14ac:dyDescent="0.25">
      <c r="A14" s="14" t="s">
        <v>9</v>
      </c>
      <c r="B14" s="6">
        <v>0</v>
      </c>
      <c r="C14" s="4">
        <v>2</v>
      </c>
      <c r="D14" s="5">
        <f t="shared" si="1"/>
        <v>2</v>
      </c>
      <c r="E14" s="6">
        <v>1</v>
      </c>
      <c r="F14" s="4">
        <v>0</v>
      </c>
      <c r="G14" s="5">
        <f t="shared" si="0"/>
        <v>1</v>
      </c>
      <c r="H14" s="9">
        <f t="shared" si="2"/>
        <v>3</v>
      </c>
    </row>
    <row r="15" spans="1:8" x14ac:dyDescent="0.25">
      <c r="A15" s="14" t="s">
        <v>10</v>
      </c>
      <c r="B15" s="6">
        <v>0</v>
      </c>
      <c r="C15" s="4">
        <v>8</v>
      </c>
      <c r="D15" s="5">
        <f t="shared" ref="D15" si="3">B15+C15</f>
        <v>8</v>
      </c>
      <c r="E15" s="6">
        <v>0</v>
      </c>
      <c r="F15" s="4">
        <v>0</v>
      </c>
      <c r="G15" s="5">
        <f t="shared" ref="G15" si="4">E15+F15</f>
        <v>0</v>
      </c>
      <c r="H15" s="9">
        <f t="shared" ref="H15" si="5">G15+D15</f>
        <v>8</v>
      </c>
    </row>
    <row r="16" spans="1:8" x14ac:dyDescent="0.25">
      <c r="A16" s="14" t="s">
        <v>87</v>
      </c>
      <c r="B16" s="6">
        <v>0</v>
      </c>
      <c r="C16" s="4">
        <v>0</v>
      </c>
      <c r="D16" s="5">
        <f t="shared" si="1"/>
        <v>0</v>
      </c>
      <c r="E16" s="6">
        <v>1</v>
      </c>
      <c r="F16" s="4">
        <v>0</v>
      </c>
      <c r="G16" s="5">
        <f t="shared" si="0"/>
        <v>1</v>
      </c>
      <c r="H16" s="9">
        <f t="shared" si="2"/>
        <v>1</v>
      </c>
    </row>
    <row r="17" spans="1:8" x14ac:dyDescent="0.25">
      <c r="A17" s="14" t="s">
        <v>80</v>
      </c>
      <c r="B17" s="6">
        <v>0</v>
      </c>
      <c r="C17" s="4">
        <v>0</v>
      </c>
      <c r="D17" s="5">
        <f t="shared" si="1"/>
        <v>0</v>
      </c>
      <c r="E17" s="6">
        <v>1</v>
      </c>
      <c r="F17" s="4">
        <v>0</v>
      </c>
      <c r="G17" s="5">
        <f t="shared" si="0"/>
        <v>1</v>
      </c>
      <c r="H17" s="9">
        <f t="shared" si="2"/>
        <v>1</v>
      </c>
    </row>
    <row r="18" spans="1:8" x14ac:dyDescent="0.25">
      <c r="A18" s="14" t="s">
        <v>57</v>
      </c>
      <c r="B18" s="6">
        <v>7</v>
      </c>
      <c r="C18" s="4">
        <v>3</v>
      </c>
      <c r="D18" s="5">
        <f t="shared" si="1"/>
        <v>10</v>
      </c>
      <c r="E18" s="6">
        <v>0</v>
      </c>
      <c r="F18" s="4">
        <v>0</v>
      </c>
      <c r="G18" s="5">
        <f t="shared" si="0"/>
        <v>0</v>
      </c>
      <c r="H18" s="9">
        <f t="shared" si="2"/>
        <v>10</v>
      </c>
    </row>
    <row r="19" spans="1:8" x14ac:dyDescent="0.25">
      <c r="A19" s="14" t="s">
        <v>12</v>
      </c>
      <c r="B19" s="6">
        <v>2</v>
      </c>
      <c r="C19" s="4">
        <v>5</v>
      </c>
      <c r="D19" s="5">
        <f t="shared" si="1"/>
        <v>7</v>
      </c>
      <c r="E19" s="6">
        <v>0</v>
      </c>
      <c r="F19" s="4">
        <v>0</v>
      </c>
      <c r="G19" s="5">
        <f t="shared" si="0"/>
        <v>0</v>
      </c>
      <c r="H19" s="9">
        <f t="shared" si="2"/>
        <v>7</v>
      </c>
    </row>
    <row r="20" spans="1:8" x14ac:dyDescent="0.25">
      <c r="A20" s="14" t="s">
        <v>58</v>
      </c>
      <c r="B20" s="6">
        <v>0</v>
      </c>
      <c r="C20" s="4">
        <v>1</v>
      </c>
      <c r="D20" s="5">
        <f t="shared" si="1"/>
        <v>1</v>
      </c>
      <c r="E20" s="6">
        <v>2</v>
      </c>
      <c r="F20" s="4">
        <v>1</v>
      </c>
      <c r="G20" s="5">
        <f t="shared" si="0"/>
        <v>3</v>
      </c>
      <c r="H20" s="9">
        <f t="shared" si="2"/>
        <v>4</v>
      </c>
    </row>
    <row r="21" spans="1:8" x14ac:dyDescent="0.25">
      <c r="A21" s="14" t="s">
        <v>56</v>
      </c>
      <c r="B21" s="6">
        <v>0</v>
      </c>
      <c r="C21" s="4">
        <v>4</v>
      </c>
      <c r="D21" s="5">
        <f t="shared" si="1"/>
        <v>4</v>
      </c>
      <c r="E21" s="6">
        <v>4</v>
      </c>
      <c r="F21" s="4">
        <v>0</v>
      </c>
      <c r="G21" s="5">
        <f t="shared" si="0"/>
        <v>4</v>
      </c>
      <c r="H21" s="9">
        <f t="shared" si="2"/>
        <v>8</v>
      </c>
    </row>
    <row r="22" spans="1:8" x14ac:dyDescent="0.25">
      <c r="A22" s="14" t="s">
        <v>14</v>
      </c>
      <c r="B22" s="6">
        <v>10</v>
      </c>
      <c r="C22" s="4">
        <v>1</v>
      </c>
      <c r="D22" s="5">
        <f t="shared" si="1"/>
        <v>11</v>
      </c>
      <c r="E22" s="6">
        <v>1</v>
      </c>
      <c r="F22" s="4">
        <v>0</v>
      </c>
      <c r="G22" s="5">
        <f t="shared" si="0"/>
        <v>1</v>
      </c>
      <c r="H22" s="9">
        <f t="shared" si="2"/>
        <v>12</v>
      </c>
    </row>
    <row r="23" spans="1:8" x14ac:dyDescent="0.25">
      <c r="A23" s="14" t="s">
        <v>16</v>
      </c>
      <c r="B23" s="6">
        <v>7</v>
      </c>
      <c r="C23" s="4">
        <v>0</v>
      </c>
      <c r="D23" s="5">
        <f t="shared" si="1"/>
        <v>7</v>
      </c>
      <c r="E23" s="6">
        <v>0</v>
      </c>
      <c r="F23" s="4">
        <v>0</v>
      </c>
      <c r="G23" s="5">
        <f t="shared" si="0"/>
        <v>0</v>
      </c>
      <c r="H23" s="9">
        <f t="shared" si="2"/>
        <v>7</v>
      </c>
    </row>
    <row r="24" spans="1:8" x14ac:dyDescent="0.25">
      <c r="A24" s="14" t="s">
        <v>59</v>
      </c>
      <c r="B24" s="6">
        <v>1</v>
      </c>
      <c r="C24" s="4">
        <v>1</v>
      </c>
      <c r="D24" s="5">
        <f t="shared" si="1"/>
        <v>2</v>
      </c>
      <c r="E24" s="6">
        <v>0</v>
      </c>
      <c r="F24" s="4">
        <v>0</v>
      </c>
      <c r="G24" s="5">
        <f t="shared" si="0"/>
        <v>0</v>
      </c>
      <c r="H24" s="9">
        <f t="shared" si="2"/>
        <v>2</v>
      </c>
    </row>
    <row r="25" spans="1:8" x14ac:dyDescent="0.25">
      <c r="A25" s="14" t="s">
        <v>60</v>
      </c>
      <c r="B25" s="6">
        <v>0</v>
      </c>
      <c r="C25" s="4">
        <v>0</v>
      </c>
      <c r="D25" s="5">
        <f t="shared" si="1"/>
        <v>0</v>
      </c>
      <c r="E25" s="6">
        <v>5</v>
      </c>
      <c r="F25" s="4">
        <v>3</v>
      </c>
      <c r="G25" s="5">
        <f t="shared" si="0"/>
        <v>8</v>
      </c>
      <c r="H25" s="9">
        <f t="shared" si="2"/>
        <v>8</v>
      </c>
    </row>
    <row r="26" spans="1:8" x14ac:dyDescent="0.25">
      <c r="A26" s="14" t="s">
        <v>17</v>
      </c>
      <c r="B26" s="6">
        <v>0</v>
      </c>
      <c r="C26" s="4">
        <v>46</v>
      </c>
      <c r="D26" s="5">
        <f t="shared" si="1"/>
        <v>46</v>
      </c>
      <c r="E26" s="6">
        <v>4</v>
      </c>
      <c r="F26" s="4">
        <v>4</v>
      </c>
      <c r="G26" s="5">
        <f t="shared" si="0"/>
        <v>8</v>
      </c>
      <c r="H26" s="9">
        <f t="shared" si="2"/>
        <v>54</v>
      </c>
    </row>
    <row r="27" spans="1:8" x14ac:dyDescent="0.25">
      <c r="A27" s="14" t="s">
        <v>18</v>
      </c>
      <c r="B27" s="6">
        <v>1</v>
      </c>
      <c r="C27" s="4">
        <v>2</v>
      </c>
      <c r="D27" s="5">
        <f t="shared" si="1"/>
        <v>3</v>
      </c>
      <c r="E27" s="6">
        <v>0</v>
      </c>
      <c r="F27" s="4">
        <v>0</v>
      </c>
      <c r="G27" s="5">
        <f t="shared" si="0"/>
        <v>0</v>
      </c>
      <c r="H27" s="9">
        <f t="shared" si="2"/>
        <v>3</v>
      </c>
    </row>
    <row r="28" spans="1:8" x14ac:dyDescent="0.25">
      <c r="A28" s="14" t="s">
        <v>19</v>
      </c>
      <c r="B28" s="6">
        <v>1</v>
      </c>
      <c r="C28" s="4">
        <v>34</v>
      </c>
      <c r="D28" s="5">
        <f t="shared" si="1"/>
        <v>35</v>
      </c>
      <c r="E28" s="6">
        <v>0</v>
      </c>
      <c r="F28" s="4">
        <v>0</v>
      </c>
      <c r="G28" s="5">
        <f t="shared" si="0"/>
        <v>0</v>
      </c>
      <c r="H28" s="9">
        <f t="shared" si="2"/>
        <v>35</v>
      </c>
    </row>
    <row r="29" spans="1:8" x14ac:dyDescent="0.25">
      <c r="A29" s="14" t="s">
        <v>88</v>
      </c>
      <c r="B29" s="6">
        <v>0</v>
      </c>
      <c r="C29" s="4">
        <v>0</v>
      </c>
      <c r="D29" s="5">
        <f t="shared" si="1"/>
        <v>0</v>
      </c>
      <c r="E29" s="6">
        <v>0</v>
      </c>
      <c r="F29" s="4">
        <v>1</v>
      </c>
      <c r="G29" s="5">
        <f t="shared" si="0"/>
        <v>1</v>
      </c>
      <c r="H29" s="9">
        <f t="shared" si="2"/>
        <v>1</v>
      </c>
    </row>
    <row r="30" spans="1:8" x14ac:dyDescent="0.25">
      <c r="A30" s="14" t="s">
        <v>61</v>
      </c>
      <c r="B30" s="6">
        <v>9</v>
      </c>
      <c r="C30" s="4">
        <v>0</v>
      </c>
      <c r="D30" s="5">
        <f t="shared" si="1"/>
        <v>9</v>
      </c>
      <c r="E30" s="6">
        <v>0</v>
      </c>
      <c r="F30" s="4">
        <v>0</v>
      </c>
      <c r="G30" s="5">
        <f t="shared" si="0"/>
        <v>0</v>
      </c>
      <c r="H30" s="9">
        <f t="shared" si="2"/>
        <v>9</v>
      </c>
    </row>
    <row r="31" spans="1:8" x14ac:dyDescent="0.25">
      <c r="A31" s="14" t="s">
        <v>20</v>
      </c>
      <c r="B31" s="6">
        <v>1</v>
      </c>
      <c r="C31" s="4">
        <v>6</v>
      </c>
      <c r="D31" s="5">
        <f t="shared" si="1"/>
        <v>7</v>
      </c>
      <c r="E31" s="6">
        <v>0</v>
      </c>
      <c r="F31" s="4">
        <v>1</v>
      </c>
      <c r="G31" s="5">
        <f t="shared" si="0"/>
        <v>1</v>
      </c>
      <c r="H31" s="9">
        <f t="shared" si="2"/>
        <v>8</v>
      </c>
    </row>
    <row r="32" spans="1:8" x14ac:dyDescent="0.25">
      <c r="A32" s="14" t="s">
        <v>62</v>
      </c>
      <c r="B32" s="6">
        <v>22</v>
      </c>
      <c r="C32" s="4">
        <v>8</v>
      </c>
      <c r="D32" s="5">
        <f t="shared" si="1"/>
        <v>30</v>
      </c>
      <c r="E32" s="6">
        <v>0</v>
      </c>
      <c r="F32" s="4">
        <v>0</v>
      </c>
      <c r="G32" s="5">
        <f t="shared" si="0"/>
        <v>0</v>
      </c>
      <c r="H32" s="9">
        <f t="shared" si="2"/>
        <v>30</v>
      </c>
    </row>
    <row r="33" spans="1:8" x14ac:dyDescent="0.25">
      <c r="A33" s="14" t="s">
        <v>21</v>
      </c>
      <c r="B33" s="6">
        <v>9</v>
      </c>
      <c r="C33" s="4">
        <v>6</v>
      </c>
      <c r="D33" s="5">
        <f t="shared" si="1"/>
        <v>15</v>
      </c>
      <c r="E33" s="6">
        <v>0</v>
      </c>
      <c r="F33" s="4">
        <v>2</v>
      </c>
      <c r="G33" s="5">
        <f t="shared" si="0"/>
        <v>2</v>
      </c>
      <c r="H33" s="9">
        <f t="shared" si="2"/>
        <v>17</v>
      </c>
    </row>
    <row r="34" spans="1:8" x14ac:dyDescent="0.25">
      <c r="A34" s="14" t="s">
        <v>23</v>
      </c>
      <c r="B34" s="6">
        <v>15</v>
      </c>
      <c r="C34" s="4">
        <v>0</v>
      </c>
      <c r="D34" s="5">
        <f t="shared" si="1"/>
        <v>15</v>
      </c>
      <c r="E34" s="6">
        <v>0</v>
      </c>
      <c r="F34" s="4">
        <v>0</v>
      </c>
      <c r="G34" s="5">
        <f t="shared" si="0"/>
        <v>0</v>
      </c>
      <c r="H34" s="9">
        <f t="shared" si="2"/>
        <v>15</v>
      </c>
    </row>
    <row r="35" spans="1:8" x14ac:dyDescent="0.25">
      <c r="A35" s="14" t="s">
        <v>37</v>
      </c>
      <c r="B35" s="6">
        <v>2</v>
      </c>
      <c r="C35" s="4">
        <v>4</v>
      </c>
      <c r="D35" s="5">
        <f t="shared" si="1"/>
        <v>6</v>
      </c>
      <c r="E35" s="6">
        <v>0</v>
      </c>
      <c r="F35" s="4">
        <v>0</v>
      </c>
      <c r="G35" s="5">
        <f t="shared" si="0"/>
        <v>0</v>
      </c>
      <c r="H35" s="9">
        <f t="shared" si="2"/>
        <v>6</v>
      </c>
    </row>
    <row r="36" spans="1:8" x14ac:dyDescent="0.25">
      <c r="A36" s="14" t="s">
        <v>38</v>
      </c>
      <c r="B36" s="6">
        <v>0</v>
      </c>
      <c r="C36" s="4">
        <v>2</v>
      </c>
      <c r="D36" s="5">
        <f t="shared" si="1"/>
        <v>2</v>
      </c>
      <c r="E36" s="6">
        <v>0</v>
      </c>
      <c r="F36" s="4">
        <v>0</v>
      </c>
      <c r="G36" s="5">
        <f t="shared" si="0"/>
        <v>0</v>
      </c>
      <c r="H36" s="9">
        <f t="shared" si="2"/>
        <v>2</v>
      </c>
    </row>
    <row r="37" spans="1:8" x14ac:dyDescent="0.25">
      <c r="A37" s="14" t="s">
        <v>24</v>
      </c>
      <c r="B37" s="6">
        <v>10</v>
      </c>
      <c r="C37" s="4">
        <v>35</v>
      </c>
      <c r="D37" s="5">
        <f t="shared" si="1"/>
        <v>45</v>
      </c>
      <c r="E37" s="6">
        <v>5</v>
      </c>
      <c r="F37" s="4">
        <v>0</v>
      </c>
      <c r="G37" s="5">
        <f t="shared" si="0"/>
        <v>5</v>
      </c>
      <c r="H37" s="9">
        <f t="shared" si="2"/>
        <v>50</v>
      </c>
    </row>
    <row r="38" spans="1:8" x14ac:dyDescent="0.25">
      <c r="A38" s="14" t="s">
        <v>39</v>
      </c>
      <c r="B38" s="6">
        <v>2</v>
      </c>
      <c r="C38" s="4">
        <v>20</v>
      </c>
      <c r="D38" s="5">
        <f t="shared" si="1"/>
        <v>22</v>
      </c>
      <c r="E38" s="6">
        <v>0</v>
      </c>
      <c r="F38" s="4">
        <v>0</v>
      </c>
      <c r="G38" s="5">
        <f t="shared" si="0"/>
        <v>0</v>
      </c>
      <c r="H38" s="9">
        <f t="shared" si="2"/>
        <v>22</v>
      </c>
    </row>
    <row r="39" spans="1:8" x14ac:dyDescent="0.25">
      <c r="A39" s="14" t="s">
        <v>25</v>
      </c>
      <c r="B39" s="6">
        <v>23</v>
      </c>
      <c r="C39" s="4">
        <v>0</v>
      </c>
      <c r="D39" s="5">
        <f t="shared" si="1"/>
        <v>23</v>
      </c>
      <c r="E39" s="6">
        <v>1</v>
      </c>
      <c r="F39" s="4">
        <v>0</v>
      </c>
      <c r="G39" s="5">
        <f t="shared" si="0"/>
        <v>1</v>
      </c>
      <c r="H39" s="9">
        <f t="shared" si="2"/>
        <v>24</v>
      </c>
    </row>
    <row r="40" spans="1:8" x14ac:dyDescent="0.25">
      <c r="A40" s="14" t="s">
        <v>63</v>
      </c>
      <c r="B40" s="6">
        <v>0</v>
      </c>
      <c r="C40" s="4">
        <v>171</v>
      </c>
      <c r="D40" s="5">
        <f t="shared" si="1"/>
        <v>171</v>
      </c>
      <c r="E40" s="6">
        <v>0</v>
      </c>
      <c r="F40" s="4">
        <v>0</v>
      </c>
      <c r="G40" s="5">
        <f t="shared" si="0"/>
        <v>0</v>
      </c>
      <c r="H40" s="9">
        <f t="shared" si="2"/>
        <v>171</v>
      </c>
    </row>
    <row r="41" spans="1:8" x14ac:dyDescent="0.25">
      <c r="A41" s="14" t="s">
        <v>1</v>
      </c>
      <c r="B41" s="6">
        <v>51</v>
      </c>
      <c r="C41" s="4">
        <v>3</v>
      </c>
      <c r="D41" s="5">
        <f t="shared" si="1"/>
        <v>54</v>
      </c>
      <c r="E41" s="6">
        <v>0</v>
      </c>
      <c r="F41" s="4">
        <v>53</v>
      </c>
      <c r="G41" s="5">
        <f t="shared" si="0"/>
        <v>53</v>
      </c>
      <c r="H41" s="9">
        <f t="shared" si="2"/>
        <v>107</v>
      </c>
    </row>
    <row r="42" spans="1:8" x14ac:dyDescent="0.25">
      <c r="A42" s="14" t="s">
        <v>26</v>
      </c>
      <c r="B42" s="6">
        <v>0</v>
      </c>
      <c r="C42" s="4">
        <v>7</v>
      </c>
      <c r="D42" s="5">
        <f t="shared" si="1"/>
        <v>7</v>
      </c>
      <c r="E42" s="6">
        <v>0</v>
      </c>
      <c r="F42" s="4">
        <v>0</v>
      </c>
      <c r="G42" s="5">
        <f t="shared" si="0"/>
        <v>0</v>
      </c>
      <c r="H42" s="9">
        <f t="shared" si="2"/>
        <v>7</v>
      </c>
    </row>
    <row r="43" spans="1:8" x14ac:dyDescent="0.25">
      <c r="A43" s="14" t="s">
        <v>27</v>
      </c>
      <c r="B43" s="6">
        <v>0</v>
      </c>
      <c r="C43" s="4">
        <v>6</v>
      </c>
      <c r="D43" s="5">
        <f t="shared" si="1"/>
        <v>6</v>
      </c>
      <c r="E43" s="6">
        <v>0</v>
      </c>
      <c r="F43" s="4">
        <v>0</v>
      </c>
      <c r="G43" s="5">
        <f t="shared" si="0"/>
        <v>0</v>
      </c>
      <c r="H43" s="9">
        <f t="shared" si="2"/>
        <v>6</v>
      </c>
    </row>
    <row r="44" spans="1:8" x14ac:dyDescent="0.25">
      <c r="A44" s="14" t="s">
        <v>77</v>
      </c>
      <c r="B44" s="6">
        <v>1</v>
      </c>
      <c r="C44" s="4">
        <v>0</v>
      </c>
      <c r="D44" s="5">
        <f t="shared" si="1"/>
        <v>1</v>
      </c>
      <c r="E44" s="6">
        <v>1</v>
      </c>
      <c r="F44" s="4">
        <v>0</v>
      </c>
      <c r="G44" s="5">
        <f t="shared" si="0"/>
        <v>1</v>
      </c>
      <c r="H44" s="9">
        <f t="shared" si="2"/>
        <v>2</v>
      </c>
    </row>
    <row r="45" spans="1:8" x14ac:dyDescent="0.25">
      <c r="A45" s="14" t="s">
        <v>28</v>
      </c>
      <c r="B45" s="6">
        <v>0</v>
      </c>
      <c r="C45" s="4">
        <v>13</v>
      </c>
      <c r="D45" s="5">
        <f t="shared" ref="D45:D46" si="6">B45+C45</f>
        <v>13</v>
      </c>
      <c r="E45" s="6">
        <v>0</v>
      </c>
      <c r="F45" s="4">
        <v>0</v>
      </c>
      <c r="G45" s="5">
        <f t="shared" ref="G45:G46" si="7">E45+F45</f>
        <v>0</v>
      </c>
      <c r="H45" s="9">
        <f t="shared" ref="H45:H46" si="8">G45+D45</f>
        <v>13</v>
      </c>
    </row>
    <row r="46" spans="1:8" x14ac:dyDescent="0.25">
      <c r="A46" s="14" t="s">
        <v>29</v>
      </c>
      <c r="B46" s="6">
        <v>2</v>
      </c>
      <c r="C46" s="4">
        <v>1</v>
      </c>
      <c r="D46" s="5">
        <f t="shared" si="6"/>
        <v>3</v>
      </c>
      <c r="E46" s="6">
        <v>0</v>
      </c>
      <c r="F46" s="4">
        <v>0</v>
      </c>
      <c r="G46" s="5">
        <f t="shared" si="7"/>
        <v>0</v>
      </c>
      <c r="H46" s="9">
        <f t="shared" si="8"/>
        <v>3</v>
      </c>
    </row>
    <row r="47" spans="1:8" x14ac:dyDescent="0.25">
      <c r="A47" s="14" t="s">
        <v>31</v>
      </c>
      <c r="B47" s="6">
        <v>3</v>
      </c>
      <c r="C47" s="4">
        <v>6</v>
      </c>
      <c r="D47" s="5">
        <f t="shared" si="1"/>
        <v>9</v>
      </c>
      <c r="E47" s="6">
        <v>0</v>
      </c>
      <c r="F47" s="4">
        <v>0</v>
      </c>
      <c r="G47" s="5">
        <f t="shared" si="0"/>
        <v>0</v>
      </c>
      <c r="H47" s="9">
        <f t="shared" si="2"/>
        <v>9</v>
      </c>
    </row>
    <row r="48" spans="1:8" x14ac:dyDescent="0.25">
      <c r="A48" s="14" t="s">
        <v>32</v>
      </c>
      <c r="B48" s="6">
        <v>0</v>
      </c>
      <c r="C48" s="4">
        <v>1</v>
      </c>
      <c r="D48" s="5">
        <f t="shared" si="1"/>
        <v>1</v>
      </c>
      <c r="E48" s="6">
        <v>0</v>
      </c>
      <c r="F48" s="4">
        <v>1</v>
      </c>
      <c r="G48" s="5">
        <f t="shared" si="0"/>
        <v>1</v>
      </c>
      <c r="H48" s="9">
        <f t="shared" si="2"/>
        <v>2</v>
      </c>
    </row>
    <row r="49" spans="1:8" x14ac:dyDescent="0.25">
      <c r="A49" s="14" t="s">
        <v>66</v>
      </c>
      <c r="B49" s="6">
        <v>0</v>
      </c>
      <c r="C49" s="4">
        <v>35</v>
      </c>
      <c r="D49" s="5">
        <f t="shared" si="1"/>
        <v>35</v>
      </c>
      <c r="E49" s="6">
        <v>0</v>
      </c>
      <c r="F49" s="4">
        <v>1</v>
      </c>
      <c r="G49" s="5">
        <f t="shared" si="0"/>
        <v>1</v>
      </c>
      <c r="H49" s="9">
        <f t="shared" si="2"/>
        <v>36</v>
      </c>
    </row>
    <row r="50" spans="1:8" x14ac:dyDescent="0.25">
      <c r="A50" s="14" t="s">
        <v>33</v>
      </c>
      <c r="B50" s="6">
        <v>5</v>
      </c>
      <c r="C50" s="4">
        <v>29</v>
      </c>
      <c r="D50" s="5">
        <f t="shared" si="1"/>
        <v>34</v>
      </c>
      <c r="E50" s="6">
        <v>0</v>
      </c>
      <c r="F50" s="4">
        <v>0</v>
      </c>
      <c r="G50" s="5">
        <f t="shared" si="0"/>
        <v>0</v>
      </c>
      <c r="H50" s="9">
        <f t="shared" si="2"/>
        <v>34</v>
      </c>
    </row>
    <row r="51" spans="1:8" x14ac:dyDescent="0.25">
      <c r="A51" s="14" t="s">
        <v>34</v>
      </c>
      <c r="B51" s="6">
        <v>6</v>
      </c>
      <c r="C51" s="4">
        <v>0</v>
      </c>
      <c r="D51" s="5">
        <f t="shared" si="1"/>
        <v>6</v>
      </c>
      <c r="E51" s="6">
        <v>1</v>
      </c>
      <c r="F51" s="4">
        <v>0</v>
      </c>
      <c r="G51" s="5">
        <f t="shared" si="0"/>
        <v>1</v>
      </c>
      <c r="H51" s="9">
        <f t="shared" si="2"/>
        <v>7</v>
      </c>
    </row>
    <row r="52" spans="1:8" x14ac:dyDescent="0.25">
      <c r="A52" s="14" t="s">
        <v>69</v>
      </c>
      <c r="B52" s="6">
        <v>18</v>
      </c>
      <c r="C52" s="4">
        <v>2</v>
      </c>
      <c r="D52" s="5">
        <f t="shared" si="1"/>
        <v>20</v>
      </c>
      <c r="E52" s="6">
        <v>0</v>
      </c>
      <c r="F52" s="4">
        <v>0</v>
      </c>
      <c r="G52" s="5">
        <f t="shared" si="0"/>
        <v>0</v>
      </c>
      <c r="H52" s="9">
        <f t="shared" si="2"/>
        <v>20</v>
      </c>
    </row>
    <row r="53" spans="1:8" x14ac:dyDescent="0.25">
      <c r="A53" s="14" t="s">
        <v>35</v>
      </c>
      <c r="B53" s="6">
        <v>0</v>
      </c>
      <c r="C53" s="4">
        <v>2</v>
      </c>
      <c r="D53" s="5">
        <f t="shared" si="1"/>
        <v>2</v>
      </c>
      <c r="E53" s="6">
        <v>0</v>
      </c>
      <c r="F53" s="4">
        <v>0</v>
      </c>
      <c r="G53" s="5">
        <f t="shared" si="0"/>
        <v>0</v>
      </c>
      <c r="H53" s="9">
        <f t="shared" si="2"/>
        <v>2</v>
      </c>
    </row>
    <row r="54" spans="1:8" x14ac:dyDescent="0.25">
      <c r="A54" s="14" t="s">
        <v>70</v>
      </c>
      <c r="B54" s="6">
        <v>15</v>
      </c>
      <c r="C54" s="4">
        <v>2</v>
      </c>
      <c r="D54" s="5">
        <f t="shared" si="1"/>
        <v>17</v>
      </c>
      <c r="E54" s="6">
        <v>0</v>
      </c>
      <c r="F54" s="4">
        <v>0</v>
      </c>
      <c r="G54" s="5">
        <f t="shared" si="0"/>
        <v>0</v>
      </c>
      <c r="H54" s="9">
        <f t="shared" si="2"/>
        <v>17</v>
      </c>
    </row>
    <row r="55" spans="1:8" ht="15.75" thickBot="1" x14ac:dyDescent="0.3">
      <c r="A55" s="15" t="s">
        <v>71</v>
      </c>
      <c r="B55" s="11">
        <v>5</v>
      </c>
      <c r="C55" s="12">
        <v>0</v>
      </c>
      <c r="D55" s="13">
        <f t="shared" si="1"/>
        <v>5</v>
      </c>
      <c r="E55" s="11">
        <v>1</v>
      </c>
      <c r="F55" s="12">
        <v>0</v>
      </c>
      <c r="G55" s="13">
        <f t="shared" si="0"/>
        <v>1</v>
      </c>
      <c r="H55" s="16">
        <f t="shared" si="2"/>
        <v>6</v>
      </c>
    </row>
    <row r="56" spans="1:8" ht="16.5" thickTop="1" thickBot="1" x14ac:dyDescent="0.3">
      <c r="A56" s="8" t="s">
        <v>0</v>
      </c>
      <c r="B56" s="7">
        <f t="shared" ref="B56:H56" si="9">SUM(B7:B55)</f>
        <v>240</v>
      </c>
      <c r="C56" s="7">
        <f t="shared" si="9"/>
        <v>494</v>
      </c>
      <c r="D56" s="7">
        <f t="shared" si="9"/>
        <v>734</v>
      </c>
      <c r="E56" s="7">
        <f t="shared" si="9"/>
        <v>33</v>
      </c>
      <c r="F56" s="7">
        <f t="shared" si="9"/>
        <v>70</v>
      </c>
      <c r="G56" s="8">
        <f t="shared" si="9"/>
        <v>103</v>
      </c>
      <c r="H56" s="10">
        <f t="shared" si="9"/>
        <v>837</v>
      </c>
    </row>
    <row r="57" spans="1:8" x14ac:dyDescent="0.25">
      <c r="A57" s="18"/>
      <c r="B57" s="18"/>
      <c r="C57" s="18"/>
      <c r="D57" s="18"/>
      <c r="E57" s="18"/>
      <c r="F57" s="18"/>
      <c r="G57" s="18"/>
      <c r="H57" s="18"/>
    </row>
    <row r="59" spans="1:8" x14ac:dyDescent="0.25">
      <c r="A59" s="48" t="s">
        <v>76</v>
      </c>
      <c r="B59" s="48"/>
      <c r="C59" s="48"/>
      <c r="D59" s="48"/>
      <c r="E59" s="48"/>
      <c r="F59" s="48"/>
      <c r="G59" s="48"/>
      <c r="H59" s="48"/>
    </row>
    <row r="63" spans="1:8" x14ac:dyDescent="0.25">
      <c r="A63" s="49"/>
      <c r="B63" s="49"/>
      <c r="C63" s="49"/>
      <c r="D63" s="49"/>
      <c r="E63" s="49"/>
      <c r="F63" s="49"/>
      <c r="G63" s="49"/>
      <c r="H63" s="49"/>
    </row>
  </sheetData>
  <mergeCells count="5">
    <mergeCell ref="A59:H59"/>
    <mergeCell ref="A63:H63"/>
    <mergeCell ref="A2:H2"/>
    <mergeCell ref="B5:D5"/>
    <mergeCell ref="E5:G5"/>
  </mergeCells>
  <pageMargins left="0.25" right="0.25" top="0.75" bottom="0.75" header="0.3" footer="0.3"/>
  <pageSetup paperSize="9" orientation="portrait" r:id="rId1"/>
  <headerFooter>
    <oddHeader>&amp;CUCL Student Data Statistics</oddHeader>
    <oddFooter>&amp;C&amp;P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view="pageLayout" zoomScale="85" zoomScaleNormal="100" zoomScalePageLayoutView="85" workbookViewId="0">
      <selection activeCell="A74" sqref="A74:H74"/>
    </sheetView>
  </sheetViews>
  <sheetFormatPr defaultColWidth="9.140625" defaultRowHeight="15" x14ac:dyDescent="0.25"/>
  <cols>
    <col min="1" max="1" width="29.28515625" bestFit="1" customWidth="1"/>
    <col min="2" max="8" width="8.5703125" customWidth="1"/>
  </cols>
  <sheetData>
    <row r="1" spans="1:8" ht="18" x14ac:dyDescent="0.25">
      <c r="A1" s="1" t="s">
        <v>50</v>
      </c>
      <c r="B1" s="3"/>
    </row>
    <row r="2" spans="1:8" x14ac:dyDescent="0.25">
      <c r="A2" s="33" t="s">
        <v>51</v>
      </c>
      <c r="B2" s="33"/>
      <c r="C2" s="33"/>
      <c r="D2" s="33"/>
      <c r="E2" s="33"/>
      <c r="F2" s="33"/>
      <c r="G2" s="33"/>
      <c r="H2" s="33"/>
    </row>
    <row r="3" spans="1:8" x14ac:dyDescent="0.25">
      <c r="A3" s="2" t="str">
        <f ca="1">RIGHT(CELL("filename",A1),LEN(CELL("filename",A1))-FIND("]",CELL("filename",A1)))</f>
        <v>2006-07</v>
      </c>
      <c r="B3" s="3"/>
    </row>
    <row r="4" spans="1:8" ht="15.75" thickBot="1" x14ac:dyDescent="0.3">
      <c r="A4" s="3"/>
      <c r="B4" s="3"/>
    </row>
    <row r="5" spans="1:8" ht="15" customHeight="1" x14ac:dyDescent="0.25">
      <c r="A5" s="34" t="s">
        <v>2</v>
      </c>
      <c r="B5" s="37" t="s">
        <v>3</v>
      </c>
      <c r="C5" s="38"/>
      <c r="D5" s="38"/>
      <c r="E5" s="37" t="s">
        <v>4</v>
      </c>
      <c r="F5" s="38"/>
      <c r="G5" s="38"/>
      <c r="H5" s="39" t="s">
        <v>0</v>
      </c>
    </row>
    <row r="6" spans="1:8" ht="15" customHeight="1" x14ac:dyDescent="0.25">
      <c r="A6" s="35"/>
      <c r="B6" s="42" t="s">
        <v>48</v>
      </c>
      <c r="C6" s="44" t="s">
        <v>49</v>
      </c>
      <c r="D6" s="46" t="s">
        <v>0</v>
      </c>
      <c r="E6" s="42" t="s">
        <v>48</v>
      </c>
      <c r="F6" s="44" t="s">
        <v>49</v>
      </c>
      <c r="G6" s="46" t="s">
        <v>0</v>
      </c>
      <c r="H6" s="40"/>
    </row>
    <row r="7" spans="1:8" x14ac:dyDescent="0.25">
      <c r="A7" s="36"/>
      <c r="B7" s="43"/>
      <c r="C7" s="45"/>
      <c r="D7" s="47"/>
      <c r="E7" s="43"/>
      <c r="F7" s="45"/>
      <c r="G7" s="47"/>
      <c r="H7" s="41"/>
    </row>
    <row r="8" spans="1:8" x14ac:dyDescent="0.25">
      <c r="A8" s="14" t="s">
        <v>6</v>
      </c>
      <c r="B8" s="6">
        <v>0</v>
      </c>
      <c r="C8" s="4">
        <v>5</v>
      </c>
      <c r="D8" s="5">
        <f>B8+C8</f>
        <v>5</v>
      </c>
      <c r="E8" s="6">
        <v>0</v>
      </c>
      <c r="F8" s="4">
        <v>0</v>
      </c>
      <c r="G8" s="5">
        <f t="shared" ref="G8:G53" si="0">E8+F8</f>
        <v>0</v>
      </c>
      <c r="H8" s="9">
        <f>G8+D8</f>
        <v>5</v>
      </c>
    </row>
    <row r="9" spans="1:8" x14ac:dyDescent="0.25">
      <c r="A9" s="14" t="s">
        <v>7</v>
      </c>
      <c r="B9" s="6">
        <v>0</v>
      </c>
      <c r="C9" s="4">
        <v>5</v>
      </c>
      <c r="D9" s="5">
        <f t="shared" ref="D9:D53" si="1">B9+C9</f>
        <v>5</v>
      </c>
      <c r="E9" s="6">
        <v>0</v>
      </c>
      <c r="F9" s="4">
        <v>0</v>
      </c>
      <c r="G9" s="5">
        <f t="shared" si="0"/>
        <v>0</v>
      </c>
      <c r="H9" s="9">
        <f t="shared" ref="H9:H53" si="2">G9+D9</f>
        <v>5</v>
      </c>
    </row>
    <row r="10" spans="1:8" x14ac:dyDescent="0.25">
      <c r="A10" s="14" t="s">
        <v>86</v>
      </c>
      <c r="B10" s="6">
        <v>0</v>
      </c>
      <c r="C10" s="4">
        <v>0</v>
      </c>
      <c r="D10" s="5">
        <f t="shared" si="1"/>
        <v>0</v>
      </c>
      <c r="E10" s="6">
        <v>0</v>
      </c>
      <c r="F10" s="4">
        <v>1</v>
      </c>
      <c r="G10" s="5">
        <f t="shared" si="0"/>
        <v>1</v>
      </c>
      <c r="H10" s="9">
        <f t="shared" si="2"/>
        <v>1</v>
      </c>
    </row>
    <row r="11" spans="1:8" x14ac:dyDescent="0.25">
      <c r="A11" s="14" t="s">
        <v>53</v>
      </c>
      <c r="B11" s="6">
        <v>1</v>
      </c>
      <c r="C11" s="4">
        <v>3</v>
      </c>
      <c r="D11" s="5">
        <f t="shared" si="1"/>
        <v>4</v>
      </c>
      <c r="E11" s="6">
        <v>3</v>
      </c>
      <c r="F11" s="4">
        <v>2</v>
      </c>
      <c r="G11" s="5">
        <f t="shared" si="0"/>
        <v>5</v>
      </c>
      <c r="H11" s="9">
        <f t="shared" si="2"/>
        <v>9</v>
      </c>
    </row>
    <row r="12" spans="1:8" x14ac:dyDescent="0.25">
      <c r="A12" s="14" t="s">
        <v>54</v>
      </c>
      <c r="B12" s="6">
        <v>3</v>
      </c>
      <c r="C12" s="4">
        <v>0</v>
      </c>
      <c r="D12" s="5">
        <f t="shared" si="1"/>
        <v>3</v>
      </c>
      <c r="E12" s="6">
        <v>0</v>
      </c>
      <c r="F12" s="4">
        <v>0</v>
      </c>
      <c r="G12" s="5">
        <f t="shared" si="0"/>
        <v>0</v>
      </c>
      <c r="H12" s="9">
        <f t="shared" si="2"/>
        <v>3</v>
      </c>
    </row>
    <row r="13" spans="1:8" x14ac:dyDescent="0.25">
      <c r="A13" s="14" t="s">
        <v>9</v>
      </c>
      <c r="B13" s="6">
        <v>2</v>
      </c>
      <c r="C13" s="4">
        <v>0</v>
      </c>
      <c r="D13" s="5">
        <f t="shared" si="1"/>
        <v>2</v>
      </c>
      <c r="E13" s="6">
        <v>1</v>
      </c>
      <c r="F13" s="4">
        <v>0</v>
      </c>
      <c r="G13" s="5">
        <f t="shared" si="0"/>
        <v>1</v>
      </c>
      <c r="H13" s="9">
        <f t="shared" si="2"/>
        <v>3</v>
      </c>
    </row>
    <row r="14" spans="1:8" x14ac:dyDescent="0.25">
      <c r="A14" s="14" t="s">
        <v>10</v>
      </c>
      <c r="B14" s="6">
        <v>0</v>
      </c>
      <c r="C14" s="4">
        <v>8</v>
      </c>
      <c r="D14" s="5">
        <f t="shared" si="1"/>
        <v>8</v>
      </c>
      <c r="E14" s="6">
        <v>0</v>
      </c>
      <c r="F14" s="4">
        <v>0</v>
      </c>
      <c r="G14" s="5">
        <f t="shared" si="0"/>
        <v>0</v>
      </c>
      <c r="H14" s="9">
        <f t="shared" si="2"/>
        <v>8</v>
      </c>
    </row>
    <row r="15" spans="1:8" x14ac:dyDescent="0.25">
      <c r="A15" s="14" t="s">
        <v>80</v>
      </c>
      <c r="B15" s="6">
        <v>0</v>
      </c>
      <c r="C15" s="4">
        <v>0</v>
      </c>
      <c r="D15" s="5">
        <f t="shared" si="1"/>
        <v>0</v>
      </c>
      <c r="E15" s="6">
        <v>1</v>
      </c>
      <c r="F15" s="4">
        <v>0</v>
      </c>
      <c r="G15" s="5">
        <f t="shared" si="0"/>
        <v>1</v>
      </c>
      <c r="H15" s="9">
        <f t="shared" si="2"/>
        <v>1</v>
      </c>
    </row>
    <row r="16" spans="1:8" x14ac:dyDescent="0.25">
      <c r="A16" s="14" t="s">
        <v>57</v>
      </c>
      <c r="B16" s="6">
        <v>6</v>
      </c>
      <c r="C16" s="4">
        <v>6</v>
      </c>
      <c r="D16" s="5">
        <f t="shared" si="1"/>
        <v>12</v>
      </c>
      <c r="E16" s="6">
        <v>4</v>
      </c>
      <c r="F16" s="4">
        <v>0</v>
      </c>
      <c r="G16" s="5">
        <f t="shared" si="0"/>
        <v>4</v>
      </c>
      <c r="H16" s="9">
        <f t="shared" si="2"/>
        <v>16</v>
      </c>
    </row>
    <row r="17" spans="1:8" x14ac:dyDescent="0.25">
      <c r="A17" s="14" t="s">
        <v>12</v>
      </c>
      <c r="B17" s="6">
        <v>3</v>
      </c>
      <c r="C17" s="4">
        <v>4</v>
      </c>
      <c r="D17" s="5">
        <f t="shared" si="1"/>
        <v>7</v>
      </c>
      <c r="E17" s="6">
        <v>0</v>
      </c>
      <c r="F17" s="4">
        <v>0</v>
      </c>
      <c r="G17" s="5">
        <f t="shared" si="0"/>
        <v>0</v>
      </c>
      <c r="H17" s="9">
        <f t="shared" si="2"/>
        <v>7</v>
      </c>
    </row>
    <row r="18" spans="1:8" x14ac:dyDescent="0.25">
      <c r="A18" s="14" t="s">
        <v>56</v>
      </c>
      <c r="B18" s="6">
        <v>0</v>
      </c>
      <c r="C18" s="4">
        <v>4</v>
      </c>
      <c r="D18" s="5">
        <f t="shared" si="1"/>
        <v>4</v>
      </c>
      <c r="E18" s="6">
        <v>0</v>
      </c>
      <c r="F18" s="4">
        <v>0</v>
      </c>
      <c r="G18" s="5">
        <f t="shared" si="0"/>
        <v>0</v>
      </c>
      <c r="H18" s="9">
        <f t="shared" si="2"/>
        <v>4</v>
      </c>
    </row>
    <row r="19" spans="1:8" x14ac:dyDescent="0.25">
      <c r="A19" s="14" t="s">
        <v>13</v>
      </c>
      <c r="B19" s="6">
        <v>0</v>
      </c>
      <c r="C19" s="4">
        <v>2</v>
      </c>
      <c r="D19" s="5">
        <f t="shared" si="1"/>
        <v>2</v>
      </c>
      <c r="E19" s="6">
        <v>0</v>
      </c>
      <c r="F19" s="4">
        <v>1</v>
      </c>
      <c r="G19" s="5">
        <f t="shared" si="0"/>
        <v>1</v>
      </c>
      <c r="H19" s="9">
        <f t="shared" si="2"/>
        <v>3</v>
      </c>
    </row>
    <row r="20" spans="1:8" x14ac:dyDescent="0.25">
      <c r="A20" s="14" t="s">
        <v>52</v>
      </c>
      <c r="B20" s="6">
        <v>1</v>
      </c>
      <c r="C20" s="4">
        <v>0</v>
      </c>
      <c r="D20" s="5">
        <f t="shared" si="1"/>
        <v>1</v>
      </c>
      <c r="E20" s="6">
        <v>0</v>
      </c>
      <c r="F20" s="4">
        <v>0</v>
      </c>
      <c r="G20" s="5">
        <f t="shared" si="0"/>
        <v>0</v>
      </c>
      <c r="H20" s="9">
        <f t="shared" si="2"/>
        <v>1</v>
      </c>
    </row>
    <row r="21" spans="1:8" x14ac:dyDescent="0.25">
      <c r="A21" s="14" t="s">
        <v>14</v>
      </c>
      <c r="B21" s="6">
        <v>6</v>
      </c>
      <c r="C21" s="4">
        <v>6</v>
      </c>
      <c r="D21" s="5">
        <f t="shared" si="1"/>
        <v>12</v>
      </c>
      <c r="E21" s="6">
        <v>1</v>
      </c>
      <c r="F21" s="4">
        <v>0</v>
      </c>
      <c r="G21" s="5">
        <f t="shared" si="0"/>
        <v>1</v>
      </c>
      <c r="H21" s="9">
        <f t="shared" si="2"/>
        <v>13</v>
      </c>
    </row>
    <row r="22" spans="1:8" x14ac:dyDescent="0.25">
      <c r="A22" s="14" t="s">
        <v>16</v>
      </c>
      <c r="B22" s="6">
        <v>4</v>
      </c>
      <c r="C22" s="4">
        <v>1</v>
      </c>
      <c r="D22" s="5">
        <f t="shared" si="1"/>
        <v>5</v>
      </c>
      <c r="E22" s="6">
        <v>1</v>
      </c>
      <c r="F22" s="4">
        <v>0</v>
      </c>
      <c r="G22" s="5">
        <f t="shared" si="0"/>
        <v>1</v>
      </c>
      <c r="H22" s="9">
        <f t="shared" si="2"/>
        <v>6</v>
      </c>
    </row>
    <row r="23" spans="1:8" x14ac:dyDescent="0.25">
      <c r="A23" s="14" t="s">
        <v>59</v>
      </c>
      <c r="B23" s="6">
        <v>1</v>
      </c>
      <c r="C23" s="4">
        <v>2</v>
      </c>
      <c r="D23" s="5">
        <f t="shared" si="1"/>
        <v>3</v>
      </c>
      <c r="E23" s="6">
        <v>0</v>
      </c>
      <c r="F23" s="4">
        <v>0</v>
      </c>
      <c r="G23" s="5">
        <f t="shared" si="0"/>
        <v>0</v>
      </c>
      <c r="H23" s="9">
        <f t="shared" si="2"/>
        <v>3</v>
      </c>
    </row>
    <row r="24" spans="1:8" x14ac:dyDescent="0.25">
      <c r="A24" s="14" t="s">
        <v>60</v>
      </c>
      <c r="B24" s="6">
        <v>0</v>
      </c>
      <c r="C24" s="4">
        <v>0</v>
      </c>
      <c r="D24" s="5">
        <f t="shared" si="1"/>
        <v>0</v>
      </c>
      <c r="E24" s="6">
        <v>13</v>
      </c>
      <c r="F24" s="4">
        <v>4</v>
      </c>
      <c r="G24" s="5">
        <f t="shared" si="0"/>
        <v>17</v>
      </c>
      <c r="H24" s="9">
        <f t="shared" si="2"/>
        <v>17</v>
      </c>
    </row>
    <row r="25" spans="1:8" x14ac:dyDescent="0.25">
      <c r="A25" s="14" t="s">
        <v>17</v>
      </c>
      <c r="B25" s="6">
        <v>0</v>
      </c>
      <c r="C25" s="4">
        <v>55</v>
      </c>
      <c r="D25" s="5">
        <f t="shared" si="1"/>
        <v>55</v>
      </c>
      <c r="E25" s="6">
        <v>2</v>
      </c>
      <c r="F25" s="4">
        <v>1</v>
      </c>
      <c r="G25" s="5">
        <f t="shared" si="0"/>
        <v>3</v>
      </c>
      <c r="H25" s="9">
        <f t="shared" si="2"/>
        <v>58</v>
      </c>
    </row>
    <row r="26" spans="1:8" x14ac:dyDescent="0.25">
      <c r="A26" s="14" t="s">
        <v>18</v>
      </c>
      <c r="B26" s="6">
        <v>1</v>
      </c>
      <c r="C26" s="4">
        <v>4</v>
      </c>
      <c r="D26" s="5">
        <f t="shared" si="1"/>
        <v>5</v>
      </c>
      <c r="E26" s="6">
        <v>0</v>
      </c>
      <c r="F26" s="4">
        <v>0</v>
      </c>
      <c r="G26" s="5">
        <f t="shared" si="0"/>
        <v>0</v>
      </c>
      <c r="H26" s="9">
        <f t="shared" si="2"/>
        <v>5</v>
      </c>
    </row>
    <row r="27" spans="1:8" x14ac:dyDescent="0.25">
      <c r="A27" s="14" t="s">
        <v>19</v>
      </c>
      <c r="B27" s="6">
        <v>0</v>
      </c>
      <c r="C27" s="4">
        <v>41</v>
      </c>
      <c r="D27" s="5">
        <f t="shared" si="1"/>
        <v>41</v>
      </c>
      <c r="E27" s="6">
        <v>1</v>
      </c>
      <c r="F27" s="4">
        <v>0</v>
      </c>
      <c r="G27" s="5">
        <f t="shared" si="0"/>
        <v>1</v>
      </c>
      <c r="H27" s="9">
        <f t="shared" si="2"/>
        <v>42</v>
      </c>
    </row>
    <row r="28" spans="1:8" x14ac:dyDescent="0.25">
      <c r="A28" s="14" t="s">
        <v>61</v>
      </c>
      <c r="B28" s="6">
        <v>3</v>
      </c>
      <c r="C28" s="4">
        <v>0</v>
      </c>
      <c r="D28" s="5">
        <f t="shared" si="1"/>
        <v>3</v>
      </c>
      <c r="E28" s="6">
        <v>0</v>
      </c>
      <c r="F28" s="4">
        <v>0</v>
      </c>
      <c r="G28" s="5">
        <f t="shared" si="0"/>
        <v>0</v>
      </c>
      <c r="H28" s="9">
        <f t="shared" si="2"/>
        <v>3</v>
      </c>
    </row>
    <row r="29" spans="1:8" x14ac:dyDescent="0.25">
      <c r="A29" s="14" t="s">
        <v>20</v>
      </c>
      <c r="B29" s="6">
        <v>3</v>
      </c>
      <c r="C29" s="4">
        <v>11</v>
      </c>
      <c r="D29" s="5">
        <f t="shared" si="1"/>
        <v>14</v>
      </c>
      <c r="E29" s="6">
        <v>0</v>
      </c>
      <c r="F29" s="4">
        <v>0</v>
      </c>
      <c r="G29" s="5">
        <f t="shared" si="0"/>
        <v>0</v>
      </c>
      <c r="H29" s="9">
        <f t="shared" si="2"/>
        <v>14</v>
      </c>
    </row>
    <row r="30" spans="1:8" x14ac:dyDescent="0.25">
      <c r="A30" s="14" t="s">
        <v>62</v>
      </c>
      <c r="B30" s="6">
        <v>24</v>
      </c>
      <c r="C30" s="4">
        <v>9</v>
      </c>
      <c r="D30" s="5">
        <f t="shared" si="1"/>
        <v>33</v>
      </c>
      <c r="E30" s="6">
        <v>1</v>
      </c>
      <c r="F30" s="4">
        <v>0</v>
      </c>
      <c r="G30" s="5">
        <f t="shared" si="0"/>
        <v>1</v>
      </c>
      <c r="H30" s="9">
        <f t="shared" si="2"/>
        <v>34</v>
      </c>
    </row>
    <row r="31" spans="1:8" x14ac:dyDescent="0.25">
      <c r="A31" s="14" t="s">
        <v>21</v>
      </c>
      <c r="B31" s="6">
        <v>12</v>
      </c>
      <c r="C31" s="4">
        <v>7</v>
      </c>
      <c r="D31" s="5">
        <f t="shared" si="1"/>
        <v>19</v>
      </c>
      <c r="E31" s="6">
        <v>0</v>
      </c>
      <c r="F31" s="4">
        <v>1</v>
      </c>
      <c r="G31" s="5">
        <f t="shared" si="0"/>
        <v>1</v>
      </c>
      <c r="H31" s="9">
        <f t="shared" si="2"/>
        <v>20</v>
      </c>
    </row>
    <row r="32" spans="1:8" x14ac:dyDescent="0.25">
      <c r="A32" s="14" t="s">
        <v>89</v>
      </c>
      <c r="B32" s="6">
        <v>1</v>
      </c>
      <c r="C32" s="4">
        <v>0</v>
      </c>
      <c r="D32" s="5">
        <f t="shared" si="1"/>
        <v>1</v>
      </c>
      <c r="E32" s="6">
        <v>0</v>
      </c>
      <c r="F32" s="4">
        <v>0</v>
      </c>
      <c r="G32" s="5">
        <f t="shared" si="0"/>
        <v>0</v>
      </c>
      <c r="H32" s="9">
        <f t="shared" si="2"/>
        <v>1</v>
      </c>
    </row>
    <row r="33" spans="1:8" x14ac:dyDescent="0.25">
      <c r="A33" s="14" t="s">
        <v>23</v>
      </c>
      <c r="B33" s="6">
        <v>18</v>
      </c>
      <c r="C33" s="4">
        <v>3</v>
      </c>
      <c r="D33" s="5">
        <f t="shared" si="1"/>
        <v>21</v>
      </c>
      <c r="E33" s="6">
        <v>0</v>
      </c>
      <c r="F33" s="4">
        <v>0</v>
      </c>
      <c r="G33" s="5">
        <f t="shared" si="0"/>
        <v>0</v>
      </c>
      <c r="H33" s="9">
        <f t="shared" si="2"/>
        <v>21</v>
      </c>
    </row>
    <row r="34" spans="1:8" x14ac:dyDescent="0.25">
      <c r="A34" s="14" t="s">
        <v>37</v>
      </c>
      <c r="B34" s="6">
        <v>2</v>
      </c>
      <c r="C34" s="4">
        <v>3</v>
      </c>
      <c r="D34" s="5">
        <f t="shared" si="1"/>
        <v>5</v>
      </c>
      <c r="E34" s="6">
        <v>1</v>
      </c>
      <c r="F34" s="4">
        <v>0</v>
      </c>
      <c r="G34" s="5">
        <f t="shared" si="0"/>
        <v>1</v>
      </c>
      <c r="H34" s="9">
        <f t="shared" si="2"/>
        <v>6</v>
      </c>
    </row>
    <row r="35" spans="1:8" x14ac:dyDescent="0.25">
      <c r="A35" s="14" t="s">
        <v>38</v>
      </c>
      <c r="B35" s="6">
        <v>0</v>
      </c>
      <c r="C35" s="4">
        <v>6</v>
      </c>
      <c r="D35" s="5">
        <f t="shared" si="1"/>
        <v>6</v>
      </c>
      <c r="E35" s="6">
        <v>2</v>
      </c>
      <c r="F35" s="4">
        <v>0</v>
      </c>
      <c r="G35" s="5">
        <f t="shared" si="0"/>
        <v>2</v>
      </c>
      <c r="H35" s="9">
        <f t="shared" si="2"/>
        <v>8</v>
      </c>
    </row>
    <row r="36" spans="1:8" x14ac:dyDescent="0.25">
      <c r="A36" s="14" t="s">
        <v>24</v>
      </c>
      <c r="B36" s="6">
        <v>5</v>
      </c>
      <c r="C36" s="4">
        <v>30</v>
      </c>
      <c r="D36" s="5">
        <f t="shared" si="1"/>
        <v>35</v>
      </c>
      <c r="E36" s="6">
        <v>6</v>
      </c>
      <c r="F36" s="4">
        <v>2</v>
      </c>
      <c r="G36" s="5">
        <f t="shared" si="0"/>
        <v>8</v>
      </c>
      <c r="H36" s="9">
        <f t="shared" si="2"/>
        <v>43</v>
      </c>
    </row>
    <row r="37" spans="1:8" x14ac:dyDescent="0.25">
      <c r="A37" s="14" t="s">
        <v>39</v>
      </c>
      <c r="B37" s="6">
        <v>3</v>
      </c>
      <c r="C37" s="4">
        <v>14</v>
      </c>
      <c r="D37" s="5">
        <f t="shared" si="1"/>
        <v>17</v>
      </c>
      <c r="E37" s="6">
        <v>0</v>
      </c>
      <c r="F37" s="4">
        <v>0</v>
      </c>
      <c r="G37" s="5">
        <f t="shared" si="0"/>
        <v>0</v>
      </c>
      <c r="H37" s="9">
        <f t="shared" si="2"/>
        <v>17</v>
      </c>
    </row>
    <row r="38" spans="1:8" x14ac:dyDescent="0.25">
      <c r="A38" s="14" t="s">
        <v>25</v>
      </c>
      <c r="B38" s="6">
        <v>24</v>
      </c>
      <c r="C38" s="4">
        <v>0</v>
      </c>
      <c r="D38" s="5">
        <f t="shared" si="1"/>
        <v>24</v>
      </c>
      <c r="E38" s="6">
        <v>5</v>
      </c>
      <c r="F38" s="4">
        <v>0</v>
      </c>
      <c r="G38" s="5">
        <f t="shared" si="0"/>
        <v>5</v>
      </c>
      <c r="H38" s="9">
        <f t="shared" si="2"/>
        <v>29</v>
      </c>
    </row>
    <row r="39" spans="1:8" x14ac:dyDescent="0.25">
      <c r="A39" s="14" t="s">
        <v>63</v>
      </c>
      <c r="B39" s="6">
        <v>9</v>
      </c>
      <c r="C39" s="4">
        <v>137</v>
      </c>
      <c r="D39" s="5">
        <f t="shared" si="1"/>
        <v>146</v>
      </c>
      <c r="E39" s="6">
        <v>0</v>
      </c>
      <c r="F39" s="4">
        <v>0</v>
      </c>
      <c r="G39" s="5">
        <f t="shared" si="0"/>
        <v>0</v>
      </c>
      <c r="H39" s="9">
        <f t="shared" si="2"/>
        <v>146</v>
      </c>
    </row>
    <row r="40" spans="1:8" x14ac:dyDescent="0.25">
      <c r="A40" s="14" t="s">
        <v>1</v>
      </c>
      <c r="B40" s="6">
        <v>50</v>
      </c>
      <c r="C40" s="4">
        <v>2</v>
      </c>
      <c r="D40" s="5">
        <f t="shared" si="1"/>
        <v>52</v>
      </c>
      <c r="E40" s="6">
        <v>0</v>
      </c>
      <c r="F40" s="4">
        <v>46</v>
      </c>
      <c r="G40" s="5">
        <f t="shared" si="0"/>
        <v>46</v>
      </c>
      <c r="H40" s="9">
        <f t="shared" si="2"/>
        <v>98</v>
      </c>
    </row>
    <row r="41" spans="1:8" x14ac:dyDescent="0.25">
      <c r="A41" s="14" t="s">
        <v>26</v>
      </c>
      <c r="B41" s="6">
        <v>1</v>
      </c>
      <c r="C41" s="4">
        <v>7</v>
      </c>
      <c r="D41" s="5">
        <f t="shared" si="1"/>
        <v>8</v>
      </c>
      <c r="E41" s="6">
        <v>0</v>
      </c>
      <c r="F41" s="4">
        <v>0</v>
      </c>
      <c r="G41" s="5">
        <f t="shared" si="0"/>
        <v>0</v>
      </c>
      <c r="H41" s="9">
        <f t="shared" si="2"/>
        <v>8</v>
      </c>
    </row>
    <row r="42" spans="1:8" x14ac:dyDescent="0.25">
      <c r="A42" s="14" t="s">
        <v>27</v>
      </c>
      <c r="B42" s="6">
        <v>0</v>
      </c>
      <c r="C42" s="4">
        <v>3</v>
      </c>
      <c r="D42" s="5">
        <f t="shared" si="1"/>
        <v>3</v>
      </c>
      <c r="E42" s="6">
        <v>0</v>
      </c>
      <c r="F42" s="4">
        <v>0</v>
      </c>
      <c r="G42" s="5">
        <f t="shared" si="0"/>
        <v>0</v>
      </c>
      <c r="H42" s="9">
        <f t="shared" si="2"/>
        <v>3</v>
      </c>
    </row>
    <row r="43" spans="1:8" x14ac:dyDescent="0.25">
      <c r="A43" s="14" t="s">
        <v>77</v>
      </c>
      <c r="B43" s="6">
        <v>1</v>
      </c>
      <c r="C43" s="4">
        <v>0</v>
      </c>
      <c r="D43" s="5">
        <f t="shared" si="1"/>
        <v>1</v>
      </c>
      <c r="E43" s="6">
        <v>0</v>
      </c>
      <c r="F43" s="4">
        <v>0</v>
      </c>
      <c r="G43" s="5">
        <f t="shared" si="0"/>
        <v>0</v>
      </c>
      <c r="H43" s="9">
        <f t="shared" si="2"/>
        <v>1</v>
      </c>
    </row>
    <row r="44" spans="1:8" x14ac:dyDescent="0.25">
      <c r="A44" s="14" t="s">
        <v>28</v>
      </c>
      <c r="B44" s="6">
        <v>0</v>
      </c>
      <c r="C44" s="4">
        <v>17</v>
      </c>
      <c r="D44" s="5">
        <f t="shared" si="1"/>
        <v>17</v>
      </c>
      <c r="E44" s="6">
        <v>0</v>
      </c>
      <c r="F44" s="4">
        <v>0</v>
      </c>
      <c r="G44" s="5">
        <f t="shared" si="0"/>
        <v>0</v>
      </c>
      <c r="H44" s="9">
        <f t="shared" si="2"/>
        <v>17</v>
      </c>
    </row>
    <row r="45" spans="1:8" x14ac:dyDescent="0.25">
      <c r="A45" s="14" t="s">
        <v>29</v>
      </c>
      <c r="B45" s="6">
        <v>2</v>
      </c>
      <c r="C45" s="4">
        <v>3</v>
      </c>
      <c r="D45" s="5">
        <f t="shared" si="1"/>
        <v>5</v>
      </c>
      <c r="E45" s="6">
        <v>0</v>
      </c>
      <c r="F45" s="4">
        <v>0</v>
      </c>
      <c r="G45" s="5">
        <f t="shared" si="0"/>
        <v>0</v>
      </c>
      <c r="H45" s="9">
        <f t="shared" si="2"/>
        <v>5</v>
      </c>
    </row>
    <row r="46" spans="1:8" x14ac:dyDescent="0.25">
      <c r="A46" s="14" t="s">
        <v>31</v>
      </c>
      <c r="B46" s="6">
        <v>6</v>
      </c>
      <c r="C46" s="4">
        <v>7</v>
      </c>
      <c r="D46" s="5">
        <f t="shared" si="1"/>
        <v>13</v>
      </c>
      <c r="E46" s="6">
        <v>0</v>
      </c>
      <c r="F46" s="4">
        <v>0</v>
      </c>
      <c r="G46" s="5">
        <f t="shared" si="0"/>
        <v>0</v>
      </c>
      <c r="H46" s="9">
        <f t="shared" si="2"/>
        <v>13</v>
      </c>
    </row>
    <row r="47" spans="1:8" x14ac:dyDescent="0.25">
      <c r="A47" s="14" t="s">
        <v>66</v>
      </c>
      <c r="B47" s="6">
        <v>0</v>
      </c>
      <c r="C47" s="4">
        <v>29</v>
      </c>
      <c r="D47" s="5">
        <f t="shared" si="1"/>
        <v>29</v>
      </c>
      <c r="E47" s="6">
        <v>0</v>
      </c>
      <c r="F47" s="4">
        <v>0</v>
      </c>
      <c r="G47" s="5">
        <f t="shared" si="0"/>
        <v>0</v>
      </c>
      <c r="H47" s="9">
        <f t="shared" si="2"/>
        <v>29</v>
      </c>
    </row>
    <row r="48" spans="1:8" x14ac:dyDescent="0.25">
      <c r="A48" s="14" t="s">
        <v>33</v>
      </c>
      <c r="B48" s="6">
        <v>2</v>
      </c>
      <c r="C48" s="4">
        <v>43</v>
      </c>
      <c r="D48" s="5">
        <f t="shared" si="1"/>
        <v>45</v>
      </c>
      <c r="E48" s="6">
        <v>3</v>
      </c>
      <c r="F48" s="4">
        <v>0</v>
      </c>
      <c r="G48" s="5">
        <f t="shared" si="0"/>
        <v>3</v>
      </c>
      <c r="H48" s="9">
        <f t="shared" si="2"/>
        <v>48</v>
      </c>
    </row>
    <row r="49" spans="1:8" x14ac:dyDescent="0.25">
      <c r="A49" s="14" t="s">
        <v>34</v>
      </c>
      <c r="B49" s="6">
        <v>4</v>
      </c>
      <c r="C49" s="4">
        <v>2</v>
      </c>
      <c r="D49" s="5">
        <f t="shared" si="1"/>
        <v>6</v>
      </c>
      <c r="E49" s="6">
        <v>0</v>
      </c>
      <c r="F49" s="4">
        <v>0</v>
      </c>
      <c r="G49" s="5">
        <f t="shared" si="0"/>
        <v>0</v>
      </c>
      <c r="H49" s="9">
        <f t="shared" si="2"/>
        <v>6</v>
      </c>
    </row>
    <row r="50" spans="1:8" x14ac:dyDescent="0.25">
      <c r="A50" s="14" t="s">
        <v>69</v>
      </c>
      <c r="B50" s="6">
        <v>19</v>
      </c>
      <c r="C50" s="4">
        <v>4</v>
      </c>
      <c r="D50" s="5">
        <f t="shared" si="1"/>
        <v>23</v>
      </c>
      <c r="E50" s="6">
        <v>3</v>
      </c>
      <c r="F50" s="4">
        <v>2</v>
      </c>
      <c r="G50" s="5">
        <f t="shared" si="0"/>
        <v>5</v>
      </c>
      <c r="H50" s="9">
        <f t="shared" si="2"/>
        <v>28</v>
      </c>
    </row>
    <row r="51" spans="1:8" x14ac:dyDescent="0.25">
      <c r="A51" s="14" t="s">
        <v>35</v>
      </c>
      <c r="B51" s="6">
        <v>0</v>
      </c>
      <c r="C51" s="4">
        <v>1</v>
      </c>
      <c r="D51" s="5">
        <f t="shared" si="1"/>
        <v>1</v>
      </c>
      <c r="E51" s="6">
        <v>0</v>
      </c>
      <c r="F51" s="4">
        <v>0</v>
      </c>
      <c r="G51" s="5">
        <f t="shared" si="0"/>
        <v>0</v>
      </c>
      <c r="H51" s="9">
        <f t="shared" si="2"/>
        <v>1</v>
      </c>
    </row>
    <row r="52" spans="1:8" x14ac:dyDescent="0.25">
      <c r="A52" s="14" t="s">
        <v>70</v>
      </c>
      <c r="B52" s="6">
        <v>7</v>
      </c>
      <c r="C52" s="4">
        <v>1</v>
      </c>
      <c r="D52" s="5">
        <f t="shared" si="1"/>
        <v>8</v>
      </c>
      <c r="E52" s="6">
        <v>0</v>
      </c>
      <c r="F52" s="4">
        <v>0</v>
      </c>
      <c r="G52" s="5">
        <f t="shared" si="0"/>
        <v>0</v>
      </c>
      <c r="H52" s="9">
        <f t="shared" si="2"/>
        <v>8</v>
      </c>
    </row>
    <row r="53" spans="1:8" ht="15.75" thickBot="1" x14ac:dyDescent="0.3">
      <c r="A53" s="15" t="s">
        <v>71</v>
      </c>
      <c r="B53" s="11">
        <v>3</v>
      </c>
      <c r="C53" s="12">
        <v>0</v>
      </c>
      <c r="D53" s="13">
        <f t="shared" si="1"/>
        <v>3</v>
      </c>
      <c r="E53" s="11">
        <v>0</v>
      </c>
      <c r="F53" s="12">
        <v>0</v>
      </c>
      <c r="G53" s="13">
        <f t="shared" si="0"/>
        <v>0</v>
      </c>
      <c r="H53" s="16">
        <f t="shared" si="2"/>
        <v>3</v>
      </c>
    </row>
    <row r="54" spans="1:8" ht="16.5" thickTop="1" thickBot="1" x14ac:dyDescent="0.3">
      <c r="A54" s="8" t="s">
        <v>0</v>
      </c>
      <c r="B54" s="7">
        <f t="shared" ref="B54:H54" si="3">SUM(B8:B53)</f>
        <v>227</v>
      </c>
      <c r="C54" s="7">
        <f t="shared" si="3"/>
        <v>485</v>
      </c>
      <c r="D54" s="7">
        <f t="shared" si="3"/>
        <v>712</v>
      </c>
      <c r="E54" s="7">
        <f t="shared" si="3"/>
        <v>48</v>
      </c>
      <c r="F54" s="7">
        <f t="shared" si="3"/>
        <v>60</v>
      </c>
      <c r="G54" s="8">
        <f t="shared" si="3"/>
        <v>108</v>
      </c>
      <c r="H54" s="10">
        <f t="shared" si="3"/>
        <v>820</v>
      </c>
    </row>
    <row r="55" spans="1:8" x14ac:dyDescent="0.25">
      <c r="A55" s="18"/>
      <c r="B55" s="18"/>
      <c r="C55" s="18"/>
      <c r="D55" s="18"/>
      <c r="E55" s="18"/>
      <c r="F55" s="18"/>
      <c r="G55" s="18"/>
      <c r="H55" s="18"/>
    </row>
    <row r="56" spans="1:8" ht="15.75" thickBot="1" x14ac:dyDescent="0.3"/>
    <row r="57" spans="1:8" x14ac:dyDescent="0.25">
      <c r="A57" s="34" t="s">
        <v>40</v>
      </c>
      <c r="B57" s="37" t="s">
        <v>3</v>
      </c>
      <c r="C57" s="38"/>
      <c r="D57" s="38"/>
      <c r="E57" s="37" t="s">
        <v>4</v>
      </c>
      <c r="F57" s="38"/>
      <c r="G57" s="38"/>
      <c r="H57" s="17" t="s">
        <v>0</v>
      </c>
    </row>
    <row r="58" spans="1:8" x14ac:dyDescent="0.25">
      <c r="A58" s="35"/>
      <c r="B58" s="42" t="s">
        <v>48</v>
      </c>
      <c r="C58" s="44" t="s">
        <v>49</v>
      </c>
      <c r="D58" s="46" t="s">
        <v>0</v>
      </c>
      <c r="E58" s="42" t="s">
        <v>48</v>
      </c>
      <c r="F58" s="44" t="s">
        <v>49</v>
      </c>
      <c r="G58" s="46" t="s">
        <v>0</v>
      </c>
      <c r="H58" s="50" t="s">
        <v>36</v>
      </c>
    </row>
    <row r="59" spans="1:8" x14ac:dyDescent="0.25">
      <c r="A59" s="36"/>
      <c r="B59" s="43"/>
      <c r="C59" s="45"/>
      <c r="D59" s="47"/>
      <c r="E59" s="43"/>
      <c r="F59" s="45"/>
      <c r="G59" s="47"/>
      <c r="H59" s="51"/>
    </row>
    <row r="60" spans="1:8" x14ac:dyDescent="0.25">
      <c r="A60" s="14" t="s">
        <v>41</v>
      </c>
      <c r="B60" s="6">
        <v>98</v>
      </c>
      <c r="C60" s="4">
        <v>231</v>
      </c>
      <c r="D60" s="5">
        <f t="shared" ref="D60:D67" si="4">SUM(B60+C60)</f>
        <v>329</v>
      </c>
      <c r="E60" s="6">
        <v>12</v>
      </c>
      <c r="F60" s="4">
        <v>0</v>
      </c>
      <c r="G60" s="5">
        <f t="shared" ref="G60:G67" si="5">F60+E60</f>
        <v>12</v>
      </c>
      <c r="H60" s="9">
        <f t="shared" ref="H60:H67" si="6">D60+G60</f>
        <v>341</v>
      </c>
    </row>
    <row r="61" spans="1:8" x14ac:dyDescent="0.25">
      <c r="A61" s="14" t="s">
        <v>78</v>
      </c>
      <c r="B61" s="6">
        <v>1</v>
      </c>
      <c r="C61" s="4">
        <v>4</v>
      </c>
      <c r="D61" s="5">
        <f t="shared" si="4"/>
        <v>5</v>
      </c>
      <c r="E61" s="6">
        <v>13</v>
      </c>
      <c r="F61" s="4">
        <v>4</v>
      </c>
      <c r="G61" s="5">
        <f t="shared" si="5"/>
        <v>17</v>
      </c>
      <c r="H61" s="9">
        <f t="shared" si="6"/>
        <v>22</v>
      </c>
    </row>
    <row r="62" spans="1:8" x14ac:dyDescent="0.25">
      <c r="A62" s="14" t="s">
        <v>42</v>
      </c>
      <c r="B62" s="6">
        <v>1</v>
      </c>
      <c r="C62" s="4">
        <v>3</v>
      </c>
      <c r="D62" s="5">
        <f t="shared" si="4"/>
        <v>4</v>
      </c>
      <c r="E62" s="6">
        <v>3</v>
      </c>
      <c r="F62" s="4">
        <v>3</v>
      </c>
      <c r="G62" s="5">
        <f t="shared" si="5"/>
        <v>6</v>
      </c>
      <c r="H62" s="9">
        <f t="shared" si="6"/>
        <v>10</v>
      </c>
    </row>
    <row r="63" spans="1:8" x14ac:dyDescent="0.25">
      <c r="A63" s="14" t="s">
        <v>73</v>
      </c>
      <c r="B63" s="6">
        <v>18</v>
      </c>
      <c r="C63" s="4">
        <v>21</v>
      </c>
      <c r="D63" s="5">
        <f t="shared" si="4"/>
        <v>39</v>
      </c>
      <c r="E63" s="6">
        <v>5</v>
      </c>
      <c r="F63" s="4">
        <v>1</v>
      </c>
      <c r="G63" s="5">
        <f t="shared" si="5"/>
        <v>6</v>
      </c>
      <c r="H63" s="9">
        <f t="shared" si="6"/>
        <v>45</v>
      </c>
    </row>
    <row r="64" spans="1:8" x14ac:dyDescent="0.25">
      <c r="A64" s="14" t="s">
        <v>1</v>
      </c>
      <c r="B64" s="6">
        <v>50</v>
      </c>
      <c r="C64" s="4">
        <v>2</v>
      </c>
      <c r="D64" s="5">
        <f t="shared" si="4"/>
        <v>52</v>
      </c>
      <c r="E64" s="6">
        <v>0</v>
      </c>
      <c r="F64" s="4">
        <v>46</v>
      </c>
      <c r="G64" s="5">
        <f t="shared" si="5"/>
        <v>46</v>
      </c>
      <c r="H64" s="9">
        <f t="shared" si="6"/>
        <v>98</v>
      </c>
    </row>
    <row r="65" spans="1:8" x14ac:dyDescent="0.25">
      <c r="A65" s="14" t="s">
        <v>45</v>
      </c>
      <c r="B65" s="6">
        <v>6</v>
      </c>
      <c r="C65" s="4">
        <v>54</v>
      </c>
      <c r="D65" s="5">
        <f t="shared" si="4"/>
        <v>60</v>
      </c>
      <c r="E65" s="6">
        <v>4</v>
      </c>
      <c r="F65" s="4">
        <v>0</v>
      </c>
      <c r="G65" s="5">
        <f t="shared" si="5"/>
        <v>4</v>
      </c>
      <c r="H65" s="9">
        <f t="shared" si="6"/>
        <v>64</v>
      </c>
    </row>
    <row r="66" spans="1:8" x14ac:dyDescent="0.25">
      <c r="A66" s="14" t="s">
        <v>46</v>
      </c>
      <c r="B66" s="6">
        <v>14</v>
      </c>
      <c r="C66" s="4">
        <v>21</v>
      </c>
      <c r="D66" s="5">
        <f t="shared" si="4"/>
        <v>35</v>
      </c>
      <c r="E66" s="6">
        <v>0</v>
      </c>
      <c r="F66" s="4">
        <v>0</v>
      </c>
      <c r="G66" s="5">
        <f t="shared" si="5"/>
        <v>0</v>
      </c>
      <c r="H66" s="9">
        <f t="shared" si="6"/>
        <v>35</v>
      </c>
    </row>
    <row r="67" spans="1:8" ht="15.75" thickBot="1" x14ac:dyDescent="0.3">
      <c r="A67" s="15" t="s">
        <v>47</v>
      </c>
      <c r="B67" s="11">
        <v>39</v>
      </c>
      <c r="C67" s="12">
        <v>149</v>
      </c>
      <c r="D67" s="12">
        <f t="shared" si="4"/>
        <v>188</v>
      </c>
      <c r="E67" s="11">
        <v>11</v>
      </c>
      <c r="F67" s="12">
        <v>6</v>
      </c>
      <c r="G67" s="13">
        <f t="shared" si="5"/>
        <v>17</v>
      </c>
      <c r="H67" s="16">
        <f t="shared" si="6"/>
        <v>205</v>
      </c>
    </row>
    <row r="68" spans="1:8" ht="16.5" thickTop="1" thickBot="1" x14ac:dyDescent="0.3">
      <c r="A68" s="8" t="s">
        <v>0</v>
      </c>
      <c r="B68" s="7">
        <f t="shared" ref="B68:H68" si="7">SUM(B60:B67)</f>
        <v>227</v>
      </c>
      <c r="C68" s="7">
        <f t="shared" si="7"/>
        <v>485</v>
      </c>
      <c r="D68" s="7">
        <f t="shared" si="7"/>
        <v>712</v>
      </c>
      <c r="E68" s="7">
        <f t="shared" si="7"/>
        <v>48</v>
      </c>
      <c r="F68" s="7">
        <f t="shared" si="7"/>
        <v>60</v>
      </c>
      <c r="G68" s="8">
        <f t="shared" si="7"/>
        <v>108</v>
      </c>
      <c r="H68" s="10">
        <f t="shared" si="7"/>
        <v>820</v>
      </c>
    </row>
    <row r="70" spans="1:8" x14ac:dyDescent="0.25">
      <c r="A70" s="48" t="s">
        <v>76</v>
      </c>
      <c r="B70" s="48"/>
      <c r="C70" s="48"/>
      <c r="D70" s="48"/>
      <c r="E70" s="48"/>
      <c r="F70" s="48"/>
      <c r="G70" s="48"/>
      <c r="H70" s="48"/>
    </row>
    <row r="74" spans="1:8" x14ac:dyDescent="0.25">
      <c r="A74" s="49"/>
      <c r="B74" s="49"/>
      <c r="C74" s="49"/>
      <c r="D74" s="49"/>
      <c r="E74" s="49"/>
      <c r="F74" s="49"/>
      <c r="G74" s="49"/>
      <c r="H74" s="49"/>
    </row>
  </sheetData>
  <mergeCells count="23">
    <mergeCell ref="A2:H2"/>
    <mergeCell ref="A5:A7"/>
    <mergeCell ref="B5:D5"/>
    <mergeCell ref="E5:G5"/>
    <mergeCell ref="H5:H7"/>
    <mergeCell ref="B6:B7"/>
    <mergeCell ref="C6:C7"/>
    <mergeCell ref="D6:D7"/>
    <mergeCell ref="E6:E7"/>
    <mergeCell ref="F6:F7"/>
    <mergeCell ref="G6:G7"/>
    <mergeCell ref="G58:G59"/>
    <mergeCell ref="H58:H59"/>
    <mergeCell ref="A70:H70"/>
    <mergeCell ref="A74:H74"/>
    <mergeCell ref="B58:B59"/>
    <mergeCell ref="C58:C59"/>
    <mergeCell ref="D58:D59"/>
    <mergeCell ref="E58:E59"/>
    <mergeCell ref="F58:F59"/>
    <mergeCell ref="A57:A59"/>
    <mergeCell ref="B57:D57"/>
    <mergeCell ref="E57:G57"/>
  </mergeCells>
  <pageMargins left="0.25" right="0.25" top="0.75" bottom="0.75" header="0.3" footer="0.3"/>
  <pageSetup paperSize="9" orientation="portrait" r:id="rId1"/>
  <headerFooter>
    <oddHeader>&amp;CUCL Student Data Statistics</oddHeader>
    <oddFooter>&amp;C&amp;P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view="pageLayout" topLeftCell="A37" zoomScale="85" zoomScaleNormal="100" zoomScalePageLayoutView="85" workbookViewId="0">
      <selection activeCell="A6" sqref="A5:H6"/>
    </sheetView>
  </sheetViews>
  <sheetFormatPr defaultColWidth="9.140625" defaultRowHeight="15" x14ac:dyDescent="0.25"/>
  <cols>
    <col min="1" max="1" width="29.28515625" bestFit="1" customWidth="1"/>
    <col min="2" max="8" width="8.5703125" customWidth="1"/>
  </cols>
  <sheetData>
    <row r="1" spans="1:8" ht="18" x14ac:dyDescent="0.25">
      <c r="A1" s="1" t="s">
        <v>50</v>
      </c>
      <c r="B1" s="3"/>
    </row>
    <row r="2" spans="1:8" x14ac:dyDescent="0.25">
      <c r="A2" s="33" t="s">
        <v>51</v>
      </c>
      <c r="B2" s="33"/>
      <c r="C2" s="33"/>
      <c r="D2" s="33"/>
      <c r="E2" s="33"/>
      <c r="F2" s="33"/>
      <c r="G2" s="33"/>
      <c r="H2" s="33"/>
    </row>
    <row r="3" spans="1:8" x14ac:dyDescent="0.25">
      <c r="A3" s="2" t="str">
        <f ca="1">RIGHT(CELL("filename",A1),LEN(CELL("filename",A1))-FIND("]",CELL("filename",A1)))</f>
        <v>2005-06</v>
      </c>
      <c r="B3" s="3"/>
    </row>
    <row r="4" spans="1:8" ht="15.75" thickBot="1" x14ac:dyDescent="0.3">
      <c r="A4" s="3"/>
      <c r="B4" s="3"/>
    </row>
    <row r="5" spans="1:8" ht="15" customHeight="1" x14ac:dyDescent="0.25">
      <c r="A5" s="21" t="s">
        <v>2</v>
      </c>
      <c r="B5" s="37" t="s">
        <v>3</v>
      </c>
      <c r="C5" s="38"/>
      <c r="D5" s="38"/>
      <c r="E5" s="37" t="s">
        <v>4</v>
      </c>
      <c r="F5" s="38"/>
      <c r="G5" s="38"/>
      <c r="H5" s="21" t="s">
        <v>0</v>
      </c>
    </row>
    <row r="6" spans="1:8" ht="15" customHeight="1" x14ac:dyDescent="0.25">
      <c r="A6" s="22"/>
      <c r="B6" s="28" t="s">
        <v>48</v>
      </c>
      <c r="C6" s="29" t="s">
        <v>49</v>
      </c>
      <c r="D6" s="30" t="s">
        <v>0</v>
      </c>
      <c r="E6" s="28" t="s">
        <v>48</v>
      </c>
      <c r="F6" s="29" t="s">
        <v>49</v>
      </c>
      <c r="G6" s="30" t="s">
        <v>0</v>
      </c>
      <c r="H6" s="22"/>
    </row>
    <row r="7" spans="1:8" x14ac:dyDescent="0.25">
      <c r="A7" s="14" t="s">
        <v>6</v>
      </c>
      <c r="B7" s="6">
        <v>0</v>
      </c>
      <c r="C7" s="4">
        <v>5</v>
      </c>
      <c r="D7" s="5">
        <f>B7+C7</f>
        <v>5</v>
      </c>
      <c r="E7" s="6">
        <v>0</v>
      </c>
      <c r="F7" s="4">
        <v>0</v>
      </c>
      <c r="G7" s="5">
        <f t="shared" ref="G7:G52" si="0">E7+F7</f>
        <v>0</v>
      </c>
      <c r="H7" s="9">
        <f>G7+D7</f>
        <v>5</v>
      </c>
    </row>
    <row r="8" spans="1:8" x14ac:dyDescent="0.25">
      <c r="A8" s="14" t="s">
        <v>7</v>
      </c>
      <c r="B8" s="6">
        <v>0</v>
      </c>
      <c r="C8" s="4">
        <v>5</v>
      </c>
      <c r="D8" s="5">
        <f t="shared" ref="D8:D52" si="1">B8+C8</f>
        <v>5</v>
      </c>
      <c r="E8" s="6">
        <v>0</v>
      </c>
      <c r="F8" s="4">
        <v>0</v>
      </c>
      <c r="G8" s="5">
        <f t="shared" si="0"/>
        <v>0</v>
      </c>
      <c r="H8" s="9">
        <f t="shared" ref="H8:H52" si="2">G8+D8</f>
        <v>5</v>
      </c>
    </row>
    <row r="9" spans="1:8" x14ac:dyDescent="0.25">
      <c r="A9" s="14" t="s">
        <v>86</v>
      </c>
      <c r="B9" s="6">
        <v>0</v>
      </c>
      <c r="C9" s="4">
        <v>0</v>
      </c>
      <c r="D9" s="5">
        <f t="shared" si="1"/>
        <v>0</v>
      </c>
      <c r="E9" s="6">
        <v>0</v>
      </c>
      <c r="F9" s="4">
        <v>1</v>
      </c>
      <c r="G9" s="5">
        <f t="shared" si="0"/>
        <v>1</v>
      </c>
      <c r="H9" s="9">
        <f t="shared" si="2"/>
        <v>1</v>
      </c>
    </row>
    <row r="10" spans="1:8" x14ac:dyDescent="0.25">
      <c r="A10" s="14" t="s">
        <v>53</v>
      </c>
      <c r="B10" s="6">
        <v>1</v>
      </c>
      <c r="C10" s="4">
        <v>3</v>
      </c>
      <c r="D10" s="5">
        <f t="shared" si="1"/>
        <v>4</v>
      </c>
      <c r="E10" s="6">
        <v>3</v>
      </c>
      <c r="F10" s="4">
        <v>2</v>
      </c>
      <c r="G10" s="5">
        <f t="shared" si="0"/>
        <v>5</v>
      </c>
      <c r="H10" s="9">
        <f t="shared" si="2"/>
        <v>9</v>
      </c>
    </row>
    <row r="11" spans="1:8" x14ac:dyDescent="0.25">
      <c r="A11" s="14" t="s">
        <v>54</v>
      </c>
      <c r="B11" s="6">
        <v>3</v>
      </c>
      <c r="C11" s="4">
        <v>0</v>
      </c>
      <c r="D11" s="5">
        <f t="shared" si="1"/>
        <v>3</v>
      </c>
      <c r="E11" s="6">
        <v>0</v>
      </c>
      <c r="F11" s="4">
        <v>0</v>
      </c>
      <c r="G11" s="5">
        <f t="shared" si="0"/>
        <v>0</v>
      </c>
      <c r="H11" s="9">
        <f t="shared" si="2"/>
        <v>3</v>
      </c>
    </row>
    <row r="12" spans="1:8" x14ac:dyDescent="0.25">
      <c r="A12" s="14" t="s">
        <v>9</v>
      </c>
      <c r="B12" s="6">
        <v>2</v>
      </c>
      <c r="C12" s="4">
        <v>0</v>
      </c>
      <c r="D12" s="5">
        <f t="shared" si="1"/>
        <v>2</v>
      </c>
      <c r="E12" s="6">
        <v>1</v>
      </c>
      <c r="F12" s="4">
        <v>0</v>
      </c>
      <c r="G12" s="5">
        <f t="shared" si="0"/>
        <v>1</v>
      </c>
      <c r="H12" s="9">
        <f t="shared" si="2"/>
        <v>3</v>
      </c>
    </row>
    <row r="13" spans="1:8" x14ac:dyDescent="0.25">
      <c r="A13" s="14" t="s">
        <v>10</v>
      </c>
      <c r="B13" s="6">
        <v>0</v>
      </c>
      <c r="C13" s="4">
        <v>8</v>
      </c>
      <c r="D13" s="5">
        <f t="shared" si="1"/>
        <v>8</v>
      </c>
      <c r="E13" s="6">
        <v>0</v>
      </c>
      <c r="F13" s="4">
        <v>0</v>
      </c>
      <c r="G13" s="5">
        <f t="shared" si="0"/>
        <v>0</v>
      </c>
      <c r="H13" s="9">
        <f t="shared" si="2"/>
        <v>8</v>
      </c>
    </row>
    <row r="14" spans="1:8" x14ac:dyDescent="0.25">
      <c r="A14" s="14" t="s">
        <v>80</v>
      </c>
      <c r="B14" s="6">
        <v>0</v>
      </c>
      <c r="C14" s="4">
        <v>0</v>
      </c>
      <c r="D14" s="5">
        <f t="shared" si="1"/>
        <v>0</v>
      </c>
      <c r="E14" s="6">
        <v>1</v>
      </c>
      <c r="F14" s="4">
        <v>0</v>
      </c>
      <c r="G14" s="5">
        <f t="shared" si="0"/>
        <v>1</v>
      </c>
      <c r="H14" s="9">
        <f t="shared" si="2"/>
        <v>1</v>
      </c>
    </row>
    <row r="15" spans="1:8" x14ac:dyDescent="0.25">
      <c r="A15" s="14" t="s">
        <v>57</v>
      </c>
      <c r="B15" s="6">
        <v>6</v>
      </c>
      <c r="C15" s="4">
        <v>6</v>
      </c>
      <c r="D15" s="5">
        <f t="shared" si="1"/>
        <v>12</v>
      </c>
      <c r="E15" s="6">
        <v>4</v>
      </c>
      <c r="F15" s="4">
        <v>0</v>
      </c>
      <c r="G15" s="5">
        <f t="shared" si="0"/>
        <v>4</v>
      </c>
      <c r="H15" s="9">
        <f t="shared" si="2"/>
        <v>16</v>
      </c>
    </row>
    <row r="16" spans="1:8" x14ac:dyDescent="0.25">
      <c r="A16" s="14" t="s">
        <v>12</v>
      </c>
      <c r="B16" s="6">
        <v>3</v>
      </c>
      <c r="C16" s="4">
        <v>4</v>
      </c>
      <c r="D16" s="5">
        <f t="shared" si="1"/>
        <v>7</v>
      </c>
      <c r="E16" s="6">
        <v>0</v>
      </c>
      <c r="F16" s="4">
        <v>0</v>
      </c>
      <c r="G16" s="5">
        <f t="shared" si="0"/>
        <v>0</v>
      </c>
      <c r="H16" s="9">
        <f t="shared" si="2"/>
        <v>7</v>
      </c>
    </row>
    <row r="17" spans="1:8" x14ac:dyDescent="0.25">
      <c r="A17" s="14" t="s">
        <v>56</v>
      </c>
      <c r="B17" s="6">
        <v>0</v>
      </c>
      <c r="C17" s="4">
        <v>4</v>
      </c>
      <c r="D17" s="5">
        <f t="shared" si="1"/>
        <v>4</v>
      </c>
      <c r="E17" s="6">
        <v>0</v>
      </c>
      <c r="F17" s="4">
        <v>0</v>
      </c>
      <c r="G17" s="5">
        <f t="shared" si="0"/>
        <v>0</v>
      </c>
      <c r="H17" s="9">
        <f t="shared" si="2"/>
        <v>4</v>
      </c>
    </row>
    <row r="18" spans="1:8" x14ac:dyDescent="0.25">
      <c r="A18" s="14" t="s">
        <v>13</v>
      </c>
      <c r="B18" s="6">
        <v>0</v>
      </c>
      <c r="C18" s="4">
        <v>2</v>
      </c>
      <c r="D18" s="5">
        <f t="shared" si="1"/>
        <v>2</v>
      </c>
      <c r="E18" s="6">
        <v>0</v>
      </c>
      <c r="F18" s="4">
        <v>1</v>
      </c>
      <c r="G18" s="5">
        <f t="shared" si="0"/>
        <v>1</v>
      </c>
      <c r="H18" s="9">
        <f t="shared" si="2"/>
        <v>3</v>
      </c>
    </row>
    <row r="19" spans="1:8" x14ac:dyDescent="0.25">
      <c r="A19" s="14" t="s">
        <v>52</v>
      </c>
      <c r="B19" s="6">
        <v>1</v>
      </c>
      <c r="C19" s="4">
        <v>0</v>
      </c>
      <c r="D19" s="5">
        <f t="shared" si="1"/>
        <v>1</v>
      </c>
      <c r="E19" s="6">
        <v>0</v>
      </c>
      <c r="F19" s="4">
        <v>0</v>
      </c>
      <c r="G19" s="5">
        <f t="shared" si="0"/>
        <v>0</v>
      </c>
      <c r="H19" s="9">
        <f t="shared" si="2"/>
        <v>1</v>
      </c>
    </row>
    <row r="20" spans="1:8" x14ac:dyDescent="0.25">
      <c r="A20" s="14" t="s">
        <v>14</v>
      </c>
      <c r="B20" s="6">
        <v>6</v>
      </c>
      <c r="C20" s="4">
        <v>6</v>
      </c>
      <c r="D20" s="5">
        <f t="shared" si="1"/>
        <v>12</v>
      </c>
      <c r="E20" s="6">
        <v>1</v>
      </c>
      <c r="F20" s="4">
        <v>0</v>
      </c>
      <c r="G20" s="5">
        <f t="shared" si="0"/>
        <v>1</v>
      </c>
      <c r="H20" s="9">
        <f t="shared" si="2"/>
        <v>13</v>
      </c>
    </row>
    <row r="21" spans="1:8" x14ac:dyDescent="0.25">
      <c r="A21" s="14" t="s">
        <v>16</v>
      </c>
      <c r="B21" s="6">
        <v>4</v>
      </c>
      <c r="C21" s="4">
        <v>1</v>
      </c>
      <c r="D21" s="5">
        <f t="shared" si="1"/>
        <v>5</v>
      </c>
      <c r="E21" s="6">
        <v>1</v>
      </c>
      <c r="F21" s="4">
        <v>0</v>
      </c>
      <c r="G21" s="5">
        <f t="shared" si="0"/>
        <v>1</v>
      </c>
      <c r="H21" s="9">
        <f t="shared" si="2"/>
        <v>6</v>
      </c>
    </row>
    <row r="22" spans="1:8" x14ac:dyDescent="0.25">
      <c r="A22" s="14" t="s">
        <v>59</v>
      </c>
      <c r="B22" s="6">
        <v>1</v>
      </c>
      <c r="C22" s="4">
        <v>2</v>
      </c>
      <c r="D22" s="5">
        <f t="shared" si="1"/>
        <v>3</v>
      </c>
      <c r="E22" s="6">
        <v>0</v>
      </c>
      <c r="F22" s="4">
        <v>0</v>
      </c>
      <c r="G22" s="5">
        <f t="shared" si="0"/>
        <v>0</v>
      </c>
      <c r="H22" s="9">
        <f t="shared" si="2"/>
        <v>3</v>
      </c>
    </row>
    <row r="23" spans="1:8" x14ac:dyDescent="0.25">
      <c r="A23" s="14" t="s">
        <v>60</v>
      </c>
      <c r="B23" s="6">
        <v>0</v>
      </c>
      <c r="C23" s="4">
        <v>0</v>
      </c>
      <c r="D23" s="5">
        <f t="shared" si="1"/>
        <v>0</v>
      </c>
      <c r="E23" s="6">
        <v>13</v>
      </c>
      <c r="F23" s="4">
        <v>4</v>
      </c>
      <c r="G23" s="5">
        <f t="shared" si="0"/>
        <v>17</v>
      </c>
      <c r="H23" s="9">
        <f t="shared" si="2"/>
        <v>17</v>
      </c>
    </row>
    <row r="24" spans="1:8" x14ac:dyDescent="0.25">
      <c r="A24" s="14" t="s">
        <v>17</v>
      </c>
      <c r="B24" s="6">
        <v>0</v>
      </c>
      <c r="C24" s="4">
        <v>55</v>
      </c>
      <c r="D24" s="5">
        <f t="shared" si="1"/>
        <v>55</v>
      </c>
      <c r="E24" s="6">
        <v>2</v>
      </c>
      <c r="F24" s="4">
        <v>1</v>
      </c>
      <c r="G24" s="5">
        <f t="shared" si="0"/>
        <v>3</v>
      </c>
      <c r="H24" s="9">
        <f t="shared" si="2"/>
        <v>58</v>
      </c>
    </row>
    <row r="25" spans="1:8" x14ac:dyDescent="0.25">
      <c r="A25" s="14" t="s">
        <v>18</v>
      </c>
      <c r="B25" s="6">
        <v>1</v>
      </c>
      <c r="C25" s="4">
        <v>4</v>
      </c>
      <c r="D25" s="5">
        <f t="shared" si="1"/>
        <v>5</v>
      </c>
      <c r="E25" s="6">
        <v>0</v>
      </c>
      <c r="F25" s="4">
        <v>0</v>
      </c>
      <c r="G25" s="5">
        <f t="shared" si="0"/>
        <v>0</v>
      </c>
      <c r="H25" s="9">
        <f t="shared" si="2"/>
        <v>5</v>
      </c>
    </row>
    <row r="26" spans="1:8" x14ac:dyDescent="0.25">
      <c r="A26" s="14" t="s">
        <v>19</v>
      </c>
      <c r="B26" s="6">
        <v>0</v>
      </c>
      <c r="C26" s="4">
        <v>41</v>
      </c>
      <c r="D26" s="5">
        <f t="shared" si="1"/>
        <v>41</v>
      </c>
      <c r="E26" s="6">
        <v>1</v>
      </c>
      <c r="F26" s="4">
        <v>0</v>
      </c>
      <c r="G26" s="5">
        <f t="shared" si="0"/>
        <v>1</v>
      </c>
      <c r="H26" s="9">
        <f t="shared" si="2"/>
        <v>42</v>
      </c>
    </row>
    <row r="27" spans="1:8" x14ac:dyDescent="0.25">
      <c r="A27" s="14" t="s">
        <v>61</v>
      </c>
      <c r="B27" s="6">
        <v>3</v>
      </c>
      <c r="C27" s="4">
        <v>0</v>
      </c>
      <c r="D27" s="5">
        <f t="shared" si="1"/>
        <v>3</v>
      </c>
      <c r="E27" s="6">
        <v>0</v>
      </c>
      <c r="F27" s="4">
        <v>0</v>
      </c>
      <c r="G27" s="5">
        <f t="shared" si="0"/>
        <v>0</v>
      </c>
      <c r="H27" s="9">
        <f t="shared" si="2"/>
        <v>3</v>
      </c>
    </row>
    <row r="28" spans="1:8" x14ac:dyDescent="0.25">
      <c r="A28" s="14" t="s">
        <v>20</v>
      </c>
      <c r="B28" s="6">
        <v>3</v>
      </c>
      <c r="C28" s="4">
        <v>11</v>
      </c>
      <c r="D28" s="5">
        <f t="shared" si="1"/>
        <v>14</v>
      </c>
      <c r="E28" s="6">
        <v>0</v>
      </c>
      <c r="F28" s="4">
        <v>0</v>
      </c>
      <c r="G28" s="5">
        <f t="shared" si="0"/>
        <v>0</v>
      </c>
      <c r="H28" s="9">
        <f t="shared" si="2"/>
        <v>14</v>
      </c>
    </row>
    <row r="29" spans="1:8" x14ac:dyDescent="0.25">
      <c r="A29" s="14" t="s">
        <v>62</v>
      </c>
      <c r="B29" s="6">
        <v>24</v>
      </c>
      <c r="C29" s="4">
        <v>9</v>
      </c>
      <c r="D29" s="5">
        <f t="shared" si="1"/>
        <v>33</v>
      </c>
      <c r="E29" s="6">
        <v>1</v>
      </c>
      <c r="F29" s="4">
        <v>0</v>
      </c>
      <c r="G29" s="5">
        <f t="shared" si="0"/>
        <v>1</v>
      </c>
      <c r="H29" s="9">
        <f t="shared" si="2"/>
        <v>34</v>
      </c>
    </row>
    <row r="30" spans="1:8" x14ac:dyDescent="0.25">
      <c r="A30" s="14" t="s">
        <v>21</v>
      </c>
      <c r="B30" s="6">
        <v>12</v>
      </c>
      <c r="C30" s="4">
        <v>7</v>
      </c>
      <c r="D30" s="5">
        <f t="shared" si="1"/>
        <v>19</v>
      </c>
      <c r="E30" s="6">
        <v>0</v>
      </c>
      <c r="F30" s="4">
        <v>1</v>
      </c>
      <c r="G30" s="5">
        <f t="shared" si="0"/>
        <v>1</v>
      </c>
      <c r="H30" s="9">
        <f t="shared" si="2"/>
        <v>20</v>
      </c>
    </row>
    <row r="31" spans="1:8" x14ac:dyDescent="0.25">
      <c r="A31" s="14" t="s">
        <v>89</v>
      </c>
      <c r="B31" s="6">
        <v>1</v>
      </c>
      <c r="C31" s="4">
        <v>0</v>
      </c>
      <c r="D31" s="5">
        <f t="shared" si="1"/>
        <v>1</v>
      </c>
      <c r="E31" s="6">
        <v>0</v>
      </c>
      <c r="F31" s="4">
        <v>0</v>
      </c>
      <c r="G31" s="5">
        <f t="shared" si="0"/>
        <v>0</v>
      </c>
      <c r="H31" s="9">
        <f t="shared" si="2"/>
        <v>1</v>
      </c>
    </row>
    <row r="32" spans="1:8" x14ac:dyDescent="0.25">
      <c r="A32" s="14" t="s">
        <v>23</v>
      </c>
      <c r="B32" s="6">
        <v>18</v>
      </c>
      <c r="C32" s="4">
        <v>3</v>
      </c>
      <c r="D32" s="5">
        <f t="shared" si="1"/>
        <v>21</v>
      </c>
      <c r="E32" s="6">
        <v>0</v>
      </c>
      <c r="F32" s="4">
        <v>0</v>
      </c>
      <c r="G32" s="5">
        <f t="shared" si="0"/>
        <v>0</v>
      </c>
      <c r="H32" s="9">
        <f t="shared" si="2"/>
        <v>21</v>
      </c>
    </row>
    <row r="33" spans="1:8" x14ac:dyDescent="0.25">
      <c r="A33" s="14" t="s">
        <v>37</v>
      </c>
      <c r="B33" s="6">
        <v>2</v>
      </c>
      <c r="C33" s="4">
        <v>3</v>
      </c>
      <c r="D33" s="5">
        <f t="shared" si="1"/>
        <v>5</v>
      </c>
      <c r="E33" s="6">
        <v>1</v>
      </c>
      <c r="F33" s="4">
        <v>0</v>
      </c>
      <c r="G33" s="5">
        <f t="shared" si="0"/>
        <v>1</v>
      </c>
      <c r="H33" s="9">
        <f t="shared" si="2"/>
        <v>6</v>
      </c>
    </row>
    <row r="34" spans="1:8" x14ac:dyDescent="0.25">
      <c r="A34" s="14" t="s">
        <v>38</v>
      </c>
      <c r="B34" s="6">
        <v>0</v>
      </c>
      <c r="C34" s="4">
        <v>6</v>
      </c>
      <c r="D34" s="5">
        <f t="shared" si="1"/>
        <v>6</v>
      </c>
      <c r="E34" s="6">
        <v>2</v>
      </c>
      <c r="F34" s="4">
        <v>0</v>
      </c>
      <c r="G34" s="5">
        <f t="shared" si="0"/>
        <v>2</v>
      </c>
      <c r="H34" s="9">
        <f t="shared" si="2"/>
        <v>8</v>
      </c>
    </row>
    <row r="35" spans="1:8" x14ac:dyDescent="0.25">
      <c r="A35" s="14" t="s">
        <v>24</v>
      </c>
      <c r="B35" s="6">
        <v>5</v>
      </c>
      <c r="C35" s="4">
        <v>30</v>
      </c>
      <c r="D35" s="5">
        <f t="shared" si="1"/>
        <v>35</v>
      </c>
      <c r="E35" s="6">
        <v>6</v>
      </c>
      <c r="F35" s="4">
        <v>2</v>
      </c>
      <c r="G35" s="5">
        <f t="shared" si="0"/>
        <v>8</v>
      </c>
      <c r="H35" s="9">
        <f t="shared" si="2"/>
        <v>43</v>
      </c>
    </row>
    <row r="36" spans="1:8" x14ac:dyDescent="0.25">
      <c r="A36" s="14" t="s">
        <v>39</v>
      </c>
      <c r="B36" s="6">
        <v>3</v>
      </c>
      <c r="C36" s="4">
        <v>14</v>
      </c>
      <c r="D36" s="5">
        <f t="shared" si="1"/>
        <v>17</v>
      </c>
      <c r="E36" s="6">
        <v>0</v>
      </c>
      <c r="F36" s="4">
        <v>0</v>
      </c>
      <c r="G36" s="5">
        <f t="shared" si="0"/>
        <v>0</v>
      </c>
      <c r="H36" s="9">
        <f t="shared" si="2"/>
        <v>17</v>
      </c>
    </row>
    <row r="37" spans="1:8" x14ac:dyDescent="0.25">
      <c r="A37" s="14" t="s">
        <v>25</v>
      </c>
      <c r="B37" s="6">
        <v>24</v>
      </c>
      <c r="C37" s="4">
        <v>0</v>
      </c>
      <c r="D37" s="5">
        <f t="shared" si="1"/>
        <v>24</v>
      </c>
      <c r="E37" s="6">
        <v>5</v>
      </c>
      <c r="F37" s="4">
        <v>0</v>
      </c>
      <c r="G37" s="5">
        <f t="shared" si="0"/>
        <v>5</v>
      </c>
      <c r="H37" s="9">
        <f t="shared" si="2"/>
        <v>29</v>
      </c>
    </row>
    <row r="38" spans="1:8" x14ac:dyDescent="0.25">
      <c r="A38" s="14" t="s">
        <v>63</v>
      </c>
      <c r="B38" s="6">
        <v>9</v>
      </c>
      <c r="C38" s="4">
        <v>137</v>
      </c>
      <c r="D38" s="5">
        <f t="shared" si="1"/>
        <v>146</v>
      </c>
      <c r="E38" s="6">
        <v>0</v>
      </c>
      <c r="F38" s="4">
        <v>0</v>
      </c>
      <c r="G38" s="5">
        <f t="shared" si="0"/>
        <v>0</v>
      </c>
      <c r="H38" s="9">
        <f t="shared" si="2"/>
        <v>146</v>
      </c>
    </row>
    <row r="39" spans="1:8" x14ac:dyDescent="0.25">
      <c r="A39" s="14" t="s">
        <v>1</v>
      </c>
      <c r="B39" s="6">
        <v>50</v>
      </c>
      <c r="C39" s="4">
        <v>2</v>
      </c>
      <c r="D39" s="5">
        <f t="shared" si="1"/>
        <v>52</v>
      </c>
      <c r="E39" s="6">
        <v>0</v>
      </c>
      <c r="F39" s="4">
        <v>46</v>
      </c>
      <c r="G39" s="5">
        <f t="shared" si="0"/>
        <v>46</v>
      </c>
      <c r="H39" s="9">
        <f t="shared" si="2"/>
        <v>98</v>
      </c>
    </row>
    <row r="40" spans="1:8" x14ac:dyDescent="0.25">
      <c r="A40" s="14" t="s">
        <v>26</v>
      </c>
      <c r="B40" s="6">
        <v>1</v>
      </c>
      <c r="C40" s="4">
        <v>7</v>
      </c>
      <c r="D40" s="5">
        <f t="shared" si="1"/>
        <v>8</v>
      </c>
      <c r="E40" s="6">
        <v>0</v>
      </c>
      <c r="F40" s="4">
        <v>0</v>
      </c>
      <c r="G40" s="5">
        <f t="shared" si="0"/>
        <v>0</v>
      </c>
      <c r="H40" s="9">
        <f t="shared" si="2"/>
        <v>8</v>
      </c>
    </row>
    <row r="41" spans="1:8" x14ac:dyDescent="0.25">
      <c r="A41" s="14" t="s">
        <v>27</v>
      </c>
      <c r="B41" s="6">
        <v>0</v>
      </c>
      <c r="C41" s="4">
        <v>3</v>
      </c>
      <c r="D41" s="5">
        <f t="shared" si="1"/>
        <v>3</v>
      </c>
      <c r="E41" s="6">
        <v>0</v>
      </c>
      <c r="F41" s="4">
        <v>0</v>
      </c>
      <c r="G41" s="5">
        <f t="shared" si="0"/>
        <v>0</v>
      </c>
      <c r="H41" s="9">
        <f t="shared" si="2"/>
        <v>3</v>
      </c>
    </row>
    <row r="42" spans="1:8" x14ac:dyDescent="0.25">
      <c r="A42" s="14" t="s">
        <v>77</v>
      </c>
      <c r="B42" s="6">
        <v>1</v>
      </c>
      <c r="C42" s="4">
        <v>0</v>
      </c>
      <c r="D42" s="5">
        <f t="shared" si="1"/>
        <v>1</v>
      </c>
      <c r="E42" s="6">
        <v>0</v>
      </c>
      <c r="F42" s="4">
        <v>0</v>
      </c>
      <c r="G42" s="5">
        <f t="shared" si="0"/>
        <v>0</v>
      </c>
      <c r="H42" s="9">
        <f t="shared" si="2"/>
        <v>1</v>
      </c>
    </row>
    <row r="43" spans="1:8" x14ac:dyDescent="0.25">
      <c r="A43" s="14" t="s">
        <v>28</v>
      </c>
      <c r="B43" s="6">
        <v>0</v>
      </c>
      <c r="C43" s="4">
        <v>17</v>
      </c>
      <c r="D43" s="5">
        <f t="shared" si="1"/>
        <v>17</v>
      </c>
      <c r="E43" s="6">
        <v>0</v>
      </c>
      <c r="F43" s="4">
        <v>0</v>
      </c>
      <c r="G43" s="5">
        <f t="shared" si="0"/>
        <v>0</v>
      </c>
      <c r="H43" s="9">
        <f t="shared" si="2"/>
        <v>17</v>
      </c>
    </row>
    <row r="44" spans="1:8" x14ac:dyDescent="0.25">
      <c r="A44" s="14" t="s">
        <v>29</v>
      </c>
      <c r="B44" s="6">
        <v>2</v>
      </c>
      <c r="C44" s="4">
        <v>3</v>
      </c>
      <c r="D44" s="5">
        <f t="shared" si="1"/>
        <v>5</v>
      </c>
      <c r="E44" s="6">
        <v>0</v>
      </c>
      <c r="F44" s="4">
        <v>0</v>
      </c>
      <c r="G44" s="5">
        <f t="shared" si="0"/>
        <v>0</v>
      </c>
      <c r="H44" s="9">
        <f t="shared" si="2"/>
        <v>5</v>
      </c>
    </row>
    <row r="45" spans="1:8" x14ac:dyDescent="0.25">
      <c r="A45" s="14" t="s">
        <v>31</v>
      </c>
      <c r="B45" s="6">
        <v>6</v>
      </c>
      <c r="C45" s="4">
        <v>7</v>
      </c>
      <c r="D45" s="5">
        <f t="shared" si="1"/>
        <v>13</v>
      </c>
      <c r="E45" s="6">
        <v>0</v>
      </c>
      <c r="F45" s="4">
        <v>0</v>
      </c>
      <c r="G45" s="5">
        <f t="shared" si="0"/>
        <v>0</v>
      </c>
      <c r="H45" s="9">
        <f t="shared" si="2"/>
        <v>13</v>
      </c>
    </row>
    <row r="46" spans="1:8" x14ac:dyDescent="0.25">
      <c r="A46" s="14" t="s">
        <v>66</v>
      </c>
      <c r="B46" s="6">
        <v>0</v>
      </c>
      <c r="C46" s="4">
        <v>29</v>
      </c>
      <c r="D46" s="5">
        <f t="shared" si="1"/>
        <v>29</v>
      </c>
      <c r="E46" s="6">
        <v>0</v>
      </c>
      <c r="F46" s="4">
        <v>0</v>
      </c>
      <c r="G46" s="5">
        <f t="shared" si="0"/>
        <v>0</v>
      </c>
      <c r="H46" s="9">
        <f t="shared" si="2"/>
        <v>29</v>
      </c>
    </row>
    <row r="47" spans="1:8" x14ac:dyDescent="0.25">
      <c r="A47" s="14" t="s">
        <v>33</v>
      </c>
      <c r="B47" s="6">
        <v>2</v>
      </c>
      <c r="C47" s="4">
        <v>43</v>
      </c>
      <c r="D47" s="5">
        <f t="shared" si="1"/>
        <v>45</v>
      </c>
      <c r="E47" s="6">
        <v>3</v>
      </c>
      <c r="F47" s="4">
        <v>0</v>
      </c>
      <c r="G47" s="5">
        <f t="shared" si="0"/>
        <v>3</v>
      </c>
      <c r="H47" s="9">
        <f t="shared" si="2"/>
        <v>48</v>
      </c>
    </row>
    <row r="48" spans="1:8" x14ac:dyDescent="0.25">
      <c r="A48" s="14" t="s">
        <v>34</v>
      </c>
      <c r="B48" s="6">
        <v>4</v>
      </c>
      <c r="C48" s="4">
        <v>2</v>
      </c>
      <c r="D48" s="5">
        <f t="shared" si="1"/>
        <v>6</v>
      </c>
      <c r="E48" s="6">
        <v>0</v>
      </c>
      <c r="F48" s="4">
        <v>0</v>
      </c>
      <c r="G48" s="5">
        <f t="shared" si="0"/>
        <v>0</v>
      </c>
      <c r="H48" s="9">
        <f t="shared" si="2"/>
        <v>6</v>
      </c>
    </row>
    <row r="49" spans="1:8" x14ac:dyDescent="0.25">
      <c r="A49" s="14" t="s">
        <v>69</v>
      </c>
      <c r="B49" s="6">
        <v>19</v>
      </c>
      <c r="C49" s="4">
        <v>4</v>
      </c>
      <c r="D49" s="5">
        <f t="shared" si="1"/>
        <v>23</v>
      </c>
      <c r="E49" s="6">
        <v>3</v>
      </c>
      <c r="F49" s="4">
        <v>2</v>
      </c>
      <c r="G49" s="5">
        <f t="shared" si="0"/>
        <v>5</v>
      </c>
      <c r="H49" s="9">
        <f t="shared" si="2"/>
        <v>28</v>
      </c>
    </row>
    <row r="50" spans="1:8" x14ac:dyDescent="0.25">
      <c r="A50" s="14" t="s">
        <v>35</v>
      </c>
      <c r="B50" s="6">
        <v>0</v>
      </c>
      <c r="C50" s="4">
        <v>1</v>
      </c>
      <c r="D50" s="5">
        <f t="shared" si="1"/>
        <v>1</v>
      </c>
      <c r="E50" s="6">
        <v>0</v>
      </c>
      <c r="F50" s="4">
        <v>0</v>
      </c>
      <c r="G50" s="5">
        <f t="shared" si="0"/>
        <v>0</v>
      </c>
      <c r="H50" s="9">
        <f t="shared" si="2"/>
        <v>1</v>
      </c>
    </row>
    <row r="51" spans="1:8" x14ac:dyDescent="0.25">
      <c r="A51" s="14" t="s">
        <v>70</v>
      </c>
      <c r="B51" s="6">
        <v>7</v>
      </c>
      <c r="C51" s="4">
        <v>1</v>
      </c>
      <c r="D51" s="5">
        <f t="shared" si="1"/>
        <v>8</v>
      </c>
      <c r="E51" s="6">
        <v>0</v>
      </c>
      <c r="F51" s="4">
        <v>0</v>
      </c>
      <c r="G51" s="5">
        <f t="shared" si="0"/>
        <v>0</v>
      </c>
      <c r="H51" s="9">
        <f t="shared" si="2"/>
        <v>8</v>
      </c>
    </row>
    <row r="52" spans="1:8" ht="15.75" thickBot="1" x14ac:dyDescent="0.3">
      <c r="A52" s="15" t="s">
        <v>71</v>
      </c>
      <c r="B52" s="11">
        <v>3</v>
      </c>
      <c r="C52" s="12">
        <v>0</v>
      </c>
      <c r="D52" s="13">
        <f t="shared" si="1"/>
        <v>3</v>
      </c>
      <c r="E52" s="11">
        <v>0</v>
      </c>
      <c r="F52" s="12">
        <v>0</v>
      </c>
      <c r="G52" s="13">
        <f t="shared" si="0"/>
        <v>0</v>
      </c>
      <c r="H52" s="16">
        <f t="shared" si="2"/>
        <v>3</v>
      </c>
    </row>
    <row r="53" spans="1:8" ht="16.5" thickTop="1" thickBot="1" x14ac:dyDescent="0.3">
      <c r="A53" s="8" t="s">
        <v>0</v>
      </c>
      <c r="B53" s="7">
        <f t="shared" ref="B53:H53" si="3">SUM(B7:B52)</f>
        <v>227</v>
      </c>
      <c r="C53" s="7">
        <f t="shared" si="3"/>
        <v>485</v>
      </c>
      <c r="D53" s="7">
        <f t="shared" si="3"/>
        <v>712</v>
      </c>
      <c r="E53" s="7">
        <f t="shared" si="3"/>
        <v>48</v>
      </c>
      <c r="F53" s="7">
        <f t="shared" si="3"/>
        <v>60</v>
      </c>
      <c r="G53" s="8">
        <f t="shared" si="3"/>
        <v>108</v>
      </c>
      <c r="H53" s="10">
        <f t="shared" si="3"/>
        <v>820</v>
      </c>
    </row>
    <row r="54" spans="1:8" ht="15.75" thickBot="1" x14ac:dyDescent="0.3">
      <c r="A54" s="18"/>
      <c r="B54" s="18"/>
      <c r="C54" s="18"/>
      <c r="D54" s="18"/>
      <c r="E54" s="18"/>
      <c r="F54" s="18"/>
      <c r="G54" s="18"/>
      <c r="H54" s="18"/>
    </row>
    <row r="55" spans="1:8" x14ac:dyDescent="0.25">
      <c r="A55" s="21" t="s">
        <v>40</v>
      </c>
      <c r="B55" s="37" t="s">
        <v>3</v>
      </c>
      <c r="C55" s="38"/>
      <c r="D55" s="38"/>
      <c r="E55" s="37" t="s">
        <v>4</v>
      </c>
      <c r="F55" s="38"/>
      <c r="G55" s="38"/>
      <c r="H55" s="21" t="s">
        <v>0</v>
      </c>
    </row>
    <row r="56" spans="1:8" x14ac:dyDescent="0.25">
      <c r="A56" s="22"/>
      <c r="B56" s="28" t="s">
        <v>48</v>
      </c>
      <c r="C56" s="29" t="s">
        <v>49</v>
      </c>
      <c r="D56" s="30" t="s">
        <v>0</v>
      </c>
      <c r="E56" s="28" t="s">
        <v>48</v>
      </c>
      <c r="F56" s="29" t="s">
        <v>49</v>
      </c>
      <c r="G56" s="30" t="s">
        <v>0</v>
      </c>
      <c r="H56" s="24"/>
    </row>
    <row r="57" spans="1:8" x14ac:dyDescent="0.25">
      <c r="A57" s="14" t="s">
        <v>41</v>
      </c>
      <c r="B57" s="6">
        <v>98</v>
      </c>
      <c r="C57" s="4">
        <v>231</v>
      </c>
      <c r="D57" s="5">
        <f t="shared" ref="D57:D64" si="4">SUM(B57+C57)</f>
        <v>329</v>
      </c>
      <c r="E57" s="6">
        <v>12</v>
      </c>
      <c r="F57" s="4">
        <v>0</v>
      </c>
      <c r="G57" s="5">
        <f t="shared" ref="G57:G64" si="5">F57+E57</f>
        <v>12</v>
      </c>
      <c r="H57" s="9">
        <f t="shared" ref="H57:H64" si="6">D57+G57</f>
        <v>341</v>
      </c>
    </row>
    <row r="58" spans="1:8" x14ac:dyDescent="0.25">
      <c r="A58" s="14" t="s">
        <v>78</v>
      </c>
      <c r="B58" s="6">
        <v>1</v>
      </c>
      <c r="C58" s="4">
        <v>4</v>
      </c>
      <c r="D58" s="5">
        <f t="shared" si="4"/>
        <v>5</v>
      </c>
      <c r="E58" s="6">
        <v>13</v>
      </c>
      <c r="F58" s="4">
        <v>4</v>
      </c>
      <c r="G58" s="5">
        <f t="shared" si="5"/>
        <v>17</v>
      </c>
      <c r="H58" s="9">
        <f t="shared" si="6"/>
        <v>22</v>
      </c>
    </row>
    <row r="59" spans="1:8" x14ac:dyDescent="0.25">
      <c r="A59" s="14" t="s">
        <v>42</v>
      </c>
      <c r="B59" s="6">
        <v>1</v>
      </c>
      <c r="C59" s="4">
        <v>3</v>
      </c>
      <c r="D59" s="5">
        <f t="shared" si="4"/>
        <v>4</v>
      </c>
      <c r="E59" s="6">
        <v>3</v>
      </c>
      <c r="F59" s="4">
        <v>3</v>
      </c>
      <c r="G59" s="5">
        <f t="shared" si="5"/>
        <v>6</v>
      </c>
      <c r="H59" s="9">
        <f t="shared" si="6"/>
        <v>10</v>
      </c>
    </row>
    <row r="60" spans="1:8" x14ac:dyDescent="0.25">
      <c r="A60" s="14" t="s">
        <v>73</v>
      </c>
      <c r="B60" s="6">
        <v>18</v>
      </c>
      <c r="C60" s="4">
        <v>21</v>
      </c>
      <c r="D60" s="5">
        <f t="shared" si="4"/>
        <v>39</v>
      </c>
      <c r="E60" s="6">
        <v>5</v>
      </c>
      <c r="F60" s="4">
        <v>1</v>
      </c>
      <c r="G60" s="5">
        <f t="shared" si="5"/>
        <v>6</v>
      </c>
      <c r="H60" s="9">
        <f t="shared" si="6"/>
        <v>45</v>
      </c>
    </row>
    <row r="61" spans="1:8" x14ac:dyDescent="0.25">
      <c r="A61" s="14" t="s">
        <v>1</v>
      </c>
      <c r="B61" s="6">
        <v>50</v>
      </c>
      <c r="C61" s="4">
        <v>2</v>
      </c>
      <c r="D61" s="5">
        <f t="shared" si="4"/>
        <v>52</v>
      </c>
      <c r="E61" s="6">
        <v>0</v>
      </c>
      <c r="F61" s="4">
        <v>46</v>
      </c>
      <c r="G61" s="5">
        <f t="shared" si="5"/>
        <v>46</v>
      </c>
      <c r="H61" s="9">
        <f t="shared" si="6"/>
        <v>98</v>
      </c>
    </row>
    <row r="62" spans="1:8" x14ac:dyDescent="0.25">
      <c r="A62" s="14" t="s">
        <v>45</v>
      </c>
      <c r="B62" s="6">
        <v>6</v>
      </c>
      <c r="C62" s="4">
        <v>54</v>
      </c>
      <c r="D62" s="5">
        <f t="shared" si="4"/>
        <v>60</v>
      </c>
      <c r="E62" s="6">
        <v>4</v>
      </c>
      <c r="F62" s="4">
        <v>0</v>
      </c>
      <c r="G62" s="5">
        <f t="shared" si="5"/>
        <v>4</v>
      </c>
      <c r="H62" s="9">
        <f t="shared" si="6"/>
        <v>64</v>
      </c>
    </row>
    <row r="63" spans="1:8" x14ac:dyDescent="0.25">
      <c r="A63" s="14" t="s">
        <v>46</v>
      </c>
      <c r="B63" s="6">
        <v>14</v>
      </c>
      <c r="C63" s="4">
        <v>21</v>
      </c>
      <c r="D63" s="5">
        <f t="shared" si="4"/>
        <v>35</v>
      </c>
      <c r="E63" s="6">
        <v>0</v>
      </c>
      <c r="F63" s="4">
        <v>0</v>
      </c>
      <c r="G63" s="5">
        <f t="shared" si="5"/>
        <v>0</v>
      </c>
      <c r="H63" s="9">
        <f t="shared" si="6"/>
        <v>35</v>
      </c>
    </row>
    <row r="64" spans="1:8" ht="15.75" thickBot="1" x14ac:dyDescent="0.3">
      <c r="A64" s="15" t="s">
        <v>47</v>
      </c>
      <c r="B64" s="11">
        <v>39</v>
      </c>
      <c r="C64" s="12">
        <v>149</v>
      </c>
      <c r="D64" s="12">
        <f t="shared" si="4"/>
        <v>188</v>
      </c>
      <c r="E64" s="11">
        <v>11</v>
      </c>
      <c r="F64" s="12">
        <v>6</v>
      </c>
      <c r="G64" s="13">
        <f t="shared" si="5"/>
        <v>17</v>
      </c>
      <c r="H64" s="16">
        <f t="shared" si="6"/>
        <v>205</v>
      </c>
    </row>
    <row r="65" spans="1:8" ht="16.5" thickTop="1" thickBot="1" x14ac:dyDescent="0.3">
      <c r="A65" s="8" t="s">
        <v>0</v>
      </c>
      <c r="B65" s="7">
        <f t="shared" ref="B65:H65" si="7">SUM(B57:B64)</f>
        <v>227</v>
      </c>
      <c r="C65" s="7">
        <f t="shared" si="7"/>
        <v>485</v>
      </c>
      <c r="D65" s="7">
        <f t="shared" si="7"/>
        <v>712</v>
      </c>
      <c r="E65" s="7">
        <f t="shared" si="7"/>
        <v>48</v>
      </c>
      <c r="F65" s="7">
        <f t="shared" si="7"/>
        <v>60</v>
      </c>
      <c r="G65" s="8">
        <f t="shared" si="7"/>
        <v>108</v>
      </c>
      <c r="H65" s="10">
        <f t="shared" si="7"/>
        <v>820</v>
      </c>
    </row>
    <row r="67" spans="1:8" x14ac:dyDescent="0.25">
      <c r="A67" s="48" t="s">
        <v>76</v>
      </c>
      <c r="B67" s="48"/>
      <c r="C67" s="48"/>
      <c r="D67" s="48"/>
      <c r="E67" s="48"/>
      <c r="F67" s="48"/>
      <c r="G67" s="48"/>
      <c r="H67" s="48"/>
    </row>
    <row r="71" spans="1:8" x14ac:dyDescent="0.25">
      <c r="A71" s="49"/>
      <c r="B71" s="49"/>
      <c r="C71" s="49"/>
      <c r="D71" s="49"/>
      <c r="E71" s="49"/>
      <c r="F71" s="49"/>
      <c r="G71" s="49"/>
      <c r="H71" s="49"/>
    </row>
  </sheetData>
  <mergeCells count="7">
    <mergeCell ref="A67:H67"/>
    <mergeCell ref="A71:H71"/>
    <mergeCell ref="A2:H2"/>
    <mergeCell ref="B5:D5"/>
    <mergeCell ref="E5:G5"/>
    <mergeCell ref="B55:D55"/>
    <mergeCell ref="E55:G55"/>
  </mergeCells>
  <pageMargins left="0.25" right="0.25" top="0.75" bottom="0.75" header="0.3" footer="0.3"/>
  <pageSetup paperSize="9" orientation="portrait" r:id="rId1"/>
  <headerFooter>
    <oddHeader>&amp;CUCL Student Data Statistics</oddHeader>
    <oddFooter>&amp;C&amp;P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view="pageLayout" zoomScale="85" zoomScaleNormal="100" zoomScalePageLayoutView="85" workbookViewId="0">
      <selection activeCell="C9" sqref="C9"/>
    </sheetView>
  </sheetViews>
  <sheetFormatPr defaultColWidth="9.140625" defaultRowHeight="15" x14ac:dyDescent="0.25"/>
  <cols>
    <col min="1" max="1" width="29.28515625" bestFit="1" customWidth="1"/>
    <col min="2" max="8" width="8.5703125" customWidth="1"/>
  </cols>
  <sheetData>
    <row r="1" spans="1:8" ht="18" x14ac:dyDescent="0.25">
      <c r="A1" s="1" t="s">
        <v>50</v>
      </c>
      <c r="B1" s="3"/>
    </row>
    <row r="2" spans="1:8" x14ac:dyDescent="0.25">
      <c r="A2" s="33" t="s">
        <v>51</v>
      </c>
      <c r="B2" s="33"/>
      <c r="C2" s="33"/>
      <c r="D2" s="33"/>
      <c r="E2" s="33"/>
      <c r="F2" s="33"/>
      <c r="G2" s="33"/>
      <c r="H2" s="33"/>
    </row>
    <row r="3" spans="1:8" x14ac:dyDescent="0.25">
      <c r="A3" s="2" t="str">
        <f ca="1">RIGHT(CELL("filename",A1),LEN(CELL("filename",A1))-FIND("]",CELL("filename",A1)))</f>
        <v>2004-05</v>
      </c>
      <c r="B3" s="3"/>
    </row>
    <row r="4" spans="1:8" ht="15.75" thickBot="1" x14ac:dyDescent="0.3">
      <c r="A4" s="3"/>
      <c r="B4" s="3"/>
    </row>
    <row r="5" spans="1:8" ht="15" customHeight="1" x14ac:dyDescent="0.25">
      <c r="A5" s="21" t="s">
        <v>2</v>
      </c>
      <c r="B5" s="37" t="s">
        <v>3</v>
      </c>
      <c r="C5" s="38"/>
      <c r="D5" s="38"/>
      <c r="E5" s="37" t="s">
        <v>4</v>
      </c>
      <c r="F5" s="38"/>
      <c r="G5" s="38"/>
      <c r="H5" s="21" t="s">
        <v>0</v>
      </c>
    </row>
    <row r="6" spans="1:8" ht="15" customHeight="1" x14ac:dyDescent="0.25">
      <c r="A6" s="22"/>
      <c r="B6" s="28" t="s">
        <v>48</v>
      </c>
      <c r="C6" s="29" t="s">
        <v>49</v>
      </c>
      <c r="D6" s="30" t="s">
        <v>0</v>
      </c>
      <c r="E6" s="28" t="s">
        <v>48</v>
      </c>
      <c r="F6" s="29" t="s">
        <v>49</v>
      </c>
      <c r="G6" s="30" t="s">
        <v>0</v>
      </c>
      <c r="H6" s="22"/>
    </row>
    <row r="7" spans="1:8" x14ac:dyDescent="0.25">
      <c r="A7" s="14" t="s">
        <v>5</v>
      </c>
      <c r="B7" s="6">
        <v>0</v>
      </c>
      <c r="C7" s="4">
        <v>1</v>
      </c>
      <c r="D7" s="5">
        <f>B7+C7</f>
        <v>1</v>
      </c>
      <c r="E7" s="6">
        <v>0</v>
      </c>
      <c r="F7" s="4">
        <v>0</v>
      </c>
      <c r="G7" s="5">
        <f t="shared" ref="G7:G53" si="0">E7+F7</f>
        <v>0</v>
      </c>
      <c r="H7" s="9">
        <f>G7+D7</f>
        <v>1</v>
      </c>
    </row>
    <row r="8" spans="1:8" x14ac:dyDescent="0.25">
      <c r="A8" s="14" t="s">
        <v>6</v>
      </c>
      <c r="B8" s="6">
        <v>2</v>
      </c>
      <c r="C8" s="4">
        <v>7</v>
      </c>
      <c r="D8" s="5">
        <f t="shared" ref="D8:D53" si="1">B8+C8</f>
        <v>9</v>
      </c>
      <c r="E8" s="6">
        <v>1</v>
      </c>
      <c r="F8" s="4">
        <v>0</v>
      </c>
      <c r="G8" s="5">
        <f t="shared" si="0"/>
        <v>1</v>
      </c>
      <c r="H8" s="9">
        <f t="shared" ref="H8:H53" si="2">G8+D8</f>
        <v>10</v>
      </c>
    </row>
    <row r="9" spans="1:8" x14ac:dyDescent="0.25">
      <c r="A9" s="14" t="s">
        <v>7</v>
      </c>
      <c r="B9" s="6">
        <v>2</v>
      </c>
      <c r="C9" s="4">
        <v>9</v>
      </c>
      <c r="D9" s="5">
        <f t="shared" ref="D9" si="3">B9+C9</f>
        <v>11</v>
      </c>
      <c r="E9" s="6">
        <v>1</v>
      </c>
      <c r="F9" s="4">
        <v>0</v>
      </c>
      <c r="G9" s="5">
        <f t="shared" ref="G9" si="4">E9+F9</f>
        <v>1</v>
      </c>
      <c r="H9" s="9">
        <f t="shared" ref="H9" si="5">G9+D9</f>
        <v>12</v>
      </c>
    </row>
    <row r="10" spans="1:8" x14ac:dyDescent="0.25">
      <c r="A10" s="14" t="s">
        <v>8</v>
      </c>
      <c r="B10" s="6">
        <v>8</v>
      </c>
      <c r="C10" s="4">
        <v>3</v>
      </c>
      <c r="D10" s="5">
        <f t="shared" si="1"/>
        <v>11</v>
      </c>
      <c r="E10" s="6">
        <v>8</v>
      </c>
      <c r="F10" s="4">
        <v>2</v>
      </c>
      <c r="G10" s="5">
        <f t="shared" si="0"/>
        <v>10</v>
      </c>
      <c r="H10" s="9">
        <f t="shared" si="2"/>
        <v>21</v>
      </c>
    </row>
    <row r="11" spans="1:8" x14ac:dyDescent="0.25">
      <c r="A11" s="14" t="s">
        <v>54</v>
      </c>
      <c r="B11" s="6">
        <v>2</v>
      </c>
      <c r="C11" s="4">
        <v>0</v>
      </c>
      <c r="D11" s="5">
        <f t="shared" si="1"/>
        <v>2</v>
      </c>
      <c r="E11" s="6">
        <v>0</v>
      </c>
      <c r="F11" s="4">
        <v>4</v>
      </c>
      <c r="G11" s="5">
        <f t="shared" si="0"/>
        <v>4</v>
      </c>
      <c r="H11" s="9">
        <f t="shared" si="2"/>
        <v>6</v>
      </c>
    </row>
    <row r="12" spans="1:8" x14ac:dyDescent="0.25">
      <c r="A12" s="14" t="s">
        <v>9</v>
      </c>
      <c r="B12" s="6">
        <v>1</v>
      </c>
      <c r="C12" s="4">
        <v>0</v>
      </c>
      <c r="D12" s="5">
        <f t="shared" si="1"/>
        <v>1</v>
      </c>
      <c r="E12" s="6">
        <v>0</v>
      </c>
      <c r="F12" s="4">
        <v>0</v>
      </c>
      <c r="G12" s="5">
        <f t="shared" si="0"/>
        <v>0</v>
      </c>
      <c r="H12" s="9">
        <f t="shared" si="2"/>
        <v>1</v>
      </c>
    </row>
    <row r="13" spans="1:8" x14ac:dyDescent="0.25">
      <c r="A13" s="14" t="s">
        <v>10</v>
      </c>
      <c r="B13" s="6">
        <v>0</v>
      </c>
      <c r="C13" s="4">
        <v>7</v>
      </c>
      <c r="D13" s="5">
        <f t="shared" si="1"/>
        <v>7</v>
      </c>
      <c r="E13" s="6">
        <v>0</v>
      </c>
      <c r="F13" s="4">
        <v>0</v>
      </c>
      <c r="G13" s="5">
        <f t="shared" si="0"/>
        <v>0</v>
      </c>
      <c r="H13" s="9">
        <f t="shared" si="2"/>
        <v>7</v>
      </c>
    </row>
    <row r="14" spans="1:8" x14ac:dyDescent="0.25">
      <c r="A14" s="14" t="s">
        <v>90</v>
      </c>
      <c r="B14" s="6">
        <v>0</v>
      </c>
      <c r="C14" s="4">
        <v>0</v>
      </c>
      <c r="D14" s="5">
        <f t="shared" si="1"/>
        <v>0</v>
      </c>
      <c r="E14" s="6">
        <v>0</v>
      </c>
      <c r="F14" s="4">
        <v>1</v>
      </c>
      <c r="G14" s="5">
        <f t="shared" si="0"/>
        <v>1</v>
      </c>
      <c r="H14" s="9">
        <f t="shared" si="2"/>
        <v>1</v>
      </c>
    </row>
    <row r="15" spans="1:8" x14ac:dyDescent="0.25">
      <c r="A15" s="14" t="s">
        <v>57</v>
      </c>
      <c r="B15" s="6">
        <v>9</v>
      </c>
      <c r="C15" s="4">
        <v>5</v>
      </c>
      <c r="D15" s="5">
        <f t="shared" si="1"/>
        <v>14</v>
      </c>
      <c r="E15" s="6">
        <v>0</v>
      </c>
      <c r="F15" s="4">
        <v>1</v>
      </c>
      <c r="G15" s="5">
        <f t="shared" si="0"/>
        <v>1</v>
      </c>
      <c r="H15" s="9">
        <f t="shared" si="2"/>
        <v>15</v>
      </c>
    </row>
    <row r="16" spans="1:8" x14ac:dyDescent="0.25">
      <c r="A16" s="14" t="s">
        <v>12</v>
      </c>
      <c r="B16" s="6">
        <v>1</v>
      </c>
      <c r="C16" s="4">
        <v>0</v>
      </c>
      <c r="D16" s="5">
        <f t="shared" si="1"/>
        <v>1</v>
      </c>
      <c r="E16" s="6">
        <v>0</v>
      </c>
      <c r="F16" s="4">
        <v>0</v>
      </c>
      <c r="G16" s="5">
        <f t="shared" si="0"/>
        <v>0</v>
      </c>
      <c r="H16" s="9">
        <f t="shared" si="2"/>
        <v>1</v>
      </c>
    </row>
    <row r="17" spans="1:8" x14ac:dyDescent="0.25">
      <c r="A17" s="14" t="s">
        <v>56</v>
      </c>
      <c r="B17" s="6">
        <v>0</v>
      </c>
      <c r="C17" s="4">
        <v>0</v>
      </c>
      <c r="D17" s="5">
        <f t="shared" si="1"/>
        <v>0</v>
      </c>
      <c r="E17" s="6">
        <v>1</v>
      </c>
      <c r="F17" s="4">
        <v>1</v>
      </c>
      <c r="G17" s="5">
        <f t="shared" si="0"/>
        <v>2</v>
      </c>
      <c r="H17" s="9">
        <f t="shared" si="2"/>
        <v>2</v>
      </c>
    </row>
    <row r="18" spans="1:8" x14ac:dyDescent="0.25">
      <c r="A18" s="14" t="s">
        <v>13</v>
      </c>
      <c r="B18" s="6">
        <v>0</v>
      </c>
      <c r="C18" s="4">
        <v>3</v>
      </c>
      <c r="D18" s="5">
        <f t="shared" si="1"/>
        <v>3</v>
      </c>
      <c r="E18" s="6">
        <v>0</v>
      </c>
      <c r="F18" s="4">
        <v>0</v>
      </c>
      <c r="G18" s="5">
        <f t="shared" si="0"/>
        <v>0</v>
      </c>
      <c r="H18" s="9">
        <f t="shared" si="2"/>
        <v>3</v>
      </c>
    </row>
    <row r="19" spans="1:8" x14ac:dyDescent="0.25">
      <c r="A19" s="14" t="s">
        <v>14</v>
      </c>
      <c r="B19" s="6">
        <v>4</v>
      </c>
      <c r="C19" s="4">
        <v>3</v>
      </c>
      <c r="D19" s="5">
        <f t="shared" si="1"/>
        <v>7</v>
      </c>
      <c r="E19" s="6">
        <v>1</v>
      </c>
      <c r="F19" s="4">
        <v>4</v>
      </c>
      <c r="G19" s="5">
        <f t="shared" si="0"/>
        <v>5</v>
      </c>
      <c r="H19" s="9">
        <f t="shared" si="2"/>
        <v>12</v>
      </c>
    </row>
    <row r="20" spans="1:8" x14ac:dyDescent="0.25">
      <c r="A20" s="14" t="s">
        <v>16</v>
      </c>
      <c r="B20" s="6">
        <v>5</v>
      </c>
      <c r="C20" s="4">
        <v>0</v>
      </c>
      <c r="D20" s="5">
        <f t="shared" si="1"/>
        <v>5</v>
      </c>
      <c r="E20" s="6">
        <v>0</v>
      </c>
      <c r="F20" s="4">
        <v>0</v>
      </c>
      <c r="G20" s="5">
        <f t="shared" si="0"/>
        <v>0</v>
      </c>
      <c r="H20" s="9">
        <f t="shared" si="2"/>
        <v>5</v>
      </c>
    </row>
    <row r="21" spans="1:8" x14ac:dyDescent="0.25">
      <c r="A21" s="14" t="s">
        <v>59</v>
      </c>
      <c r="B21" s="6">
        <v>4</v>
      </c>
      <c r="C21" s="4">
        <v>1</v>
      </c>
      <c r="D21" s="5">
        <f t="shared" si="1"/>
        <v>5</v>
      </c>
      <c r="E21" s="6">
        <v>0</v>
      </c>
      <c r="F21" s="4">
        <v>0</v>
      </c>
      <c r="G21" s="5">
        <f t="shared" si="0"/>
        <v>0</v>
      </c>
      <c r="H21" s="9">
        <f t="shared" si="2"/>
        <v>5</v>
      </c>
    </row>
    <row r="22" spans="1:8" x14ac:dyDescent="0.25">
      <c r="A22" s="14" t="s">
        <v>60</v>
      </c>
      <c r="B22" s="6">
        <v>0</v>
      </c>
      <c r="C22" s="4">
        <v>0</v>
      </c>
      <c r="D22" s="5">
        <f t="shared" si="1"/>
        <v>0</v>
      </c>
      <c r="E22" s="6">
        <v>9</v>
      </c>
      <c r="F22" s="4">
        <v>1</v>
      </c>
      <c r="G22" s="5">
        <f t="shared" si="0"/>
        <v>10</v>
      </c>
      <c r="H22" s="9">
        <f t="shared" si="2"/>
        <v>10</v>
      </c>
    </row>
    <row r="23" spans="1:8" x14ac:dyDescent="0.25">
      <c r="A23" s="14" t="s">
        <v>17</v>
      </c>
      <c r="B23" s="6">
        <v>0</v>
      </c>
      <c r="C23" s="4">
        <v>47</v>
      </c>
      <c r="D23" s="5">
        <f t="shared" si="1"/>
        <v>47</v>
      </c>
      <c r="E23" s="6">
        <v>4</v>
      </c>
      <c r="F23" s="4">
        <v>0</v>
      </c>
      <c r="G23" s="5">
        <f t="shared" si="0"/>
        <v>4</v>
      </c>
      <c r="H23" s="9">
        <f t="shared" si="2"/>
        <v>51</v>
      </c>
    </row>
    <row r="24" spans="1:8" x14ac:dyDescent="0.25">
      <c r="A24" s="14" t="s">
        <v>18</v>
      </c>
      <c r="B24" s="6">
        <v>0</v>
      </c>
      <c r="C24" s="4">
        <v>5</v>
      </c>
      <c r="D24" s="5">
        <f t="shared" si="1"/>
        <v>5</v>
      </c>
      <c r="E24" s="6">
        <v>0</v>
      </c>
      <c r="F24" s="4">
        <v>0</v>
      </c>
      <c r="G24" s="5">
        <f t="shared" si="0"/>
        <v>0</v>
      </c>
      <c r="H24" s="9">
        <f t="shared" si="2"/>
        <v>5</v>
      </c>
    </row>
    <row r="25" spans="1:8" x14ac:dyDescent="0.25">
      <c r="A25" s="14" t="s">
        <v>19</v>
      </c>
      <c r="B25" s="6">
        <v>1</v>
      </c>
      <c r="C25" s="4">
        <v>26</v>
      </c>
      <c r="D25" s="5">
        <f t="shared" si="1"/>
        <v>27</v>
      </c>
      <c r="E25" s="6">
        <v>0</v>
      </c>
      <c r="F25" s="4">
        <v>0</v>
      </c>
      <c r="G25" s="5">
        <f t="shared" si="0"/>
        <v>0</v>
      </c>
      <c r="H25" s="9">
        <f t="shared" si="2"/>
        <v>27</v>
      </c>
    </row>
    <row r="26" spans="1:8" x14ac:dyDescent="0.25">
      <c r="A26" s="14" t="s">
        <v>61</v>
      </c>
      <c r="B26" s="6">
        <v>2</v>
      </c>
      <c r="C26" s="4">
        <v>0</v>
      </c>
      <c r="D26" s="5">
        <f t="shared" si="1"/>
        <v>2</v>
      </c>
      <c r="E26" s="6">
        <v>0</v>
      </c>
      <c r="F26" s="4">
        <v>0</v>
      </c>
      <c r="G26" s="5">
        <f t="shared" si="0"/>
        <v>0</v>
      </c>
      <c r="H26" s="9">
        <f t="shared" si="2"/>
        <v>2</v>
      </c>
    </row>
    <row r="27" spans="1:8" x14ac:dyDescent="0.25">
      <c r="A27" s="14" t="s">
        <v>20</v>
      </c>
      <c r="B27" s="6">
        <v>0</v>
      </c>
      <c r="C27" s="4">
        <v>8</v>
      </c>
      <c r="D27" s="5">
        <f t="shared" si="1"/>
        <v>8</v>
      </c>
      <c r="E27" s="6">
        <v>0</v>
      </c>
      <c r="F27" s="4">
        <v>0</v>
      </c>
      <c r="G27" s="5">
        <f t="shared" si="0"/>
        <v>0</v>
      </c>
      <c r="H27" s="9">
        <f t="shared" si="2"/>
        <v>8</v>
      </c>
    </row>
    <row r="28" spans="1:8" x14ac:dyDescent="0.25">
      <c r="A28" s="14" t="s">
        <v>62</v>
      </c>
      <c r="B28" s="6">
        <v>10</v>
      </c>
      <c r="C28" s="4">
        <v>14</v>
      </c>
      <c r="D28" s="5">
        <f t="shared" si="1"/>
        <v>24</v>
      </c>
      <c r="E28" s="6">
        <v>0</v>
      </c>
      <c r="F28" s="4">
        <v>0</v>
      </c>
      <c r="G28" s="5">
        <f t="shared" si="0"/>
        <v>0</v>
      </c>
      <c r="H28" s="9">
        <f t="shared" si="2"/>
        <v>24</v>
      </c>
    </row>
    <row r="29" spans="1:8" x14ac:dyDescent="0.25">
      <c r="A29" s="14" t="s">
        <v>21</v>
      </c>
      <c r="B29" s="6">
        <v>7</v>
      </c>
      <c r="C29" s="4">
        <v>9</v>
      </c>
      <c r="D29" s="5">
        <f t="shared" si="1"/>
        <v>16</v>
      </c>
      <c r="E29" s="6">
        <v>0</v>
      </c>
      <c r="F29" s="4">
        <v>0</v>
      </c>
      <c r="G29" s="5">
        <f t="shared" si="0"/>
        <v>0</v>
      </c>
      <c r="H29" s="9">
        <f t="shared" si="2"/>
        <v>16</v>
      </c>
    </row>
    <row r="30" spans="1:8" x14ac:dyDescent="0.25">
      <c r="A30" s="14" t="s">
        <v>89</v>
      </c>
      <c r="B30" s="6">
        <v>0</v>
      </c>
      <c r="C30" s="4">
        <v>1</v>
      </c>
      <c r="D30" s="5">
        <f t="shared" si="1"/>
        <v>1</v>
      </c>
      <c r="E30" s="6">
        <v>1</v>
      </c>
      <c r="F30" s="4">
        <v>2</v>
      </c>
      <c r="G30" s="5">
        <f t="shared" si="0"/>
        <v>3</v>
      </c>
      <c r="H30" s="9">
        <f t="shared" si="2"/>
        <v>4</v>
      </c>
    </row>
    <row r="31" spans="1:8" x14ac:dyDescent="0.25">
      <c r="A31" s="14" t="s">
        <v>23</v>
      </c>
      <c r="B31" s="6">
        <v>24</v>
      </c>
      <c r="C31" s="4">
        <v>2</v>
      </c>
      <c r="D31" s="5">
        <f t="shared" si="1"/>
        <v>26</v>
      </c>
      <c r="E31" s="6">
        <v>0</v>
      </c>
      <c r="F31" s="4">
        <v>0</v>
      </c>
      <c r="G31" s="5">
        <f t="shared" si="0"/>
        <v>0</v>
      </c>
      <c r="H31" s="9">
        <f t="shared" si="2"/>
        <v>26</v>
      </c>
    </row>
    <row r="32" spans="1:8" x14ac:dyDescent="0.25">
      <c r="A32" s="14" t="s">
        <v>37</v>
      </c>
      <c r="B32" s="6">
        <v>8</v>
      </c>
      <c r="C32" s="4">
        <v>4</v>
      </c>
      <c r="D32" s="5">
        <f t="shared" si="1"/>
        <v>12</v>
      </c>
      <c r="E32" s="6">
        <v>1</v>
      </c>
      <c r="F32" s="4">
        <v>0</v>
      </c>
      <c r="G32" s="5">
        <f t="shared" si="0"/>
        <v>1</v>
      </c>
      <c r="H32" s="9">
        <f t="shared" si="2"/>
        <v>13</v>
      </c>
    </row>
    <row r="33" spans="1:8" x14ac:dyDescent="0.25">
      <c r="A33" s="14" t="s">
        <v>38</v>
      </c>
      <c r="B33" s="6">
        <v>0</v>
      </c>
      <c r="C33" s="4">
        <v>3</v>
      </c>
      <c r="D33" s="5">
        <f t="shared" si="1"/>
        <v>3</v>
      </c>
      <c r="E33" s="6">
        <v>1</v>
      </c>
      <c r="F33" s="4">
        <v>0</v>
      </c>
      <c r="G33" s="5">
        <f t="shared" si="0"/>
        <v>1</v>
      </c>
      <c r="H33" s="9">
        <f t="shared" si="2"/>
        <v>4</v>
      </c>
    </row>
    <row r="34" spans="1:8" x14ac:dyDescent="0.25">
      <c r="A34" s="14" t="s">
        <v>24</v>
      </c>
      <c r="B34" s="6">
        <v>5</v>
      </c>
      <c r="C34" s="4">
        <v>31</v>
      </c>
      <c r="D34" s="5">
        <f t="shared" si="1"/>
        <v>36</v>
      </c>
      <c r="E34" s="6">
        <v>4</v>
      </c>
      <c r="F34" s="4">
        <v>0</v>
      </c>
      <c r="G34" s="5">
        <f t="shared" si="0"/>
        <v>4</v>
      </c>
      <c r="H34" s="9">
        <f t="shared" si="2"/>
        <v>40</v>
      </c>
    </row>
    <row r="35" spans="1:8" x14ac:dyDescent="0.25">
      <c r="A35" s="14" t="s">
        <v>39</v>
      </c>
      <c r="B35" s="6">
        <v>2</v>
      </c>
      <c r="C35" s="4">
        <v>18</v>
      </c>
      <c r="D35" s="5">
        <f t="shared" si="1"/>
        <v>20</v>
      </c>
      <c r="E35" s="6">
        <v>0</v>
      </c>
      <c r="F35" s="4">
        <v>0</v>
      </c>
      <c r="G35" s="5">
        <f t="shared" si="0"/>
        <v>0</v>
      </c>
      <c r="H35" s="9">
        <f t="shared" si="2"/>
        <v>20</v>
      </c>
    </row>
    <row r="36" spans="1:8" x14ac:dyDescent="0.25">
      <c r="A36" s="14" t="s">
        <v>91</v>
      </c>
      <c r="B36" s="6">
        <v>0</v>
      </c>
      <c r="C36" s="4">
        <v>0</v>
      </c>
      <c r="D36" s="5">
        <f t="shared" si="1"/>
        <v>0</v>
      </c>
      <c r="E36" s="6">
        <v>1</v>
      </c>
      <c r="F36" s="4">
        <v>0</v>
      </c>
      <c r="G36" s="5">
        <f t="shared" si="0"/>
        <v>1</v>
      </c>
      <c r="H36" s="9">
        <f t="shared" si="2"/>
        <v>1</v>
      </c>
    </row>
    <row r="37" spans="1:8" x14ac:dyDescent="0.25">
      <c r="A37" s="14" t="s">
        <v>25</v>
      </c>
      <c r="B37" s="6">
        <v>28</v>
      </c>
      <c r="C37" s="4">
        <v>0</v>
      </c>
      <c r="D37" s="5">
        <f t="shared" si="1"/>
        <v>28</v>
      </c>
      <c r="E37" s="6">
        <v>2</v>
      </c>
      <c r="F37" s="4">
        <v>0</v>
      </c>
      <c r="G37" s="5">
        <f t="shared" si="0"/>
        <v>2</v>
      </c>
      <c r="H37" s="9">
        <f t="shared" si="2"/>
        <v>30</v>
      </c>
    </row>
    <row r="38" spans="1:8" x14ac:dyDescent="0.25">
      <c r="A38" s="14" t="s">
        <v>63</v>
      </c>
      <c r="B38" s="6">
        <v>4</v>
      </c>
      <c r="C38" s="4">
        <v>92</v>
      </c>
      <c r="D38" s="5">
        <f t="shared" si="1"/>
        <v>96</v>
      </c>
      <c r="E38" s="6">
        <v>0</v>
      </c>
      <c r="F38" s="4">
        <v>0</v>
      </c>
      <c r="G38" s="5">
        <f t="shared" si="0"/>
        <v>0</v>
      </c>
      <c r="H38" s="9">
        <f t="shared" si="2"/>
        <v>96</v>
      </c>
    </row>
    <row r="39" spans="1:8" x14ac:dyDescent="0.25">
      <c r="A39" s="14" t="s">
        <v>1</v>
      </c>
      <c r="B39" s="6">
        <v>38</v>
      </c>
      <c r="C39" s="4">
        <v>1</v>
      </c>
      <c r="D39" s="5">
        <f t="shared" si="1"/>
        <v>39</v>
      </c>
      <c r="E39" s="6">
        <v>0</v>
      </c>
      <c r="F39" s="4">
        <v>47</v>
      </c>
      <c r="G39" s="5">
        <f t="shared" si="0"/>
        <v>47</v>
      </c>
      <c r="H39" s="9">
        <f t="shared" si="2"/>
        <v>86</v>
      </c>
    </row>
    <row r="40" spans="1:8" x14ac:dyDescent="0.25">
      <c r="A40" s="14" t="s">
        <v>26</v>
      </c>
      <c r="B40" s="6">
        <v>0</v>
      </c>
      <c r="C40" s="4">
        <v>5</v>
      </c>
      <c r="D40" s="5">
        <f t="shared" si="1"/>
        <v>5</v>
      </c>
      <c r="E40" s="6">
        <v>2</v>
      </c>
      <c r="F40" s="4">
        <v>0</v>
      </c>
      <c r="G40" s="5">
        <f t="shared" si="0"/>
        <v>2</v>
      </c>
      <c r="H40" s="9">
        <f t="shared" si="2"/>
        <v>7</v>
      </c>
    </row>
    <row r="41" spans="1:8" x14ac:dyDescent="0.25">
      <c r="A41" s="14" t="s">
        <v>27</v>
      </c>
      <c r="B41" s="6">
        <v>2</v>
      </c>
      <c r="C41" s="4">
        <v>3</v>
      </c>
      <c r="D41" s="5">
        <f t="shared" si="1"/>
        <v>5</v>
      </c>
      <c r="E41" s="6">
        <v>0</v>
      </c>
      <c r="F41" s="4">
        <v>1</v>
      </c>
      <c r="G41" s="5">
        <f t="shared" si="0"/>
        <v>1</v>
      </c>
      <c r="H41" s="9">
        <f t="shared" si="2"/>
        <v>6</v>
      </c>
    </row>
    <row r="42" spans="1:8" x14ac:dyDescent="0.25">
      <c r="A42" s="14" t="s">
        <v>92</v>
      </c>
      <c r="B42" s="6">
        <v>0</v>
      </c>
      <c r="C42" s="4">
        <v>0</v>
      </c>
      <c r="D42" s="5">
        <f t="shared" si="1"/>
        <v>0</v>
      </c>
      <c r="E42" s="6">
        <v>1</v>
      </c>
      <c r="F42" s="4">
        <v>0</v>
      </c>
      <c r="G42" s="5">
        <f t="shared" si="0"/>
        <v>1</v>
      </c>
      <c r="H42" s="9">
        <f t="shared" si="2"/>
        <v>1</v>
      </c>
    </row>
    <row r="43" spans="1:8" x14ac:dyDescent="0.25">
      <c r="A43" s="14" t="s">
        <v>93</v>
      </c>
      <c r="B43" s="6">
        <v>0</v>
      </c>
      <c r="C43" s="4">
        <v>0</v>
      </c>
      <c r="D43" s="5">
        <f t="shared" si="1"/>
        <v>0</v>
      </c>
      <c r="E43" s="6">
        <v>1</v>
      </c>
      <c r="F43" s="4">
        <v>0</v>
      </c>
      <c r="G43" s="5">
        <f t="shared" si="0"/>
        <v>1</v>
      </c>
      <c r="H43" s="9">
        <f t="shared" si="2"/>
        <v>1</v>
      </c>
    </row>
    <row r="44" spans="1:8" x14ac:dyDescent="0.25">
      <c r="A44" s="14" t="s">
        <v>28</v>
      </c>
      <c r="B44" s="6">
        <v>0</v>
      </c>
      <c r="C44" s="4">
        <v>15</v>
      </c>
      <c r="D44" s="5">
        <f t="shared" si="1"/>
        <v>15</v>
      </c>
      <c r="E44" s="6">
        <v>0</v>
      </c>
      <c r="F44" s="4">
        <v>0</v>
      </c>
      <c r="G44" s="5">
        <f t="shared" si="0"/>
        <v>0</v>
      </c>
      <c r="H44" s="9">
        <f t="shared" si="2"/>
        <v>15</v>
      </c>
    </row>
    <row r="45" spans="1:8" x14ac:dyDescent="0.25">
      <c r="A45" s="14" t="s">
        <v>29</v>
      </c>
      <c r="B45" s="6">
        <v>1</v>
      </c>
      <c r="C45" s="4">
        <v>1</v>
      </c>
      <c r="D45" s="5">
        <f t="shared" si="1"/>
        <v>2</v>
      </c>
      <c r="E45" s="6">
        <v>0</v>
      </c>
      <c r="F45" s="4">
        <v>1</v>
      </c>
      <c r="G45" s="5">
        <f t="shared" si="0"/>
        <v>1</v>
      </c>
      <c r="H45" s="9">
        <f t="shared" si="2"/>
        <v>3</v>
      </c>
    </row>
    <row r="46" spans="1:8" x14ac:dyDescent="0.25">
      <c r="A46" s="14" t="s">
        <v>31</v>
      </c>
      <c r="B46" s="6">
        <v>2</v>
      </c>
      <c r="C46" s="4">
        <v>4</v>
      </c>
      <c r="D46" s="5">
        <f t="shared" si="1"/>
        <v>6</v>
      </c>
      <c r="E46" s="6">
        <v>0</v>
      </c>
      <c r="F46" s="4">
        <v>2</v>
      </c>
      <c r="G46" s="5">
        <f t="shared" si="0"/>
        <v>2</v>
      </c>
      <c r="H46" s="9">
        <f t="shared" si="2"/>
        <v>8</v>
      </c>
    </row>
    <row r="47" spans="1:8" x14ac:dyDescent="0.25">
      <c r="A47" s="14" t="s">
        <v>32</v>
      </c>
      <c r="B47" s="6">
        <v>0</v>
      </c>
      <c r="C47" s="4">
        <v>0</v>
      </c>
      <c r="D47" s="5">
        <f t="shared" si="1"/>
        <v>0</v>
      </c>
      <c r="E47" s="6">
        <v>4</v>
      </c>
      <c r="F47" s="4">
        <v>1</v>
      </c>
      <c r="G47" s="5">
        <f t="shared" si="0"/>
        <v>5</v>
      </c>
      <c r="H47" s="9">
        <f t="shared" si="2"/>
        <v>5</v>
      </c>
    </row>
    <row r="48" spans="1:8" x14ac:dyDescent="0.25">
      <c r="A48" s="14" t="s">
        <v>33</v>
      </c>
      <c r="B48" s="6">
        <v>3</v>
      </c>
      <c r="C48" s="4">
        <v>47</v>
      </c>
      <c r="D48" s="5">
        <f t="shared" si="1"/>
        <v>50</v>
      </c>
      <c r="E48" s="6">
        <v>2</v>
      </c>
      <c r="F48" s="4">
        <v>0</v>
      </c>
      <c r="G48" s="5">
        <f t="shared" si="0"/>
        <v>2</v>
      </c>
      <c r="H48" s="9">
        <f t="shared" si="2"/>
        <v>52</v>
      </c>
    </row>
    <row r="49" spans="1:8" x14ac:dyDescent="0.25">
      <c r="A49" s="14" t="s">
        <v>34</v>
      </c>
      <c r="B49" s="6">
        <v>6</v>
      </c>
      <c r="C49" s="4">
        <v>25</v>
      </c>
      <c r="D49" s="5">
        <f t="shared" si="1"/>
        <v>31</v>
      </c>
      <c r="E49" s="6">
        <v>0</v>
      </c>
      <c r="F49" s="4">
        <v>0</v>
      </c>
      <c r="G49" s="5">
        <f t="shared" si="0"/>
        <v>0</v>
      </c>
      <c r="H49" s="9">
        <f t="shared" si="2"/>
        <v>31</v>
      </c>
    </row>
    <row r="50" spans="1:8" x14ac:dyDescent="0.25">
      <c r="A50" s="14" t="s">
        <v>69</v>
      </c>
      <c r="B50" s="6">
        <v>26</v>
      </c>
      <c r="C50" s="4">
        <v>6</v>
      </c>
      <c r="D50" s="5">
        <f t="shared" si="1"/>
        <v>32</v>
      </c>
      <c r="E50" s="6">
        <v>3</v>
      </c>
      <c r="F50" s="4">
        <v>0</v>
      </c>
      <c r="G50" s="5">
        <f t="shared" si="0"/>
        <v>3</v>
      </c>
      <c r="H50" s="9">
        <f t="shared" si="2"/>
        <v>35</v>
      </c>
    </row>
    <row r="51" spans="1:8" x14ac:dyDescent="0.25">
      <c r="A51" s="14" t="s">
        <v>35</v>
      </c>
      <c r="B51" s="6">
        <v>0</v>
      </c>
      <c r="C51" s="4">
        <v>4</v>
      </c>
      <c r="D51" s="5">
        <f t="shared" si="1"/>
        <v>4</v>
      </c>
      <c r="E51" s="6">
        <v>0</v>
      </c>
      <c r="F51" s="4">
        <v>0</v>
      </c>
      <c r="G51" s="5">
        <f t="shared" si="0"/>
        <v>0</v>
      </c>
      <c r="H51" s="9">
        <f t="shared" si="2"/>
        <v>4</v>
      </c>
    </row>
    <row r="52" spans="1:8" x14ac:dyDescent="0.25">
      <c r="A52" s="14" t="s">
        <v>70</v>
      </c>
      <c r="B52" s="6">
        <v>9</v>
      </c>
      <c r="C52" s="4">
        <v>2</v>
      </c>
      <c r="D52" s="5">
        <f t="shared" si="1"/>
        <v>11</v>
      </c>
      <c r="E52" s="6">
        <v>0</v>
      </c>
      <c r="F52" s="4">
        <v>0</v>
      </c>
      <c r="G52" s="5">
        <f t="shared" si="0"/>
        <v>0</v>
      </c>
      <c r="H52" s="9">
        <f t="shared" si="2"/>
        <v>11</v>
      </c>
    </row>
    <row r="53" spans="1:8" ht="15.75" thickBot="1" x14ac:dyDescent="0.3">
      <c r="A53" s="15" t="s">
        <v>71</v>
      </c>
      <c r="B53" s="11">
        <v>2</v>
      </c>
      <c r="C53" s="12">
        <v>0</v>
      </c>
      <c r="D53" s="13">
        <f t="shared" si="1"/>
        <v>2</v>
      </c>
      <c r="E53" s="11">
        <v>0</v>
      </c>
      <c r="F53" s="12">
        <v>0</v>
      </c>
      <c r="G53" s="13">
        <f t="shared" si="0"/>
        <v>0</v>
      </c>
      <c r="H53" s="16">
        <f t="shared" si="2"/>
        <v>2</v>
      </c>
    </row>
    <row r="54" spans="1:8" ht="16.5" thickTop="1" thickBot="1" x14ac:dyDescent="0.3">
      <c r="A54" s="8" t="s">
        <v>0</v>
      </c>
      <c r="B54" s="7">
        <f t="shared" ref="B54:H54" si="6">SUM(B7:B53)</f>
        <v>218</v>
      </c>
      <c r="C54" s="7">
        <f t="shared" si="6"/>
        <v>412</v>
      </c>
      <c r="D54" s="7">
        <f t="shared" si="6"/>
        <v>630</v>
      </c>
      <c r="E54" s="7">
        <f t="shared" si="6"/>
        <v>48</v>
      </c>
      <c r="F54" s="7">
        <f t="shared" si="6"/>
        <v>68</v>
      </c>
      <c r="G54" s="8">
        <f t="shared" si="6"/>
        <v>116</v>
      </c>
      <c r="H54" s="10">
        <f t="shared" si="6"/>
        <v>746</v>
      </c>
    </row>
    <row r="55" spans="1:8" x14ac:dyDescent="0.25">
      <c r="A55" s="18"/>
      <c r="B55" s="18"/>
      <c r="C55" s="18"/>
      <c r="D55" s="18"/>
      <c r="E55" s="18"/>
      <c r="F55" s="18"/>
      <c r="G55" s="18"/>
      <c r="H55" s="18"/>
    </row>
    <row r="56" spans="1:8" ht="15.75" thickBot="1" x14ac:dyDescent="0.3"/>
    <row r="57" spans="1:8" x14ac:dyDescent="0.25">
      <c r="A57" s="21" t="s">
        <v>40</v>
      </c>
      <c r="B57" s="37" t="s">
        <v>3</v>
      </c>
      <c r="C57" s="38"/>
      <c r="D57" s="38"/>
      <c r="E57" s="37" t="s">
        <v>4</v>
      </c>
      <c r="F57" s="38"/>
      <c r="G57" s="38"/>
      <c r="H57" s="21" t="s">
        <v>0</v>
      </c>
    </row>
    <row r="58" spans="1:8" x14ac:dyDescent="0.25">
      <c r="A58" s="22"/>
      <c r="B58" s="28" t="s">
        <v>48</v>
      </c>
      <c r="C58" s="29" t="s">
        <v>49</v>
      </c>
      <c r="D58" s="30" t="s">
        <v>0</v>
      </c>
      <c r="E58" s="28" t="s">
        <v>48</v>
      </c>
      <c r="F58" s="29" t="s">
        <v>49</v>
      </c>
      <c r="G58" s="30" t="s">
        <v>0</v>
      </c>
      <c r="H58" s="22"/>
    </row>
    <row r="59" spans="1:8" x14ac:dyDescent="0.25">
      <c r="A59" s="14" t="s">
        <v>41</v>
      </c>
      <c r="B59" s="6">
        <v>97</v>
      </c>
      <c r="C59" s="4">
        <v>170</v>
      </c>
      <c r="D59" s="5">
        <f t="shared" ref="D59:D67" si="7">SUM(B59+C59)</f>
        <v>267</v>
      </c>
      <c r="E59" s="6">
        <v>4</v>
      </c>
      <c r="F59" s="4">
        <v>0</v>
      </c>
      <c r="G59" s="5">
        <f t="shared" ref="G59:G67" si="8">F59+E59</f>
        <v>4</v>
      </c>
      <c r="H59" s="9">
        <f t="shared" ref="H59:H67" si="9">D59+G59</f>
        <v>271</v>
      </c>
    </row>
    <row r="60" spans="1:8" x14ac:dyDescent="0.25">
      <c r="A60" s="14" t="s">
        <v>42</v>
      </c>
      <c r="B60" s="6">
        <v>8</v>
      </c>
      <c r="C60" s="4">
        <v>3</v>
      </c>
      <c r="D60" s="5">
        <f t="shared" si="7"/>
        <v>11</v>
      </c>
      <c r="E60" s="6">
        <v>8</v>
      </c>
      <c r="F60" s="4">
        <v>2</v>
      </c>
      <c r="G60" s="5">
        <f t="shared" si="8"/>
        <v>10</v>
      </c>
      <c r="H60" s="9">
        <f t="shared" si="9"/>
        <v>21</v>
      </c>
    </row>
    <row r="61" spans="1:8" x14ac:dyDescent="0.25">
      <c r="A61" s="14" t="s">
        <v>43</v>
      </c>
      <c r="B61" s="6">
        <v>0</v>
      </c>
      <c r="C61" s="4">
        <v>0</v>
      </c>
      <c r="D61" s="5">
        <f t="shared" ref="D61" si="10">SUM(B61+C61)</f>
        <v>0</v>
      </c>
      <c r="E61" s="6">
        <v>4</v>
      </c>
      <c r="F61" s="4">
        <v>1</v>
      </c>
      <c r="G61" s="5">
        <f t="shared" ref="G61" si="11">F61+E61</f>
        <v>5</v>
      </c>
      <c r="H61" s="9">
        <f t="shared" ref="H61" si="12">D61+G61</f>
        <v>5</v>
      </c>
    </row>
    <row r="62" spans="1:8" x14ac:dyDescent="0.25">
      <c r="A62" s="14" t="s">
        <v>60</v>
      </c>
      <c r="B62" s="6">
        <v>0</v>
      </c>
      <c r="C62" s="4">
        <v>0</v>
      </c>
      <c r="D62" s="5">
        <f t="shared" si="7"/>
        <v>0</v>
      </c>
      <c r="E62" s="6">
        <v>9</v>
      </c>
      <c r="F62" s="4">
        <v>1</v>
      </c>
      <c r="G62" s="5">
        <f t="shared" si="8"/>
        <v>10</v>
      </c>
      <c r="H62" s="9">
        <f t="shared" si="9"/>
        <v>10</v>
      </c>
    </row>
    <row r="63" spans="1:8" x14ac:dyDescent="0.25">
      <c r="A63" s="14" t="s">
        <v>73</v>
      </c>
      <c r="B63" s="6">
        <v>17</v>
      </c>
      <c r="C63" s="4">
        <v>20</v>
      </c>
      <c r="D63" s="5">
        <f t="shared" si="7"/>
        <v>37</v>
      </c>
      <c r="E63" s="6">
        <v>2</v>
      </c>
      <c r="F63" s="4">
        <v>12</v>
      </c>
      <c r="G63" s="5">
        <f t="shared" si="8"/>
        <v>14</v>
      </c>
      <c r="H63" s="9">
        <f t="shared" si="9"/>
        <v>51</v>
      </c>
    </row>
    <row r="64" spans="1:8" x14ac:dyDescent="0.25">
      <c r="A64" s="14" t="s">
        <v>1</v>
      </c>
      <c r="B64" s="6">
        <v>38</v>
      </c>
      <c r="C64" s="4">
        <v>1</v>
      </c>
      <c r="D64" s="5">
        <f t="shared" si="7"/>
        <v>39</v>
      </c>
      <c r="E64" s="6">
        <v>0</v>
      </c>
      <c r="F64" s="4">
        <v>47</v>
      </c>
      <c r="G64" s="5">
        <f t="shared" si="8"/>
        <v>47</v>
      </c>
      <c r="H64" s="9">
        <f t="shared" si="9"/>
        <v>86</v>
      </c>
    </row>
    <row r="65" spans="1:8" x14ac:dyDescent="0.25">
      <c r="A65" s="14" t="s">
        <v>45</v>
      </c>
      <c r="B65" s="6">
        <v>5</v>
      </c>
      <c r="C65" s="4">
        <v>56</v>
      </c>
      <c r="D65" s="5">
        <f t="shared" si="7"/>
        <v>61</v>
      </c>
      <c r="E65" s="6">
        <v>7</v>
      </c>
      <c r="F65" s="4">
        <v>2</v>
      </c>
      <c r="G65" s="5">
        <f t="shared" si="8"/>
        <v>9</v>
      </c>
      <c r="H65" s="9">
        <f t="shared" si="9"/>
        <v>70</v>
      </c>
    </row>
    <row r="66" spans="1:8" x14ac:dyDescent="0.25">
      <c r="A66" s="14" t="s">
        <v>46</v>
      </c>
      <c r="B66" s="6">
        <v>9</v>
      </c>
      <c r="C66" s="4">
        <v>14</v>
      </c>
      <c r="D66" s="5">
        <f t="shared" si="7"/>
        <v>23</v>
      </c>
      <c r="E66" s="6">
        <v>2</v>
      </c>
      <c r="F66" s="4">
        <v>2</v>
      </c>
      <c r="G66" s="5">
        <f t="shared" si="8"/>
        <v>4</v>
      </c>
      <c r="H66" s="9">
        <f t="shared" si="9"/>
        <v>27</v>
      </c>
    </row>
    <row r="67" spans="1:8" ht="15.75" thickBot="1" x14ac:dyDescent="0.3">
      <c r="A67" s="15" t="s">
        <v>47</v>
      </c>
      <c r="B67" s="11">
        <v>44</v>
      </c>
      <c r="C67" s="12">
        <v>148</v>
      </c>
      <c r="D67" s="12">
        <f t="shared" si="7"/>
        <v>192</v>
      </c>
      <c r="E67" s="11">
        <v>12</v>
      </c>
      <c r="F67" s="12">
        <v>1</v>
      </c>
      <c r="G67" s="13">
        <f t="shared" si="8"/>
        <v>13</v>
      </c>
      <c r="H67" s="16">
        <f t="shared" si="9"/>
        <v>205</v>
      </c>
    </row>
    <row r="68" spans="1:8" ht="16.5" thickTop="1" thickBot="1" x14ac:dyDescent="0.3">
      <c r="A68" s="8" t="s">
        <v>0</v>
      </c>
      <c r="B68" s="7">
        <f t="shared" ref="B68:C68" si="13">SUM(B59:B67)</f>
        <v>218</v>
      </c>
      <c r="C68" s="7">
        <f t="shared" si="13"/>
        <v>412</v>
      </c>
      <c r="D68" s="7">
        <f>SUM(D59:D67)</f>
        <v>630</v>
      </c>
      <c r="E68" s="7">
        <f>SUM(E59:E67)</f>
        <v>48</v>
      </c>
      <c r="F68" s="7">
        <f>SUM(F59:F67)</f>
        <v>68</v>
      </c>
      <c r="G68" s="8">
        <f>SUM(G59:G67)</f>
        <v>116</v>
      </c>
      <c r="H68" s="10">
        <f>SUM(H59:H67)</f>
        <v>746</v>
      </c>
    </row>
    <row r="70" spans="1:8" x14ac:dyDescent="0.25">
      <c r="A70" s="48" t="s">
        <v>76</v>
      </c>
      <c r="B70" s="48"/>
      <c r="C70" s="48"/>
      <c r="D70" s="48"/>
      <c r="E70" s="48"/>
      <c r="F70" s="48"/>
      <c r="G70" s="48"/>
      <c r="H70" s="48"/>
    </row>
    <row r="74" spans="1:8" x14ac:dyDescent="0.25">
      <c r="A74" s="49"/>
      <c r="B74" s="49"/>
      <c r="C74" s="49"/>
      <c r="D74" s="49"/>
      <c r="E74" s="49"/>
      <c r="F74" s="49"/>
      <c r="G74" s="49"/>
      <c r="H74" s="49"/>
    </row>
  </sheetData>
  <mergeCells count="7">
    <mergeCell ref="A70:H70"/>
    <mergeCell ref="A74:H74"/>
    <mergeCell ref="A2:H2"/>
    <mergeCell ref="B5:D5"/>
    <mergeCell ref="E5:G5"/>
    <mergeCell ref="B57:D57"/>
    <mergeCell ref="E57:G57"/>
  </mergeCells>
  <pageMargins left="0.25" right="0.25" top="0.75" bottom="0.75" header="0.3" footer="0.3"/>
  <pageSetup paperSize="9" orientation="portrait" r:id="rId1"/>
  <headerFooter>
    <oddHeader>&amp;CUCL Student Data Statistics</oddHeader>
    <oddFooter>&amp;C&amp;P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view="pageLayout" topLeftCell="A46" zoomScale="85" zoomScaleNormal="100" zoomScalePageLayoutView="85" workbookViewId="0">
      <selection activeCell="H60" sqref="H60"/>
    </sheetView>
  </sheetViews>
  <sheetFormatPr defaultColWidth="9.140625" defaultRowHeight="15" x14ac:dyDescent="0.25"/>
  <cols>
    <col min="1" max="1" width="29.28515625" bestFit="1" customWidth="1"/>
    <col min="2" max="8" width="8.5703125" customWidth="1"/>
  </cols>
  <sheetData>
    <row r="1" spans="1:8" ht="18" x14ac:dyDescent="0.25">
      <c r="A1" s="1" t="s">
        <v>50</v>
      </c>
      <c r="B1" s="3"/>
    </row>
    <row r="2" spans="1:8" x14ac:dyDescent="0.25">
      <c r="A2" s="33" t="s">
        <v>51</v>
      </c>
      <c r="B2" s="33"/>
      <c r="C2" s="33"/>
      <c r="D2" s="33"/>
      <c r="E2" s="33"/>
      <c r="F2" s="33"/>
      <c r="G2" s="33"/>
      <c r="H2" s="33"/>
    </row>
    <row r="3" spans="1:8" x14ac:dyDescent="0.25">
      <c r="A3" s="2" t="str">
        <f ca="1">RIGHT(CELL("filename",A1),LEN(CELL("filename",A1))-FIND("]",CELL("filename",A1)))</f>
        <v>2003-04</v>
      </c>
      <c r="B3" s="3"/>
    </row>
    <row r="4" spans="1:8" ht="15.75" thickBot="1" x14ac:dyDescent="0.3">
      <c r="A4" s="3"/>
      <c r="B4" s="3"/>
    </row>
    <row r="5" spans="1:8" ht="15" customHeight="1" x14ac:dyDescent="0.25">
      <c r="A5" s="34" t="s">
        <v>2</v>
      </c>
      <c r="B5" s="37" t="s">
        <v>3</v>
      </c>
      <c r="C5" s="38"/>
      <c r="D5" s="38"/>
      <c r="E5" s="37" t="s">
        <v>4</v>
      </c>
      <c r="F5" s="38"/>
      <c r="G5" s="38"/>
      <c r="H5" s="39" t="s">
        <v>0</v>
      </c>
    </row>
    <row r="6" spans="1:8" ht="15" customHeight="1" x14ac:dyDescent="0.25">
      <c r="A6" s="35"/>
      <c r="B6" s="42" t="s">
        <v>48</v>
      </c>
      <c r="C6" s="44" t="s">
        <v>49</v>
      </c>
      <c r="D6" s="46" t="s">
        <v>0</v>
      </c>
      <c r="E6" s="42" t="s">
        <v>48</v>
      </c>
      <c r="F6" s="44" t="s">
        <v>49</v>
      </c>
      <c r="G6" s="46" t="s">
        <v>0</v>
      </c>
      <c r="H6" s="40"/>
    </row>
    <row r="7" spans="1:8" x14ac:dyDescent="0.25">
      <c r="A7" s="36"/>
      <c r="B7" s="43"/>
      <c r="C7" s="45"/>
      <c r="D7" s="47"/>
      <c r="E7" s="43"/>
      <c r="F7" s="45"/>
      <c r="G7" s="47"/>
      <c r="H7" s="41"/>
    </row>
    <row r="8" spans="1:8" x14ac:dyDescent="0.25">
      <c r="A8" s="14" t="s">
        <v>5</v>
      </c>
      <c r="B8" s="6">
        <v>0</v>
      </c>
      <c r="C8" s="4">
        <v>4</v>
      </c>
      <c r="D8" s="5">
        <f>B8+C8</f>
        <v>4</v>
      </c>
      <c r="E8" s="6">
        <v>0</v>
      </c>
      <c r="F8" s="4">
        <v>0</v>
      </c>
      <c r="G8" s="5">
        <f t="shared" ref="G8:G56" si="0">E8+F8</f>
        <v>0</v>
      </c>
      <c r="H8" s="9">
        <f>G8+D8</f>
        <v>4</v>
      </c>
    </row>
    <row r="9" spans="1:8" x14ac:dyDescent="0.25">
      <c r="A9" s="14" t="s">
        <v>6</v>
      </c>
      <c r="B9" s="6">
        <v>0</v>
      </c>
      <c r="C9" s="4">
        <v>6</v>
      </c>
      <c r="D9" s="5">
        <f t="shared" ref="D9:D56" si="1">B9+C9</f>
        <v>6</v>
      </c>
      <c r="E9" s="6">
        <v>0</v>
      </c>
      <c r="F9" s="4">
        <v>1</v>
      </c>
      <c r="G9" s="5">
        <f t="shared" si="0"/>
        <v>1</v>
      </c>
      <c r="H9" s="9">
        <f t="shared" ref="H9:H56" si="2">G9+D9</f>
        <v>7</v>
      </c>
    </row>
    <row r="10" spans="1:8" x14ac:dyDescent="0.25">
      <c r="A10" s="14" t="s">
        <v>7</v>
      </c>
      <c r="B10" s="6">
        <v>1</v>
      </c>
      <c r="C10" s="4">
        <v>7</v>
      </c>
      <c r="D10" s="5">
        <f t="shared" si="1"/>
        <v>8</v>
      </c>
      <c r="E10" s="6">
        <v>1</v>
      </c>
      <c r="F10" s="4">
        <v>0</v>
      </c>
      <c r="G10" s="5">
        <f t="shared" si="0"/>
        <v>1</v>
      </c>
      <c r="H10" s="9">
        <f t="shared" si="2"/>
        <v>9</v>
      </c>
    </row>
    <row r="11" spans="1:8" x14ac:dyDescent="0.25">
      <c r="A11" s="14" t="s">
        <v>8</v>
      </c>
      <c r="B11" s="6">
        <v>7</v>
      </c>
      <c r="C11" s="4">
        <v>3</v>
      </c>
      <c r="D11" s="5">
        <f t="shared" si="1"/>
        <v>10</v>
      </c>
      <c r="E11" s="6">
        <v>6</v>
      </c>
      <c r="F11" s="4">
        <v>2</v>
      </c>
      <c r="G11" s="5">
        <f t="shared" si="0"/>
        <v>8</v>
      </c>
      <c r="H11" s="9">
        <f t="shared" si="2"/>
        <v>18</v>
      </c>
    </row>
    <row r="12" spans="1:8" x14ac:dyDescent="0.25">
      <c r="A12" s="14" t="s">
        <v>54</v>
      </c>
      <c r="B12" s="6">
        <v>4</v>
      </c>
      <c r="C12" s="4">
        <v>0</v>
      </c>
      <c r="D12" s="5">
        <f t="shared" ref="D12:D14" si="3">B12+C12</f>
        <v>4</v>
      </c>
      <c r="E12" s="6">
        <v>0</v>
      </c>
      <c r="F12" s="4">
        <v>2</v>
      </c>
      <c r="G12" s="5">
        <f t="shared" ref="G12:G14" si="4">E12+F12</f>
        <v>2</v>
      </c>
      <c r="H12" s="9">
        <f t="shared" ref="H12:H14" si="5">G12+D12</f>
        <v>6</v>
      </c>
    </row>
    <row r="13" spans="1:8" x14ac:dyDescent="0.25">
      <c r="A13" s="14" t="s">
        <v>9</v>
      </c>
      <c r="B13" s="6">
        <v>0</v>
      </c>
      <c r="C13" s="4">
        <v>2</v>
      </c>
      <c r="D13" s="5">
        <f t="shared" si="3"/>
        <v>2</v>
      </c>
      <c r="E13" s="6">
        <v>0</v>
      </c>
      <c r="F13" s="4">
        <v>0</v>
      </c>
      <c r="G13" s="5">
        <f t="shared" si="4"/>
        <v>0</v>
      </c>
      <c r="H13" s="9">
        <f t="shared" si="5"/>
        <v>2</v>
      </c>
    </row>
    <row r="14" spans="1:8" x14ac:dyDescent="0.25">
      <c r="A14" s="14" t="s">
        <v>10</v>
      </c>
      <c r="B14" s="6">
        <v>0</v>
      </c>
      <c r="C14" s="4">
        <v>7</v>
      </c>
      <c r="D14" s="5">
        <f t="shared" si="3"/>
        <v>7</v>
      </c>
      <c r="E14" s="6">
        <v>0</v>
      </c>
      <c r="F14" s="4">
        <v>0</v>
      </c>
      <c r="G14" s="5">
        <f t="shared" si="4"/>
        <v>0</v>
      </c>
      <c r="H14" s="9">
        <f t="shared" si="5"/>
        <v>7</v>
      </c>
    </row>
    <row r="15" spans="1:8" x14ac:dyDescent="0.25">
      <c r="A15" s="14" t="s">
        <v>94</v>
      </c>
      <c r="B15" s="6">
        <v>0</v>
      </c>
      <c r="C15" s="4">
        <v>0</v>
      </c>
      <c r="D15" s="5">
        <f t="shared" si="1"/>
        <v>0</v>
      </c>
      <c r="E15" s="6">
        <v>0</v>
      </c>
      <c r="F15" s="4">
        <v>1</v>
      </c>
      <c r="G15" s="5">
        <f t="shared" si="0"/>
        <v>1</v>
      </c>
      <c r="H15" s="9">
        <f t="shared" si="2"/>
        <v>1</v>
      </c>
    </row>
    <row r="16" spans="1:8" x14ac:dyDescent="0.25">
      <c r="A16" s="14" t="s">
        <v>57</v>
      </c>
      <c r="B16" s="6">
        <v>9</v>
      </c>
      <c r="C16" s="4">
        <v>3</v>
      </c>
      <c r="D16" s="5">
        <f t="shared" si="1"/>
        <v>12</v>
      </c>
      <c r="E16" s="6">
        <v>0</v>
      </c>
      <c r="F16" s="4">
        <v>1</v>
      </c>
      <c r="G16" s="5">
        <f t="shared" si="0"/>
        <v>1</v>
      </c>
      <c r="H16" s="9">
        <f t="shared" si="2"/>
        <v>13</v>
      </c>
    </row>
    <row r="17" spans="1:8" x14ac:dyDescent="0.25">
      <c r="A17" s="14" t="s">
        <v>12</v>
      </c>
      <c r="B17" s="6">
        <v>4</v>
      </c>
      <c r="C17" s="4">
        <v>0</v>
      </c>
      <c r="D17" s="5">
        <f t="shared" si="1"/>
        <v>4</v>
      </c>
      <c r="E17" s="6">
        <v>0</v>
      </c>
      <c r="F17" s="4">
        <v>0</v>
      </c>
      <c r="G17" s="5">
        <f t="shared" si="0"/>
        <v>0</v>
      </c>
      <c r="H17" s="9">
        <f t="shared" si="2"/>
        <v>4</v>
      </c>
    </row>
    <row r="18" spans="1:8" x14ac:dyDescent="0.25">
      <c r="A18" s="14" t="s">
        <v>56</v>
      </c>
      <c r="B18" s="6">
        <v>0</v>
      </c>
      <c r="C18" s="4">
        <v>0</v>
      </c>
      <c r="D18" s="5">
        <f t="shared" si="1"/>
        <v>0</v>
      </c>
      <c r="E18" s="6">
        <v>0</v>
      </c>
      <c r="F18" s="4">
        <v>1</v>
      </c>
      <c r="G18" s="5">
        <f t="shared" si="0"/>
        <v>1</v>
      </c>
      <c r="H18" s="9">
        <f t="shared" si="2"/>
        <v>1</v>
      </c>
    </row>
    <row r="19" spans="1:8" x14ac:dyDescent="0.25">
      <c r="A19" s="14" t="s">
        <v>13</v>
      </c>
      <c r="B19" s="6">
        <v>1</v>
      </c>
      <c r="C19" s="4">
        <v>1</v>
      </c>
      <c r="D19" s="5">
        <f t="shared" si="1"/>
        <v>2</v>
      </c>
      <c r="E19" s="6">
        <v>0</v>
      </c>
      <c r="F19" s="4">
        <v>0</v>
      </c>
      <c r="G19" s="5">
        <f t="shared" si="0"/>
        <v>0</v>
      </c>
      <c r="H19" s="9">
        <f t="shared" si="2"/>
        <v>2</v>
      </c>
    </row>
    <row r="20" spans="1:8" x14ac:dyDescent="0.25">
      <c r="A20" s="14" t="s">
        <v>52</v>
      </c>
      <c r="B20" s="6">
        <v>1</v>
      </c>
      <c r="C20" s="4">
        <v>0</v>
      </c>
      <c r="D20" s="5">
        <f t="shared" si="1"/>
        <v>1</v>
      </c>
      <c r="E20" s="6">
        <v>0</v>
      </c>
      <c r="F20" s="4">
        <v>0</v>
      </c>
      <c r="G20" s="5">
        <f t="shared" si="0"/>
        <v>0</v>
      </c>
      <c r="H20" s="9">
        <f t="shared" si="2"/>
        <v>1</v>
      </c>
    </row>
    <row r="21" spans="1:8" x14ac:dyDescent="0.25">
      <c r="A21" s="14" t="s">
        <v>14</v>
      </c>
      <c r="B21" s="6">
        <v>4</v>
      </c>
      <c r="C21" s="4">
        <v>4</v>
      </c>
      <c r="D21" s="5">
        <f t="shared" si="1"/>
        <v>8</v>
      </c>
      <c r="E21" s="6">
        <v>2</v>
      </c>
      <c r="F21" s="4">
        <v>3</v>
      </c>
      <c r="G21" s="5">
        <f t="shared" si="0"/>
        <v>5</v>
      </c>
      <c r="H21" s="9">
        <f t="shared" si="2"/>
        <v>13</v>
      </c>
    </row>
    <row r="22" spans="1:8" x14ac:dyDescent="0.25">
      <c r="A22" s="14" t="s">
        <v>16</v>
      </c>
      <c r="B22" s="6">
        <v>6</v>
      </c>
      <c r="C22" s="4">
        <v>0</v>
      </c>
      <c r="D22" s="5">
        <f t="shared" si="1"/>
        <v>6</v>
      </c>
      <c r="E22" s="6">
        <v>0</v>
      </c>
      <c r="F22" s="4">
        <v>0</v>
      </c>
      <c r="G22" s="5">
        <f t="shared" si="0"/>
        <v>0</v>
      </c>
      <c r="H22" s="9">
        <f t="shared" si="2"/>
        <v>6</v>
      </c>
    </row>
    <row r="23" spans="1:8" x14ac:dyDescent="0.25">
      <c r="A23" s="14" t="s">
        <v>59</v>
      </c>
      <c r="B23" s="6">
        <v>0</v>
      </c>
      <c r="C23" s="4">
        <v>3</v>
      </c>
      <c r="D23" s="5">
        <f t="shared" si="1"/>
        <v>3</v>
      </c>
      <c r="E23" s="6">
        <v>0</v>
      </c>
      <c r="F23" s="4">
        <v>0</v>
      </c>
      <c r="G23" s="5">
        <f t="shared" si="0"/>
        <v>0</v>
      </c>
      <c r="H23" s="9">
        <f t="shared" si="2"/>
        <v>3</v>
      </c>
    </row>
    <row r="24" spans="1:8" x14ac:dyDescent="0.25">
      <c r="A24" s="14" t="s">
        <v>60</v>
      </c>
      <c r="B24" s="6">
        <v>0</v>
      </c>
      <c r="C24" s="4">
        <v>0</v>
      </c>
      <c r="D24" s="5">
        <f t="shared" si="1"/>
        <v>0</v>
      </c>
      <c r="E24" s="6">
        <v>9</v>
      </c>
      <c r="F24" s="4">
        <v>6</v>
      </c>
      <c r="G24" s="5">
        <f t="shared" si="0"/>
        <v>15</v>
      </c>
      <c r="H24" s="9">
        <f t="shared" si="2"/>
        <v>15</v>
      </c>
    </row>
    <row r="25" spans="1:8" x14ac:dyDescent="0.25">
      <c r="A25" s="14" t="s">
        <v>17</v>
      </c>
      <c r="B25" s="6">
        <v>0</v>
      </c>
      <c r="C25" s="4">
        <v>53</v>
      </c>
      <c r="D25" s="5">
        <f t="shared" si="1"/>
        <v>53</v>
      </c>
      <c r="E25" s="6">
        <v>9</v>
      </c>
      <c r="F25" s="4">
        <v>0</v>
      </c>
      <c r="G25" s="5">
        <f t="shared" si="0"/>
        <v>9</v>
      </c>
      <c r="H25" s="9">
        <f t="shared" si="2"/>
        <v>62</v>
      </c>
    </row>
    <row r="26" spans="1:8" x14ac:dyDescent="0.25">
      <c r="A26" s="14" t="s">
        <v>18</v>
      </c>
      <c r="B26" s="6">
        <v>3</v>
      </c>
      <c r="C26" s="4">
        <v>4</v>
      </c>
      <c r="D26" s="5">
        <f t="shared" si="1"/>
        <v>7</v>
      </c>
      <c r="E26" s="6">
        <v>0</v>
      </c>
      <c r="F26" s="4">
        <v>1</v>
      </c>
      <c r="G26" s="5">
        <f t="shared" si="0"/>
        <v>1</v>
      </c>
      <c r="H26" s="9">
        <f t="shared" si="2"/>
        <v>8</v>
      </c>
    </row>
    <row r="27" spans="1:8" x14ac:dyDescent="0.25">
      <c r="A27" s="14" t="s">
        <v>19</v>
      </c>
      <c r="B27" s="6">
        <v>1</v>
      </c>
      <c r="C27" s="4">
        <v>23</v>
      </c>
      <c r="D27" s="5">
        <f t="shared" si="1"/>
        <v>24</v>
      </c>
      <c r="E27" s="6">
        <v>0</v>
      </c>
      <c r="F27" s="4">
        <v>0</v>
      </c>
      <c r="G27" s="5">
        <f t="shared" si="0"/>
        <v>0</v>
      </c>
      <c r="H27" s="9">
        <f t="shared" si="2"/>
        <v>24</v>
      </c>
    </row>
    <row r="28" spans="1:8" x14ac:dyDescent="0.25">
      <c r="A28" s="14" t="s">
        <v>61</v>
      </c>
      <c r="B28" s="6">
        <v>5</v>
      </c>
      <c r="C28" s="4">
        <v>0</v>
      </c>
      <c r="D28" s="5">
        <f t="shared" si="1"/>
        <v>5</v>
      </c>
      <c r="E28" s="6">
        <v>0</v>
      </c>
      <c r="F28" s="4">
        <v>0</v>
      </c>
      <c r="G28" s="5">
        <f t="shared" si="0"/>
        <v>0</v>
      </c>
      <c r="H28" s="9">
        <f t="shared" si="2"/>
        <v>5</v>
      </c>
    </row>
    <row r="29" spans="1:8" x14ac:dyDescent="0.25">
      <c r="A29" s="14" t="s">
        <v>20</v>
      </c>
      <c r="B29" s="6">
        <v>2</v>
      </c>
      <c r="C29" s="4">
        <v>18</v>
      </c>
      <c r="D29" s="5">
        <f t="shared" si="1"/>
        <v>20</v>
      </c>
      <c r="E29" s="6">
        <v>0</v>
      </c>
      <c r="F29" s="4">
        <v>0</v>
      </c>
      <c r="G29" s="5">
        <f t="shared" si="0"/>
        <v>0</v>
      </c>
      <c r="H29" s="9">
        <f t="shared" si="2"/>
        <v>20</v>
      </c>
    </row>
    <row r="30" spans="1:8" x14ac:dyDescent="0.25">
      <c r="A30" s="14" t="s">
        <v>62</v>
      </c>
      <c r="B30" s="6">
        <v>6</v>
      </c>
      <c r="C30" s="4">
        <v>6</v>
      </c>
      <c r="D30" s="5">
        <f t="shared" si="1"/>
        <v>12</v>
      </c>
      <c r="E30" s="6">
        <v>0</v>
      </c>
      <c r="F30" s="4">
        <v>0</v>
      </c>
      <c r="G30" s="5">
        <f t="shared" si="0"/>
        <v>0</v>
      </c>
      <c r="H30" s="9">
        <f t="shared" si="2"/>
        <v>12</v>
      </c>
    </row>
    <row r="31" spans="1:8" x14ac:dyDescent="0.25">
      <c r="A31" s="14" t="s">
        <v>81</v>
      </c>
      <c r="B31" s="6">
        <v>0</v>
      </c>
      <c r="C31" s="4">
        <v>0</v>
      </c>
      <c r="D31" s="5">
        <f t="shared" si="1"/>
        <v>0</v>
      </c>
      <c r="E31" s="6">
        <v>0</v>
      </c>
      <c r="F31" s="4">
        <v>2</v>
      </c>
      <c r="G31" s="5">
        <f t="shared" si="0"/>
        <v>2</v>
      </c>
      <c r="H31" s="9">
        <f t="shared" si="2"/>
        <v>2</v>
      </c>
    </row>
    <row r="32" spans="1:8" x14ac:dyDescent="0.25">
      <c r="A32" s="14" t="s">
        <v>21</v>
      </c>
      <c r="B32" s="6">
        <v>8</v>
      </c>
      <c r="C32" s="4">
        <v>15</v>
      </c>
      <c r="D32" s="5">
        <f t="shared" si="1"/>
        <v>23</v>
      </c>
      <c r="E32" s="6">
        <v>0</v>
      </c>
      <c r="F32" s="4">
        <v>0</v>
      </c>
      <c r="G32" s="5">
        <f t="shared" si="0"/>
        <v>0</v>
      </c>
      <c r="H32" s="9">
        <f t="shared" si="2"/>
        <v>23</v>
      </c>
    </row>
    <row r="33" spans="1:8" x14ac:dyDescent="0.25">
      <c r="A33" s="14" t="s">
        <v>89</v>
      </c>
      <c r="B33" s="6">
        <v>0</v>
      </c>
      <c r="C33" s="4">
        <v>0</v>
      </c>
      <c r="D33" s="5">
        <f t="shared" si="1"/>
        <v>0</v>
      </c>
      <c r="E33" s="6">
        <v>0</v>
      </c>
      <c r="F33" s="4">
        <v>1</v>
      </c>
      <c r="G33" s="5">
        <f t="shared" si="0"/>
        <v>1</v>
      </c>
      <c r="H33" s="9">
        <f t="shared" si="2"/>
        <v>1</v>
      </c>
    </row>
    <row r="34" spans="1:8" x14ac:dyDescent="0.25">
      <c r="A34" s="14" t="s">
        <v>23</v>
      </c>
      <c r="B34" s="6">
        <v>18</v>
      </c>
      <c r="C34" s="4">
        <v>0</v>
      </c>
      <c r="D34" s="5">
        <f t="shared" si="1"/>
        <v>18</v>
      </c>
      <c r="E34" s="6">
        <v>0</v>
      </c>
      <c r="F34" s="4">
        <v>0</v>
      </c>
      <c r="G34" s="5">
        <f t="shared" si="0"/>
        <v>0</v>
      </c>
      <c r="H34" s="9">
        <f t="shared" si="2"/>
        <v>18</v>
      </c>
    </row>
    <row r="35" spans="1:8" x14ac:dyDescent="0.25">
      <c r="A35" s="14" t="s">
        <v>37</v>
      </c>
      <c r="B35" s="6">
        <v>2</v>
      </c>
      <c r="C35" s="4">
        <v>0</v>
      </c>
      <c r="D35" s="5">
        <f t="shared" si="1"/>
        <v>2</v>
      </c>
      <c r="E35" s="6">
        <v>1</v>
      </c>
      <c r="F35" s="4">
        <v>0</v>
      </c>
      <c r="G35" s="5">
        <f t="shared" si="0"/>
        <v>1</v>
      </c>
      <c r="H35" s="9">
        <f t="shared" si="2"/>
        <v>3</v>
      </c>
    </row>
    <row r="36" spans="1:8" x14ac:dyDescent="0.25">
      <c r="A36" s="14" t="s">
        <v>38</v>
      </c>
      <c r="B36" s="6">
        <v>0</v>
      </c>
      <c r="C36" s="4">
        <v>7</v>
      </c>
      <c r="D36" s="5">
        <f t="shared" si="1"/>
        <v>7</v>
      </c>
      <c r="E36" s="6">
        <v>0</v>
      </c>
      <c r="F36" s="4">
        <v>0</v>
      </c>
      <c r="G36" s="5">
        <f t="shared" si="0"/>
        <v>0</v>
      </c>
      <c r="H36" s="9">
        <f t="shared" si="2"/>
        <v>7</v>
      </c>
    </row>
    <row r="37" spans="1:8" x14ac:dyDescent="0.25">
      <c r="A37" s="14" t="s">
        <v>24</v>
      </c>
      <c r="B37" s="6">
        <v>10</v>
      </c>
      <c r="C37" s="4">
        <v>35</v>
      </c>
      <c r="D37" s="5">
        <f t="shared" si="1"/>
        <v>45</v>
      </c>
      <c r="E37" s="6">
        <v>2</v>
      </c>
      <c r="F37" s="4">
        <v>0</v>
      </c>
      <c r="G37" s="5">
        <f t="shared" si="0"/>
        <v>2</v>
      </c>
      <c r="H37" s="9">
        <f t="shared" si="2"/>
        <v>47</v>
      </c>
    </row>
    <row r="38" spans="1:8" x14ac:dyDescent="0.25">
      <c r="A38" s="14" t="s">
        <v>39</v>
      </c>
      <c r="B38" s="6">
        <v>2</v>
      </c>
      <c r="C38" s="4">
        <v>16</v>
      </c>
      <c r="D38" s="5">
        <f t="shared" si="1"/>
        <v>18</v>
      </c>
      <c r="E38" s="6">
        <v>0</v>
      </c>
      <c r="F38" s="4">
        <v>0</v>
      </c>
      <c r="G38" s="5">
        <f t="shared" si="0"/>
        <v>0</v>
      </c>
      <c r="H38" s="9">
        <f t="shared" si="2"/>
        <v>18</v>
      </c>
    </row>
    <row r="39" spans="1:8" x14ac:dyDescent="0.25">
      <c r="A39" s="14" t="s">
        <v>25</v>
      </c>
      <c r="B39" s="6">
        <v>19</v>
      </c>
      <c r="C39" s="4">
        <v>2</v>
      </c>
      <c r="D39" s="5">
        <f t="shared" si="1"/>
        <v>21</v>
      </c>
      <c r="E39" s="6">
        <v>0</v>
      </c>
      <c r="F39" s="4">
        <v>0</v>
      </c>
      <c r="G39" s="5">
        <f t="shared" si="0"/>
        <v>0</v>
      </c>
      <c r="H39" s="9">
        <f t="shared" si="2"/>
        <v>21</v>
      </c>
    </row>
    <row r="40" spans="1:8" x14ac:dyDescent="0.25">
      <c r="A40" s="14" t="s">
        <v>63</v>
      </c>
      <c r="B40" s="6">
        <v>1</v>
      </c>
      <c r="C40" s="4">
        <v>106</v>
      </c>
      <c r="D40" s="5">
        <f t="shared" si="1"/>
        <v>107</v>
      </c>
      <c r="E40" s="6">
        <v>0</v>
      </c>
      <c r="F40" s="4">
        <v>0</v>
      </c>
      <c r="G40" s="5">
        <f t="shared" si="0"/>
        <v>0</v>
      </c>
      <c r="H40" s="9">
        <f t="shared" si="2"/>
        <v>107</v>
      </c>
    </row>
    <row r="41" spans="1:8" x14ac:dyDescent="0.25">
      <c r="A41" s="14" t="s">
        <v>1</v>
      </c>
      <c r="B41" s="6">
        <v>54</v>
      </c>
      <c r="C41" s="4">
        <v>0</v>
      </c>
      <c r="D41" s="5">
        <f t="shared" si="1"/>
        <v>54</v>
      </c>
      <c r="E41" s="6">
        <v>0</v>
      </c>
      <c r="F41" s="4">
        <v>48</v>
      </c>
      <c r="G41" s="5">
        <f t="shared" si="0"/>
        <v>48</v>
      </c>
      <c r="H41" s="9">
        <f t="shared" si="2"/>
        <v>102</v>
      </c>
    </row>
    <row r="42" spans="1:8" x14ac:dyDescent="0.25">
      <c r="A42" s="14" t="s">
        <v>26</v>
      </c>
      <c r="B42" s="6">
        <v>1</v>
      </c>
      <c r="C42" s="4">
        <v>7</v>
      </c>
      <c r="D42" s="5">
        <f t="shared" si="1"/>
        <v>8</v>
      </c>
      <c r="E42" s="6">
        <v>4</v>
      </c>
      <c r="F42" s="4">
        <v>0</v>
      </c>
      <c r="G42" s="5">
        <f t="shared" si="0"/>
        <v>4</v>
      </c>
      <c r="H42" s="9">
        <f t="shared" si="2"/>
        <v>12</v>
      </c>
    </row>
    <row r="43" spans="1:8" x14ac:dyDescent="0.25">
      <c r="A43" s="14" t="s">
        <v>27</v>
      </c>
      <c r="B43" s="6">
        <v>2</v>
      </c>
      <c r="C43" s="4">
        <v>7</v>
      </c>
      <c r="D43" s="5">
        <f t="shared" si="1"/>
        <v>9</v>
      </c>
      <c r="E43" s="6">
        <v>0</v>
      </c>
      <c r="F43" s="4">
        <v>0</v>
      </c>
      <c r="G43" s="5">
        <f t="shared" si="0"/>
        <v>0</v>
      </c>
      <c r="H43" s="9">
        <f t="shared" si="2"/>
        <v>9</v>
      </c>
    </row>
    <row r="44" spans="1:8" x14ac:dyDescent="0.25">
      <c r="A44" s="14" t="s">
        <v>77</v>
      </c>
      <c r="B44" s="6">
        <v>0</v>
      </c>
      <c r="C44" s="4">
        <v>0</v>
      </c>
      <c r="D44" s="5">
        <f t="shared" si="1"/>
        <v>0</v>
      </c>
      <c r="E44" s="6">
        <v>0</v>
      </c>
      <c r="F44" s="4">
        <v>1</v>
      </c>
      <c r="G44" s="5">
        <f t="shared" si="0"/>
        <v>1</v>
      </c>
      <c r="H44" s="9">
        <f t="shared" si="2"/>
        <v>1</v>
      </c>
    </row>
    <row r="45" spans="1:8" x14ac:dyDescent="0.25">
      <c r="A45" s="14" t="s">
        <v>95</v>
      </c>
      <c r="B45" s="6">
        <v>0</v>
      </c>
      <c r="C45" s="4">
        <v>0</v>
      </c>
      <c r="D45" s="5">
        <f t="shared" si="1"/>
        <v>0</v>
      </c>
      <c r="E45" s="6">
        <v>2</v>
      </c>
      <c r="F45" s="4">
        <v>0</v>
      </c>
      <c r="G45" s="5">
        <f t="shared" si="0"/>
        <v>2</v>
      </c>
      <c r="H45" s="9">
        <f t="shared" si="2"/>
        <v>2</v>
      </c>
    </row>
    <row r="46" spans="1:8" x14ac:dyDescent="0.25">
      <c r="A46" s="14" t="s">
        <v>96</v>
      </c>
      <c r="B46" s="6">
        <v>2</v>
      </c>
      <c r="C46" s="4">
        <v>0</v>
      </c>
      <c r="D46" s="5">
        <f t="shared" si="1"/>
        <v>2</v>
      </c>
      <c r="E46" s="6">
        <v>0</v>
      </c>
      <c r="F46" s="4">
        <v>0</v>
      </c>
      <c r="G46" s="5">
        <f t="shared" si="0"/>
        <v>0</v>
      </c>
      <c r="H46" s="9">
        <f t="shared" si="2"/>
        <v>2</v>
      </c>
    </row>
    <row r="47" spans="1:8" x14ac:dyDescent="0.25">
      <c r="A47" s="14" t="s">
        <v>28</v>
      </c>
      <c r="B47" s="6">
        <v>0</v>
      </c>
      <c r="C47" s="4">
        <v>14</v>
      </c>
      <c r="D47" s="5">
        <f t="shared" si="1"/>
        <v>14</v>
      </c>
      <c r="E47" s="6">
        <v>0</v>
      </c>
      <c r="F47" s="4">
        <v>0</v>
      </c>
      <c r="G47" s="5">
        <f t="shared" si="0"/>
        <v>0</v>
      </c>
      <c r="H47" s="9">
        <f t="shared" si="2"/>
        <v>14</v>
      </c>
    </row>
    <row r="48" spans="1:8" x14ac:dyDescent="0.25">
      <c r="A48" s="14" t="s">
        <v>29</v>
      </c>
      <c r="B48" s="6">
        <v>0</v>
      </c>
      <c r="C48" s="4">
        <v>1</v>
      </c>
      <c r="D48" s="5">
        <f t="shared" si="1"/>
        <v>1</v>
      </c>
      <c r="E48" s="6">
        <v>1</v>
      </c>
      <c r="F48" s="4">
        <v>0</v>
      </c>
      <c r="G48" s="5">
        <f t="shared" si="0"/>
        <v>1</v>
      </c>
      <c r="H48" s="9">
        <f t="shared" si="2"/>
        <v>2</v>
      </c>
    </row>
    <row r="49" spans="1:8" x14ac:dyDescent="0.25">
      <c r="A49" s="14" t="s">
        <v>31</v>
      </c>
      <c r="B49" s="6">
        <v>1</v>
      </c>
      <c r="C49" s="4">
        <v>2</v>
      </c>
      <c r="D49" s="5">
        <f t="shared" si="1"/>
        <v>3</v>
      </c>
      <c r="E49" s="6">
        <v>0</v>
      </c>
      <c r="F49" s="4">
        <v>0</v>
      </c>
      <c r="G49" s="5">
        <f t="shared" si="0"/>
        <v>0</v>
      </c>
      <c r="H49" s="9">
        <f t="shared" si="2"/>
        <v>3</v>
      </c>
    </row>
    <row r="50" spans="1:8" x14ac:dyDescent="0.25">
      <c r="A50" s="14" t="s">
        <v>32</v>
      </c>
      <c r="B50" s="6">
        <v>1</v>
      </c>
      <c r="C50" s="4">
        <v>0</v>
      </c>
      <c r="D50" s="5">
        <f t="shared" si="1"/>
        <v>1</v>
      </c>
      <c r="E50" s="6">
        <v>1</v>
      </c>
      <c r="F50" s="4">
        <v>0</v>
      </c>
      <c r="G50" s="5">
        <f t="shared" si="0"/>
        <v>1</v>
      </c>
      <c r="H50" s="9">
        <f t="shared" si="2"/>
        <v>2</v>
      </c>
    </row>
    <row r="51" spans="1:8" x14ac:dyDescent="0.25">
      <c r="A51" s="14" t="s">
        <v>33</v>
      </c>
      <c r="B51" s="6">
        <v>4</v>
      </c>
      <c r="C51" s="4">
        <v>39</v>
      </c>
      <c r="D51" s="5">
        <f t="shared" si="1"/>
        <v>43</v>
      </c>
      <c r="E51" s="6">
        <v>8</v>
      </c>
      <c r="F51" s="4">
        <v>0</v>
      </c>
      <c r="G51" s="5">
        <f t="shared" si="0"/>
        <v>8</v>
      </c>
      <c r="H51" s="9">
        <f t="shared" si="2"/>
        <v>51</v>
      </c>
    </row>
    <row r="52" spans="1:8" x14ac:dyDescent="0.25">
      <c r="A52" s="14" t="s">
        <v>34</v>
      </c>
      <c r="B52" s="6">
        <v>9</v>
      </c>
      <c r="C52" s="4">
        <v>11</v>
      </c>
      <c r="D52" s="5">
        <f t="shared" si="1"/>
        <v>20</v>
      </c>
      <c r="E52" s="6">
        <v>0</v>
      </c>
      <c r="F52" s="4">
        <v>0</v>
      </c>
      <c r="G52" s="5">
        <f t="shared" si="0"/>
        <v>0</v>
      </c>
      <c r="H52" s="9">
        <f t="shared" si="2"/>
        <v>20</v>
      </c>
    </row>
    <row r="53" spans="1:8" x14ac:dyDescent="0.25">
      <c r="A53" s="14" t="s">
        <v>69</v>
      </c>
      <c r="B53" s="6">
        <v>4</v>
      </c>
      <c r="C53" s="4">
        <v>27</v>
      </c>
      <c r="D53" s="5">
        <f t="shared" si="1"/>
        <v>31</v>
      </c>
      <c r="E53" s="6">
        <v>0</v>
      </c>
      <c r="F53" s="4">
        <v>4</v>
      </c>
      <c r="G53" s="5">
        <f t="shared" si="0"/>
        <v>4</v>
      </c>
      <c r="H53" s="9">
        <f t="shared" si="2"/>
        <v>35</v>
      </c>
    </row>
    <row r="54" spans="1:8" x14ac:dyDescent="0.25">
      <c r="A54" s="14" t="s">
        <v>35</v>
      </c>
      <c r="B54" s="6">
        <v>1</v>
      </c>
      <c r="C54" s="4">
        <v>3</v>
      </c>
      <c r="D54" s="5">
        <f t="shared" si="1"/>
        <v>4</v>
      </c>
      <c r="E54" s="6">
        <v>0</v>
      </c>
      <c r="F54" s="4">
        <v>0</v>
      </c>
      <c r="G54" s="5">
        <f t="shared" si="0"/>
        <v>0</v>
      </c>
      <c r="H54" s="9">
        <f t="shared" si="2"/>
        <v>4</v>
      </c>
    </row>
    <row r="55" spans="1:8" x14ac:dyDescent="0.25">
      <c r="A55" s="14" t="s">
        <v>70</v>
      </c>
      <c r="B55" s="6">
        <v>10</v>
      </c>
      <c r="C55" s="4">
        <v>1</v>
      </c>
      <c r="D55" s="5">
        <f t="shared" si="1"/>
        <v>11</v>
      </c>
      <c r="E55" s="6">
        <v>0</v>
      </c>
      <c r="F55" s="4">
        <v>0</v>
      </c>
      <c r="G55" s="5">
        <f t="shared" si="0"/>
        <v>0</v>
      </c>
      <c r="H55" s="9">
        <f t="shared" si="2"/>
        <v>11</v>
      </c>
    </row>
    <row r="56" spans="1:8" ht="15.75" thickBot="1" x14ac:dyDescent="0.3">
      <c r="A56" s="15" t="s">
        <v>71</v>
      </c>
      <c r="B56" s="11">
        <v>1</v>
      </c>
      <c r="C56" s="12">
        <v>1</v>
      </c>
      <c r="D56" s="13">
        <f t="shared" si="1"/>
        <v>2</v>
      </c>
      <c r="E56" s="11">
        <v>2</v>
      </c>
      <c r="F56" s="12">
        <v>0</v>
      </c>
      <c r="G56" s="13">
        <f t="shared" si="0"/>
        <v>2</v>
      </c>
      <c r="H56" s="16">
        <f t="shared" si="2"/>
        <v>4</v>
      </c>
    </row>
    <row r="57" spans="1:8" ht="16.5" thickTop="1" thickBot="1" x14ac:dyDescent="0.3">
      <c r="A57" s="8" t="s">
        <v>0</v>
      </c>
      <c r="B57" s="7">
        <f t="shared" ref="B57:H57" si="6">SUM(B8:B56)</f>
        <v>204</v>
      </c>
      <c r="C57" s="7">
        <f t="shared" si="6"/>
        <v>438</v>
      </c>
      <c r="D57" s="7">
        <f t="shared" si="6"/>
        <v>642</v>
      </c>
      <c r="E57" s="7">
        <f t="shared" si="6"/>
        <v>48</v>
      </c>
      <c r="F57" s="7">
        <f t="shared" si="6"/>
        <v>74</v>
      </c>
      <c r="G57" s="8">
        <f t="shared" si="6"/>
        <v>122</v>
      </c>
      <c r="H57" s="10">
        <f t="shared" si="6"/>
        <v>764</v>
      </c>
    </row>
    <row r="58" spans="1:8" x14ac:dyDescent="0.25">
      <c r="A58" s="18"/>
      <c r="B58" s="18"/>
      <c r="C58" s="18"/>
      <c r="D58" s="18"/>
      <c r="E58" s="18"/>
      <c r="F58" s="18"/>
      <c r="G58" s="18"/>
      <c r="H58" s="18"/>
    </row>
    <row r="59" spans="1:8" ht="15.75" thickBot="1" x14ac:dyDescent="0.3"/>
    <row r="60" spans="1:8" x14ac:dyDescent="0.25">
      <c r="A60" s="21" t="s">
        <v>40</v>
      </c>
      <c r="B60" s="37" t="s">
        <v>3</v>
      </c>
      <c r="C60" s="38"/>
      <c r="D60" s="38"/>
      <c r="E60" s="37" t="s">
        <v>4</v>
      </c>
      <c r="F60" s="38"/>
      <c r="G60" s="38"/>
      <c r="H60" s="21" t="s">
        <v>0</v>
      </c>
    </row>
    <row r="61" spans="1:8" x14ac:dyDescent="0.25">
      <c r="A61" s="22"/>
      <c r="B61" s="28" t="s">
        <v>48</v>
      </c>
      <c r="C61" s="29" t="s">
        <v>49</v>
      </c>
      <c r="D61" s="30" t="s">
        <v>0</v>
      </c>
      <c r="E61" s="28" t="s">
        <v>48</v>
      </c>
      <c r="F61" s="29" t="s">
        <v>49</v>
      </c>
      <c r="G61" s="30" t="s">
        <v>0</v>
      </c>
      <c r="H61" s="24"/>
    </row>
    <row r="62" spans="1:8" x14ac:dyDescent="0.25">
      <c r="A62" s="14" t="s">
        <v>41</v>
      </c>
      <c r="B62" s="6">
        <v>79</v>
      </c>
      <c r="C62" s="4">
        <v>178</v>
      </c>
      <c r="D62" s="5">
        <f t="shared" ref="D62:D70" si="7">SUM(B62+C62)</f>
        <v>257</v>
      </c>
      <c r="E62" s="6">
        <v>1</v>
      </c>
      <c r="F62" s="4">
        <v>0</v>
      </c>
      <c r="G62" s="5">
        <f t="shared" ref="G62:G70" si="8">F62+E62</f>
        <v>1</v>
      </c>
      <c r="H62" s="9">
        <f t="shared" ref="H62:H70" si="9">D62+G62</f>
        <v>258</v>
      </c>
    </row>
    <row r="63" spans="1:8" x14ac:dyDescent="0.25">
      <c r="A63" s="14" t="s">
        <v>42</v>
      </c>
      <c r="B63" s="6">
        <v>7</v>
      </c>
      <c r="C63" s="4">
        <v>3</v>
      </c>
      <c r="D63" s="5">
        <f t="shared" si="7"/>
        <v>10</v>
      </c>
      <c r="E63" s="6">
        <v>6</v>
      </c>
      <c r="F63" s="4">
        <v>2</v>
      </c>
      <c r="G63" s="5">
        <f t="shared" si="8"/>
        <v>8</v>
      </c>
      <c r="H63" s="9">
        <f t="shared" si="9"/>
        <v>18</v>
      </c>
    </row>
    <row r="64" spans="1:8" x14ac:dyDescent="0.25">
      <c r="A64" s="14" t="s">
        <v>43</v>
      </c>
      <c r="B64" s="6">
        <v>1</v>
      </c>
      <c r="C64" s="4">
        <v>0</v>
      </c>
      <c r="D64" s="5">
        <f t="shared" ref="D64" si="10">SUM(B64+C64)</f>
        <v>1</v>
      </c>
      <c r="E64" s="6">
        <v>2</v>
      </c>
      <c r="F64" s="4">
        <v>1</v>
      </c>
      <c r="G64" s="5">
        <f t="shared" ref="G64" si="11">F64+E64</f>
        <v>3</v>
      </c>
      <c r="H64" s="9">
        <f t="shared" ref="H64" si="12">D64+G64</f>
        <v>4</v>
      </c>
    </row>
    <row r="65" spans="1:8" x14ac:dyDescent="0.25">
      <c r="A65" s="14" t="s">
        <v>60</v>
      </c>
      <c r="B65" s="6">
        <v>0</v>
      </c>
      <c r="C65" s="4">
        <v>0</v>
      </c>
      <c r="D65" s="5">
        <f t="shared" si="7"/>
        <v>0</v>
      </c>
      <c r="E65" s="6">
        <v>9</v>
      </c>
      <c r="F65" s="4">
        <v>6</v>
      </c>
      <c r="G65" s="5">
        <f t="shared" si="8"/>
        <v>15</v>
      </c>
      <c r="H65" s="9">
        <f t="shared" si="9"/>
        <v>15</v>
      </c>
    </row>
    <row r="66" spans="1:8" x14ac:dyDescent="0.25">
      <c r="A66" s="14" t="s">
        <v>73</v>
      </c>
      <c r="B66" s="6">
        <v>23</v>
      </c>
      <c r="C66" s="4">
        <v>19</v>
      </c>
      <c r="D66" s="5">
        <f t="shared" si="7"/>
        <v>42</v>
      </c>
      <c r="E66" s="6">
        <v>2</v>
      </c>
      <c r="F66" s="4">
        <v>9</v>
      </c>
      <c r="G66" s="5">
        <f t="shared" si="8"/>
        <v>11</v>
      </c>
      <c r="H66" s="9">
        <f t="shared" si="9"/>
        <v>53</v>
      </c>
    </row>
    <row r="67" spans="1:8" x14ac:dyDescent="0.25">
      <c r="A67" s="14" t="s">
        <v>1</v>
      </c>
      <c r="B67" s="6">
        <v>54</v>
      </c>
      <c r="C67" s="4">
        <v>0</v>
      </c>
      <c r="D67" s="5">
        <f t="shared" si="7"/>
        <v>54</v>
      </c>
      <c r="E67" s="6">
        <v>0</v>
      </c>
      <c r="F67" s="4">
        <v>48</v>
      </c>
      <c r="G67" s="5">
        <f t="shared" si="8"/>
        <v>48</v>
      </c>
      <c r="H67" s="9">
        <f t="shared" si="9"/>
        <v>102</v>
      </c>
    </row>
    <row r="68" spans="1:8" x14ac:dyDescent="0.25">
      <c r="A68" s="14" t="s">
        <v>45</v>
      </c>
      <c r="B68" s="6">
        <v>7</v>
      </c>
      <c r="C68" s="4">
        <v>53</v>
      </c>
      <c r="D68" s="5">
        <f t="shared" si="7"/>
        <v>60</v>
      </c>
      <c r="E68" s="6">
        <v>10</v>
      </c>
      <c r="F68" s="4">
        <v>4</v>
      </c>
      <c r="G68" s="5">
        <f t="shared" si="8"/>
        <v>14</v>
      </c>
      <c r="H68" s="9">
        <f t="shared" si="9"/>
        <v>74</v>
      </c>
    </row>
    <row r="69" spans="1:8" x14ac:dyDescent="0.25">
      <c r="A69" s="14" t="s">
        <v>46</v>
      </c>
      <c r="B69" s="6">
        <v>8</v>
      </c>
      <c r="C69" s="4">
        <v>16</v>
      </c>
      <c r="D69" s="5">
        <f t="shared" si="7"/>
        <v>24</v>
      </c>
      <c r="E69" s="6">
        <v>6</v>
      </c>
      <c r="F69" s="4">
        <v>0</v>
      </c>
      <c r="G69" s="5">
        <f t="shared" si="8"/>
        <v>6</v>
      </c>
      <c r="H69" s="9">
        <f t="shared" si="9"/>
        <v>30</v>
      </c>
    </row>
    <row r="70" spans="1:8" ht="15.75" thickBot="1" x14ac:dyDescent="0.3">
      <c r="A70" s="15" t="s">
        <v>47</v>
      </c>
      <c r="B70" s="11">
        <v>25</v>
      </c>
      <c r="C70" s="12">
        <v>169</v>
      </c>
      <c r="D70" s="12">
        <f t="shared" si="7"/>
        <v>194</v>
      </c>
      <c r="E70" s="11">
        <v>12</v>
      </c>
      <c r="F70" s="12">
        <v>4</v>
      </c>
      <c r="G70" s="13">
        <f t="shared" si="8"/>
        <v>16</v>
      </c>
      <c r="H70" s="16">
        <f t="shared" si="9"/>
        <v>210</v>
      </c>
    </row>
    <row r="71" spans="1:8" ht="16.5" thickTop="1" thickBot="1" x14ac:dyDescent="0.3">
      <c r="A71" s="8" t="s">
        <v>0</v>
      </c>
      <c r="B71" s="7">
        <f t="shared" ref="B71:C71" si="13">SUM(B62:B70)</f>
        <v>204</v>
      </c>
      <c r="C71" s="7">
        <f t="shared" si="13"/>
        <v>438</v>
      </c>
      <c r="D71" s="7">
        <f>SUM(D62:D70)</f>
        <v>642</v>
      </c>
      <c r="E71" s="7">
        <f>SUM(E62:E70)</f>
        <v>48</v>
      </c>
      <c r="F71" s="7">
        <f>SUM(F62:F70)</f>
        <v>74</v>
      </c>
      <c r="G71" s="8">
        <f>SUM(G62:G70)</f>
        <v>122</v>
      </c>
      <c r="H71" s="10">
        <f>SUM(H62:H70)</f>
        <v>764</v>
      </c>
    </row>
    <row r="73" spans="1:8" x14ac:dyDescent="0.25">
      <c r="A73" s="48" t="s">
        <v>76</v>
      </c>
      <c r="B73" s="48"/>
      <c r="C73" s="48"/>
      <c r="D73" s="48"/>
      <c r="E73" s="48"/>
      <c r="F73" s="48"/>
      <c r="G73" s="48"/>
      <c r="H73" s="48"/>
    </row>
    <row r="77" spans="1:8" x14ac:dyDescent="0.25">
      <c r="A77" s="49"/>
      <c r="B77" s="49"/>
      <c r="C77" s="49"/>
      <c r="D77" s="49"/>
      <c r="E77" s="49"/>
      <c r="F77" s="49"/>
      <c r="G77" s="49"/>
      <c r="H77" s="49"/>
    </row>
  </sheetData>
  <mergeCells count="15">
    <mergeCell ref="A73:H73"/>
    <mergeCell ref="A77:H77"/>
    <mergeCell ref="A2:H2"/>
    <mergeCell ref="A5:A7"/>
    <mergeCell ref="B5:D5"/>
    <mergeCell ref="E5:G5"/>
    <mergeCell ref="H5:H7"/>
    <mergeCell ref="B6:B7"/>
    <mergeCell ref="C6:C7"/>
    <mergeCell ref="D6:D7"/>
    <mergeCell ref="E6:E7"/>
    <mergeCell ref="F6:F7"/>
    <mergeCell ref="G6:G7"/>
    <mergeCell ref="B60:D60"/>
    <mergeCell ref="E60:G60"/>
  </mergeCells>
  <pageMargins left="0.25" right="0.25" top="0.75" bottom="0.75" header="0.3" footer="0.3"/>
  <pageSetup paperSize="9" orientation="portrait" r:id="rId1"/>
  <headerFooter>
    <oddHeader>&amp;CUCL Student Data Statistics</oddHeader>
    <oddFooter>&amp;C&amp;P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view="pageLayout" topLeftCell="A49" zoomScale="85" zoomScaleNormal="100" zoomScalePageLayoutView="85" workbookViewId="0">
      <selection activeCell="D70" sqref="D70"/>
    </sheetView>
  </sheetViews>
  <sheetFormatPr defaultColWidth="9.140625" defaultRowHeight="15" x14ac:dyDescent="0.25"/>
  <cols>
    <col min="1" max="1" width="29.28515625" bestFit="1" customWidth="1"/>
    <col min="2" max="8" width="8.5703125" customWidth="1"/>
  </cols>
  <sheetData>
    <row r="1" spans="1:8" ht="18" x14ac:dyDescent="0.25">
      <c r="A1" s="1" t="s">
        <v>50</v>
      </c>
      <c r="B1" s="3"/>
    </row>
    <row r="2" spans="1:8" x14ac:dyDescent="0.25">
      <c r="A2" s="33" t="s">
        <v>51</v>
      </c>
      <c r="B2" s="33"/>
      <c r="C2" s="33"/>
      <c r="D2" s="33"/>
      <c r="E2" s="33"/>
      <c r="F2" s="33"/>
      <c r="G2" s="33"/>
      <c r="H2" s="33"/>
    </row>
    <row r="3" spans="1:8" x14ac:dyDescent="0.25">
      <c r="A3" s="2" t="str">
        <f ca="1">RIGHT(CELL("filename",A1),LEN(CELL("filename",A1))-FIND("]",CELL("filename",A1)))</f>
        <v>2002-03</v>
      </c>
      <c r="B3" s="3"/>
    </row>
    <row r="4" spans="1:8" ht="15.75" thickBot="1" x14ac:dyDescent="0.3">
      <c r="A4" s="2"/>
      <c r="B4" s="3"/>
    </row>
    <row r="5" spans="1:8" ht="15" customHeight="1" x14ac:dyDescent="0.25">
      <c r="A5" s="23" t="s">
        <v>2</v>
      </c>
      <c r="B5" s="37" t="s">
        <v>3</v>
      </c>
      <c r="C5" s="38"/>
      <c r="D5" s="38"/>
      <c r="E5" s="37" t="s">
        <v>4</v>
      </c>
      <c r="F5" s="38"/>
      <c r="G5" s="38"/>
      <c r="H5" s="23" t="s">
        <v>0</v>
      </c>
    </row>
    <row r="6" spans="1:8" ht="15" customHeight="1" x14ac:dyDescent="0.25">
      <c r="A6" s="24"/>
      <c r="B6" s="25" t="s">
        <v>48</v>
      </c>
      <c r="C6" s="26" t="s">
        <v>49</v>
      </c>
      <c r="D6" s="27" t="s">
        <v>0</v>
      </c>
      <c r="E6" s="25" t="s">
        <v>48</v>
      </c>
      <c r="F6" s="26" t="s">
        <v>49</v>
      </c>
      <c r="G6" s="27" t="s">
        <v>0</v>
      </c>
      <c r="H6" s="24"/>
    </row>
    <row r="7" spans="1:8" x14ac:dyDescent="0.25">
      <c r="A7" s="14" t="s">
        <v>5</v>
      </c>
      <c r="B7" s="6">
        <v>0</v>
      </c>
      <c r="C7" s="4">
        <v>2</v>
      </c>
      <c r="D7" s="5">
        <f>B7+C7</f>
        <v>2</v>
      </c>
      <c r="E7" s="6">
        <v>0</v>
      </c>
      <c r="F7" s="4">
        <v>0</v>
      </c>
      <c r="G7" s="5">
        <f t="shared" ref="G7:G49" si="0">E7+F7</f>
        <v>0</v>
      </c>
      <c r="H7" s="9">
        <f>G7+D7</f>
        <v>2</v>
      </c>
    </row>
    <row r="8" spans="1:8" x14ac:dyDescent="0.25">
      <c r="A8" s="14" t="s">
        <v>6</v>
      </c>
      <c r="B8" s="6">
        <v>2</v>
      </c>
      <c r="C8" s="4">
        <v>13</v>
      </c>
      <c r="D8" s="5">
        <f t="shared" ref="D8:D49" si="1">B8+C8</f>
        <v>15</v>
      </c>
      <c r="E8" s="6">
        <v>0</v>
      </c>
      <c r="F8" s="4">
        <v>1</v>
      </c>
      <c r="G8" s="5">
        <f t="shared" si="0"/>
        <v>1</v>
      </c>
      <c r="H8" s="9">
        <f t="shared" ref="H8:H49" si="2">G8+D8</f>
        <v>16</v>
      </c>
    </row>
    <row r="9" spans="1:8" x14ac:dyDescent="0.25">
      <c r="A9" s="14" t="s">
        <v>7</v>
      </c>
      <c r="B9" s="6">
        <v>0</v>
      </c>
      <c r="C9" s="4">
        <v>5</v>
      </c>
      <c r="D9" s="5">
        <f t="shared" si="1"/>
        <v>5</v>
      </c>
      <c r="E9" s="6">
        <v>1</v>
      </c>
      <c r="F9" s="4">
        <v>0</v>
      </c>
      <c r="G9" s="5">
        <f t="shared" si="0"/>
        <v>1</v>
      </c>
      <c r="H9" s="9">
        <f t="shared" si="2"/>
        <v>6</v>
      </c>
    </row>
    <row r="10" spans="1:8" x14ac:dyDescent="0.25">
      <c r="A10" s="14" t="s">
        <v>8</v>
      </c>
      <c r="B10" s="6">
        <v>11</v>
      </c>
      <c r="C10" s="4">
        <v>3</v>
      </c>
      <c r="D10" s="5">
        <f t="shared" si="1"/>
        <v>14</v>
      </c>
      <c r="E10" s="6">
        <v>2</v>
      </c>
      <c r="F10" s="4">
        <v>3</v>
      </c>
      <c r="G10" s="5">
        <f t="shared" si="0"/>
        <v>5</v>
      </c>
      <c r="H10" s="9">
        <f t="shared" si="2"/>
        <v>19</v>
      </c>
    </row>
    <row r="11" spans="1:8" x14ac:dyDescent="0.25">
      <c r="A11" s="14" t="s">
        <v>54</v>
      </c>
      <c r="B11" s="6">
        <v>3</v>
      </c>
      <c r="C11" s="4">
        <v>1</v>
      </c>
      <c r="D11" s="5">
        <f t="shared" si="1"/>
        <v>4</v>
      </c>
      <c r="E11" s="6">
        <v>1</v>
      </c>
      <c r="F11" s="4">
        <v>1</v>
      </c>
      <c r="G11" s="5">
        <f t="shared" si="0"/>
        <v>2</v>
      </c>
      <c r="H11" s="9">
        <f t="shared" si="2"/>
        <v>6</v>
      </c>
    </row>
    <row r="12" spans="1:8" x14ac:dyDescent="0.25">
      <c r="A12" s="14" t="s">
        <v>9</v>
      </c>
      <c r="B12" s="6">
        <v>1</v>
      </c>
      <c r="C12" s="4">
        <v>0</v>
      </c>
      <c r="D12" s="5">
        <f t="shared" si="1"/>
        <v>1</v>
      </c>
      <c r="E12" s="6">
        <v>0</v>
      </c>
      <c r="F12" s="4">
        <v>0</v>
      </c>
      <c r="G12" s="5">
        <f t="shared" si="0"/>
        <v>0</v>
      </c>
      <c r="H12" s="9">
        <f t="shared" si="2"/>
        <v>1</v>
      </c>
    </row>
    <row r="13" spans="1:8" x14ac:dyDescent="0.25">
      <c r="A13" s="14" t="s">
        <v>10</v>
      </c>
      <c r="B13" s="6">
        <v>0</v>
      </c>
      <c r="C13" s="4">
        <v>3</v>
      </c>
      <c r="D13" s="5">
        <f t="shared" si="1"/>
        <v>3</v>
      </c>
      <c r="E13" s="6">
        <v>0</v>
      </c>
      <c r="F13" s="4">
        <v>1</v>
      </c>
      <c r="G13" s="5">
        <f t="shared" si="0"/>
        <v>1</v>
      </c>
      <c r="H13" s="9">
        <f t="shared" si="2"/>
        <v>4</v>
      </c>
    </row>
    <row r="14" spans="1:8" x14ac:dyDescent="0.25">
      <c r="A14" s="14" t="s">
        <v>57</v>
      </c>
      <c r="B14" s="6">
        <v>12</v>
      </c>
      <c r="C14" s="4">
        <v>3</v>
      </c>
      <c r="D14" s="5">
        <f t="shared" si="1"/>
        <v>15</v>
      </c>
      <c r="E14" s="6">
        <v>0</v>
      </c>
      <c r="F14" s="4">
        <v>0</v>
      </c>
      <c r="G14" s="5">
        <f t="shared" si="0"/>
        <v>0</v>
      </c>
      <c r="H14" s="9">
        <f t="shared" si="2"/>
        <v>15</v>
      </c>
    </row>
    <row r="15" spans="1:8" x14ac:dyDescent="0.25">
      <c r="A15" s="14" t="s">
        <v>12</v>
      </c>
      <c r="B15" s="6">
        <v>1</v>
      </c>
      <c r="C15" s="4">
        <v>1</v>
      </c>
      <c r="D15" s="5">
        <f t="shared" si="1"/>
        <v>2</v>
      </c>
      <c r="E15" s="6">
        <v>0</v>
      </c>
      <c r="F15" s="4">
        <v>0</v>
      </c>
      <c r="G15" s="5">
        <f t="shared" si="0"/>
        <v>0</v>
      </c>
      <c r="H15" s="9">
        <f t="shared" si="2"/>
        <v>2</v>
      </c>
    </row>
    <row r="16" spans="1:8" x14ac:dyDescent="0.25">
      <c r="A16" s="14" t="s">
        <v>13</v>
      </c>
      <c r="B16" s="6">
        <v>0</v>
      </c>
      <c r="C16" s="4">
        <v>2</v>
      </c>
      <c r="D16" s="5">
        <f t="shared" si="1"/>
        <v>2</v>
      </c>
      <c r="E16" s="6">
        <v>0</v>
      </c>
      <c r="F16" s="4">
        <v>0</v>
      </c>
      <c r="G16" s="5">
        <f t="shared" si="0"/>
        <v>0</v>
      </c>
      <c r="H16" s="9">
        <f t="shared" si="2"/>
        <v>2</v>
      </c>
    </row>
    <row r="17" spans="1:8" x14ac:dyDescent="0.25">
      <c r="A17" s="14" t="s">
        <v>97</v>
      </c>
      <c r="B17" s="6">
        <v>1</v>
      </c>
      <c r="C17" s="4">
        <v>0</v>
      </c>
      <c r="D17" s="5">
        <f t="shared" si="1"/>
        <v>1</v>
      </c>
      <c r="E17" s="6">
        <v>0</v>
      </c>
      <c r="F17" s="4">
        <v>0</v>
      </c>
      <c r="G17" s="5">
        <f t="shared" si="0"/>
        <v>0</v>
      </c>
      <c r="H17" s="9">
        <f t="shared" si="2"/>
        <v>1</v>
      </c>
    </row>
    <row r="18" spans="1:8" x14ac:dyDescent="0.25">
      <c r="A18" s="14" t="s">
        <v>14</v>
      </c>
      <c r="B18" s="6">
        <v>6</v>
      </c>
      <c r="C18" s="4">
        <v>4</v>
      </c>
      <c r="D18" s="5">
        <f t="shared" si="1"/>
        <v>10</v>
      </c>
      <c r="E18" s="6">
        <v>1</v>
      </c>
      <c r="F18" s="4">
        <v>2</v>
      </c>
      <c r="G18" s="5">
        <f t="shared" si="0"/>
        <v>3</v>
      </c>
      <c r="H18" s="9">
        <f t="shared" si="2"/>
        <v>13</v>
      </c>
    </row>
    <row r="19" spans="1:8" x14ac:dyDescent="0.25">
      <c r="A19" s="14" t="s">
        <v>16</v>
      </c>
      <c r="B19" s="6">
        <v>3</v>
      </c>
      <c r="C19" s="4">
        <v>0</v>
      </c>
      <c r="D19" s="5">
        <f t="shared" si="1"/>
        <v>3</v>
      </c>
      <c r="E19" s="6">
        <v>1</v>
      </c>
      <c r="F19" s="4">
        <v>0</v>
      </c>
      <c r="G19" s="5">
        <f t="shared" si="0"/>
        <v>1</v>
      </c>
      <c r="H19" s="9">
        <f t="shared" si="2"/>
        <v>4</v>
      </c>
    </row>
    <row r="20" spans="1:8" x14ac:dyDescent="0.25">
      <c r="A20" s="14" t="s">
        <v>59</v>
      </c>
      <c r="B20" s="6">
        <v>4</v>
      </c>
      <c r="C20" s="4">
        <v>2</v>
      </c>
      <c r="D20" s="5">
        <f t="shared" si="1"/>
        <v>6</v>
      </c>
      <c r="E20" s="6">
        <v>0</v>
      </c>
      <c r="F20" s="4">
        <v>0</v>
      </c>
      <c r="G20" s="5">
        <f t="shared" si="0"/>
        <v>0</v>
      </c>
      <c r="H20" s="9">
        <f t="shared" si="2"/>
        <v>6</v>
      </c>
    </row>
    <row r="21" spans="1:8" x14ac:dyDescent="0.25">
      <c r="A21" s="14" t="s">
        <v>60</v>
      </c>
      <c r="B21" s="6">
        <v>0</v>
      </c>
      <c r="C21" s="4">
        <v>0</v>
      </c>
      <c r="D21" s="5">
        <f t="shared" si="1"/>
        <v>0</v>
      </c>
      <c r="E21" s="6">
        <v>8</v>
      </c>
      <c r="F21" s="4">
        <v>8</v>
      </c>
      <c r="G21" s="5">
        <f t="shared" si="0"/>
        <v>16</v>
      </c>
      <c r="H21" s="9">
        <f t="shared" si="2"/>
        <v>16</v>
      </c>
    </row>
    <row r="22" spans="1:8" x14ac:dyDescent="0.25">
      <c r="A22" s="14" t="s">
        <v>17</v>
      </c>
      <c r="B22" s="6">
        <v>0</v>
      </c>
      <c r="C22" s="4">
        <v>70</v>
      </c>
      <c r="D22" s="5">
        <f t="shared" si="1"/>
        <v>70</v>
      </c>
      <c r="E22" s="6">
        <v>6</v>
      </c>
      <c r="F22" s="4">
        <v>0</v>
      </c>
      <c r="G22" s="5">
        <f t="shared" si="0"/>
        <v>6</v>
      </c>
      <c r="H22" s="9">
        <f t="shared" si="2"/>
        <v>76</v>
      </c>
    </row>
    <row r="23" spans="1:8" x14ac:dyDescent="0.25">
      <c r="A23" s="14" t="s">
        <v>18</v>
      </c>
      <c r="B23" s="6">
        <v>3</v>
      </c>
      <c r="C23" s="4">
        <v>3</v>
      </c>
      <c r="D23" s="5">
        <f t="shared" si="1"/>
        <v>6</v>
      </c>
      <c r="E23" s="6">
        <v>0</v>
      </c>
      <c r="F23" s="4">
        <v>1</v>
      </c>
      <c r="G23" s="5">
        <f t="shared" si="0"/>
        <v>1</v>
      </c>
      <c r="H23" s="9">
        <f t="shared" si="2"/>
        <v>7</v>
      </c>
    </row>
    <row r="24" spans="1:8" x14ac:dyDescent="0.25">
      <c r="A24" s="14" t="s">
        <v>19</v>
      </c>
      <c r="B24" s="6">
        <v>1</v>
      </c>
      <c r="C24" s="4">
        <v>17</v>
      </c>
      <c r="D24" s="5">
        <f t="shared" si="1"/>
        <v>18</v>
      </c>
      <c r="E24" s="6">
        <v>0</v>
      </c>
      <c r="F24" s="4">
        <v>0</v>
      </c>
      <c r="G24" s="5">
        <f t="shared" si="0"/>
        <v>0</v>
      </c>
      <c r="H24" s="9">
        <f t="shared" si="2"/>
        <v>18</v>
      </c>
    </row>
    <row r="25" spans="1:8" x14ac:dyDescent="0.25">
      <c r="A25" s="14" t="s">
        <v>20</v>
      </c>
      <c r="B25" s="6">
        <v>4</v>
      </c>
      <c r="C25" s="4">
        <v>20</v>
      </c>
      <c r="D25" s="5">
        <f t="shared" si="1"/>
        <v>24</v>
      </c>
      <c r="E25" s="6">
        <v>0</v>
      </c>
      <c r="F25" s="4">
        <v>0</v>
      </c>
      <c r="G25" s="5">
        <f t="shared" si="0"/>
        <v>0</v>
      </c>
      <c r="H25" s="9">
        <f t="shared" si="2"/>
        <v>24</v>
      </c>
    </row>
    <row r="26" spans="1:8" x14ac:dyDescent="0.25">
      <c r="A26" s="14" t="s">
        <v>62</v>
      </c>
      <c r="B26" s="6">
        <v>3</v>
      </c>
      <c r="C26" s="4">
        <v>14</v>
      </c>
      <c r="D26" s="5">
        <f t="shared" si="1"/>
        <v>17</v>
      </c>
      <c r="E26" s="6">
        <v>0</v>
      </c>
      <c r="F26" s="4">
        <v>0</v>
      </c>
      <c r="G26" s="5">
        <f t="shared" si="0"/>
        <v>0</v>
      </c>
      <c r="H26" s="9">
        <f t="shared" si="2"/>
        <v>17</v>
      </c>
    </row>
    <row r="27" spans="1:8" x14ac:dyDescent="0.25">
      <c r="A27" s="14" t="s">
        <v>21</v>
      </c>
      <c r="B27" s="6">
        <v>10</v>
      </c>
      <c r="C27" s="4">
        <v>23</v>
      </c>
      <c r="D27" s="5">
        <f t="shared" si="1"/>
        <v>33</v>
      </c>
      <c r="E27" s="6">
        <v>0</v>
      </c>
      <c r="F27" s="4">
        <v>1</v>
      </c>
      <c r="G27" s="5">
        <f t="shared" si="0"/>
        <v>1</v>
      </c>
      <c r="H27" s="9">
        <f t="shared" si="2"/>
        <v>34</v>
      </c>
    </row>
    <row r="28" spans="1:8" x14ac:dyDescent="0.25">
      <c r="A28" s="14" t="s">
        <v>89</v>
      </c>
      <c r="B28" s="6">
        <v>2</v>
      </c>
      <c r="C28" s="4">
        <v>0</v>
      </c>
      <c r="D28" s="5">
        <f t="shared" si="1"/>
        <v>2</v>
      </c>
      <c r="E28" s="6">
        <v>1</v>
      </c>
      <c r="F28" s="4">
        <v>1</v>
      </c>
      <c r="G28" s="5">
        <f t="shared" si="0"/>
        <v>2</v>
      </c>
      <c r="H28" s="9">
        <f t="shared" si="2"/>
        <v>4</v>
      </c>
    </row>
    <row r="29" spans="1:8" x14ac:dyDescent="0.25">
      <c r="A29" s="14" t="s">
        <v>23</v>
      </c>
      <c r="B29" s="6">
        <v>25</v>
      </c>
      <c r="C29" s="4">
        <v>2</v>
      </c>
      <c r="D29" s="5">
        <f t="shared" si="1"/>
        <v>27</v>
      </c>
      <c r="E29" s="6">
        <v>0</v>
      </c>
      <c r="F29" s="4">
        <v>0</v>
      </c>
      <c r="G29" s="5">
        <f t="shared" si="0"/>
        <v>0</v>
      </c>
      <c r="H29" s="9">
        <f t="shared" si="2"/>
        <v>27</v>
      </c>
    </row>
    <row r="30" spans="1:8" x14ac:dyDescent="0.25">
      <c r="A30" s="14" t="s">
        <v>37</v>
      </c>
      <c r="B30" s="6">
        <v>3</v>
      </c>
      <c r="C30" s="4">
        <v>1</v>
      </c>
      <c r="D30" s="5">
        <f t="shared" si="1"/>
        <v>4</v>
      </c>
      <c r="E30" s="6">
        <v>1</v>
      </c>
      <c r="F30" s="4">
        <v>0</v>
      </c>
      <c r="G30" s="5">
        <f t="shared" si="0"/>
        <v>1</v>
      </c>
      <c r="H30" s="9">
        <f t="shared" si="2"/>
        <v>5</v>
      </c>
    </row>
    <row r="31" spans="1:8" x14ac:dyDescent="0.25">
      <c r="A31" s="14" t="s">
        <v>38</v>
      </c>
      <c r="B31" s="6">
        <v>0</v>
      </c>
      <c r="C31" s="4">
        <v>3</v>
      </c>
      <c r="D31" s="5">
        <f t="shared" si="1"/>
        <v>3</v>
      </c>
      <c r="E31" s="6">
        <v>0</v>
      </c>
      <c r="F31" s="4">
        <v>0</v>
      </c>
      <c r="G31" s="5">
        <f t="shared" si="0"/>
        <v>0</v>
      </c>
      <c r="H31" s="9">
        <f t="shared" si="2"/>
        <v>3</v>
      </c>
    </row>
    <row r="32" spans="1:8" x14ac:dyDescent="0.25">
      <c r="A32" s="14" t="s">
        <v>24</v>
      </c>
      <c r="B32" s="6">
        <v>10</v>
      </c>
      <c r="C32" s="4">
        <v>19</v>
      </c>
      <c r="D32" s="5">
        <f t="shared" si="1"/>
        <v>29</v>
      </c>
      <c r="E32" s="6">
        <v>1</v>
      </c>
      <c r="F32" s="4">
        <v>0</v>
      </c>
      <c r="G32" s="5">
        <f t="shared" si="0"/>
        <v>1</v>
      </c>
      <c r="H32" s="9">
        <f t="shared" si="2"/>
        <v>30</v>
      </c>
    </row>
    <row r="33" spans="1:8" x14ac:dyDescent="0.25">
      <c r="A33" s="14" t="s">
        <v>39</v>
      </c>
      <c r="B33" s="6">
        <v>1</v>
      </c>
      <c r="C33" s="4">
        <v>16</v>
      </c>
      <c r="D33" s="5">
        <f t="shared" si="1"/>
        <v>17</v>
      </c>
      <c r="E33" s="6">
        <v>0</v>
      </c>
      <c r="F33" s="4">
        <v>0</v>
      </c>
      <c r="G33" s="5">
        <f t="shared" si="0"/>
        <v>0</v>
      </c>
      <c r="H33" s="9">
        <f t="shared" si="2"/>
        <v>17</v>
      </c>
    </row>
    <row r="34" spans="1:8" x14ac:dyDescent="0.25">
      <c r="A34" s="14" t="s">
        <v>25</v>
      </c>
      <c r="B34" s="6">
        <v>23</v>
      </c>
      <c r="C34" s="4">
        <v>1</v>
      </c>
      <c r="D34" s="5">
        <f t="shared" si="1"/>
        <v>24</v>
      </c>
      <c r="E34" s="6">
        <v>2</v>
      </c>
      <c r="F34" s="4">
        <v>0</v>
      </c>
      <c r="G34" s="5">
        <f t="shared" si="0"/>
        <v>2</v>
      </c>
      <c r="H34" s="9">
        <f t="shared" si="2"/>
        <v>26</v>
      </c>
    </row>
    <row r="35" spans="1:8" x14ac:dyDescent="0.25">
      <c r="A35" s="14" t="s">
        <v>1</v>
      </c>
      <c r="B35" s="6">
        <v>35</v>
      </c>
      <c r="C35" s="4">
        <v>0</v>
      </c>
      <c r="D35" s="5">
        <f t="shared" si="1"/>
        <v>35</v>
      </c>
      <c r="E35" s="6">
        <v>0</v>
      </c>
      <c r="F35" s="4">
        <v>57</v>
      </c>
      <c r="G35" s="5">
        <f t="shared" si="0"/>
        <v>57</v>
      </c>
      <c r="H35" s="9">
        <f t="shared" si="2"/>
        <v>92</v>
      </c>
    </row>
    <row r="36" spans="1:8" x14ac:dyDescent="0.25">
      <c r="A36" s="14" t="s">
        <v>98</v>
      </c>
      <c r="B36" s="6">
        <v>0</v>
      </c>
      <c r="C36" s="4">
        <v>0</v>
      </c>
      <c r="D36" s="5">
        <f t="shared" si="1"/>
        <v>0</v>
      </c>
      <c r="E36" s="6">
        <v>0</v>
      </c>
      <c r="F36" s="4">
        <v>1</v>
      </c>
      <c r="G36" s="5">
        <f t="shared" si="0"/>
        <v>1</v>
      </c>
      <c r="H36" s="9">
        <f t="shared" si="2"/>
        <v>1</v>
      </c>
    </row>
    <row r="37" spans="1:8" x14ac:dyDescent="0.25">
      <c r="A37" s="14" t="s">
        <v>26</v>
      </c>
      <c r="B37" s="6">
        <v>0</v>
      </c>
      <c r="C37" s="4">
        <v>2</v>
      </c>
      <c r="D37" s="5">
        <f t="shared" si="1"/>
        <v>2</v>
      </c>
      <c r="E37" s="6">
        <v>2</v>
      </c>
      <c r="F37" s="4">
        <v>0</v>
      </c>
      <c r="G37" s="5">
        <f t="shared" si="0"/>
        <v>2</v>
      </c>
      <c r="H37" s="9">
        <f t="shared" si="2"/>
        <v>4</v>
      </c>
    </row>
    <row r="38" spans="1:8" x14ac:dyDescent="0.25">
      <c r="A38" s="14" t="s">
        <v>27</v>
      </c>
      <c r="B38" s="6">
        <v>1</v>
      </c>
      <c r="C38" s="4">
        <v>5</v>
      </c>
      <c r="D38" s="5">
        <f t="shared" si="1"/>
        <v>6</v>
      </c>
      <c r="E38" s="6">
        <v>0</v>
      </c>
      <c r="F38" s="4">
        <v>0</v>
      </c>
      <c r="G38" s="5">
        <f t="shared" si="0"/>
        <v>0</v>
      </c>
      <c r="H38" s="9">
        <f t="shared" si="2"/>
        <v>6</v>
      </c>
    </row>
    <row r="39" spans="1:8" x14ac:dyDescent="0.25">
      <c r="A39" s="14" t="s">
        <v>99</v>
      </c>
      <c r="B39" s="6">
        <v>5</v>
      </c>
      <c r="C39" s="4">
        <v>0</v>
      </c>
      <c r="D39" s="5">
        <f t="shared" si="1"/>
        <v>5</v>
      </c>
      <c r="E39" s="6">
        <v>0</v>
      </c>
      <c r="F39" s="4">
        <v>0</v>
      </c>
      <c r="G39" s="5">
        <f t="shared" si="0"/>
        <v>0</v>
      </c>
      <c r="H39" s="9">
        <f t="shared" si="2"/>
        <v>5</v>
      </c>
    </row>
    <row r="40" spans="1:8" x14ac:dyDescent="0.25">
      <c r="A40" s="14" t="s">
        <v>95</v>
      </c>
      <c r="B40" s="6">
        <v>0</v>
      </c>
      <c r="C40" s="4">
        <v>0</v>
      </c>
      <c r="D40" s="5">
        <f t="shared" si="1"/>
        <v>0</v>
      </c>
      <c r="E40" s="6">
        <v>1</v>
      </c>
      <c r="F40" s="4">
        <v>0</v>
      </c>
      <c r="G40" s="5">
        <f t="shared" si="0"/>
        <v>1</v>
      </c>
      <c r="H40" s="9">
        <f t="shared" si="2"/>
        <v>1</v>
      </c>
    </row>
    <row r="41" spans="1:8" x14ac:dyDescent="0.25">
      <c r="A41" s="14" t="s">
        <v>100</v>
      </c>
      <c r="B41" s="6">
        <v>0</v>
      </c>
      <c r="C41" s="4">
        <v>0</v>
      </c>
      <c r="D41" s="5">
        <f t="shared" si="1"/>
        <v>0</v>
      </c>
      <c r="E41" s="6">
        <v>1</v>
      </c>
      <c r="F41" s="4">
        <v>0</v>
      </c>
      <c r="G41" s="5">
        <f t="shared" si="0"/>
        <v>1</v>
      </c>
      <c r="H41" s="9">
        <f t="shared" si="2"/>
        <v>1</v>
      </c>
    </row>
    <row r="42" spans="1:8" x14ac:dyDescent="0.25">
      <c r="A42" s="14" t="s">
        <v>28</v>
      </c>
      <c r="B42" s="6">
        <v>1</v>
      </c>
      <c r="C42" s="4">
        <v>8</v>
      </c>
      <c r="D42" s="5">
        <f t="shared" si="1"/>
        <v>9</v>
      </c>
      <c r="E42" s="6">
        <v>0</v>
      </c>
      <c r="F42" s="4">
        <v>0</v>
      </c>
      <c r="G42" s="5">
        <f t="shared" si="0"/>
        <v>0</v>
      </c>
      <c r="H42" s="9">
        <f t="shared" si="2"/>
        <v>9</v>
      </c>
    </row>
    <row r="43" spans="1:8" x14ac:dyDescent="0.25">
      <c r="A43" s="14" t="s">
        <v>29</v>
      </c>
      <c r="B43" s="6">
        <v>0</v>
      </c>
      <c r="C43" s="4">
        <v>3</v>
      </c>
      <c r="D43" s="5">
        <f t="shared" si="1"/>
        <v>3</v>
      </c>
      <c r="E43" s="6">
        <v>1</v>
      </c>
      <c r="F43" s="4">
        <v>1</v>
      </c>
      <c r="G43" s="5">
        <f t="shared" si="0"/>
        <v>2</v>
      </c>
      <c r="H43" s="9">
        <f t="shared" si="2"/>
        <v>5</v>
      </c>
    </row>
    <row r="44" spans="1:8" x14ac:dyDescent="0.25">
      <c r="A44" s="14" t="s">
        <v>31</v>
      </c>
      <c r="B44" s="6">
        <v>0</v>
      </c>
      <c r="C44" s="4">
        <v>2</v>
      </c>
      <c r="D44" s="5">
        <f t="shared" si="1"/>
        <v>2</v>
      </c>
      <c r="E44" s="6">
        <v>0</v>
      </c>
      <c r="F44" s="4">
        <v>0</v>
      </c>
      <c r="G44" s="5">
        <f t="shared" si="0"/>
        <v>0</v>
      </c>
      <c r="H44" s="9">
        <f t="shared" si="2"/>
        <v>2</v>
      </c>
    </row>
    <row r="45" spans="1:8" x14ac:dyDescent="0.25">
      <c r="A45" s="14" t="s">
        <v>33</v>
      </c>
      <c r="B45" s="6">
        <v>5</v>
      </c>
      <c r="C45" s="4">
        <v>33</v>
      </c>
      <c r="D45" s="5">
        <f t="shared" si="1"/>
        <v>38</v>
      </c>
      <c r="E45" s="6">
        <v>5</v>
      </c>
      <c r="F45" s="4">
        <v>0</v>
      </c>
      <c r="G45" s="5">
        <f t="shared" si="0"/>
        <v>5</v>
      </c>
      <c r="H45" s="9">
        <f t="shared" si="2"/>
        <v>43</v>
      </c>
    </row>
    <row r="46" spans="1:8" x14ac:dyDescent="0.25">
      <c r="A46" s="14" t="s">
        <v>69</v>
      </c>
      <c r="B46" s="6">
        <v>3</v>
      </c>
      <c r="C46" s="4">
        <v>15</v>
      </c>
      <c r="D46" s="5">
        <f t="shared" si="1"/>
        <v>18</v>
      </c>
      <c r="E46" s="6">
        <v>0</v>
      </c>
      <c r="F46" s="4">
        <v>3</v>
      </c>
      <c r="G46" s="5">
        <f t="shared" si="0"/>
        <v>3</v>
      </c>
      <c r="H46" s="9">
        <f t="shared" si="2"/>
        <v>21</v>
      </c>
    </row>
    <row r="47" spans="1:8" x14ac:dyDescent="0.25">
      <c r="A47" s="14" t="s">
        <v>34</v>
      </c>
      <c r="B47" s="6">
        <v>3</v>
      </c>
      <c r="C47" s="4">
        <v>1</v>
      </c>
      <c r="D47" s="5">
        <f t="shared" si="1"/>
        <v>4</v>
      </c>
      <c r="E47" s="6">
        <v>0</v>
      </c>
      <c r="F47" s="4">
        <v>0</v>
      </c>
      <c r="G47" s="5">
        <f t="shared" si="0"/>
        <v>0</v>
      </c>
      <c r="H47" s="9">
        <f t="shared" si="2"/>
        <v>4</v>
      </c>
    </row>
    <row r="48" spans="1:8" x14ac:dyDescent="0.25">
      <c r="A48" s="14" t="s">
        <v>35</v>
      </c>
      <c r="B48" s="6">
        <v>0</v>
      </c>
      <c r="C48" s="4">
        <v>5</v>
      </c>
      <c r="D48" s="5">
        <f t="shared" si="1"/>
        <v>5</v>
      </c>
      <c r="E48" s="6">
        <v>0</v>
      </c>
      <c r="F48" s="4">
        <v>0</v>
      </c>
      <c r="G48" s="5">
        <f t="shared" si="0"/>
        <v>0</v>
      </c>
      <c r="H48" s="9">
        <f t="shared" si="2"/>
        <v>5</v>
      </c>
    </row>
    <row r="49" spans="1:8" ht="15.75" thickBot="1" x14ac:dyDescent="0.3">
      <c r="A49" s="15" t="s">
        <v>70</v>
      </c>
      <c r="B49" s="11">
        <v>1</v>
      </c>
      <c r="C49" s="12">
        <v>0</v>
      </c>
      <c r="D49" s="12">
        <f t="shared" si="1"/>
        <v>1</v>
      </c>
      <c r="E49" s="11">
        <v>0</v>
      </c>
      <c r="F49" s="12">
        <v>0</v>
      </c>
      <c r="G49" s="13">
        <f t="shared" si="0"/>
        <v>0</v>
      </c>
      <c r="H49" s="16">
        <f t="shared" si="2"/>
        <v>1</v>
      </c>
    </row>
    <row r="50" spans="1:8" ht="16.5" thickTop="1" thickBot="1" x14ac:dyDescent="0.3">
      <c r="A50" s="8" t="s">
        <v>0</v>
      </c>
      <c r="B50" s="7">
        <f t="shared" ref="B50:H50" si="3">SUM(B7:B49)</f>
        <v>183</v>
      </c>
      <c r="C50" s="7">
        <f t="shared" si="3"/>
        <v>302</v>
      </c>
      <c r="D50" s="7">
        <f t="shared" si="3"/>
        <v>485</v>
      </c>
      <c r="E50" s="7">
        <f t="shared" si="3"/>
        <v>35</v>
      </c>
      <c r="F50" s="7">
        <f t="shared" si="3"/>
        <v>81</v>
      </c>
      <c r="G50" s="8">
        <f t="shared" si="3"/>
        <v>116</v>
      </c>
      <c r="H50" s="10">
        <f t="shared" si="3"/>
        <v>601</v>
      </c>
    </row>
    <row r="51" spans="1:8" ht="15.75" thickBot="1" x14ac:dyDescent="0.3">
      <c r="A51" s="18"/>
      <c r="B51" s="18"/>
      <c r="C51" s="18"/>
      <c r="D51" s="18"/>
      <c r="E51" s="18"/>
      <c r="F51" s="18"/>
      <c r="G51" s="18"/>
      <c r="H51" s="18"/>
    </row>
    <row r="52" spans="1:8" x14ac:dyDescent="0.25">
      <c r="A52" s="21" t="s">
        <v>40</v>
      </c>
      <c r="B52" s="37" t="s">
        <v>3</v>
      </c>
      <c r="C52" s="38"/>
      <c r="D52" s="52"/>
      <c r="E52" s="37" t="s">
        <v>4</v>
      </c>
      <c r="F52" s="38"/>
      <c r="G52" s="52"/>
      <c r="H52" s="17" t="s">
        <v>0</v>
      </c>
    </row>
    <row r="53" spans="1:8" x14ac:dyDescent="0.25">
      <c r="A53" s="22"/>
      <c r="B53" s="28" t="s">
        <v>48</v>
      </c>
      <c r="C53" s="29" t="s">
        <v>49</v>
      </c>
      <c r="D53" s="30" t="s">
        <v>0</v>
      </c>
      <c r="E53" s="28" t="s">
        <v>48</v>
      </c>
      <c r="F53" s="29" t="s">
        <v>49</v>
      </c>
      <c r="G53" s="30" t="s">
        <v>0</v>
      </c>
      <c r="H53" s="32" t="s">
        <v>36</v>
      </c>
    </row>
    <row r="54" spans="1:8" x14ac:dyDescent="0.25">
      <c r="A54" s="14" t="s">
        <v>41</v>
      </c>
      <c r="B54" s="6">
        <v>74</v>
      </c>
      <c r="C54" s="4">
        <v>71</v>
      </c>
      <c r="D54" s="5">
        <f t="shared" ref="D54:D62" si="4">SUM(B54+C54)</f>
        <v>145</v>
      </c>
      <c r="E54" s="6">
        <v>5</v>
      </c>
      <c r="F54" s="4">
        <v>3</v>
      </c>
      <c r="G54" s="5">
        <f t="shared" ref="G54:G62" si="5">F54+E54</f>
        <v>8</v>
      </c>
      <c r="H54" s="9">
        <f t="shared" ref="H54:H62" si="6">D54+G54</f>
        <v>153</v>
      </c>
    </row>
    <row r="55" spans="1:8" x14ac:dyDescent="0.25">
      <c r="A55" s="14" t="s">
        <v>42</v>
      </c>
      <c r="B55" s="6">
        <v>11</v>
      </c>
      <c r="C55" s="4">
        <v>3</v>
      </c>
      <c r="D55" s="5">
        <f t="shared" si="4"/>
        <v>14</v>
      </c>
      <c r="E55" s="6">
        <v>2</v>
      </c>
      <c r="F55" s="4">
        <v>3</v>
      </c>
      <c r="G55" s="5">
        <f t="shared" si="5"/>
        <v>5</v>
      </c>
      <c r="H55" s="9">
        <f t="shared" si="6"/>
        <v>19</v>
      </c>
    </row>
    <row r="56" spans="1:8" x14ac:dyDescent="0.25">
      <c r="A56" s="14" t="s">
        <v>43</v>
      </c>
      <c r="B56" s="6">
        <v>0</v>
      </c>
      <c r="C56" s="4">
        <v>0</v>
      </c>
      <c r="D56" s="5">
        <f t="shared" si="4"/>
        <v>0</v>
      </c>
      <c r="E56" s="6">
        <v>2</v>
      </c>
      <c r="F56" s="4">
        <v>0</v>
      </c>
      <c r="G56" s="5">
        <f t="shared" si="5"/>
        <v>2</v>
      </c>
      <c r="H56" s="9">
        <f t="shared" si="6"/>
        <v>2</v>
      </c>
    </row>
    <row r="57" spans="1:8" x14ac:dyDescent="0.25">
      <c r="A57" s="14" t="s">
        <v>60</v>
      </c>
      <c r="B57" s="6">
        <v>0</v>
      </c>
      <c r="C57" s="4">
        <v>0</v>
      </c>
      <c r="D57" s="5">
        <f t="shared" ref="D57" si="7">SUM(B57+C57)</f>
        <v>0</v>
      </c>
      <c r="E57" s="6">
        <v>8</v>
      </c>
      <c r="F57" s="4">
        <v>8</v>
      </c>
      <c r="G57" s="5">
        <f t="shared" ref="G57" si="8">F57+E57</f>
        <v>16</v>
      </c>
      <c r="H57" s="9">
        <f t="shared" ref="H57" si="9">D57+G57</f>
        <v>16</v>
      </c>
    </row>
    <row r="58" spans="1:8" x14ac:dyDescent="0.25">
      <c r="A58" s="14" t="s">
        <v>73</v>
      </c>
      <c r="B58" s="6">
        <v>27</v>
      </c>
      <c r="C58" s="4">
        <v>18</v>
      </c>
      <c r="D58" s="5">
        <f t="shared" si="4"/>
        <v>45</v>
      </c>
      <c r="E58" s="6">
        <v>3</v>
      </c>
      <c r="F58" s="4">
        <v>5</v>
      </c>
      <c r="G58" s="5">
        <f t="shared" si="5"/>
        <v>8</v>
      </c>
      <c r="H58" s="9">
        <f t="shared" si="6"/>
        <v>53</v>
      </c>
    </row>
    <row r="59" spans="1:8" x14ac:dyDescent="0.25">
      <c r="A59" s="14" t="s">
        <v>1</v>
      </c>
      <c r="B59" s="6">
        <v>35</v>
      </c>
      <c r="C59" s="4">
        <v>0</v>
      </c>
      <c r="D59" s="5">
        <f t="shared" si="4"/>
        <v>35</v>
      </c>
      <c r="E59" s="6">
        <v>0</v>
      </c>
      <c r="F59" s="4">
        <v>57</v>
      </c>
      <c r="G59" s="5">
        <f t="shared" si="5"/>
        <v>57</v>
      </c>
      <c r="H59" s="9">
        <f t="shared" si="6"/>
        <v>92</v>
      </c>
    </row>
    <row r="60" spans="1:8" x14ac:dyDescent="0.25">
      <c r="A60" s="14" t="s">
        <v>45</v>
      </c>
      <c r="B60" s="6">
        <v>6</v>
      </c>
      <c r="C60" s="4">
        <v>38</v>
      </c>
      <c r="D60" s="5">
        <f t="shared" si="4"/>
        <v>44</v>
      </c>
      <c r="E60" s="6">
        <v>5</v>
      </c>
      <c r="F60" s="4">
        <v>2</v>
      </c>
      <c r="G60" s="5">
        <f t="shared" si="5"/>
        <v>7</v>
      </c>
      <c r="H60" s="9">
        <f t="shared" si="6"/>
        <v>51</v>
      </c>
    </row>
    <row r="61" spans="1:8" x14ac:dyDescent="0.25">
      <c r="A61" s="14" t="s">
        <v>46</v>
      </c>
      <c r="B61" s="6">
        <v>5</v>
      </c>
      <c r="C61" s="4">
        <v>12</v>
      </c>
      <c r="D61" s="5">
        <f t="shared" si="4"/>
        <v>17</v>
      </c>
      <c r="E61" s="6">
        <v>2</v>
      </c>
      <c r="F61" s="4">
        <v>0</v>
      </c>
      <c r="G61" s="5">
        <f t="shared" si="5"/>
        <v>2</v>
      </c>
      <c r="H61" s="9">
        <f t="shared" si="6"/>
        <v>19</v>
      </c>
    </row>
    <row r="62" spans="1:8" ht="15.75" thickBot="1" x14ac:dyDescent="0.3">
      <c r="A62" s="15" t="s">
        <v>47</v>
      </c>
      <c r="B62" s="11">
        <v>25</v>
      </c>
      <c r="C62" s="12">
        <v>160</v>
      </c>
      <c r="D62" s="12">
        <f t="shared" si="4"/>
        <v>185</v>
      </c>
      <c r="E62" s="11">
        <v>8</v>
      </c>
      <c r="F62" s="12">
        <v>3</v>
      </c>
      <c r="G62" s="13">
        <f t="shared" si="5"/>
        <v>11</v>
      </c>
      <c r="H62" s="16">
        <f t="shared" si="6"/>
        <v>196</v>
      </c>
    </row>
    <row r="63" spans="1:8" ht="16.5" thickTop="1" thickBot="1" x14ac:dyDescent="0.3">
      <c r="A63" s="8" t="s">
        <v>0</v>
      </c>
      <c r="B63" s="7">
        <f t="shared" ref="B63:C63" si="10">SUM(B54:B62)</f>
        <v>183</v>
      </c>
      <c r="C63" s="7">
        <f t="shared" si="10"/>
        <v>302</v>
      </c>
      <c r="D63" s="7">
        <f>SUM(D54:D62)</f>
        <v>485</v>
      </c>
      <c r="E63" s="7">
        <f>SUM(E54:E62)</f>
        <v>35</v>
      </c>
      <c r="F63" s="7">
        <f>SUM(F54:F62)</f>
        <v>81</v>
      </c>
      <c r="G63" s="8">
        <f>SUM(G54:G62)</f>
        <v>116</v>
      </c>
      <c r="H63" s="10">
        <f>SUM(H54:H62)</f>
        <v>601</v>
      </c>
    </row>
    <row r="65" spans="1:8" x14ac:dyDescent="0.25">
      <c r="A65" s="48" t="s">
        <v>76</v>
      </c>
      <c r="B65" s="48"/>
      <c r="C65" s="48"/>
      <c r="D65" s="48"/>
      <c r="E65" s="48"/>
      <c r="F65" s="48"/>
      <c r="G65" s="48"/>
      <c r="H65" s="48"/>
    </row>
    <row r="69" spans="1:8" x14ac:dyDescent="0.25">
      <c r="A69" s="49"/>
      <c r="B69" s="49"/>
      <c r="C69" s="49"/>
      <c r="D69" s="49"/>
      <c r="E69" s="49"/>
      <c r="F69" s="49"/>
      <c r="G69" s="49"/>
      <c r="H69" s="49"/>
    </row>
  </sheetData>
  <mergeCells count="7">
    <mergeCell ref="A65:H65"/>
    <mergeCell ref="A69:H69"/>
    <mergeCell ref="A2:H2"/>
    <mergeCell ref="B5:D5"/>
    <mergeCell ref="E5:G5"/>
    <mergeCell ref="B52:D52"/>
    <mergeCell ref="E52:G52"/>
  </mergeCells>
  <pageMargins left="0.25" right="0.25" top="0.75" bottom="0.75" header="0.3" footer="0.3"/>
  <pageSetup paperSize="9" orientation="portrait" r:id="rId1"/>
  <headerFooter>
    <oddHeader>&amp;CUCL Student Data Statistics</oddHeader>
    <oddFooter>&amp;C&amp;P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view="pageLayout" topLeftCell="B46" zoomScale="85" zoomScaleNormal="100" zoomScalePageLayoutView="85" workbookViewId="0">
      <selection activeCell="E53" sqref="E53"/>
    </sheetView>
  </sheetViews>
  <sheetFormatPr defaultColWidth="9.140625" defaultRowHeight="15" x14ac:dyDescent="0.25"/>
  <cols>
    <col min="1" max="1" width="29.28515625" bestFit="1" customWidth="1"/>
    <col min="2" max="8" width="8.5703125" customWidth="1"/>
  </cols>
  <sheetData>
    <row r="1" spans="1:8" ht="18" x14ac:dyDescent="0.25">
      <c r="A1" s="1" t="s">
        <v>50</v>
      </c>
      <c r="B1" s="3"/>
    </row>
    <row r="2" spans="1:8" x14ac:dyDescent="0.25">
      <c r="A2" s="33" t="s">
        <v>51</v>
      </c>
      <c r="B2" s="33"/>
      <c r="C2" s="33"/>
      <c r="D2" s="33"/>
      <c r="E2" s="33"/>
      <c r="F2" s="33"/>
      <c r="G2" s="33"/>
      <c r="H2" s="33"/>
    </row>
    <row r="3" spans="1:8" x14ac:dyDescent="0.25">
      <c r="A3" s="2" t="str">
        <f ca="1">RIGHT(CELL("filename",A1),LEN(CELL("filename",A1))-FIND("]",CELL("filename",A1)))</f>
        <v>2001-02</v>
      </c>
      <c r="B3" s="3"/>
    </row>
    <row r="4" spans="1:8" ht="15.75" thickBot="1" x14ac:dyDescent="0.3">
      <c r="A4" s="3"/>
      <c r="B4" s="3"/>
    </row>
    <row r="5" spans="1:8" ht="15" customHeight="1" x14ac:dyDescent="0.25">
      <c r="A5" s="21" t="s">
        <v>2</v>
      </c>
      <c r="B5" s="37" t="s">
        <v>3</v>
      </c>
      <c r="C5" s="38"/>
      <c r="D5" s="38"/>
      <c r="E5" s="37" t="s">
        <v>4</v>
      </c>
      <c r="F5" s="38"/>
      <c r="G5" s="38"/>
      <c r="H5" s="21" t="s">
        <v>0</v>
      </c>
    </row>
    <row r="6" spans="1:8" ht="15" customHeight="1" x14ac:dyDescent="0.25">
      <c r="A6" s="22"/>
      <c r="B6" s="28" t="s">
        <v>48</v>
      </c>
      <c r="C6" s="29" t="s">
        <v>49</v>
      </c>
      <c r="D6" s="30" t="s">
        <v>0</v>
      </c>
      <c r="E6" s="28" t="s">
        <v>48</v>
      </c>
      <c r="F6" s="29" t="s">
        <v>49</v>
      </c>
      <c r="G6" s="30" t="s">
        <v>0</v>
      </c>
      <c r="H6" s="22"/>
    </row>
    <row r="7" spans="1:8" x14ac:dyDescent="0.25">
      <c r="A7" s="14" t="s">
        <v>5</v>
      </c>
      <c r="B7" s="6">
        <v>0</v>
      </c>
      <c r="C7" s="4">
        <v>1</v>
      </c>
      <c r="D7" s="5">
        <f>B7+C7</f>
        <v>1</v>
      </c>
      <c r="E7" s="6">
        <v>0</v>
      </c>
      <c r="F7" s="4">
        <v>0</v>
      </c>
      <c r="G7" s="5">
        <f t="shared" ref="G7:G55" si="0">E7+F7</f>
        <v>0</v>
      </c>
      <c r="H7" s="9">
        <f>G7+D7</f>
        <v>1</v>
      </c>
    </row>
    <row r="8" spans="1:8" x14ac:dyDescent="0.25">
      <c r="A8" s="14" t="s">
        <v>6</v>
      </c>
      <c r="B8" s="6">
        <v>4</v>
      </c>
      <c r="C8" s="4">
        <v>9</v>
      </c>
      <c r="D8" s="5">
        <f t="shared" ref="D8:D55" si="1">B8+C8</f>
        <v>13</v>
      </c>
      <c r="E8" s="6">
        <v>0</v>
      </c>
      <c r="F8" s="4">
        <v>0</v>
      </c>
      <c r="G8" s="5">
        <f t="shared" si="0"/>
        <v>0</v>
      </c>
      <c r="H8" s="9">
        <f t="shared" ref="H8:H55" si="2">G8+D8</f>
        <v>13</v>
      </c>
    </row>
    <row r="9" spans="1:8" x14ac:dyDescent="0.25">
      <c r="A9" s="14" t="s">
        <v>7</v>
      </c>
      <c r="B9" s="6">
        <v>1</v>
      </c>
      <c r="C9" s="4">
        <v>8</v>
      </c>
      <c r="D9" s="5">
        <f t="shared" si="1"/>
        <v>9</v>
      </c>
      <c r="E9" s="6">
        <v>0</v>
      </c>
      <c r="F9" s="4">
        <v>0</v>
      </c>
      <c r="G9" s="5">
        <f t="shared" si="0"/>
        <v>0</v>
      </c>
      <c r="H9" s="9">
        <f t="shared" si="2"/>
        <v>9</v>
      </c>
    </row>
    <row r="10" spans="1:8" x14ac:dyDescent="0.25">
      <c r="A10" s="14" t="s">
        <v>8</v>
      </c>
      <c r="B10" s="6">
        <v>12</v>
      </c>
      <c r="C10" s="4">
        <v>1</v>
      </c>
      <c r="D10" s="5">
        <f t="shared" si="1"/>
        <v>13</v>
      </c>
      <c r="E10" s="6">
        <v>4</v>
      </c>
      <c r="F10" s="4">
        <v>1</v>
      </c>
      <c r="G10" s="5">
        <f t="shared" si="0"/>
        <v>5</v>
      </c>
      <c r="H10" s="9">
        <f t="shared" si="2"/>
        <v>18</v>
      </c>
    </row>
    <row r="11" spans="1:8" x14ac:dyDescent="0.25">
      <c r="A11" s="14" t="s">
        <v>54</v>
      </c>
      <c r="B11" s="6">
        <v>1</v>
      </c>
      <c r="C11" s="4">
        <v>0</v>
      </c>
      <c r="D11" s="5">
        <f t="shared" si="1"/>
        <v>1</v>
      </c>
      <c r="E11" s="6">
        <v>0</v>
      </c>
      <c r="F11" s="4">
        <v>0</v>
      </c>
      <c r="G11" s="5">
        <f t="shared" si="0"/>
        <v>0</v>
      </c>
      <c r="H11" s="9">
        <f t="shared" si="2"/>
        <v>1</v>
      </c>
    </row>
    <row r="12" spans="1:8" x14ac:dyDescent="0.25">
      <c r="A12" s="14" t="s">
        <v>9</v>
      </c>
      <c r="B12" s="6">
        <v>1</v>
      </c>
      <c r="C12" s="4">
        <v>4</v>
      </c>
      <c r="D12" s="5">
        <f t="shared" si="1"/>
        <v>5</v>
      </c>
      <c r="E12" s="6">
        <v>0</v>
      </c>
      <c r="F12" s="4">
        <v>0</v>
      </c>
      <c r="G12" s="5">
        <f t="shared" si="0"/>
        <v>0</v>
      </c>
      <c r="H12" s="9">
        <f t="shared" si="2"/>
        <v>5</v>
      </c>
    </row>
    <row r="13" spans="1:8" x14ac:dyDescent="0.25">
      <c r="A13" s="14" t="s">
        <v>10</v>
      </c>
      <c r="B13" s="6">
        <v>0</v>
      </c>
      <c r="C13" s="4">
        <v>2</v>
      </c>
      <c r="D13" s="5">
        <f t="shared" si="1"/>
        <v>2</v>
      </c>
      <c r="E13" s="6">
        <v>0</v>
      </c>
      <c r="F13" s="4">
        <v>1</v>
      </c>
      <c r="G13" s="5">
        <f t="shared" si="0"/>
        <v>1</v>
      </c>
      <c r="H13" s="9">
        <f t="shared" si="2"/>
        <v>3</v>
      </c>
    </row>
    <row r="14" spans="1:8" x14ac:dyDescent="0.25">
      <c r="A14" s="14" t="s">
        <v>57</v>
      </c>
      <c r="B14" s="6">
        <v>7</v>
      </c>
      <c r="C14" s="4">
        <v>4</v>
      </c>
      <c r="D14" s="5">
        <f t="shared" si="1"/>
        <v>11</v>
      </c>
      <c r="E14" s="6">
        <v>0</v>
      </c>
      <c r="F14" s="4">
        <v>0</v>
      </c>
      <c r="G14" s="5">
        <f t="shared" si="0"/>
        <v>0</v>
      </c>
      <c r="H14" s="9">
        <f t="shared" si="2"/>
        <v>11</v>
      </c>
    </row>
    <row r="15" spans="1:8" x14ac:dyDescent="0.25">
      <c r="A15" s="14" t="s">
        <v>12</v>
      </c>
      <c r="B15" s="6">
        <v>2</v>
      </c>
      <c r="C15" s="4">
        <v>3</v>
      </c>
      <c r="D15" s="5">
        <f t="shared" si="1"/>
        <v>5</v>
      </c>
      <c r="E15" s="6">
        <v>0</v>
      </c>
      <c r="F15" s="4">
        <v>0</v>
      </c>
      <c r="G15" s="5">
        <f t="shared" si="0"/>
        <v>0</v>
      </c>
      <c r="H15" s="9">
        <f t="shared" si="2"/>
        <v>5</v>
      </c>
    </row>
    <row r="16" spans="1:8" x14ac:dyDescent="0.25">
      <c r="A16" s="14" t="s">
        <v>13</v>
      </c>
      <c r="B16" s="6">
        <v>0</v>
      </c>
      <c r="C16" s="4">
        <v>3</v>
      </c>
      <c r="D16" s="5">
        <f t="shared" si="1"/>
        <v>3</v>
      </c>
      <c r="E16" s="6">
        <v>0</v>
      </c>
      <c r="F16" s="4">
        <v>1</v>
      </c>
      <c r="G16" s="5">
        <f t="shared" si="0"/>
        <v>1</v>
      </c>
      <c r="H16" s="9">
        <f t="shared" si="2"/>
        <v>4</v>
      </c>
    </row>
    <row r="17" spans="1:8" x14ac:dyDescent="0.25">
      <c r="A17" s="14" t="s">
        <v>52</v>
      </c>
      <c r="B17" s="6">
        <v>1</v>
      </c>
      <c r="C17" s="4">
        <v>1</v>
      </c>
      <c r="D17" s="5">
        <f t="shared" si="1"/>
        <v>2</v>
      </c>
      <c r="E17" s="6">
        <v>0</v>
      </c>
      <c r="F17" s="4">
        <v>0</v>
      </c>
      <c r="G17" s="5">
        <f t="shared" si="0"/>
        <v>0</v>
      </c>
      <c r="H17" s="9">
        <f t="shared" si="2"/>
        <v>2</v>
      </c>
    </row>
    <row r="18" spans="1:8" x14ac:dyDescent="0.25">
      <c r="A18" s="14" t="s">
        <v>97</v>
      </c>
      <c r="B18" s="6">
        <v>2</v>
      </c>
      <c r="C18" s="4">
        <v>15</v>
      </c>
      <c r="D18" s="5">
        <f t="shared" si="1"/>
        <v>17</v>
      </c>
      <c r="E18" s="6">
        <v>0</v>
      </c>
      <c r="F18" s="4">
        <v>0</v>
      </c>
      <c r="G18" s="5">
        <f t="shared" si="0"/>
        <v>0</v>
      </c>
      <c r="H18" s="9">
        <f t="shared" si="2"/>
        <v>17</v>
      </c>
    </row>
    <row r="19" spans="1:8" x14ac:dyDescent="0.25">
      <c r="A19" s="14" t="s">
        <v>14</v>
      </c>
      <c r="B19" s="6">
        <v>3</v>
      </c>
      <c r="C19" s="4">
        <v>3</v>
      </c>
      <c r="D19" s="5">
        <f t="shared" si="1"/>
        <v>6</v>
      </c>
      <c r="E19" s="6">
        <v>2</v>
      </c>
      <c r="F19" s="4">
        <v>0</v>
      </c>
      <c r="G19" s="5">
        <f t="shared" si="0"/>
        <v>2</v>
      </c>
      <c r="H19" s="9">
        <f t="shared" si="2"/>
        <v>8</v>
      </c>
    </row>
    <row r="20" spans="1:8" x14ac:dyDescent="0.25">
      <c r="A20" s="14" t="s">
        <v>16</v>
      </c>
      <c r="B20" s="6">
        <v>3</v>
      </c>
      <c r="C20" s="4">
        <v>0</v>
      </c>
      <c r="D20" s="5">
        <f t="shared" si="1"/>
        <v>3</v>
      </c>
      <c r="E20" s="6">
        <v>0</v>
      </c>
      <c r="F20" s="4">
        <v>0</v>
      </c>
      <c r="G20" s="5">
        <f t="shared" si="0"/>
        <v>0</v>
      </c>
      <c r="H20" s="9">
        <f t="shared" si="2"/>
        <v>3</v>
      </c>
    </row>
    <row r="21" spans="1:8" x14ac:dyDescent="0.25">
      <c r="A21" s="14" t="s">
        <v>60</v>
      </c>
      <c r="B21" s="6">
        <v>0</v>
      </c>
      <c r="C21" s="4">
        <v>0</v>
      </c>
      <c r="D21" s="5">
        <f t="shared" si="1"/>
        <v>0</v>
      </c>
      <c r="E21" s="6">
        <v>9</v>
      </c>
      <c r="F21" s="4">
        <v>7</v>
      </c>
      <c r="G21" s="5">
        <f t="shared" si="0"/>
        <v>16</v>
      </c>
      <c r="H21" s="9">
        <f t="shared" si="2"/>
        <v>16</v>
      </c>
    </row>
    <row r="22" spans="1:8" x14ac:dyDescent="0.25">
      <c r="A22" s="14" t="s">
        <v>17</v>
      </c>
      <c r="B22" s="6">
        <v>0</v>
      </c>
      <c r="C22" s="4">
        <v>73</v>
      </c>
      <c r="D22" s="5">
        <f t="shared" si="1"/>
        <v>73</v>
      </c>
      <c r="E22" s="6">
        <v>6</v>
      </c>
      <c r="F22" s="4">
        <v>0</v>
      </c>
      <c r="G22" s="5">
        <f t="shared" si="0"/>
        <v>6</v>
      </c>
      <c r="H22" s="9">
        <f t="shared" si="2"/>
        <v>79</v>
      </c>
    </row>
    <row r="23" spans="1:8" x14ac:dyDescent="0.25">
      <c r="A23" s="14" t="s">
        <v>18</v>
      </c>
      <c r="B23" s="6">
        <v>2</v>
      </c>
      <c r="C23" s="4">
        <v>2</v>
      </c>
      <c r="D23" s="5">
        <f t="shared" si="1"/>
        <v>4</v>
      </c>
      <c r="E23" s="6">
        <v>0</v>
      </c>
      <c r="F23" s="4">
        <v>0</v>
      </c>
      <c r="G23" s="5">
        <f t="shared" si="0"/>
        <v>0</v>
      </c>
      <c r="H23" s="9">
        <f t="shared" si="2"/>
        <v>4</v>
      </c>
    </row>
    <row r="24" spans="1:8" x14ac:dyDescent="0.25">
      <c r="A24" s="14" t="s">
        <v>19</v>
      </c>
      <c r="B24" s="6">
        <v>1</v>
      </c>
      <c r="C24" s="4">
        <v>26</v>
      </c>
      <c r="D24" s="5">
        <f t="shared" si="1"/>
        <v>27</v>
      </c>
      <c r="E24" s="6">
        <v>0</v>
      </c>
      <c r="F24" s="4">
        <v>0</v>
      </c>
      <c r="G24" s="5">
        <f t="shared" si="0"/>
        <v>0</v>
      </c>
      <c r="H24" s="9">
        <f t="shared" si="2"/>
        <v>27</v>
      </c>
    </row>
    <row r="25" spans="1:8" x14ac:dyDescent="0.25">
      <c r="A25" s="14" t="s">
        <v>20</v>
      </c>
      <c r="B25" s="6">
        <v>4</v>
      </c>
      <c r="C25" s="4">
        <v>18</v>
      </c>
      <c r="D25" s="5">
        <f t="shared" si="1"/>
        <v>22</v>
      </c>
      <c r="E25" s="6">
        <v>0</v>
      </c>
      <c r="F25" s="4">
        <v>1</v>
      </c>
      <c r="G25" s="5">
        <f t="shared" si="0"/>
        <v>1</v>
      </c>
      <c r="H25" s="9">
        <f t="shared" si="2"/>
        <v>23</v>
      </c>
    </row>
    <row r="26" spans="1:8" x14ac:dyDescent="0.25">
      <c r="A26" s="14" t="s">
        <v>62</v>
      </c>
      <c r="B26" s="6">
        <v>3</v>
      </c>
      <c r="C26" s="4">
        <v>0</v>
      </c>
      <c r="D26" s="5">
        <f t="shared" si="1"/>
        <v>3</v>
      </c>
      <c r="E26" s="6">
        <v>0</v>
      </c>
      <c r="F26" s="4">
        <v>0</v>
      </c>
      <c r="G26" s="5">
        <f t="shared" si="0"/>
        <v>0</v>
      </c>
      <c r="H26" s="9">
        <f t="shared" si="2"/>
        <v>3</v>
      </c>
    </row>
    <row r="27" spans="1:8" x14ac:dyDescent="0.25">
      <c r="A27" s="14" t="s">
        <v>81</v>
      </c>
      <c r="B27" s="6">
        <v>0</v>
      </c>
      <c r="C27" s="4">
        <v>0</v>
      </c>
      <c r="D27" s="5">
        <f t="shared" si="1"/>
        <v>0</v>
      </c>
      <c r="E27" s="6">
        <v>0</v>
      </c>
      <c r="F27" s="4">
        <v>1</v>
      </c>
      <c r="G27" s="5">
        <f t="shared" si="0"/>
        <v>1</v>
      </c>
      <c r="H27" s="9">
        <f t="shared" si="2"/>
        <v>1</v>
      </c>
    </row>
    <row r="28" spans="1:8" x14ac:dyDescent="0.25">
      <c r="A28" s="14" t="s">
        <v>21</v>
      </c>
      <c r="B28" s="6">
        <v>5</v>
      </c>
      <c r="C28" s="4">
        <v>15</v>
      </c>
      <c r="D28" s="5">
        <f t="shared" si="1"/>
        <v>20</v>
      </c>
      <c r="E28" s="6">
        <v>0</v>
      </c>
      <c r="F28" s="4">
        <v>0</v>
      </c>
      <c r="G28" s="5">
        <f t="shared" si="0"/>
        <v>0</v>
      </c>
      <c r="H28" s="9">
        <f t="shared" si="2"/>
        <v>20</v>
      </c>
    </row>
    <row r="29" spans="1:8" x14ac:dyDescent="0.25">
      <c r="A29" s="14" t="s">
        <v>22</v>
      </c>
      <c r="B29" s="6">
        <v>5</v>
      </c>
      <c r="C29" s="4">
        <v>0</v>
      </c>
      <c r="D29" s="5">
        <f t="shared" si="1"/>
        <v>5</v>
      </c>
      <c r="E29" s="6">
        <v>0</v>
      </c>
      <c r="F29" s="4">
        <v>0</v>
      </c>
      <c r="G29" s="5">
        <f t="shared" si="0"/>
        <v>0</v>
      </c>
      <c r="H29" s="9">
        <f t="shared" si="2"/>
        <v>5</v>
      </c>
    </row>
    <row r="30" spans="1:8" x14ac:dyDescent="0.25">
      <c r="A30" s="14" t="s">
        <v>89</v>
      </c>
      <c r="B30" s="6">
        <v>4</v>
      </c>
      <c r="C30" s="4">
        <v>0</v>
      </c>
      <c r="D30" s="5">
        <f t="shared" si="1"/>
        <v>4</v>
      </c>
      <c r="E30" s="6">
        <v>0</v>
      </c>
      <c r="F30" s="4">
        <v>1</v>
      </c>
      <c r="G30" s="5">
        <f t="shared" si="0"/>
        <v>1</v>
      </c>
      <c r="H30" s="9">
        <f t="shared" si="2"/>
        <v>5</v>
      </c>
    </row>
    <row r="31" spans="1:8" x14ac:dyDescent="0.25">
      <c r="A31" s="14" t="s">
        <v>23</v>
      </c>
      <c r="B31" s="6">
        <v>17</v>
      </c>
      <c r="C31" s="4">
        <v>1</v>
      </c>
      <c r="D31" s="5">
        <f t="shared" si="1"/>
        <v>18</v>
      </c>
      <c r="E31" s="6">
        <v>0</v>
      </c>
      <c r="F31" s="4">
        <v>0</v>
      </c>
      <c r="G31" s="5">
        <f t="shared" si="0"/>
        <v>0</v>
      </c>
      <c r="H31" s="9">
        <f t="shared" si="2"/>
        <v>18</v>
      </c>
    </row>
    <row r="32" spans="1:8" x14ac:dyDescent="0.25">
      <c r="A32" s="14" t="s">
        <v>37</v>
      </c>
      <c r="B32" s="6">
        <v>3</v>
      </c>
      <c r="C32" s="4">
        <v>2</v>
      </c>
      <c r="D32" s="5">
        <f t="shared" si="1"/>
        <v>5</v>
      </c>
      <c r="E32" s="6">
        <v>2</v>
      </c>
      <c r="F32" s="4">
        <v>0</v>
      </c>
      <c r="G32" s="5">
        <f t="shared" si="0"/>
        <v>2</v>
      </c>
      <c r="H32" s="9">
        <f t="shared" si="2"/>
        <v>7</v>
      </c>
    </row>
    <row r="33" spans="1:8" x14ac:dyDescent="0.25">
      <c r="A33" s="14" t="s">
        <v>38</v>
      </c>
      <c r="B33" s="6">
        <v>0</v>
      </c>
      <c r="C33" s="4">
        <v>3</v>
      </c>
      <c r="D33" s="5">
        <f t="shared" si="1"/>
        <v>3</v>
      </c>
      <c r="E33" s="6">
        <v>0</v>
      </c>
      <c r="F33" s="4">
        <v>0</v>
      </c>
      <c r="G33" s="5">
        <f t="shared" si="0"/>
        <v>0</v>
      </c>
      <c r="H33" s="9">
        <f t="shared" si="2"/>
        <v>3</v>
      </c>
    </row>
    <row r="34" spans="1:8" x14ac:dyDescent="0.25">
      <c r="A34" s="14" t="s">
        <v>24</v>
      </c>
      <c r="B34" s="6">
        <v>11</v>
      </c>
      <c r="C34" s="4">
        <v>38</v>
      </c>
      <c r="D34" s="5">
        <f t="shared" si="1"/>
        <v>49</v>
      </c>
      <c r="E34" s="6">
        <v>0</v>
      </c>
      <c r="F34" s="4">
        <v>1</v>
      </c>
      <c r="G34" s="5">
        <f t="shared" si="0"/>
        <v>1</v>
      </c>
      <c r="H34" s="9">
        <f t="shared" si="2"/>
        <v>50</v>
      </c>
    </row>
    <row r="35" spans="1:8" x14ac:dyDescent="0.25">
      <c r="A35" s="14" t="s">
        <v>39</v>
      </c>
      <c r="B35" s="6">
        <v>3</v>
      </c>
      <c r="C35" s="4">
        <v>11</v>
      </c>
      <c r="D35" s="5">
        <f t="shared" si="1"/>
        <v>14</v>
      </c>
      <c r="E35" s="6">
        <v>0</v>
      </c>
      <c r="F35" s="4">
        <v>0</v>
      </c>
      <c r="G35" s="5">
        <f t="shared" si="0"/>
        <v>0</v>
      </c>
      <c r="H35" s="9">
        <f t="shared" si="2"/>
        <v>14</v>
      </c>
    </row>
    <row r="36" spans="1:8" x14ac:dyDescent="0.25">
      <c r="A36" s="14" t="s">
        <v>91</v>
      </c>
      <c r="B36" s="6">
        <v>0</v>
      </c>
      <c r="C36" s="4">
        <v>1</v>
      </c>
      <c r="D36" s="5">
        <f t="shared" si="1"/>
        <v>1</v>
      </c>
      <c r="E36" s="6">
        <v>0</v>
      </c>
      <c r="F36" s="4">
        <v>0</v>
      </c>
      <c r="G36" s="5">
        <f t="shared" si="0"/>
        <v>0</v>
      </c>
      <c r="H36" s="9">
        <f t="shared" si="2"/>
        <v>1</v>
      </c>
    </row>
    <row r="37" spans="1:8" x14ac:dyDescent="0.25">
      <c r="A37" s="14" t="s">
        <v>25</v>
      </c>
      <c r="B37" s="6">
        <v>23</v>
      </c>
      <c r="C37" s="4">
        <v>1</v>
      </c>
      <c r="D37" s="5">
        <f t="shared" si="1"/>
        <v>24</v>
      </c>
      <c r="E37" s="6">
        <v>0</v>
      </c>
      <c r="F37" s="4">
        <v>0</v>
      </c>
      <c r="G37" s="5">
        <f t="shared" si="0"/>
        <v>0</v>
      </c>
      <c r="H37" s="9">
        <f t="shared" si="2"/>
        <v>24</v>
      </c>
    </row>
    <row r="38" spans="1:8" x14ac:dyDescent="0.25">
      <c r="A38" s="14" t="s">
        <v>1</v>
      </c>
      <c r="B38" s="6">
        <v>32</v>
      </c>
      <c r="C38" s="4">
        <v>0</v>
      </c>
      <c r="D38" s="5">
        <f t="shared" si="1"/>
        <v>32</v>
      </c>
      <c r="E38" s="6">
        <v>0</v>
      </c>
      <c r="F38" s="4">
        <v>36</v>
      </c>
      <c r="G38" s="5">
        <f t="shared" si="0"/>
        <v>36</v>
      </c>
      <c r="H38" s="9">
        <f t="shared" si="2"/>
        <v>68</v>
      </c>
    </row>
    <row r="39" spans="1:8" x14ac:dyDescent="0.25">
      <c r="A39" s="14" t="s">
        <v>26</v>
      </c>
      <c r="B39" s="6">
        <v>0</v>
      </c>
      <c r="C39" s="4">
        <v>5</v>
      </c>
      <c r="D39" s="5">
        <f t="shared" si="1"/>
        <v>5</v>
      </c>
      <c r="E39" s="6">
        <v>0</v>
      </c>
      <c r="F39" s="4">
        <v>0</v>
      </c>
      <c r="G39" s="5">
        <f t="shared" si="0"/>
        <v>0</v>
      </c>
      <c r="H39" s="9">
        <f t="shared" si="2"/>
        <v>5</v>
      </c>
    </row>
    <row r="40" spans="1:8" x14ac:dyDescent="0.25">
      <c r="A40" s="14" t="s">
        <v>27</v>
      </c>
      <c r="B40" s="6">
        <v>0</v>
      </c>
      <c r="C40" s="4">
        <v>3</v>
      </c>
      <c r="D40" s="5">
        <f t="shared" si="1"/>
        <v>3</v>
      </c>
      <c r="E40" s="6">
        <v>0</v>
      </c>
      <c r="F40" s="4">
        <v>0</v>
      </c>
      <c r="G40" s="5">
        <f t="shared" si="0"/>
        <v>0</v>
      </c>
      <c r="H40" s="9">
        <f t="shared" si="2"/>
        <v>3</v>
      </c>
    </row>
    <row r="41" spans="1:8" x14ac:dyDescent="0.25">
      <c r="A41" s="14" t="s">
        <v>77</v>
      </c>
      <c r="B41" s="6">
        <v>1</v>
      </c>
      <c r="C41" s="4">
        <v>0</v>
      </c>
      <c r="D41" s="5">
        <f t="shared" si="1"/>
        <v>1</v>
      </c>
      <c r="E41" s="6">
        <v>0</v>
      </c>
      <c r="F41" s="4">
        <v>0</v>
      </c>
      <c r="G41" s="5">
        <f t="shared" si="0"/>
        <v>0</v>
      </c>
      <c r="H41" s="9">
        <f t="shared" si="2"/>
        <v>1</v>
      </c>
    </row>
    <row r="42" spans="1:8" x14ac:dyDescent="0.25">
      <c r="A42" s="14" t="s">
        <v>99</v>
      </c>
      <c r="B42" s="6">
        <v>2</v>
      </c>
      <c r="C42" s="4">
        <v>0</v>
      </c>
      <c r="D42" s="5">
        <f t="shared" si="1"/>
        <v>2</v>
      </c>
      <c r="E42" s="6">
        <v>0</v>
      </c>
      <c r="F42" s="4">
        <v>0</v>
      </c>
      <c r="G42" s="5">
        <f t="shared" si="0"/>
        <v>0</v>
      </c>
      <c r="H42" s="9">
        <f t="shared" si="2"/>
        <v>2</v>
      </c>
    </row>
    <row r="43" spans="1:8" x14ac:dyDescent="0.25">
      <c r="A43" s="14" t="s">
        <v>95</v>
      </c>
      <c r="B43" s="6">
        <v>0</v>
      </c>
      <c r="C43" s="4">
        <v>0</v>
      </c>
      <c r="D43" s="5">
        <f t="shared" si="1"/>
        <v>0</v>
      </c>
      <c r="E43" s="6">
        <v>1</v>
      </c>
      <c r="F43" s="4">
        <v>0</v>
      </c>
      <c r="G43" s="5">
        <f t="shared" si="0"/>
        <v>1</v>
      </c>
      <c r="H43" s="9">
        <f t="shared" si="2"/>
        <v>1</v>
      </c>
    </row>
    <row r="44" spans="1:8" x14ac:dyDescent="0.25">
      <c r="A44" s="14" t="s">
        <v>100</v>
      </c>
      <c r="B44" s="6">
        <v>0</v>
      </c>
      <c r="C44" s="4">
        <v>0</v>
      </c>
      <c r="D44" s="5">
        <f t="shared" ref="D44:D46" si="3">B44+C44</f>
        <v>0</v>
      </c>
      <c r="E44" s="6">
        <v>0</v>
      </c>
      <c r="F44" s="4">
        <v>1</v>
      </c>
      <c r="G44" s="5">
        <f t="shared" ref="G44:G46" si="4">E44+F44</f>
        <v>1</v>
      </c>
      <c r="H44" s="9">
        <f t="shared" ref="H44:H46" si="5">G44+D44</f>
        <v>1</v>
      </c>
    </row>
    <row r="45" spans="1:8" x14ac:dyDescent="0.25">
      <c r="A45" s="14" t="s">
        <v>96</v>
      </c>
      <c r="B45" s="6">
        <v>0</v>
      </c>
      <c r="C45" s="4">
        <v>1</v>
      </c>
      <c r="D45" s="5">
        <f t="shared" si="3"/>
        <v>1</v>
      </c>
      <c r="E45" s="6">
        <v>0</v>
      </c>
      <c r="F45" s="4">
        <v>0</v>
      </c>
      <c r="G45" s="5">
        <f t="shared" si="4"/>
        <v>0</v>
      </c>
      <c r="H45" s="9">
        <f t="shared" si="5"/>
        <v>1</v>
      </c>
    </row>
    <row r="46" spans="1:8" x14ac:dyDescent="0.25">
      <c r="A46" s="14" t="s">
        <v>28</v>
      </c>
      <c r="B46" s="6">
        <v>2</v>
      </c>
      <c r="C46" s="4">
        <v>22</v>
      </c>
      <c r="D46" s="5">
        <f t="shared" si="3"/>
        <v>24</v>
      </c>
      <c r="E46" s="6">
        <v>0</v>
      </c>
      <c r="F46" s="4">
        <v>0</v>
      </c>
      <c r="G46" s="5">
        <f t="shared" si="4"/>
        <v>0</v>
      </c>
      <c r="H46" s="9">
        <f t="shared" si="5"/>
        <v>24</v>
      </c>
    </row>
    <row r="47" spans="1:8" x14ac:dyDescent="0.25">
      <c r="A47" s="14" t="s">
        <v>29</v>
      </c>
      <c r="B47" s="6">
        <v>0</v>
      </c>
      <c r="C47" s="4">
        <v>1</v>
      </c>
      <c r="D47" s="5">
        <f t="shared" si="1"/>
        <v>1</v>
      </c>
      <c r="E47" s="6">
        <v>0</v>
      </c>
      <c r="F47" s="4">
        <v>0</v>
      </c>
      <c r="G47" s="5">
        <f t="shared" si="0"/>
        <v>0</v>
      </c>
      <c r="H47" s="9">
        <f t="shared" si="2"/>
        <v>1</v>
      </c>
    </row>
    <row r="48" spans="1:8" x14ac:dyDescent="0.25">
      <c r="A48" s="14" t="s">
        <v>31</v>
      </c>
      <c r="B48" s="6">
        <v>0</v>
      </c>
      <c r="C48" s="4">
        <v>1</v>
      </c>
      <c r="D48" s="5">
        <f t="shared" si="1"/>
        <v>1</v>
      </c>
      <c r="E48" s="6">
        <v>0</v>
      </c>
      <c r="F48" s="4">
        <v>0</v>
      </c>
      <c r="G48" s="5">
        <f t="shared" si="0"/>
        <v>0</v>
      </c>
      <c r="H48" s="9">
        <f t="shared" si="2"/>
        <v>1</v>
      </c>
    </row>
    <row r="49" spans="1:8" x14ac:dyDescent="0.25">
      <c r="A49" s="14" t="s">
        <v>32</v>
      </c>
      <c r="B49" s="6">
        <v>0</v>
      </c>
      <c r="C49" s="4">
        <v>0</v>
      </c>
      <c r="D49" s="5">
        <f t="shared" si="1"/>
        <v>0</v>
      </c>
      <c r="E49" s="6">
        <v>1</v>
      </c>
      <c r="F49" s="4">
        <v>0</v>
      </c>
      <c r="G49" s="5">
        <f t="shared" si="0"/>
        <v>1</v>
      </c>
      <c r="H49" s="9">
        <f t="shared" si="2"/>
        <v>1</v>
      </c>
    </row>
    <row r="50" spans="1:8" x14ac:dyDescent="0.25">
      <c r="A50" s="14" t="s">
        <v>33</v>
      </c>
      <c r="B50" s="6">
        <v>8</v>
      </c>
      <c r="C50" s="4">
        <v>44</v>
      </c>
      <c r="D50" s="5">
        <f t="shared" si="1"/>
        <v>52</v>
      </c>
      <c r="E50" s="6">
        <v>0</v>
      </c>
      <c r="F50" s="4">
        <v>0</v>
      </c>
      <c r="G50" s="5">
        <f t="shared" si="0"/>
        <v>0</v>
      </c>
      <c r="H50" s="9">
        <f t="shared" si="2"/>
        <v>52</v>
      </c>
    </row>
    <row r="51" spans="1:8" x14ac:dyDescent="0.25">
      <c r="A51" s="14" t="s">
        <v>69</v>
      </c>
      <c r="B51" s="6">
        <v>5</v>
      </c>
      <c r="C51" s="4">
        <v>10</v>
      </c>
      <c r="D51" s="5">
        <f t="shared" si="1"/>
        <v>15</v>
      </c>
      <c r="E51" s="6">
        <v>0</v>
      </c>
      <c r="F51" s="4">
        <v>0</v>
      </c>
      <c r="G51" s="5">
        <f t="shared" si="0"/>
        <v>0</v>
      </c>
      <c r="H51" s="9">
        <f t="shared" si="2"/>
        <v>15</v>
      </c>
    </row>
    <row r="52" spans="1:8" x14ac:dyDescent="0.25">
      <c r="A52" s="14" t="s">
        <v>34</v>
      </c>
      <c r="B52" s="6">
        <v>3</v>
      </c>
      <c r="C52" s="4">
        <v>1</v>
      </c>
      <c r="D52" s="5">
        <f t="shared" si="1"/>
        <v>4</v>
      </c>
      <c r="E52" s="6">
        <v>0</v>
      </c>
      <c r="F52" s="4">
        <v>0</v>
      </c>
      <c r="G52" s="5">
        <f t="shared" si="0"/>
        <v>0</v>
      </c>
      <c r="H52" s="9">
        <f t="shared" si="2"/>
        <v>4</v>
      </c>
    </row>
    <row r="53" spans="1:8" x14ac:dyDescent="0.25">
      <c r="A53" s="14" t="s">
        <v>35</v>
      </c>
      <c r="B53" s="6">
        <v>0</v>
      </c>
      <c r="C53" s="4">
        <v>1</v>
      </c>
      <c r="D53" s="5">
        <f t="shared" si="1"/>
        <v>1</v>
      </c>
      <c r="E53" s="6">
        <v>0</v>
      </c>
      <c r="F53" s="4">
        <v>0</v>
      </c>
      <c r="G53" s="5">
        <f t="shared" si="0"/>
        <v>0</v>
      </c>
      <c r="H53" s="9">
        <f t="shared" si="2"/>
        <v>1</v>
      </c>
    </row>
    <row r="54" spans="1:8" x14ac:dyDescent="0.25">
      <c r="A54" s="14" t="s">
        <v>70</v>
      </c>
      <c r="B54" s="6">
        <v>0</v>
      </c>
      <c r="C54" s="4">
        <v>3</v>
      </c>
      <c r="D54" s="5">
        <f t="shared" si="1"/>
        <v>3</v>
      </c>
      <c r="E54" s="6">
        <v>0</v>
      </c>
      <c r="F54" s="4">
        <v>0</v>
      </c>
      <c r="G54" s="5">
        <f t="shared" si="0"/>
        <v>0</v>
      </c>
      <c r="H54" s="9">
        <f t="shared" si="2"/>
        <v>3</v>
      </c>
    </row>
    <row r="55" spans="1:8" ht="15.75" thickBot="1" x14ac:dyDescent="0.3">
      <c r="A55" s="15" t="s">
        <v>71</v>
      </c>
      <c r="B55" s="11">
        <v>2</v>
      </c>
      <c r="C55" s="12">
        <v>1</v>
      </c>
      <c r="D55" s="13">
        <f t="shared" si="1"/>
        <v>3</v>
      </c>
      <c r="E55" s="11">
        <v>0</v>
      </c>
      <c r="F55" s="12">
        <v>0</v>
      </c>
      <c r="G55" s="13">
        <f t="shared" si="0"/>
        <v>0</v>
      </c>
      <c r="H55" s="16">
        <f t="shared" si="2"/>
        <v>3</v>
      </c>
    </row>
    <row r="56" spans="1:8" ht="16.5" thickTop="1" thickBot="1" x14ac:dyDescent="0.3">
      <c r="A56" s="8" t="s">
        <v>0</v>
      </c>
      <c r="B56" s="7">
        <f t="shared" ref="B56:H56" si="6">SUM(B7:B55)</f>
        <v>173</v>
      </c>
      <c r="C56" s="7">
        <f t="shared" si="6"/>
        <v>338</v>
      </c>
      <c r="D56" s="7">
        <f t="shared" si="6"/>
        <v>511</v>
      </c>
      <c r="E56" s="7">
        <f t="shared" si="6"/>
        <v>25</v>
      </c>
      <c r="F56" s="7">
        <f t="shared" si="6"/>
        <v>51</v>
      </c>
      <c r="G56" s="8">
        <f t="shared" si="6"/>
        <v>76</v>
      </c>
      <c r="H56" s="10">
        <f t="shared" si="6"/>
        <v>587</v>
      </c>
    </row>
    <row r="57" spans="1:8" x14ac:dyDescent="0.25">
      <c r="A57" s="18"/>
      <c r="B57" s="18"/>
      <c r="C57" s="18"/>
      <c r="D57" s="18"/>
      <c r="E57" s="18"/>
      <c r="F57" s="18"/>
      <c r="G57" s="18"/>
      <c r="H57" s="18"/>
    </row>
    <row r="58" spans="1:8" ht="15.75" thickBot="1" x14ac:dyDescent="0.3"/>
    <row r="59" spans="1:8" x14ac:dyDescent="0.25">
      <c r="A59" s="23" t="s">
        <v>40</v>
      </c>
      <c r="B59" s="37" t="s">
        <v>3</v>
      </c>
      <c r="C59" s="38"/>
      <c r="D59" s="38"/>
      <c r="E59" s="37" t="s">
        <v>4</v>
      </c>
      <c r="F59" s="38"/>
      <c r="G59" s="38"/>
      <c r="H59" s="39" t="s">
        <v>0</v>
      </c>
    </row>
    <row r="60" spans="1:8" x14ac:dyDescent="0.25">
      <c r="A60" s="24"/>
      <c r="B60" s="25" t="s">
        <v>48</v>
      </c>
      <c r="C60" s="26" t="s">
        <v>49</v>
      </c>
      <c r="D60" s="27" t="s">
        <v>0</v>
      </c>
      <c r="E60" s="25" t="s">
        <v>48</v>
      </c>
      <c r="F60" s="26" t="s">
        <v>49</v>
      </c>
      <c r="G60" s="27" t="s">
        <v>0</v>
      </c>
      <c r="H60" s="41"/>
    </row>
    <row r="61" spans="1:8" x14ac:dyDescent="0.25">
      <c r="A61" s="14" t="s">
        <v>41</v>
      </c>
      <c r="B61" s="6">
        <v>63</v>
      </c>
      <c r="C61" s="4">
        <v>95</v>
      </c>
      <c r="D61" s="5">
        <f t="shared" ref="D61:D69" si="7">SUM(B61+C61)</f>
        <v>158</v>
      </c>
      <c r="E61" s="6">
        <v>2</v>
      </c>
      <c r="F61" s="4">
        <v>1</v>
      </c>
      <c r="G61" s="5">
        <f t="shared" ref="G61:G69" si="8">F61+E61</f>
        <v>3</v>
      </c>
      <c r="H61" s="9">
        <f t="shared" ref="H61:H69" si="9">D61+G61</f>
        <v>161</v>
      </c>
    </row>
    <row r="62" spans="1:8" x14ac:dyDescent="0.25">
      <c r="A62" s="14" t="s">
        <v>42</v>
      </c>
      <c r="B62" s="6">
        <v>12</v>
      </c>
      <c r="C62" s="4">
        <v>1</v>
      </c>
      <c r="D62" s="5">
        <f t="shared" si="7"/>
        <v>13</v>
      </c>
      <c r="E62" s="6">
        <v>4</v>
      </c>
      <c r="F62" s="4">
        <v>1</v>
      </c>
      <c r="G62" s="5">
        <f t="shared" si="8"/>
        <v>5</v>
      </c>
      <c r="H62" s="9">
        <f t="shared" si="9"/>
        <v>18</v>
      </c>
    </row>
    <row r="63" spans="1:8" x14ac:dyDescent="0.25">
      <c r="A63" s="14" t="s">
        <v>43</v>
      </c>
      <c r="B63" s="6">
        <v>1</v>
      </c>
      <c r="C63" s="4">
        <v>1</v>
      </c>
      <c r="D63" s="5">
        <f t="shared" si="7"/>
        <v>2</v>
      </c>
      <c r="E63" s="6">
        <v>1</v>
      </c>
      <c r="F63" s="4">
        <v>1</v>
      </c>
      <c r="G63" s="5">
        <f t="shared" si="8"/>
        <v>2</v>
      </c>
      <c r="H63" s="9">
        <f t="shared" si="9"/>
        <v>4</v>
      </c>
    </row>
    <row r="64" spans="1:8" x14ac:dyDescent="0.25">
      <c r="A64" s="14" t="s">
        <v>60</v>
      </c>
      <c r="B64" s="6">
        <v>0</v>
      </c>
      <c r="C64" s="4">
        <v>0</v>
      </c>
      <c r="D64" s="5">
        <f t="shared" si="7"/>
        <v>0</v>
      </c>
      <c r="E64" s="6">
        <v>9</v>
      </c>
      <c r="F64" s="4">
        <v>7</v>
      </c>
      <c r="G64" s="5">
        <f t="shared" ref="G64:G66" si="10">F64+E64</f>
        <v>16</v>
      </c>
      <c r="H64" s="9">
        <f t="shared" ref="H64:H66" si="11">D64+G64</f>
        <v>16</v>
      </c>
    </row>
    <row r="65" spans="1:8" x14ac:dyDescent="0.25">
      <c r="A65" s="14" t="s">
        <v>44</v>
      </c>
      <c r="B65" s="6">
        <v>14</v>
      </c>
      <c r="C65" s="4">
        <v>12</v>
      </c>
      <c r="D65" s="5">
        <f t="shared" si="7"/>
        <v>26</v>
      </c>
      <c r="E65" s="6">
        <v>0</v>
      </c>
      <c r="F65" s="4">
        <v>2</v>
      </c>
      <c r="G65" s="5">
        <f t="shared" si="10"/>
        <v>2</v>
      </c>
      <c r="H65" s="9">
        <f t="shared" si="11"/>
        <v>28</v>
      </c>
    </row>
    <row r="66" spans="1:8" x14ac:dyDescent="0.25">
      <c r="A66" s="14" t="s">
        <v>1</v>
      </c>
      <c r="B66" s="6">
        <v>32</v>
      </c>
      <c r="C66" s="4">
        <v>0</v>
      </c>
      <c r="D66" s="5">
        <f t="shared" si="7"/>
        <v>32</v>
      </c>
      <c r="E66" s="6">
        <v>0</v>
      </c>
      <c r="F66" s="4">
        <v>36</v>
      </c>
      <c r="G66" s="5">
        <f t="shared" si="10"/>
        <v>36</v>
      </c>
      <c r="H66" s="9">
        <f t="shared" si="11"/>
        <v>68</v>
      </c>
    </row>
    <row r="67" spans="1:8" x14ac:dyDescent="0.25">
      <c r="A67" s="14" t="s">
        <v>45</v>
      </c>
      <c r="B67" s="6">
        <v>9</v>
      </c>
      <c r="C67" s="4">
        <v>53</v>
      </c>
      <c r="D67" s="5">
        <f t="shared" si="7"/>
        <v>62</v>
      </c>
      <c r="E67" s="6">
        <v>1</v>
      </c>
      <c r="F67" s="4">
        <v>2</v>
      </c>
      <c r="G67" s="5">
        <f t="shared" si="8"/>
        <v>3</v>
      </c>
      <c r="H67" s="9">
        <f t="shared" si="9"/>
        <v>65</v>
      </c>
    </row>
    <row r="68" spans="1:8" x14ac:dyDescent="0.25">
      <c r="A68" s="14" t="s">
        <v>46</v>
      </c>
      <c r="B68" s="6">
        <v>13</v>
      </c>
      <c r="C68" s="4">
        <v>14</v>
      </c>
      <c r="D68" s="5">
        <f t="shared" si="7"/>
        <v>27</v>
      </c>
      <c r="E68" s="6">
        <v>2</v>
      </c>
      <c r="F68" s="4">
        <v>0</v>
      </c>
      <c r="G68" s="5">
        <f t="shared" si="8"/>
        <v>2</v>
      </c>
      <c r="H68" s="9">
        <f t="shared" si="9"/>
        <v>29</v>
      </c>
    </row>
    <row r="69" spans="1:8" ht="15.75" thickBot="1" x14ac:dyDescent="0.3">
      <c r="A69" s="15" t="s">
        <v>47</v>
      </c>
      <c r="B69" s="11">
        <v>29</v>
      </c>
      <c r="C69" s="12">
        <v>162</v>
      </c>
      <c r="D69" s="12">
        <f t="shared" si="7"/>
        <v>191</v>
      </c>
      <c r="E69" s="11">
        <v>6</v>
      </c>
      <c r="F69" s="12">
        <v>1</v>
      </c>
      <c r="G69" s="13">
        <f t="shared" si="8"/>
        <v>7</v>
      </c>
      <c r="H69" s="16">
        <f t="shared" si="9"/>
        <v>198</v>
      </c>
    </row>
    <row r="70" spans="1:8" ht="16.5" thickTop="1" thickBot="1" x14ac:dyDescent="0.3">
      <c r="A70" s="8" t="s">
        <v>0</v>
      </c>
      <c r="B70" s="7">
        <f t="shared" ref="B70:H70" si="12">SUM(B61:B69)</f>
        <v>173</v>
      </c>
      <c r="C70" s="7">
        <f t="shared" si="12"/>
        <v>338</v>
      </c>
      <c r="D70" s="7">
        <f t="shared" si="12"/>
        <v>511</v>
      </c>
      <c r="E70" s="7">
        <f t="shared" si="12"/>
        <v>25</v>
      </c>
      <c r="F70" s="7">
        <f t="shared" si="12"/>
        <v>51</v>
      </c>
      <c r="G70" s="8">
        <f t="shared" si="12"/>
        <v>76</v>
      </c>
      <c r="H70" s="10">
        <f t="shared" si="12"/>
        <v>587</v>
      </c>
    </row>
    <row r="72" spans="1:8" x14ac:dyDescent="0.25">
      <c r="A72" s="48" t="s">
        <v>76</v>
      </c>
      <c r="B72" s="48"/>
      <c r="C72" s="48"/>
      <c r="D72" s="48"/>
      <c r="E72" s="48"/>
      <c r="F72" s="48"/>
      <c r="G72" s="48"/>
      <c r="H72" s="48"/>
    </row>
    <row r="76" spans="1:8" x14ac:dyDescent="0.25">
      <c r="A76" s="49"/>
      <c r="B76" s="49"/>
      <c r="C76" s="49"/>
      <c r="D76" s="49"/>
      <c r="E76" s="49"/>
      <c r="F76" s="49"/>
      <c r="G76" s="49"/>
      <c r="H76" s="49"/>
    </row>
  </sheetData>
  <mergeCells count="8">
    <mergeCell ref="A72:H72"/>
    <mergeCell ref="A76:H76"/>
    <mergeCell ref="H59:H60"/>
    <mergeCell ref="A2:H2"/>
    <mergeCell ref="B5:D5"/>
    <mergeCell ref="E5:G5"/>
    <mergeCell ref="B59:D59"/>
    <mergeCell ref="E59:G59"/>
  </mergeCells>
  <pageMargins left="0.25" right="0.25" top="0.75" bottom="0.75" header="0.3" footer="0.3"/>
  <pageSetup paperSize="9" orientation="portrait" r:id="rId1"/>
  <headerFooter>
    <oddHeader>&amp;CUCL Student Data Statistics</oddHeader>
    <oddFooter>&amp;C&amp;P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Views>
    <sheetView view="pageLayout" zoomScale="85" zoomScaleNormal="100" zoomScalePageLayoutView="85" workbookViewId="0">
      <selection activeCell="I54" sqref="I54"/>
    </sheetView>
  </sheetViews>
  <sheetFormatPr defaultColWidth="9.140625" defaultRowHeight="15" x14ac:dyDescent="0.25"/>
  <cols>
    <col min="1" max="1" width="29.28515625" bestFit="1" customWidth="1"/>
    <col min="2" max="8" width="8.5703125" customWidth="1"/>
  </cols>
  <sheetData>
    <row r="1" spans="1:8" ht="18" x14ac:dyDescent="0.25">
      <c r="A1" s="1" t="s">
        <v>50</v>
      </c>
      <c r="B1" s="3"/>
    </row>
    <row r="2" spans="1:8" x14ac:dyDescent="0.25">
      <c r="A2" s="33" t="s">
        <v>51</v>
      </c>
      <c r="B2" s="33"/>
      <c r="C2" s="33"/>
      <c r="D2" s="33"/>
      <c r="E2" s="33"/>
      <c r="F2" s="33"/>
      <c r="G2" s="33"/>
      <c r="H2" s="33"/>
    </row>
    <row r="3" spans="1:8" x14ac:dyDescent="0.25">
      <c r="A3" s="2" t="str">
        <f ca="1">RIGHT(CELL("filename",A1),LEN(CELL("filename",A1))-FIND("]",CELL("filename",A1)))</f>
        <v>2000-01</v>
      </c>
      <c r="B3" s="3"/>
    </row>
    <row r="4" spans="1:8" ht="15.75" thickBot="1" x14ac:dyDescent="0.3">
      <c r="A4" s="3"/>
      <c r="B4" s="3"/>
    </row>
    <row r="5" spans="1:8" ht="15" customHeight="1" x14ac:dyDescent="0.25">
      <c r="A5" s="21" t="s">
        <v>2</v>
      </c>
      <c r="B5" s="37" t="s">
        <v>3</v>
      </c>
      <c r="C5" s="38"/>
      <c r="D5" s="38"/>
      <c r="E5" s="37" t="s">
        <v>4</v>
      </c>
      <c r="F5" s="38"/>
      <c r="G5" s="38"/>
      <c r="H5" s="21" t="s">
        <v>0</v>
      </c>
    </row>
    <row r="6" spans="1:8" ht="15" customHeight="1" x14ac:dyDescent="0.25">
      <c r="A6" s="22"/>
      <c r="B6" s="28" t="s">
        <v>48</v>
      </c>
      <c r="C6" s="29" t="s">
        <v>49</v>
      </c>
      <c r="D6" s="30" t="s">
        <v>0</v>
      </c>
      <c r="E6" s="28" t="s">
        <v>48</v>
      </c>
      <c r="F6" s="29" t="s">
        <v>49</v>
      </c>
      <c r="G6" s="30" t="s">
        <v>0</v>
      </c>
      <c r="H6" s="22"/>
    </row>
    <row r="7" spans="1:8" x14ac:dyDescent="0.25">
      <c r="A7" s="14" t="s">
        <v>5</v>
      </c>
      <c r="B7" s="6">
        <v>0</v>
      </c>
      <c r="C7" s="4">
        <v>1</v>
      </c>
      <c r="D7" s="5">
        <f>B7+C7</f>
        <v>1</v>
      </c>
      <c r="E7" s="6">
        <v>0</v>
      </c>
      <c r="F7" s="4">
        <v>0</v>
      </c>
      <c r="G7" s="5">
        <f t="shared" ref="G7:G51" si="0">E7+F7</f>
        <v>0</v>
      </c>
      <c r="H7" s="9">
        <f>G7+D7</f>
        <v>1</v>
      </c>
    </row>
    <row r="8" spans="1:8" x14ac:dyDescent="0.25">
      <c r="A8" s="14" t="s">
        <v>6</v>
      </c>
      <c r="B8" s="6">
        <v>4</v>
      </c>
      <c r="C8" s="4">
        <v>14</v>
      </c>
      <c r="D8" s="5">
        <f t="shared" ref="D8:D51" si="1">B8+C8</f>
        <v>18</v>
      </c>
      <c r="E8" s="6">
        <v>0</v>
      </c>
      <c r="F8" s="4">
        <v>0</v>
      </c>
      <c r="G8" s="5">
        <f t="shared" si="0"/>
        <v>0</v>
      </c>
      <c r="H8" s="9">
        <f t="shared" ref="H8:H51" si="2">G8+D8</f>
        <v>18</v>
      </c>
    </row>
    <row r="9" spans="1:8" x14ac:dyDescent="0.25">
      <c r="A9" s="14" t="s">
        <v>7</v>
      </c>
      <c r="B9" s="6">
        <v>3</v>
      </c>
      <c r="C9" s="4">
        <v>2</v>
      </c>
      <c r="D9" s="5">
        <f t="shared" si="1"/>
        <v>5</v>
      </c>
      <c r="E9" s="6">
        <v>0</v>
      </c>
      <c r="F9" s="4">
        <v>0</v>
      </c>
      <c r="G9" s="5">
        <f t="shared" si="0"/>
        <v>0</v>
      </c>
      <c r="H9" s="9">
        <f t="shared" si="2"/>
        <v>5</v>
      </c>
    </row>
    <row r="10" spans="1:8" x14ac:dyDescent="0.25">
      <c r="A10" s="14" t="s">
        <v>101</v>
      </c>
      <c r="B10" s="6">
        <v>12</v>
      </c>
      <c r="C10" s="4">
        <v>3</v>
      </c>
      <c r="D10" s="5">
        <f t="shared" si="1"/>
        <v>15</v>
      </c>
      <c r="E10" s="6">
        <v>7</v>
      </c>
      <c r="F10" s="4">
        <v>4</v>
      </c>
      <c r="G10" s="5">
        <f t="shared" si="0"/>
        <v>11</v>
      </c>
      <c r="H10" s="9">
        <f t="shared" si="2"/>
        <v>26</v>
      </c>
    </row>
    <row r="11" spans="1:8" x14ac:dyDescent="0.25">
      <c r="A11" s="14" t="s">
        <v>54</v>
      </c>
      <c r="B11" s="6">
        <v>1</v>
      </c>
      <c r="C11" s="4">
        <v>0</v>
      </c>
      <c r="D11" s="5">
        <f t="shared" si="1"/>
        <v>1</v>
      </c>
      <c r="E11" s="6">
        <v>0</v>
      </c>
      <c r="F11" s="4">
        <v>0</v>
      </c>
      <c r="G11" s="5">
        <f t="shared" si="0"/>
        <v>0</v>
      </c>
      <c r="H11" s="9">
        <f t="shared" si="2"/>
        <v>1</v>
      </c>
    </row>
    <row r="12" spans="1:8" x14ac:dyDescent="0.25">
      <c r="A12" s="14" t="s">
        <v>10</v>
      </c>
      <c r="B12" s="6">
        <v>1</v>
      </c>
      <c r="C12" s="4">
        <v>3</v>
      </c>
      <c r="D12" s="5">
        <f t="shared" si="1"/>
        <v>4</v>
      </c>
      <c r="E12" s="6">
        <v>0</v>
      </c>
      <c r="F12" s="4">
        <v>0</v>
      </c>
      <c r="G12" s="5">
        <f t="shared" si="0"/>
        <v>0</v>
      </c>
      <c r="H12" s="9">
        <f t="shared" si="2"/>
        <v>4</v>
      </c>
    </row>
    <row r="13" spans="1:8" x14ac:dyDescent="0.25">
      <c r="A13" s="14" t="s">
        <v>57</v>
      </c>
      <c r="B13" s="6">
        <v>9</v>
      </c>
      <c r="C13" s="4">
        <v>5</v>
      </c>
      <c r="D13" s="5">
        <f t="shared" si="1"/>
        <v>14</v>
      </c>
      <c r="E13" s="6">
        <v>0</v>
      </c>
      <c r="F13" s="4">
        <v>0</v>
      </c>
      <c r="G13" s="5">
        <f t="shared" si="0"/>
        <v>0</v>
      </c>
      <c r="H13" s="9">
        <f t="shared" si="2"/>
        <v>14</v>
      </c>
    </row>
    <row r="14" spans="1:8" x14ac:dyDescent="0.25">
      <c r="A14" s="14" t="s">
        <v>12</v>
      </c>
      <c r="B14" s="6">
        <v>2</v>
      </c>
      <c r="C14" s="4">
        <v>1</v>
      </c>
      <c r="D14" s="5">
        <f t="shared" si="1"/>
        <v>3</v>
      </c>
      <c r="E14" s="6">
        <v>0</v>
      </c>
      <c r="F14" s="4">
        <v>0</v>
      </c>
      <c r="G14" s="5">
        <f t="shared" si="0"/>
        <v>0</v>
      </c>
      <c r="H14" s="9">
        <f t="shared" si="2"/>
        <v>3</v>
      </c>
    </row>
    <row r="15" spans="1:8" x14ac:dyDescent="0.25">
      <c r="A15" s="14" t="s">
        <v>13</v>
      </c>
      <c r="B15" s="6">
        <v>1</v>
      </c>
      <c r="C15" s="4">
        <v>3</v>
      </c>
      <c r="D15" s="5">
        <f t="shared" si="1"/>
        <v>4</v>
      </c>
      <c r="E15" s="6">
        <v>1</v>
      </c>
      <c r="F15" s="4">
        <v>0</v>
      </c>
      <c r="G15" s="5">
        <f t="shared" si="0"/>
        <v>1</v>
      </c>
      <c r="H15" s="9">
        <f t="shared" si="2"/>
        <v>5</v>
      </c>
    </row>
    <row r="16" spans="1:8" x14ac:dyDescent="0.25">
      <c r="A16" s="14" t="s">
        <v>97</v>
      </c>
      <c r="B16" s="6">
        <v>0</v>
      </c>
      <c r="C16" s="4">
        <v>8</v>
      </c>
      <c r="D16" s="5">
        <f t="shared" si="1"/>
        <v>8</v>
      </c>
      <c r="E16" s="6">
        <v>0</v>
      </c>
      <c r="F16" s="4">
        <v>0</v>
      </c>
      <c r="G16" s="5">
        <f t="shared" si="0"/>
        <v>0</v>
      </c>
      <c r="H16" s="9">
        <f t="shared" si="2"/>
        <v>8</v>
      </c>
    </row>
    <row r="17" spans="1:8" x14ac:dyDescent="0.25">
      <c r="A17" s="14" t="s">
        <v>14</v>
      </c>
      <c r="B17" s="6">
        <v>3</v>
      </c>
      <c r="C17" s="4">
        <v>1</v>
      </c>
      <c r="D17" s="5">
        <f t="shared" si="1"/>
        <v>4</v>
      </c>
      <c r="E17" s="6">
        <v>0</v>
      </c>
      <c r="F17" s="4">
        <v>0</v>
      </c>
      <c r="G17" s="5">
        <f t="shared" si="0"/>
        <v>0</v>
      </c>
      <c r="H17" s="9">
        <f t="shared" si="2"/>
        <v>4</v>
      </c>
    </row>
    <row r="18" spans="1:8" x14ac:dyDescent="0.25">
      <c r="A18" s="14" t="s">
        <v>16</v>
      </c>
      <c r="B18" s="6">
        <v>6</v>
      </c>
      <c r="C18" s="4">
        <v>0</v>
      </c>
      <c r="D18" s="5">
        <f t="shared" si="1"/>
        <v>6</v>
      </c>
      <c r="E18" s="6">
        <v>0</v>
      </c>
      <c r="F18" s="4">
        <v>0</v>
      </c>
      <c r="G18" s="5">
        <f t="shared" si="0"/>
        <v>0</v>
      </c>
      <c r="H18" s="9">
        <f t="shared" si="2"/>
        <v>6</v>
      </c>
    </row>
    <row r="19" spans="1:8" x14ac:dyDescent="0.25">
      <c r="A19" s="14" t="s">
        <v>17</v>
      </c>
      <c r="B19" s="6">
        <v>0</v>
      </c>
      <c r="C19" s="4">
        <v>52</v>
      </c>
      <c r="D19" s="5">
        <f t="shared" si="1"/>
        <v>52</v>
      </c>
      <c r="E19" s="6">
        <v>4</v>
      </c>
      <c r="F19" s="4">
        <v>1</v>
      </c>
      <c r="G19" s="5">
        <f t="shared" si="0"/>
        <v>5</v>
      </c>
      <c r="H19" s="9">
        <f t="shared" si="2"/>
        <v>57</v>
      </c>
    </row>
    <row r="20" spans="1:8" x14ac:dyDescent="0.25">
      <c r="A20" s="14" t="s">
        <v>18</v>
      </c>
      <c r="B20" s="6">
        <v>3</v>
      </c>
      <c r="C20" s="4">
        <v>1</v>
      </c>
      <c r="D20" s="5">
        <f t="shared" si="1"/>
        <v>4</v>
      </c>
      <c r="E20" s="6">
        <v>0</v>
      </c>
      <c r="F20" s="4">
        <v>0</v>
      </c>
      <c r="G20" s="5">
        <f t="shared" si="0"/>
        <v>0</v>
      </c>
      <c r="H20" s="9">
        <f t="shared" si="2"/>
        <v>4</v>
      </c>
    </row>
    <row r="21" spans="1:8" x14ac:dyDescent="0.25">
      <c r="A21" s="14" t="s">
        <v>19</v>
      </c>
      <c r="B21" s="6">
        <v>3</v>
      </c>
      <c r="C21" s="4">
        <v>29</v>
      </c>
      <c r="D21" s="5">
        <f t="shared" si="1"/>
        <v>32</v>
      </c>
      <c r="E21" s="6">
        <v>1</v>
      </c>
      <c r="F21" s="4">
        <v>0</v>
      </c>
      <c r="G21" s="5">
        <f t="shared" si="0"/>
        <v>1</v>
      </c>
      <c r="H21" s="9">
        <f t="shared" si="2"/>
        <v>33</v>
      </c>
    </row>
    <row r="22" spans="1:8" x14ac:dyDescent="0.25">
      <c r="A22" s="14" t="s">
        <v>102</v>
      </c>
      <c r="B22" s="6">
        <v>0</v>
      </c>
      <c r="C22" s="4">
        <v>0</v>
      </c>
      <c r="D22" s="5">
        <f t="shared" si="1"/>
        <v>0</v>
      </c>
      <c r="E22" s="6">
        <v>0</v>
      </c>
      <c r="F22" s="4">
        <v>2</v>
      </c>
      <c r="G22" s="5">
        <f t="shared" si="0"/>
        <v>2</v>
      </c>
      <c r="H22" s="9">
        <f t="shared" si="2"/>
        <v>2</v>
      </c>
    </row>
    <row r="23" spans="1:8" x14ac:dyDescent="0.25">
      <c r="A23" s="14" t="s">
        <v>20</v>
      </c>
      <c r="B23" s="6">
        <v>1</v>
      </c>
      <c r="C23" s="4">
        <v>15</v>
      </c>
      <c r="D23" s="5">
        <f t="shared" si="1"/>
        <v>16</v>
      </c>
      <c r="E23" s="6">
        <v>0</v>
      </c>
      <c r="F23" s="4">
        <v>1</v>
      </c>
      <c r="G23" s="5">
        <f t="shared" si="0"/>
        <v>1</v>
      </c>
      <c r="H23" s="9">
        <f t="shared" si="2"/>
        <v>17</v>
      </c>
    </row>
    <row r="24" spans="1:8" x14ac:dyDescent="0.25">
      <c r="A24" s="14" t="s">
        <v>62</v>
      </c>
      <c r="B24" s="6">
        <v>6</v>
      </c>
      <c r="C24" s="4">
        <v>0</v>
      </c>
      <c r="D24" s="5">
        <f t="shared" si="1"/>
        <v>6</v>
      </c>
      <c r="E24" s="6">
        <v>0</v>
      </c>
      <c r="F24" s="4">
        <v>0</v>
      </c>
      <c r="G24" s="5">
        <f t="shared" si="0"/>
        <v>0</v>
      </c>
      <c r="H24" s="9">
        <f t="shared" si="2"/>
        <v>6</v>
      </c>
    </row>
    <row r="25" spans="1:8" x14ac:dyDescent="0.25">
      <c r="A25" s="14" t="s">
        <v>81</v>
      </c>
      <c r="B25" s="6">
        <v>0</v>
      </c>
      <c r="C25" s="4">
        <v>0</v>
      </c>
      <c r="D25" s="5">
        <f t="shared" si="1"/>
        <v>0</v>
      </c>
      <c r="E25" s="6">
        <v>0</v>
      </c>
      <c r="F25" s="4">
        <v>6</v>
      </c>
      <c r="G25" s="5">
        <f t="shared" si="0"/>
        <v>6</v>
      </c>
      <c r="H25" s="9">
        <f t="shared" si="2"/>
        <v>6</v>
      </c>
    </row>
    <row r="26" spans="1:8" x14ac:dyDescent="0.25">
      <c r="A26" s="14" t="s">
        <v>21</v>
      </c>
      <c r="B26" s="6">
        <v>7</v>
      </c>
      <c r="C26" s="4">
        <v>18</v>
      </c>
      <c r="D26" s="5">
        <f t="shared" si="1"/>
        <v>25</v>
      </c>
      <c r="E26" s="6">
        <v>2</v>
      </c>
      <c r="F26" s="4">
        <v>0</v>
      </c>
      <c r="G26" s="5">
        <f t="shared" si="0"/>
        <v>2</v>
      </c>
      <c r="H26" s="9">
        <f t="shared" si="2"/>
        <v>27</v>
      </c>
    </row>
    <row r="27" spans="1:8" x14ac:dyDescent="0.25">
      <c r="A27" s="14" t="s">
        <v>22</v>
      </c>
      <c r="B27" s="6">
        <v>4</v>
      </c>
      <c r="C27" s="4">
        <v>0</v>
      </c>
      <c r="D27" s="5">
        <f t="shared" si="1"/>
        <v>4</v>
      </c>
      <c r="E27" s="6">
        <v>0</v>
      </c>
      <c r="F27" s="4">
        <v>0</v>
      </c>
      <c r="G27" s="5">
        <f t="shared" si="0"/>
        <v>0</v>
      </c>
      <c r="H27" s="9">
        <f t="shared" si="2"/>
        <v>4</v>
      </c>
    </row>
    <row r="28" spans="1:8" x14ac:dyDescent="0.25">
      <c r="A28" s="14" t="s">
        <v>89</v>
      </c>
      <c r="B28" s="6">
        <v>1</v>
      </c>
      <c r="C28" s="4">
        <v>0</v>
      </c>
      <c r="D28" s="5">
        <f t="shared" si="1"/>
        <v>1</v>
      </c>
      <c r="E28" s="6">
        <v>1</v>
      </c>
      <c r="F28" s="4">
        <v>0</v>
      </c>
      <c r="G28" s="5">
        <f t="shared" si="0"/>
        <v>1</v>
      </c>
      <c r="H28" s="9">
        <f t="shared" si="2"/>
        <v>2</v>
      </c>
    </row>
    <row r="29" spans="1:8" x14ac:dyDescent="0.25">
      <c r="A29" s="14" t="s">
        <v>23</v>
      </c>
      <c r="B29" s="6">
        <v>15</v>
      </c>
      <c r="C29" s="4">
        <v>0</v>
      </c>
      <c r="D29" s="5">
        <f t="shared" si="1"/>
        <v>15</v>
      </c>
      <c r="E29" s="6">
        <v>1</v>
      </c>
      <c r="F29" s="4">
        <v>0</v>
      </c>
      <c r="G29" s="5">
        <f t="shared" si="0"/>
        <v>1</v>
      </c>
      <c r="H29" s="9">
        <f t="shared" si="2"/>
        <v>16</v>
      </c>
    </row>
    <row r="30" spans="1:8" x14ac:dyDescent="0.25">
      <c r="A30" s="14" t="s">
        <v>37</v>
      </c>
      <c r="B30" s="6">
        <v>2</v>
      </c>
      <c r="C30" s="4">
        <v>1</v>
      </c>
      <c r="D30" s="5">
        <f t="shared" si="1"/>
        <v>3</v>
      </c>
      <c r="E30" s="6">
        <v>1</v>
      </c>
      <c r="F30" s="4">
        <v>0</v>
      </c>
      <c r="G30" s="5">
        <f t="shared" si="0"/>
        <v>1</v>
      </c>
      <c r="H30" s="9">
        <f t="shared" si="2"/>
        <v>4</v>
      </c>
    </row>
    <row r="31" spans="1:8" x14ac:dyDescent="0.25">
      <c r="A31" s="14" t="s">
        <v>38</v>
      </c>
      <c r="B31" s="6">
        <v>0</v>
      </c>
      <c r="C31" s="4">
        <v>1</v>
      </c>
      <c r="D31" s="5">
        <f t="shared" si="1"/>
        <v>1</v>
      </c>
      <c r="E31" s="6">
        <v>0</v>
      </c>
      <c r="F31" s="4">
        <v>0</v>
      </c>
      <c r="G31" s="5">
        <f t="shared" si="0"/>
        <v>0</v>
      </c>
      <c r="H31" s="9">
        <f t="shared" si="2"/>
        <v>1</v>
      </c>
    </row>
    <row r="32" spans="1:8" x14ac:dyDescent="0.25">
      <c r="A32" s="14" t="s">
        <v>24</v>
      </c>
      <c r="B32" s="6">
        <v>7</v>
      </c>
      <c r="C32" s="4">
        <v>34</v>
      </c>
      <c r="D32" s="5">
        <f t="shared" si="1"/>
        <v>41</v>
      </c>
      <c r="E32" s="6">
        <v>1</v>
      </c>
      <c r="F32" s="4">
        <v>1</v>
      </c>
      <c r="G32" s="5">
        <f t="shared" si="0"/>
        <v>2</v>
      </c>
      <c r="H32" s="9">
        <f t="shared" si="2"/>
        <v>43</v>
      </c>
    </row>
    <row r="33" spans="1:8" x14ac:dyDescent="0.25">
      <c r="A33" s="14" t="s">
        <v>39</v>
      </c>
      <c r="B33" s="6">
        <v>1</v>
      </c>
      <c r="C33" s="4">
        <v>8</v>
      </c>
      <c r="D33" s="5">
        <f t="shared" si="1"/>
        <v>9</v>
      </c>
      <c r="E33" s="6">
        <v>1</v>
      </c>
      <c r="F33" s="4">
        <v>0</v>
      </c>
      <c r="G33" s="5">
        <f t="shared" si="0"/>
        <v>1</v>
      </c>
      <c r="H33" s="9">
        <f t="shared" si="2"/>
        <v>10</v>
      </c>
    </row>
    <row r="34" spans="1:8" x14ac:dyDescent="0.25">
      <c r="A34" s="14" t="s">
        <v>103</v>
      </c>
      <c r="B34" s="6">
        <v>1</v>
      </c>
      <c r="C34" s="4">
        <v>0</v>
      </c>
      <c r="D34" s="5">
        <f t="shared" si="1"/>
        <v>1</v>
      </c>
      <c r="E34" s="6">
        <v>0</v>
      </c>
      <c r="F34" s="4">
        <v>0</v>
      </c>
      <c r="G34" s="5">
        <f t="shared" si="0"/>
        <v>0</v>
      </c>
      <c r="H34" s="9">
        <f t="shared" si="2"/>
        <v>1</v>
      </c>
    </row>
    <row r="35" spans="1:8" x14ac:dyDescent="0.25">
      <c r="A35" s="14" t="s">
        <v>91</v>
      </c>
      <c r="B35" s="6">
        <v>1</v>
      </c>
      <c r="C35" s="4">
        <v>0</v>
      </c>
      <c r="D35" s="5">
        <f t="shared" si="1"/>
        <v>1</v>
      </c>
      <c r="E35" s="6">
        <v>0</v>
      </c>
      <c r="F35" s="4">
        <v>0</v>
      </c>
      <c r="G35" s="5">
        <f t="shared" si="0"/>
        <v>0</v>
      </c>
      <c r="H35" s="9">
        <f t="shared" si="2"/>
        <v>1</v>
      </c>
    </row>
    <row r="36" spans="1:8" x14ac:dyDescent="0.25">
      <c r="A36" s="14" t="s">
        <v>25</v>
      </c>
      <c r="B36" s="6">
        <v>20</v>
      </c>
      <c r="C36" s="4">
        <v>1</v>
      </c>
      <c r="D36" s="5">
        <f t="shared" si="1"/>
        <v>21</v>
      </c>
      <c r="E36" s="6">
        <v>1</v>
      </c>
      <c r="F36" s="4">
        <v>0</v>
      </c>
      <c r="G36" s="5">
        <f t="shared" si="0"/>
        <v>1</v>
      </c>
      <c r="H36" s="9">
        <f t="shared" si="2"/>
        <v>22</v>
      </c>
    </row>
    <row r="37" spans="1:8" x14ac:dyDescent="0.25">
      <c r="A37" s="14" t="s">
        <v>104</v>
      </c>
      <c r="B37" s="6">
        <v>0</v>
      </c>
      <c r="C37" s="4">
        <v>0</v>
      </c>
      <c r="D37" s="5">
        <f t="shared" si="1"/>
        <v>0</v>
      </c>
      <c r="E37" s="6">
        <v>1</v>
      </c>
      <c r="F37" s="4">
        <v>1</v>
      </c>
      <c r="G37" s="5">
        <f t="shared" si="0"/>
        <v>2</v>
      </c>
      <c r="H37" s="9">
        <f t="shared" si="2"/>
        <v>2</v>
      </c>
    </row>
    <row r="38" spans="1:8" x14ac:dyDescent="0.25">
      <c r="A38" s="14" t="s">
        <v>1</v>
      </c>
      <c r="B38" s="6">
        <v>30</v>
      </c>
      <c r="C38" s="4">
        <v>0</v>
      </c>
      <c r="D38" s="5">
        <f t="shared" si="1"/>
        <v>30</v>
      </c>
      <c r="E38" s="6">
        <v>0</v>
      </c>
      <c r="F38" s="4">
        <v>31</v>
      </c>
      <c r="G38" s="5">
        <f t="shared" si="0"/>
        <v>31</v>
      </c>
      <c r="H38" s="9">
        <f t="shared" si="2"/>
        <v>61</v>
      </c>
    </row>
    <row r="39" spans="1:8" x14ac:dyDescent="0.25">
      <c r="A39" s="14" t="s">
        <v>26</v>
      </c>
      <c r="B39" s="6">
        <v>0</v>
      </c>
      <c r="C39" s="4">
        <v>3</v>
      </c>
      <c r="D39" s="5">
        <f t="shared" si="1"/>
        <v>3</v>
      </c>
      <c r="E39" s="6">
        <v>0</v>
      </c>
      <c r="F39" s="4">
        <v>0</v>
      </c>
      <c r="G39" s="5">
        <f t="shared" si="0"/>
        <v>0</v>
      </c>
      <c r="H39" s="9">
        <f t="shared" si="2"/>
        <v>3</v>
      </c>
    </row>
    <row r="40" spans="1:8" x14ac:dyDescent="0.25">
      <c r="A40" s="14" t="s">
        <v>27</v>
      </c>
      <c r="B40" s="6">
        <v>0</v>
      </c>
      <c r="C40" s="4">
        <v>1</v>
      </c>
      <c r="D40" s="5">
        <f t="shared" si="1"/>
        <v>1</v>
      </c>
      <c r="E40" s="6">
        <v>0</v>
      </c>
      <c r="F40" s="4">
        <v>0</v>
      </c>
      <c r="G40" s="5">
        <f t="shared" si="0"/>
        <v>0</v>
      </c>
      <c r="H40" s="9">
        <f t="shared" si="2"/>
        <v>1</v>
      </c>
    </row>
    <row r="41" spans="1:8" x14ac:dyDescent="0.25">
      <c r="A41" s="14" t="s">
        <v>77</v>
      </c>
      <c r="B41" s="6">
        <v>1</v>
      </c>
      <c r="C41" s="4">
        <v>0</v>
      </c>
      <c r="D41" s="5">
        <f t="shared" si="1"/>
        <v>1</v>
      </c>
      <c r="E41" s="6">
        <v>0</v>
      </c>
      <c r="F41" s="4">
        <v>0</v>
      </c>
      <c r="G41" s="5">
        <f t="shared" si="0"/>
        <v>0</v>
      </c>
      <c r="H41" s="9">
        <f t="shared" si="2"/>
        <v>1</v>
      </c>
    </row>
    <row r="42" spans="1:8" x14ac:dyDescent="0.25">
      <c r="A42" s="14" t="s">
        <v>99</v>
      </c>
      <c r="B42" s="6">
        <v>1</v>
      </c>
      <c r="C42" s="4">
        <v>0</v>
      </c>
      <c r="D42" s="5">
        <f t="shared" si="1"/>
        <v>1</v>
      </c>
      <c r="E42" s="6">
        <v>0</v>
      </c>
      <c r="F42" s="4">
        <v>0</v>
      </c>
      <c r="G42" s="5">
        <f t="shared" si="0"/>
        <v>0</v>
      </c>
      <c r="H42" s="9">
        <f t="shared" si="2"/>
        <v>1</v>
      </c>
    </row>
    <row r="43" spans="1:8" x14ac:dyDescent="0.25">
      <c r="A43" s="14" t="s">
        <v>28</v>
      </c>
      <c r="B43" s="6">
        <v>3</v>
      </c>
      <c r="C43" s="4">
        <v>15</v>
      </c>
      <c r="D43" s="5">
        <f t="shared" si="1"/>
        <v>18</v>
      </c>
      <c r="E43" s="6">
        <v>0</v>
      </c>
      <c r="F43" s="4">
        <v>0</v>
      </c>
      <c r="G43" s="5">
        <f t="shared" si="0"/>
        <v>0</v>
      </c>
      <c r="H43" s="9">
        <f t="shared" si="2"/>
        <v>18</v>
      </c>
    </row>
    <row r="44" spans="1:8" x14ac:dyDescent="0.25">
      <c r="A44" s="14" t="s">
        <v>29</v>
      </c>
      <c r="B44" s="6">
        <v>0</v>
      </c>
      <c r="C44" s="4">
        <v>0</v>
      </c>
      <c r="D44" s="5">
        <f t="shared" si="1"/>
        <v>0</v>
      </c>
      <c r="E44" s="6">
        <v>2</v>
      </c>
      <c r="F44" s="4">
        <v>0</v>
      </c>
      <c r="G44" s="5">
        <f t="shared" si="0"/>
        <v>2</v>
      </c>
      <c r="H44" s="9">
        <f t="shared" si="2"/>
        <v>2</v>
      </c>
    </row>
    <row r="45" spans="1:8" x14ac:dyDescent="0.25">
      <c r="A45" s="14" t="s">
        <v>31</v>
      </c>
      <c r="B45" s="6">
        <v>0</v>
      </c>
      <c r="C45" s="4">
        <v>2</v>
      </c>
      <c r="D45" s="5">
        <f t="shared" si="1"/>
        <v>2</v>
      </c>
      <c r="E45" s="6">
        <v>0</v>
      </c>
      <c r="F45" s="4">
        <v>0</v>
      </c>
      <c r="G45" s="5">
        <f t="shared" si="0"/>
        <v>0</v>
      </c>
      <c r="H45" s="9">
        <f t="shared" si="2"/>
        <v>2</v>
      </c>
    </row>
    <row r="46" spans="1:8" x14ac:dyDescent="0.25">
      <c r="A46" s="14" t="s">
        <v>33</v>
      </c>
      <c r="B46" s="6">
        <v>9</v>
      </c>
      <c r="C46" s="4">
        <v>41</v>
      </c>
      <c r="D46" s="5">
        <f t="shared" si="1"/>
        <v>50</v>
      </c>
      <c r="E46" s="6">
        <v>6</v>
      </c>
      <c r="F46" s="4">
        <v>0</v>
      </c>
      <c r="G46" s="5">
        <f t="shared" si="0"/>
        <v>6</v>
      </c>
      <c r="H46" s="9">
        <f t="shared" si="2"/>
        <v>56</v>
      </c>
    </row>
    <row r="47" spans="1:8" x14ac:dyDescent="0.25">
      <c r="A47" s="14" t="s">
        <v>34</v>
      </c>
      <c r="B47" s="6">
        <v>8</v>
      </c>
      <c r="C47" s="4">
        <v>0</v>
      </c>
      <c r="D47" s="5">
        <f t="shared" si="1"/>
        <v>8</v>
      </c>
      <c r="E47" s="6">
        <v>0</v>
      </c>
      <c r="F47" s="4">
        <v>0</v>
      </c>
      <c r="G47" s="5">
        <f t="shared" si="0"/>
        <v>0</v>
      </c>
      <c r="H47" s="9">
        <f t="shared" si="2"/>
        <v>8</v>
      </c>
    </row>
    <row r="48" spans="1:8" x14ac:dyDescent="0.25">
      <c r="A48" s="14" t="s">
        <v>35</v>
      </c>
      <c r="B48" s="6">
        <v>1</v>
      </c>
      <c r="C48" s="4">
        <v>6</v>
      </c>
      <c r="D48" s="5">
        <f t="shared" si="1"/>
        <v>7</v>
      </c>
      <c r="E48" s="6">
        <v>0</v>
      </c>
      <c r="F48" s="4">
        <v>1</v>
      </c>
      <c r="G48" s="5">
        <f t="shared" si="0"/>
        <v>1</v>
      </c>
      <c r="H48" s="9">
        <f t="shared" si="2"/>
        <v>8</v>
      </c>
    </row>
    <row r="49" spans="1:8" x14ac:dyDescent="0.25">
      <c r="A49" s="14" t="s">
        <v>71</v>
      </c>
      <c r="B49" s="6">
        <v>1</v>
      </c>
      <c r="C49" s="4">
        <v>0</v>
      </c>
      <c r="D49" s="5">
        <f t="shared" si="1"/>
        <v>1</v>
      </c>
      <c r="E49" s="6">
        <v>0</v>
      </c>
      <c r="F49" s="4">
        <v>0</v>
      </c>
      <c r="G49" s="5">
        <f t="shared" si="0"/>
        <v>0</v>
      </c>
      <c r="H49" s="9">
        <f t="shared" si="2"/>
        <v>1</v>
      </c>
    </row>
    <row r="50" spans="1:8" x14ac:dyDescent="0.25">
      <c r="A50" s="14" t="s">
        <v>60</v>
      </c>
      <c r="B50" s="6">
        <v>0</v>
      </c>
      <c r="C50" s="4">
        <v>0</v>
      </c>
      <c r="D50" s="5">
        <f t="shared" si="1"/>
        <v>0</v>
      </c>
      <c r="E50" s="6">
        <v>8</v>
      </c>
      <c r="F50" s="4">
        <v>0</v>
      </c>
      <c r="G50" s="5">
        <f t="shared" si="0"/>
        <v>8</v>
      </c>
      <c r="H50" s="9">
        <f t="shared" si="2"/>
        <v>8</v>
      </c>
    </row>
    <row r="51" spans="1:8" ht="15.75" thickBot="1" x14ac:dyDescent="0.3">
      <c r="A51" s="15" t="s">
        <v>105</v>
      </c>
      <c r="B51" s="11">
        <v>4</v>
      </c>
      <c r="C51" s="12">
        <v>7</v>
      </c>
      <c r="D51" s="12">
        <f t="shared" si="1"/>
        <v>11</v>
      </c>
      <c r="E51" s="11">
        <v>1</v>
      </c>
      <c r="F51" s="12">
        <v>1</v>
      </c>
      <c r="G51" s="13">
        <f t="shared" si="0"/>
        <v>2</v>
      </c>
      <c r="H51" s="16">
        <f t="shared" si="2"/>
        <v>13</v>
      </c>
    </row>
    <row r="52" spans="1:8" ht="16.5" thickTop="1" thickBot="1" x14ac:dyDescent="0.3">
      <c r="A52" s="8" t="s">
        <v>0</v>
      </c>
      <c r="B52" s="7">
        <f t="shared" ref="B52:H52" si="3">SUM(B7:B51)</f>
        <v>172</v>
      </c>
      <c r="C52" s="7">
        <f t="shared" si="3"/>
        <v>276</v>
      </c>
      <c r="D52" s="7">
        <f t="shared" si="3"/>
        <v>448</v>
      </c>
      <c r="E52" s="7">
        <f t="shared" si="3"/>
        <v>39</v>
      </c>
      <c r="F52" s="7">
        <f t="shared" si="3"/>
        <v>49</v>
      </c>
      <c r="G52" s="8">
        <f t="shared" si="3"/>
        <v>88</v>
      </c>
      <c r="H52" s="10">
        <f t="shared" si="3"/>
        <v>536</v>
      </c>
    </row>
    <row r="53" spans="1:8" x14ac:dyDescent="0.25">
      <c r="A53" s="18"/>
      <c r="B53" s="18"/>
      <c r="C53" s="18"/>
      <c r="D53" s="18"/>
      <c r="E53" s="18"/>
      <c r="F53" s="18"/>
      <c r="G53" s="18"/>
      <c r="H53" s="18"/>
    </row>
    <row r="54" spans="1:8" ht="15.75" thickBot="1" x14ac:dyDescent="0.3"/>
    <row r="55" spans="1:8" x14ac:dyDescent="0.25">
      <c r="A55" s="23" t="s">
        <v>40</v>
      </c>
      <c r="B55" s="37" t="s">
        <v>3</v>
      </c>
      <c r="C55" s="38"/>
      <c r="D55" s="38"/>
      <c r="E55" s="37" t="s">
        <v>4</v>
      </c>
      <c r="F55" s="38"/>
      <c r="G55" s="38"/>
      <c r="H55" s="39" t="s">
        <v>0</v>
      </c>
    </row>
    <row r="56" spans="1:8" x14ac:dyDescent="0.25">
      <c r="A56" s="24"/>
      <c r="B56" s="25" t="s">
        <v>48</v>
      </c>
      <c r="C56" s="26" t="s">
        <v>49</v>
      </c>
      <c r="D56" s="27" t="s">
        <v>0</v>
      </c>
      <c r="E56" s="25" t="s">
        <v>48</v>
      </c>
      <c r="F56" s="26" t="s">
        <v>49</v>
      </c>
      <c r="G56" s="27" t="s">
        <v>0</v>
      </c>
      <c r="H56" s="41"/>
    </row>
    <row r="57" spans="1:8" x14ac:dyDescent="0.25">
      <c r="A57" s="14" t="s">
        <v>41</v>
      </c>
      <c r="B57" s="6">
        <v>66</v>
      </c>
      <c r="C57" s="4">
        <v>70</v>
      </c>
      <c r="D57" s="5">
        <f t="shared" ref="D57:D65" si="4">SUM(B57+C57)</f>
        <v>136</v>
      </c>
      <c r="E57" s="6">
        <v>6</v>
      </c>
      <c r="F57" s="4">
        <v>1</v>
      </c>
      <c r="G57" s="5">
        <f t="shared" ref="G57:G65" si="5">F57+E57</f>
        <v>7</v>
      </c>
      <c r="H57" s="9">
        <f t="shared" ref="H57:H65" si="6">D57+G57</f>
        <v>143</v>
      </c>
    </row>
    <row r="58" spans="1:8" x14ac:dyDescent="0.25">
      <c r="A58" s="14" t="s">
        <v>42</v>
      </c>
      <c r="B58" s="6">
        <v>12</v>
      </c>
      <c r="C58" s="4">
        <v>3</v>
      </c>
      <c r="D58" s="5">
        <f t="shared" si="4"/>
        <v>15</v>
      </c>
      <c r="E58" s="6">
        <v>7</v>
      </c>
      <c r="F58" s="4">
        <v>4</v>
      </c>
      <c r="G58" s="5">
        <f t="shared" si="5"/>
        <v>11</v>
      </c>
      <c r="H58" s="9">
        <f t="shared" si="6"/>
        <v>26</v>
      </c>
    </row>
    <row r="59" spans="1:8" x14ac:dyDescent="0.25">
      <c r="A59" s="14" t="s">
        <v>43</v>
      </c>
      <c r="B59" s="6">
        <v>1</v>
      </c>
      <c r="C59" s="4">
        <v>0</v>
      </c>
      <c r="D59" s="5">
        <f t="shared" si="4"/>
        <v>1</v>
      </c>
      <c r="E59" s="6">
        <v>1</v>
      </c>
      <c r="F59" s="4">
        <v>3</v>
      </c>
      <c r="G59" s="5">
        <f t="shared" si="5"/>
        <v>4</v>
      </c>
      <c r="H59" s="9">
        <f t="shared" si="6"/>
        <v>5</v>
      </c>
    </row>
    <row r="60" spans="1:8" x14ac:dyDescent="0.25">
      <c r="A60" s="14" t="s">
        <v>60</v>
      </c>
      <c r="B60" s="6">
        <v>0</v>
      </c>
      <c r="C60" s="4">
        <v>0</v>
      </c>
      <c r="D60" s="5">
        <f t="shared" si="4"/>
        <v>0</v>
      </c>
      <c r="E60" s="6">
        <v>8</v>
      </c>
      <c r="F60" s="4">
        <v>0</v>
      </c>
      <c r="G60" s="5">
        <f t="shared" si="5"/>
        <v>8</v>
      </c>
      <c r="H60" s="9">
        <f t="shared" si="6"/>
        <v>8</v>
      </c>
    </row>
    <row r="61" spans="1:8" x14ac:dyDescent="0.25">
      <c r="A61" s="14" t="s">
        <v>44</v>
      </c>
      <c r="B61" s="6">
        <v>15</v>
      </c>
      <c r="C61" s="4">
        <v>10</v>
      </c>
      <c r="D61" s="5">
        <f t="shared" si="4"/>
        <v>25</v>
      </c>
      <c r="E61" s="6">
        <v>2</v>
      </c>
      <c r="F61" s="4">
        <v>0</v>
      </c>
      <c r="G61" s="5">
        <f t="shared" si="5"/>
        <v>2</v>
      </c>
      <c r="H61" s="9">
        <f t="shared" si="6"/>
        <v>27</v>
      </c>
    </row>
    <row r="62" spans="1:8" x14ac:dyDescent="0.25">
      <c r="A62" s="14" t="s">
        <v>1</v>
      </c>
      <c r="B62" s="6">
        <v>30</v>
      </c>
      <c r="C62" s="4">
        <v>0</v>
      </c>
      <c r="D62" s="5">
        <f t="shared" si="4"/>
        <v>30</v>
      </c>
      <c r="E62" s="6">
        <v>0</v>
      </c>
      <c r="F62" s="4">
        <v>31</v>
      </c>
      <c r="G62" s="5">
        <f t="shared" si="5"/>
        <v>31</v>
      </c>
      <c r="H62" s="9">
        <f t="shared" si="6"/>
        <v>61</v>
      </c>
    </row>
    <row r="63" spans="1:8" x14ac:dyDescent="0.25">
      <c r="A63" s="14" t="s">
        <v>45</v>
      </c>
      <c r="B63" s="6">
        <v>11</v>
      </c>
      <c r="C63" s="4">
        <v>45</v>
      </c>
      <c r="D63" s="5">
        <f t="shared" si="4"/>
        <v>56</v>
      </c>
      <c r="E63" s="6">
        <v>6</v>
      </c>
      <c r="F63" s="4">
        <v>6</v>
      </c>
      <c r="G63" s="5">
        <f t="shared" si="5"/>
        <v>12</v>
      </c>
      <c r="H63" s="9">
        <f t="shared" si="6"/>
        <v>68</v>
      </c>
    </row>
    <row r="64" spans="1:8" x14ac:dyDescent="0.25">
      <c r="A64" s="14" t="s">
        <v>46</v>
      </c>
      <c r="B64" s="6">
        <v>12</v>
      </c>
      <c r="C64" s="4">
        <v>13</v>
      </c>
      <c r="D64" s="5">
        <f t="shared" si="4"/>
        <v>25</v>
      </c>
      <c r="E64" s="6">
        <v>0</v>
      </c>
      <c r="F64" s="4">
        <v>1</v>
      </c>
      <c r="G64" s="5">
        <f t="shared" si="5"/>
        <v>1</v>
      </c>
      <c r="H64" s="9">
        <f t="shared" si="6"/>
        <v>26</v>
      </c>
    </row>
    <row r="65" spans="1:8" ht="15.75" thickBot="1" x14ac:dyDescent="0.3">
      <c r="A65" s="15" t="s">
        <v>47</v>
      </c>
      <c r="B65" s="11">
        <v>25</v>
      </c>
      <c r="C65" s="12">
        <v>135</v>
      </c>
      <c r="D65" s="12">
        <f t="shared" si="4"/>
        <v>160</v>
      </c>
      <c r="E65" s="11">
        <v>9</v>
      </c>
      <c r="F65" s="12">
        <v>3</v>
      </c>
      <c r="G65" s="13">
        <f t="shared" si="5"/>
        <v>12</v>
      </c>
      <c r="H65" s="16">
        <f t="shared" si="6"/>
        <v>172</v>
      </c>
    </row>
    <row r="66" spans="1:8" ht="16.5" thickTop="1" thickBot="1" x14ac:dyDescent="0.3">
      <c r="A66" s="8" t="s">
        <v>0</v>
      </c>
      <c r="B66" s="7">
        <f t="shared" ref="B66:H66" si="7">SUM(B57:B65)</f>
        <v>172</v>
      </c>
      <c r="C66" s="7">
        <f t="shared" si="7"/>
        <v>276</v>
      </c>
      <c r="D66" s="7">
        <f t="shared" si="7"/>
        <v>448</v>
      </c>
      <c r="E66" s="7">
        <f t="shared" si="7"/>
        <v>39</v>
      </c>
      <c r="F66" s="7">
        <f t="shared" si="7"/>
        <v>49</v>
      </c>
      <c r="G66" s="8">
        <f t="shared" si="7"/>
        <v>88</v>
      </c>
      <c r="H66" s="10">
        <f t="shared" si="7"/>
        <v>536</v>
      </c>
    </row>
    <row r="68" spans="1:8" x14ac:dyDescent="0.25">
      <c r="A68" s="48" t="s">
        <v>76</v>
      </c>
      <c r="B68" s="48"/>
      <c r="C68" s="48"/>
      <c r="D68" s="48"/>
      <c r="E68" s="48"/>
      <c r="F68" s="48"/>
      <c r="G68" s="48"/>
      <c r="H68" s="48"/>
    </row>
    <row r="72" spans="1:8" x14ac:dyDescent="0.25">
      <c r="A72" s="49"/>
      <c r="B72" s="49"/>
      <c r="C72" s="49"/>
      <c r="D72" s="49"/>
      <c r="E72" s="49"/>
      <c r="F72" s="49"/>
      <c r="G72" s="49"/>
      <c r="H72" s="49"/>
    </row>
  </sheetData>
  <mergeCells count="8">
    <mergeCell ref="A68:H68"/>
    <mergeCell ref="A72:H72"/>
    <mergeCell ref="A2:H2"/>
    <mergeCell ref="B5:D5"/>
    <mergeCell ref="E5:G5"/>
    <mergeCell ref="B55:D55"/>
    <mergeCell ref="E55:G55"/>
    <mergeCell ref="H55:H56"/>
  </mergeCells>
  <pageMargins left="0.25" right="0.25" top="0.75" bottom="0.75" header="0.3" footer="0.3"/>
  <pageSetup paperSize="9" orientation="portrait" r:id="rId1"/>
  <headerFooter>
    <oddHeader>&amp;CUCL Student Data Statistics</oddHeader>
    <oddFooter>&amp;C&amp;P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view="pageLayout" topLeftCell="B1" zoomScale="85" zoomScaleNormal="100" zoomScalePageLayoutView="85" workbookViewId="0">
      <selection activeCell="G59" sqref="G59"/>
    </sheetView>
  </sheetViews>
  <sheetFormatPr defaultColWidth="9.140625" defaultRowHeight="15" x14ac:dyDescent="0.25"/>
  <cols>
    <col min="1" max="1" width="29.28515625" bestFit="1" customWidth="1"/>
    <col min="2" max="8" width="8.5703125" customWidth="1"/>
  </cols>
  <sheetData>
    <row r="1" spans="1:8" ht="18" x14ac:dyDescent="0.25">
      <c r="A1" s="1" t="s">
        <v>50</v>
      </c>
      <c r="B1" s="3"/>
    </row>
    <row r="2" spans="1:8" x14ac:dyDescent="0.25">
      <c r="A2" s="33" t="s">
        <v>51</v>
      </c>
      <c r="B2" s="33"/>
      <c r="C2" s="33"/>
      <c r="D2" s="33"/>
      <c r="E2" s="33"/>
      <c r="F2" s="33"/>
      <c r="G2" s="33"/>
      <c r="H2" s="33"/>
    </row>
    <row r="3" spans="1:8" x14ac:dyDescent="0.25">
      <c r="A3" s="2" t="str">
        <f ca="1">RIGHT(CELL("filename",A1),LEN(CELL("filename",A1))-FIND("]",CELL("filename",A1)))</f>
        <v>1999-00</v>
      </c>
      <c r="B3" s="3"/>
    </row>
    <row r="4" spans="1:8" ht="15.75" thickBot="1" x14ac:dyDescent="0.3">
      <c r="A4" s="3"/>
      <c r="B4" s="3"/>
    </row>
    <row r="5" spans="1:8" ht="15" customHeight="1" x14ac:dyDescent="0.25">
      <c r="A5" s="21" t="s">
        <v>2</v>
      </c>
      <c r="B5" s="37" t="s">
        <v>3</v>
      </c>
      <c r="C5" s="38"/>
      <c r="D5" s="38"/>
      <c r="E5" s="37" t="s">
        <v>4</v>
      </c>
      <c r="F5" s="38"/>
      <c r="G5" s="38"/>
      <c r="H5" s="21" t="s">
        <v>0</v>
      </c>
    </row>
    <row r="6" spans="1:8" ht="15" customHeight="1" x14ac:dyDescent="0.25">
      <c r="A6" s="22"/>
      <c r="B6" s="28" t="s">
        <v>48</v>
      </c>
      <c r="C6" s="29" t="s">
        <v>49</v>
      </c>
      <c r="D6" s="30" t="s">
        <v>0</v>
      </c>
      <c r="E6" s="28" t="s">
        <v>48</v>
      </c>
      <c r="F6" s="29" t="s">
        <v>49</v>
      </c>
      <c r="G6" s="30" t="s">
        <v>0</v>
      </c>
      <c r="H6" s="22"/>
    </row>
    <row r="7" spans="1:8" x14ac:dyDescent="0.25">
      <c r="A7" s="14" t="s">
        <v>5</v>
      </c>
      <c r="B7" s="6">
        <v>1</v>
      </c>
      <c r="C7" s="4">
        <v>0</v>
      </c>
      <c r="D7" s="5">
        <f>B7+C7</f>
        <v>1</v>
      </c>
      <c r="E7" s="6">
        <v>0</v>
      </c>
      <c r="F7" s="4">
        <v>0</v>
      </c>
      <c r="G7" s="5">
        <f t="shared" ref="G7:G48" si="0">E7+F7</f>
        <v>0</v>
      </c>
      <c r="H7" s="9">
        <f>G7+D7</f>
        <v>1</v>
      </c>
    </row>
    <row r="8" spans="1:8" x14ac:dyDescent="0.25">
      <c r="A8" s="14" t="s">
        <v>6</v>
      </c>
      <c r="B8" s="6">
        <v>4</v>
      </c>
      <c r="C8" s="4">
        <v>14</v>
      </c>
      <c r="D8" s="5">
        <f t="shared" ref="D8:D48" si="1">B8+C8</f>
        <v>18</v>
      </c>
      <c r="E8" s="6">
        <v>0</v>
      </c>
      <c r="F8" s="4">
        <v>0</v>
      </c>
      <c r="G8" s="5">
        <f t="shared" si="0"/>
        <v>0</v>
      </c>
      <c r="H8" s="9">
        <f t="shared" ref="H8:H48" si="2">G8+D8</f>
        <v>18</v>
      </c>
    </row>
    <row r="9" spans="1:8" x14ac:dyDescent="0.25">
      <c r="A9" s="14" t="s">
        <v>7</v>
      </c>
      <c r="B9" s="6">
        <v>4</v>
      </c>
      <c r="C9" s="4">
        <v>2</v>
      </c>
      <c r="D9" s="5">
        <f t="shared" si="1"/>
        <v>6</v>
      </c>
      <c r="E9" s="6">
        <v>0</v>
      </c>
      <c r="F9" s="4">
        <v>0</v>
      </c>
      <c r="G9" s="5">
        <f t="shared" si="0"/>
        <v>0</v>
      </c>
      <c r="H9" s="9">
        <f t="shared" si="2"/>
        <v>6</v>
      </c>
    </row>
    <row r="10" spans="1:8" x14ac:dyDescent="0.25">
      <c r="A10" s="14" t="s">
        <v>101</v>
      </c>
      <c r="B10" s="6">
        <v>8</v>
      </c>
      <c r="C10" s="4">
        <v>6</v>
      </c>
      <c r="D10" s="5">
        <f t="shared" si="1"/>
        <v>14</v>
      </c>
      <c r="E10" s="6">
        <v>9</v>
      </c>
      <c r="F10" s="4">
        <v>2</v>
      </c>
      <c r="G10" s="5">
        <f t="shared" si="0"/>
        <v>11</v>
      </c>
      <c r="H10" s="9">
        <f t="shared" si="2"/>
        <v>25</v>
      </c>
    </row>
    <row r="11" spans="1:8" x14ac:dyDescent="0.25">
      <c r="A11" s="14" t="s">
        <v>54</v>
      </c>
      <c r="B11" s="6">
        <v>1</v>
      </c>
      <c r="C11" s="4">
        <v>1</v>
      </c>
      <c r="D11" s="5">
        <f t="shared" si="1"/>
        <v>2</v>
      </c>
      <c r="E11" s="6">
        <v>0</v>
      </c>
      <c r="F11" s="4">
        <v>0</v>
      </c>
      <c r="G11" s="5">
        <f t="shared" si="0"/>
        <v>0</v>
      </c>
      <c r="H11" s="9">
        <f t="shared" si="2"/>
        <v>2</v>
      </c>
    </row>
    <row r="12" spans="1:8" x14ac:dyDescent="0.25">
      <c r="A12" s="14" t="s">
        <v>10</v>
      </c>
      <c r="B12" s="6">
        <v>0</v>
      </c>
      <c r="C12" s="4">
        <v>7</v>
      </c>
      <c r="D12" s="5">
        <f t="shared" si="1"/>
        <v>7</v>
      </c>
      <c r="E12" s="6">
        <v>0</v>
      </c>
      <c r="F12" s="4">
        <v>0</v>
      </c>
      <c r="G12" s="5">
        <f t="shared" si="0"/>
        <v>0</v>
      </c>
      <c r="H12" s="9">
        <f t="shared" si="2"/>
        <v>7</v>
      </c>
    </row>
    <row r="13" spans="1:8" x14ac:dyDescent="0.25">
      <c r="A13" s="14" t="s">
        <v>57</v>
      </c>
      <c r="B13" s="6">
        <v>10</v>
      </c>
      <c r="C13" s="4">
        <v>11</v>
      </c>
      <c r="D13" s="5">
        <f t="shared" si="1"/>
        <v>21</v>
      </c>
      <c r="E13" s="6">
        <v>0</v>
      </c>
      <c r="F13" s="4">
        <v>0</v>
      </c>
      <c r="G13" s="5">
        <f t="shared" si="0"/>
        <v>0</v>
      </c>
      <c r="H13" s="9">
        <f t="shared" si="2"/>
        <v>21</v>
      </c>
    </row>
    <row r="14" spans="1:8" x14ac:dyDescent="0.25">
      <c r="A14" s="14" t="s">
        <v>12</v>
      </c>
      <c r="B14" s="6">
        <v>2</v>
      </c>
      <c r="C14" s="4">
        <v>2</v>
      </c>
      <c r="D14" s="5">
        <f t="shared" si="1"/>
        <v>4</v>
      </c>
      <c r="E14" s="6">
        <v>0</v>
      </c>
      <c r="F14" s="4">
        <v>0</v>
      </c>
      <c r="G14" s="5">
        <f t="shared" si="0"/>
        <v>0</v>
      </c>
      <c r="H14" s="9">
        <f t="shared" si="2"/>
        <v>4</v>
      </c>
    </row>
    <row r="15" spans="1:8" x14ac:dyDescent="0.25">
      <c r="A15" s="14" t="s">
        <v>13</v>
      </c>
      <c r="B15" s="6">
        <v>2</v>
      </c>
      <c r="C15" s="4">
        <v>5</v>
      </c>
      <c r="D15" s="5">
        <f t="shared" si="1"/>
        <v>7</v>
      </c>
      <c r="E15" s="6">
        <v>0</v>
      </c>
      <c r="F15" s="4">
        <v>0</v>
      </c>
      <c r="G15" s="5">
        <f t="shared" si="0"/>
        <v>0</v>
      </c>
      <c r="H15" s="9">
        <f t="shared" si="2"/>
        <v>7</v>
      </c>
    </row>
    <row r="16" spans="1:8" x14ac:dyDescent="0.25">
      <c r="A16" s="14" t="s">
        <v>106</v>
      </c>
      <c r="B16" s="6">
        <v>2</v>
      </c>
      <c r="C16" s="4">
        <v>1</v>
      </c>
      <c r="D16" s="5">
        <f t="shared" si="1"/>
        <v>3</v>
      </c>
      <c r="E16" s="6">
        <v>0</v>
      </c>
      <c r="F16" s="4">
        <v>0</v>
      </c>
      <c r="G16" s="5">
        <f t="shared" si="0"/>
        <v>0</v>
      </c>
      <c r="H16" s="9">
        <f t="shared" si="2"/>
        <v>3</v>
      </c>
    </row>
    <row r="17" spans="1:8" x14ac:dyDescent="0.25">
      <c r="A17" s="14" t="s">
        <v>97</v>
      </c>
      <c r="B17" s="6">
        <v>0</v>
      </c>
      <c r="C17" s="4">
        <v>12</v>
      </c>
      <c r="D17" s="5">
        <f t="shared" si="1"/>
        <v>12</v>
      </c>
      <c r="E17" s="6">
        <v>0</v>
      </c>
      <c r="F17" s="4">
        <v>0</v>
      </c>
      <c r="G17" s="5">
        <f t="shared" si="0"/>
        <v>0</v>
      </c>
      <c r="H17" s="9">
        <f t="shared" si="2"/>
        <v>12</v>
      </c>
    </row>
    <row r="18" spans="1:8" x14ac:dyDescent="0.25">
      <c r="A18" s="14" t="s">
        <v>14</v>
      </c>
      <c r="B18" s="6">
        <v>2</v>
      </c>
      <c r="C18" s="4">
        <v>3</v>
      </c>
      <c r="D18" s="5">
        <f t="shared" si="1"/>
        <v>5</v>
      </c>
      <c r="E18" s="6">
        <v>0</v>
      </c>
      <c r="F18" s="4">
        <v>0</v>
      </c>
      <c r="G18" s="5">
        <f t="shared" si="0"/>
        <v>0</v>
      </c>
      <c r="H18" s="9">
        <f t="shared" si="2"/>
        <v>5</v>
      </c>
    </row>
    <row r="19" spans="1:8" x14ac:dyDescent="0.25">
      <c r="A19" s="14" t="s">
        <v>16</v>
      </c>
      <c r="B19" s="6">
        <v>7</v>
      </c>
      <c r="C19" s="4">
        <v>0</v>
      </c>
      <c r="D19" s="5">
        <f t="shared" si="1"/>
        <v>7</v>
      </c>
      <c r="E19" s="6">
        <v>1</v>
      </c>
      <c r="F19" s="4">
        <v>0</v>
      </c>
      <c r="G19" s="5">
        <f t="shared" si="0"/>
        <v>1</v>
      </c>
      <c r="H19" s="9">
        <f t="shared" si="2"/>
        <v>8</v>
      </c>
    </row>
    <row r="20" spans="1:8" x14ac:dyDescent="0.25">
      <c r="A20" s="14" t="s">
        <v>17</v>
      </c>
      <c r="B20" s="6">
        <v>0</v>
      </c>
      <c r="C20" s="4">
        <v>61</v>
      </c>
      <c r="D20" s="5">
        <f t="shared" si="1"/>
        <v>61</v>
      </c>
      <c r="E20" s="6">
        <v>9</v>
      </c>
      <c r="F20" s="4">
        <v>4</v>
      </c>
      <c r="G20" s="5">
        <f t="shared" si="0"/>
        <v>13</v>
      </c>
      <c r="H20" s="9">
        <f t="shared" si="2"/>
        <v>74</v>
      </c>
    </row>
    <row r="21" spans="1:8" x14ac:dyDescent="0.25">
      <c r="A21" s="14" t="s">
        <v>18</v>
      </c>
      <c r="B21" s="6">
        <v>2</v>
      </c>
      <c r="C21" s="4">
        <v>0</v>
      </c>
      <c r="D21" s="5">
        <f t="shared" si="1"/>
        <v>2</v>
      </c>
      <c r="E21" s="6">
        <v>2</v>
      </c>
      <c r="F21" s="4">
        <v>0</v>
      </c>
      <c r="G21" s="5">
        <f t="shared" si="0"/>
        <v>2</v>
      </c>
      <c r="H21" s="9">
        <f t="shared" si="2"/>
        <v>4</v>
      </c>
    </row>
    <row r="22" spans="1:8" x14ac:dyDescent="0.25">
      <c r="A22" s="14" t="s">
        <v>19</v>
      </c>
      <c r="B22" s="6">
        <v>3</v>
      </c>
      <c r="C22" s="4">
        <v>28</v>
      </c>
      <c r="D22" s="5">
        <f t="shared" si="1"/>
        <v>31</v>
      </c>
      <c r="E22" s="6">
        <v>1</v>
      </c>
      <c r="F22" s="4">
        <v>0</v>
      </c>
      <c r="G22" s="5">
        <f t="shared" si="0"/>
        <v>1</v>
      </c>
      <c r="H22" s="9">
        <f t="shared" si="2"/>
        <v>32</v>
      </c>
    </row>
    <row r="23" spans="1:8" x14ac:dyDescent="0.25">
      <c r="A23" s="14" t="s">
        <v>62</v>
      </c>
      <c r="B23" s="6">
        <v>5</v>
      </c>
      <c r="C23" s="4">
        <v>3</v>
      </c>
      <c r="D23" s="5">
        <f t="shared" si="1"/>
        <v>8</v>
      </c>
      <c r="E23" s="6">
        <v>0</v>
      </c>
      <c r="F23" s="4">
        <v>0</v>
      </c>
      <c r="G23" s="5">
        <f t="shared" si="0"/>
        <v>0</v>
      </c>
      <c r="H23" s="9">
        <f t="shared" si="2"/>
        <v>8</v>
      </c>
    </row>
    <row r="24" spans="1:8" x14ac:dyDescent="0.25">
      <c r="A24" s="14" t="s">
        <v>20</v>
      </c>
      <c r="B24" s="6">
        <v>7</v>
      </c>
      <c r="C24" s="4">
        <v>13</v>
      </c>
      <c r="D24" s="5">
        <f t="shared" si="1"/>
        <v>20</v>
      </c>
      <c r="E24" s="6">
        <v>2</v>
      </c>
      <c r="F24" s="4">
        <v>0</v>
      </c>
      <c r="G24" s="5">
        <f t="shared" si="0"/>
        <v>2</v>
      </c>
      <c r="H24" s="9">
        <f t="shared" si="2"/>
        <v>22</v>
      </c>
    </row>
    <row r="25" spans="1:8" x14ac:dyDescent="0.25">
      <c r="A25" s="14" t="s">
        <v>81</v>
      </c>
      <c r="B25" s="6">
        <v>0</v>
      </c>
      <c r="C25" s="4">
        <v>0</v>
      </c>
      <c r="D25" s="5">
        <f t="shared" si="1"/>
        <v>0</v>
      </c>
      <c r="E25" s="6">
        <v>0</v>
      </c>
      <c r="F25" s="4">
        <v>6</v>
      </c>
      <c r="G25" s="5">
        <f t="shared" si="0"/>
        <v>6</v>
      </c>
      <c r="H25" s="9">
        <f t="shared" si="2"/>
        <v>6</v>
      </c>
    </row>
    <row r="26" spans="1:8" x14ac:dyDescent="0.25">
      <c r="A26" s="14" t="s">
        <v>21</v>
      </c>
      <c r="B26" s="6">
        <v>5</v>
      </c>
      <c r="C26" s="4">
        <v>18</v>
      </c>
      <c r="D26" s="5">
        <f t="shared" si="1"/>
        <v>23</v>
      </c>
      <c r="E26" s="6">
        <v>1</v>
      </c>
      <c r="F26" s="4">
        <v>0</v>
      </c>
      <c r="G26" s="5">
        <f t="shared" si="0"/>
        <v>1</v>
      </c>
      <c r="H26" s="9">
        <f t="shared" si="2"/>
        <v>24</v>
      </c>
    </row>
    <row r="27" spans="1:8" x14ac:dyDescent="0.25">
      <c r="A27" s="14" t="s">
        <v>22</v>
      </c>
      <c r="B27" s="6">
        <v>3</v>
      </c>
      <c r="C27" s="4">
        <v>0</v>
      </c>
      <c r="D27" s="5">
        <f t="shared" si="1"/>
        <v>3</v>
      </c>
      <c r="E27" s="6">
        <v>0</v>
      </c>
      <c r="F27" s="4">
        <v>0</v>
      </c>
      <c r="G27" s="5">
        <f t="shared" si="0"/>
        <v>0</v>
      </c>
      <c r="H27" s="9">
        <f t="shared" si="2"/>
        <v>3</v>
      </c>
    </row>
    <row r="28" spans="1:8" x14ac:dyDescent="0.25">
      <c r="A28" s="14" t="s">
        <v>89</v>
      </c>
      <c r="B28" s="6">
        <v>0</v>
      </c>
      <c r="C28" s="4">
        <v>0</v>
      </c>
      <c r="D28" s="5">
        <f t="shared" si="1"/>
        <v>0</v>
      </c>
      <c r="E28" s="6">
        <v>1</v>
      </c>
      <c r="F28" s="4">
        <v>0</v>
      </c>
      <c r="G28" s="5">
        <f t="shared" si="0"/>
        <v>1</v>
      </c>
      <c r="H28" s="9">
        <f t="shared" si="2"/>
        <v>1</v>
      </c>
    </row>
    <row r="29" spans="1:8" x14ac:dyDescent="0.25">
      <c r="A29" s="14" t="s">
        <v>23</v>
      </c>
      <c r="B29" s="6">
        <v>12</v>
      </c>
      <c r="C29" s="4">
        <v>2</v>
      </c>
      <c r="D29" s="5">
        <f t="shared" si="1"/>
        <v>14</v>
      </c>
      <c r="E29" s="6">
        <v>1</v>
      </c>
      <c r="F29" s="4">
        <v>0</v>
      </c>
      <c r="G29" s="5">
        <f t="shared" si="0"/>
        <v>1</v>
      </c>
      <c r="H29" s="9">
        <f t="shared" si="2"/>
        <v>15</v>
      </c>
    </row>
    <row r="30" spans="1:8" x14ac:dyDescent="0.25">
      <c r="A30" s="14" t="s">
        <v>37</v>
      </c>
      <c r="B30" s="6">
        <v>10</v>
      </c>
      <c r="C30" s="4">
        <v>2</v>
      </c>
      <c r="D30" s="5">
        <f t="shared" si="1"/>
        <v>12</v>
      </c>
      <c r="E30" s="6">
        <v>3</v>
      </c>
      <c r="F30" s="4">
        <v>0</v>
      </c>
      <c r="G30" s="5">
        <f t="shared" si="0"/>
        <v>3</v>
      </c>
      <c r="H30" s="9">
        <f t="shared" si="2"/>
        <v>15</v>
      </c>
    </row>
    <row r="31" spans="1:8" x14ac:dyDescent="0.25">
      <c r="A31" s="14" t="s">
        <v>38</v>
      </c>
      <c r="B31" s="6">
        <v>1</v>
      </c>
      <c r="C31" s="4">
        <v>3</v>
      </c>
      <c r="D31" s="5">
        <f t="shared" si="1"/>
        <v>4</v>
      </c>
      <c r="E31" s="6">
        <v>1</v>
      </c>
      <c r="F31" s="4">
        <v>0</v>
      </c>
      <c r="G31" s="5">
        <f t="shared" si="0"/>
        <v>1</v>
      </c>
      <c r="H31" s="9">
        <f t="shared" si="2"/>
        <v>5</v>
      </c>
    </row>
    <row r="32" spans="1:8" x14ac:dyDescent="0.25">
      <c r="A32" s="14" t="s">
        <v>24</v>
      </c>
      <c r="B32" s="6">
        <v>9</v>
      </c>
      <c r="C32" s="4">
        <v>12</v>
      </c>
      <c r="D32" s="5">
        <f t="shared" si="1"/>
        <v>21</v>
      </c>
      <c r="E32" s="6">
        <v>1</v>
      </c>
      <c r="F32" s="4">
        <v>0</v>
      </c>
      <c r="G32" s="5">
        <f t="shared" si="0"/>
        <v>1</v>
      </c>
      <c r="H32" s="9">
        <f t="shared" si="2"/>
        <v>22</v>
      </c>
    </row>
    <row r="33" spans="1:8" x14ac:dyDescent="0.25">
      <c r="A33" s="14" t="s">
        <v>39</v>
      </c>
      <c r="B33" s="6">
        <v>3</v>
      </c>
      <c r="C33" s="4">
        <v>11</v>
      </c>
      <c r="D33" s="5">
        <f t="shared" si="1"/>
        <v>14</v>
      </c>
      <c r="E33" s="6">
        <v>1</v>
      </c>
      <c r="F33" s="4">
        <v>0</v>
      </c>
      <c r="G33" s="5">
        <f t="shared" si="0"/>
        <v>1</v>
      </c>
      <c r="H33" s="9">
        <f t="shared" si="2"/>
        <v>15</v>
      </c>
    </row>
    <row r="34" spans="1:8" x14ac:dyDescent="0.25">
      <c r="A34" s="14" t="s">
        <v>25</v>
      </c>
      <c r="B34" s="6">
        <v>29</v>
      </c>
      <c r="C34" s="4">
        <v>0</v>
      </c>
      <c r="D34" s="5">
        <f t="shared" si="1"/>
        <v>29</v>
      </c>
      <c r="E34" s="6">
        <v>0</v>
      </c>
      <c r="F34" s="4">
        <v>0</v>
      </c>
      <c r="G34" s="5">
        <f t="shared" si="0"/>
        <v>0</v>
      </c>
      <c r="H34" s="9">
        <f t="shared" si="2"/>
        <v>29</v>
      </c>
    </row>
    <row r="35" spans="1:8" x14ac:dyDescent="0.25">
      <c r="A35" s="14" t="s">
        <v>1</v>
      </c>
      <c r="B35" s="6">
        <v>23</v>
      </c>
      <c r="C35" s="4">
        <v>1</v>
      </c>
      <c r="D35" s="5">
        <f t="shared" si="1"/>
        <v>24</v>
      </c>
      <c r="E35" s="6">
        <v>3</v>
      </c>
      <c r="F35" s="4">
        <v>38</v>
      </c>
      <c r="G35" s="5">
        <f t="shared" si="0"/>
        <v>41</v>
      </c>
      <c r="H35" s="9">
        <f t="shared" si="2"/>
        <v>65</v>
      </c>
    </row>
    <row r="36" spans="1:8" x14ac:dyDescent="0.25">
      <c r="A36" s="14" t="s">
        <v>26</v>
      </c>
      <c r="B36" s="6">
        <v>2</v>
      </c>
      <c r="C36" s="4">
        <v>2</v>
      </c>
      <c r="D36" s="5">
        <f t="shared" si="1"/>
        <v>4</v>
      </c>
      <c r="E36" s="6">
        <v>0</v>
      </c>
      <c r="F36" s="4">
        <v>0</v>
      </c>
      <c r="G36" s="5">
        <f t="shared" si="0"/>
        <v>0</v>
      </c>
      <c r="H36" s="9">
        <f t="shared" si="2"/>
        <v>4</v>
      </c>
    </row>
    <row r="37" spans="1:8" x14ac:dyDescent="0.25">
      <c r="A37" s="14" t="s">
        <v>27</v>
      </c>
      <c r="B37" s="6">
        <v>2</v>
      </c>
      <c r="C37" s="4">
        <v>2</v>
      </c>
      <c r="D37" s="5">
        <f t="shared" si="1"/>
        <v>4</v>
      </c>
      <c r="E37" s="6">
        <v>0</v>
      </c>
      <c r="F37" s="4">
        <v>0</v>
      </c>
      <c r="G37" s="5">
        <f t="shared" si="0"/>
        <v>0</v>
      </c>
      <c r="H37" s="9">
        <f t="shared" si="2"/>
        <v>4</v>
      </c>
    </row>
    <row r="38" spans="1:8" x14ac:dyDescent="0.25">
      <c r="A38" s="14" t="s">
        <v>99</v>
      </c>
      <c r="B38" s="6">
        <v>1</v>
      </c>
      <c r="C38" s="4">
        <v>0</v>
      </c>
      <c r="D38" s="5">
        <f t="shared" si="1"/>
        <v>1</v>
      </c>
      <c r="E38" s="6">
        <v>0</v>
      </c>
      <c r="F38" s="4">
        <v>0</v>
      </c>
      <c r="G38" s="5">
        <f t="shared" si="0"/>
        <v>0</v>
      </c>
      <c r="H38" s="9">
        <f t="shared" si="2"/>
        <v>1</v>
      </c>
    </row>
    <row r="39" spans="1:8" x14ac:dyDescent="0.25">
      <c r="A39" s="14" t="s">
        <v>28</v>
      </c>
      <c r="B39" s="6">
        <v>0</v>
      </c>
      <c r="C39" s="4">
        <v>9</v>
      </c>
      <c r="D39" s="5">
        <f t="shared" si="1"/>
        <v>9</v>
      </c>
      <c r="E39" s="6">
        <v>2</v>
      </c>
      <c r="F39" s="4">
        <v>0</v>
      </c>
      <c r="G39" s="5">
        <f t="shared" si="0"/>
        <v>2</v>
      </c>
      <c r="H39" s="9">
        <f t="shared" si="2"/>
        <v>11</v>
      </c>
    </row>
    <row r="40" spans="1:8" x14ac:dyDescent="0.25">
      <c r="A40" s="14" t="s">
        <v>29</v>
      </c>
      <c r="B40" s="6">
        <v>2</v>
      </c>
      <c r="C40" s="4">
        <v>2</v>
      </c>
      <c r="D40" s="5">
        <f t="shared" si="1"/>
        <v>4</v>
      </c>
      <c r="E40" s="6">
        <v>0</v>
      </c>
      <c r="F40" s="4">
        <v>0</v>
      </c>
      <c r="G40" s="5">
        <f t="shared" si="0"/>
        <v>0</v>
      </c>
      <c r="H40" s="9">
        <f t="shared" si="2"/>
        <v>4</v>
      </c>
    </row>
    <row r="41" spans="1:8" x14ac:dyDescent="0.25">
      <c r="A41" s="14" t="s">
        <v>31</v>
      </c>
      <c r="B41" s="6">
        <v>2</v>
      </c>
      <c r="C41" s="4">
        <v>3</v>
      </c>
      <c r="D41" s="5">
        <f t="shared" si="1"/>
        <v>5</v>
      </c>
      <c r="E41" s="6">
        <v>0</v>
      </c>
      <c r="F41" s="4">
        <v>0</v>
      </c>
      <c r="G41" s="5">
        <f t="shared" si="0"/>
        <v>0</v>
      </c>
      <c r="H41" s="9">
        <f t="shared" si="2"/>
        <v>5</v>
      </c>
    </row>
    <row r="42" spans="1:8" x14ac:dyDescent="0.25">
      <c r="A42" s="14" t="s">
        <v>32</v>
      </c>
      <c r="B42" s="6">
        <v>0</v>
      </c>
      <c r="C42" s="4">
        <v>1</v>
      </c>
      <c r="D42" s="5">
        <f t="shared" si="1"/>
        <v>1</v>
      </c>
      <c r="E42" s="6">
        <v>0</v>
      </c>
      <c r="F42" s="4">
        <v>0</v>
      </c>
      <c r="G42" s="5">
        <f t="shared" si="0"/>
        <v>0</v>
      </c>
      <c r="H42" s="9">
        <f t="shared" si="2"/>
        <v>1</v>
      </c>
    </row>
    <row r="43" spans="1:8" x14ac:dyDescent="0.25">
      <c r="A43" s="14" t="s">
        <v>33</v>
      </c>
      <c r="B43" s="6">
        <v>5</v>
      </c>
      <c r="C43" s="4">
        <v>38</v>
      </c>
      <c r="D43" s="5">
        <f t="shared" si="1"/>
        <v>43</v>
      </c>
      <c r="E43" s="6">
        <v>3</v>
      </c>
      <c r="F43" s="4">
        <v>1</v>
      </c>
      <c r="G43" s="5">
        <f t="shared" si="0"/>
        <v>4</v>
      </c>
      <c r="H43" s="9">
        <f t="shared" si="2"/>
        <v>47</v>
      </c>
    </row>
    <row r="44" spans="1:8" x14ac:dyDescent="0.25">
      <c r="A44" s="14" t="s">
        <v>34</v>
      </c>
      <c r="B44" s="6">
        <v>12</v>
      </c>
      <c r="C44" s="4">
        <v>0</v>
      </c>
      <c r="D44" s="5">
        <f t="shared" si="1"/>
        <v>12</v>
      </c>
      <c r="E44" s="6">
        <v>0</v>
      </c>
      <c r="F44" s="4">
        <v>0</v>
      </c>
      <c r="G44" s="5">
        <f t="shared" si="0"/>
        <v>0</v>
      </c>
      <c r="H44" s="9">
        <f t="shared" si="2"/>
        <v>12</v>
      </c>
    </row>
    <row r="45" spans="1:8" x14ac:dyDescent="0.25">
      <c r="A45" s="14" t="s">
        <v>35</v>
      </c>
      <c r="B45" s="6">
        <v>2</v>
      </c>
      <c r="C45" s="4">
        <v>6</v>
      </c>
      <c r="D45" s="5">
        <f t="shared" si="1"/>
        <v>8</v>
      </c>
      <c r="E45" s="6">
        <v>0</v>
      </c>
      <c r="F45" s="4">
        <v>0</v>
      </c>
      <c r="G45" s="5">
        <f t="shared" si="0"/>
        <v>0</v>
      </c>
      <c r="H45" s="9">
        <f t="shared" si="2"/>
        <v>8</v>
      </c>
    </row>
    <row r="46" spans="1:8" x14ac:dyDescent="0.25">
      <c r="A46" s="14" t="s">
        <v>71</v>
      </c>
      <c r="B46" s="6">
        <v>2</v>
      </c>
      <c r="C46" s="4">
        <v>0</v>
      </c>
      <c r="D46" s="5">
        <f t="shared" si="1"/>
        <v>2</v>
      </c>
      <c r="E46" s="6">
        <v>0</v>
      </c>
      <c r="F46" s="4">
        <v>0</v>
      </c>
      <c r="G46" s="5">
        <f t="shared" si="0"/>
        <v>0</v>
      </c>
      <c r="H46" s="9">
        <f t="shared" si="2"/>
        <v>2</v>
      </c>
    </row>
    <row r="47" spans="1:8" x14ac:dyDescent="0.25">
      <c r="A47" s="14" t="s">
        <v>60</v>
      </c>
      <c r="B47" s="6">
        <v>0</v>
      </c>
      <c r="C47" s="4">
        <v>0</v>
      </c>
      <c r="D47" s="5">
        <f t="shared" si="1"/>
        <v>0</v>
      </c>
      <c r="E47" s="6">
        <v>3</v>
      </c>
      <c r="F47" s="4">
        <v>2</v>
      </c>
      <c r="G47" s="5">
        <f t="shared" si="0"/>
        <v>5</v>
      </c>
      <c r="H47" s="9">
        <f t="shared" si="2"/>
        <v>5</v>
      </c>
    </row>
    <row r="48" spans="1:8" ht="15.75" thickBot="1" x14ac:dyDescent="0.3">
      <c r="A48" s="15" t="s">
        <v>107</v>
      </c>
      <c r="B48" s="11">
        <v>6</v>
      </c>
      <c r="C48" s="12">
        <v>7</v>
      </c>
      <c r="D48" s="12">
        <f t="shared" si="1"/>
        <v>13</v>
      </c>
      <c r="E48" s="11">
        <v>3</v>
      </c>
      <c r="F48" s="12">
        <v>2</v>
      </c>
      <c r="G48" s="13">
        <f t="shared" si="0"/>
        <v>5</v>
      </c>
      <c r="H48" s="16">
        <f t="shared" si="2"/>
        <v>18</v>
      </c>
    </row>
    <row r="49" spans="1:8" ht="16.5" thickTop="1" thickBot="1" x14ac:dyDescent="0.3">
      <c r="A49" s="8" t="s">
        <v>0</v>
      </c>
      <c r="B49" s="7">
        <f t="shared" ref="B49:H49" si="3">SUM(B7:B48)</f>
        <v>191</v>
      </c>
      <c r="C49" s="7">
        <f t="shared" si="3"/>
        <v>288</v>
      </c>
      <c r="D49" s="7">
        <f t="shared" si="3"/>
        <v>479</v>
      </c>
      <c r="E49" s="7">
        <f t="shared" si="3"/>
        <v>47</v>
      </c>
      <c r="F49" s="7">
        <f t="shared" si="3"/>
        <v>55</v>
      </c>
      <c r="G49" s="8">
        <f t="shared" si="3"/>
        <v>102</v>
      </c>
      <c r="H49" s="10">
        <f t="shared" si="3"/>
        <v>581</v>
      </c>
    </row>
    <row r="50" spans="1:8" x14ac:dyDescent="0.25">
      <c r="A50" s="18"/>
      <c r="B50" s="18"/>
      <c r="C50" s="18"/>
      <c r="D50" s="18"/>
      <c r="E50" s="18"/>
      <c r="F50" s="18"/>
      <c r="G50" s="18"/>
      <c r="H50" s="18"/>
    </row>
    <row r="51" spans="1:8" ht="15.75" thickBot="1" x14ac:dyDescent="0.3"/>
    <row r="52" spans="1:8" x14ac:dyDescent="0.25">
      <c r="A52" s="23" t="s">
        <v>40</v>
      </c>
      <c r="B52" s="37" t="s">
        <v>3</v>
      </c>
      <c r="C52" s="38"/>
      <c r="D52" s="38"/>
      <c r="E52" s="37" t="s">
        <v>4</v>
      </c>
      <c r="F52" s="38"/>
      <c r="G52" s="38"/>
      <c r="H52" s="39" t="s">
        <v>0</v>
      </c>
    </row>
    <row r="53" spans="1:8" x14ac:dyDescent="0.25">
      <c r="A53" s="24"/>
      <c r="B53" s="25" t="s">
        <v>48</v>
      </c>
      <c r="C53" s="26" t="s">
        <v>49</v>
      </c>
      <c r="D53" s="27" t="s">
        <v>0</v>
      </c>
      <c r="E53" s="25" t="s">
        <v>48</v>
      </c>
      <c r="F53" s="26" t="s">
        <v>49</v>
      </c>
      <c r="G53" s="27" t="s">
        <v>0</v>
      </c>
      <c r="H53" s="41"/>
    </row>
    <row r="54" spans="1:8" x14ac:dyDescent="0.25">
      <c r="A54" s="14" t="s">
        <v>41</v>
      </c>
      <c r="B54" s="6">
        <v>89</v>
      </c>
      <c r="C54" s="4">
        <v>74</v>
      </c>
      <c r="D54" s="5">
        <f t="shared" ref="D54:D63" si="4">SUM(B54+C54)</f>
        <v>163</v>
      </c>
      <c r="E54" s="6">
        <v>11</v>
      </c>
      <c r="F54" s="4">
        <v>0</v>
      </c>
      <c r="G54" s="5">
        <f t="shared" ref="G54:G63" si="5">F54+E54</f>
        <v>11</v>
      </c>
      <c r="H54" s="9">
        <f t="shared" ref="H54:H63" si="6">D54+G54</f>
        <v>174</v>
      </c>
    </row>
    <row r="55" spans="1:8" x14ac:dyDescent="0.25">
      <c r="A55" s="14" t="s">
        <v>42</v>
      </c>
      <c r="B55" s="6">
        <v>8</v>
      </c>
      <c r="C55" s="4">
        <v>6</v>
      </c>
      <c r="D55" s="5">
        <f t="shared" si="4"/>
        <v>14</v>
      </c>
      <c r="E55" s="6">
        <v>9</v>
      </c>
      <c r="F55" s="4">
        <v>2</v>
      </c>
      <c r="G55" s="5">
        <f t="shared" si="5"/>
        <v>11</v>
      </c>
      <c r="H55" s="9">
        <f t="shared" si="6"/>
        <v>25</v>
      </c>
    </row>
    <row r="56" spans="1:8" x14ac:dyDescent="0.25">
      <c r="A56" s="14" t="s">
        <v>43</v>
      </c>
      <c r="B56" s="6">
        <v>2</v>
      </c>
      <c r="C56" s="4">
        <v>1</v>
      </c>
      <c r="D56" s="5">
        <f t="shared" si="4"/>
        <v>3</v>
      </c>
      <c r="E56" s="6">
        <v>0</v>
      </c>
      <c r="F56" s="4">
        <v>0</v>
      </c>
      <c r="G56" s="5">
        <f t="shared" si="5"/>
        <v>0</v>
      </c>
      <c r="H56" s="9">
        <f t="shared" si="6"/>
        <v>3</v>
      </c>
    </row>
    <row r="57" spans="1:8" x14ac:dyDescent="0.25">
      <c r="A57" s="14" t="s">
        <v>44</v>
      </c>
      <c r="B57" s="6">
        <v>17</v>
      </c>
      <c r="C57" s="4">
        <v>19</v>
      </c>
      <c r="D57" s="5">
        <f t="shared" ref="D57" si="7">SUM(B57+C57)</f>
        <v>36</v>
      </c>
      <c r="E57" s="6">
        <v>3</v>
      </c>
      <c r="F57" s="4">
        <v>0</v>
      </c>
      <c r="G57" s="5">
        <f t="shared" ref="G57" si="8">F57+E57</f>
        <v>3</v>
      </c>
      <c r="H57" s="9">
        <f t="shared" ref="H57" si="9">D57+G57</f>
        <v>39</v>
      </c>
    </row>
    <row r="58" spans="1:8" x14ac:dyDescent="0.25">
      <c r="A58" s="14" t="s">
        <v>1</v>
      </c>
      <c r="B58" s="6">
        <v>23</v>
      </c>
      <c r="C58" s="4">
        <v>1</v>
      </c>
      <c r="D58" s="5">
        <f t="shared" si="4"/>
        <v>24</v>
      </c>
      <c r="E58" s="6">
        <v>3</v>
      </c>
      <c r="F58" s="4">
        <v>38</v>
      </c>
      <c r="G58" s="5">
        <f t="shared" si="5"/>
        <v>41</v>
      </c>
      <c r="H58" s="9">
        <f t="shared" si="6"/>
        <v>65</v>
      </c>
    </row>
    <row r="59" spans="1:8" x14ac:dyDescent="0.25">
      <c r="A59" s="14" t="s">
        <v>45</v>
      </c>
      <c r="B59" s="6">
        <v>6</v>
      </c>
      <c r="C59" s="4">
        <v>46</v>
      </c>
      <c r="D59" s="5">
        <f t="shared" si="4"/>
        <v>52</v>
      </c>
      <c r="E59" s="6">
        <v>3</v>
      </c>
      <c r="F59" s="4">
        <v>7</v>
      </c>
      <c r="G59" s="5">
        <f t="shared" si="5"/>
        <v>10</v>
      </c>
      <c r="H59" s="9">
        <f t="shared" si="6"/>
        <v>62</v>
      </c>
    </row>
    <row r="60" spans="1:8" x14ac:dyDescent="0.25">
      <c r="A60" s="14" t="s">
        <v>46</v>
      </c>
      <c r="B60" s="6">
        <v>15</v>
      </c>
      <c r="C60" s="4">
        <v>16</v>
      </c>
      <c r="D60" s="5">
        <f t="shared" si="4"/>
        <v>31</v>
      </c>
      <c r="E60" s="6">
        <v>0</v>
      </c>
      <c r="F60" s="4">
        <v>0</v>
      </c>
      <c r="G60" s="5">
        <f t="shared" si="5"/>
        <v>0</v>
      </c>
      <c r="H60" s="9">
        <f t="shared" si="6"/>
        <v>31</v>
      </c>
    </row>
    <row r="61" spans="1:8" x14ac:dyDescent="0.25">
      <c r="A61" s="14" t="s">
        <v>47</v>
      </c>
      <c r="B61" s="6">
        <v>25</v>
      </c>
      <c r="C61" s="4">
        <v>118</v>
      </c>
      <c r="D61" s="5">
        <f t="shared" si="4"/>
        <v>143</v>
      </c>
      <c r="E61" s="6">
        <v>12</v>
      </c>
      <c r="F61" s="4">
        <v>4</v>
      </c>
      <c r="G61" s="5">
        <f t="shared" si="5"/>
        <v>16</v>
      </c>
      <c r="H61" s="9">
        <f t="shared" si="6"/>
        <v>159</v>
      </c>
    </row>
    <row r="62" spans="1:8" x14ac:dyDescent="0.25">
      <c r="A62" s="14" t="s">
        <v>60</v>
      </c>
      <c r="B62" s="6">
        <v>0</v>
      </c>
      <c r="C62" s="4">
        <v>0</v>
      </c>
      <c r="D62" s="5">
        <f t="shared" si="4"/>
        <v>0</v>
      </c>
      <c r="E62" s="6">
        <v>3</v>
      </c>
      <c r="F62" s="4">
        <v>2</v>
      </c>
      <c r="G62" s="5">
        <f t="shared" si="5"/>
        <v>5</v>
      </c>
      <c r="H62" s="9">
        <f t="shared" si="6"/>
        <v>5</v>
      </c>
    </row>
    <row r="63" spans="1:8" ht="15.75" thickBot="1" x14ac:dyDescent="0.3">
      <c r="A63" s="15" t="s">
        <v>107</v>
      </c>
      <c r="B63" s="11">
        <v>6</v>
      </c>
      <c r="C63" s="12">
        <v>7</v>
      </c>
      <c r="D63" s="12">
        <f t="shared" si="4"/>
        <v>13</v>
      </c>
      <c r="E63" s="11">
        <v>3</v>
      </c>
      <c r="F63" s="12">
        <v>2</v>
      </c>
      <c r="G63" s="13">
        <f t="shared" si="5"/>
        <v>5</v>
      </c>
      <c r="H63" s="16">
        <f t="shared" si="6"/>
        <v>18</v>
      </c>
    </row>
    <row r="64" spans="1:8" ht="16.5" thickTop="1" thickBot="1" x14ac:dyDescent="0.3">
      <c r="A64" s="8" t="s">
        <v>0</v>
      </c>
      <c r="B64" s="7">
        <f t="shared" ref="B64:H64" si="10">SUM(B54:B63)</f>
        <v>191</v>
      </c>
      <c r="C64" s="7">
        <f t="shared" si="10"/>
        <v>288</v>
      </c>
      <c r="D64" s="7">
        <f t="shared" si="10"/>
        <v>479</v>
      </c>
      <c r="E64" s="7">
        <f t="shared" si="10"/>
        <v>47</v>
      </c>
      <c r="F64" s="7">
        <f t="shared" si="10"/>
        <v>55</v>
      </c>
      <c r="G64" s="8">
        <f t="shared" si="10"/>
        <v>102</v>
      </c>
      <c r="H64" s="10">
        <f t="shared" si="10"/>
        <v>581</v>
      </c>
    </row>
    <row r="66" spans="1:8" x14ac:dyDescent="0.25">
      <c r="A66" s="48" t="s">
        <v>76</v>
      </c>
      <c r="B66" s="48"/>
      <c r="C66" s="48"/>
      <c r="D66" s="48"/>
      <c r="E66" s="48"/>
      <c r="F66" s="48"/>
      <c r="G66" s="48"/>
      <c r="H66" s="48"/>
    </row>
    <row r="70" spans="1:8" x14ac:dyDescent="0.25">
      <c r="A70" s="49"/>
      <c r="B70" s="49"/>
      <c r="C70" s="49"/>
      <c r="D70" s="49"/>
      <c r="E70" s="49"/>
      <c r="F70" s="49"/>
      <c r="G70" s="49"/>
      <c r="H70" s="49"/>
    </row>
  </sheetData>
  <mergeCells count="8">
    <mergeCell ref="A66:H66"/>
    <mergeCell ref="A70:H70"/>
    <mergeCell ref="A2:H2"/>
    <mergeCell ref="B5:D5"/>
    <mergeCell ref="E5:G5"/>
    <mergeCell ref="B52:D52"/>
    <mergeCell ref="E52:G52"/>
    <mergeCell ref="H52:H53"/>
  </mergeCells>
  <pageMargins left="0.25" right="0.25" top="0.75" bottom="0.75" header="0.3" footer="0.3"/>
  <pageSetup paperSize="9" orientation="portrait" r:id="rId1"/>
  <headerFooter>
    <oddHeader>&amp;CUCL Student Data Statistics</oddHeader>
    <oddFooter>&amp;C&amp;P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view="pageLayout" zoomScale="85" zoomScaleNormal="100" zoomScalePageLayoutView="85" workbookViewId="0">
      <selection activeCell="A61" sqref="A61"/>
    </sheetView>
  </sheetViews>
  <sheetFormatPr defaultColWidth="9.140625" defaultRowHeight="15" x14ac:dyDescent="0.25"/>
  <cols>
    <col min="1" max="1" width="29.28515625" bestFit="1" customWidth="1"/>
    <col min="2" max="8" width="8.5703125" customWidth="1"/>
  </cols>
  <sheetData>
    <row r="1" spans="1:8" ht="18" x14ac:dyDescent="0.25">
      <c r="A1" s="1" t="s">
        <v>50</v>
      </c>
      <c r="B1" s="3"/>
    </row>
    <row r="2" spans="1:8" x14ac:dyDescent="0.25">
      <c r="A2" s="33" t="s">
        <v>51</v>
      </c>
      <c r="B2" s="33"/>
      <c r="C2" s="33"/>
      <c r="D2" s="33"/>
      <c r="E2" s="33"/>
      <c r="F2" s="33"/>
      <c r="G2" s="33"/>
      <c r="H2" s="33"/>
    </row>
    <row r="3" spans="1:8" x14ac:dyDescent="0.25">
      <c r="A3" s="2" t="str">
        <f ca="1">RIGHT(CELL("filename",A1),LEN(CELL("filename",A1))-FIND("]",CELL("filename",A1)))</f>
        <v>1998-99</v>
      </c>
      <c r="B3" s="3"/>
    </row>
    <row r="4" spans="1:8" ht="15.75" thickBot="1" x14ac:dyDescent="0.3">
      <c r="A4" s="3"/>
      <c r="B4" s="3"/>
    </row>
    <row r="5" spans="1:8" ht="15" customHeight="1" x14ac:dyDescent="0.25">
      <c r="A5" s="21" t="s">
        <v>2</v>
      </c>
      <c r="B5" s="37" t="s">
        <v>3</v>
      </c>
      <c r="C5" s="38"/>
      <c r="D5" s="38"/>
      <c r="E5" s="37" t="s">
        <v>4</v>
      </c>
      <c r="F5" s="38"/>
      <c r="G5" s="38"/>
      <c r="H5" s="21" t="s">
        <v>0</v>
      </c>
    </row>
    <row r="6" spans="1:8" ht="15" customHeight="1" x14ac:dyDescent="0.25">
      <c r="A6" s="22"/>
      <c r="B6" s="28" t="s">
        <v>48</v>
      </c>
      <c r="C6" s="29" t="s">
        <v>49</v>
      </c>
      <c r="D6" s="30" t="s">
        <v>0</v>
      </c>
      <c r="E6" s="28" t="s">
        <v>48</v>
      </c>
      <c r="F6" s="29" t="s">
        <v>49</v>
      </c>
      <c r="G6" s="30" t="s">
        <v>0</v>
      </c>
      <c r="H6" s="22"/>
    </row>
    <row r="7" spans="1:8" x14ac:dyDescent="0.25">
      <c r="A7" s="14" t="s">
        <v>5</v>
      </c>
      <c r="B7" s="6">
        <v>0</v>
      </c>
      <c r="C7" s="4">
        <v>2</v>
      </c>
      <c r="D7" s="5">
        <f>B7+C7</f>
        <v>2</v>
      </c>
      <c r="E7" s="6">
        <v>0</v>
      </c>
      <c r="F7" s="4">
        <v>0</v>
      </c>
      <c r="G7" s="5">
        <f t="shared" ref="G7:G45" si="0">E7+F7</f>
        <v>0</v>
      </c>
      <c r="H7" s="9">
        <f>G7+D7</f>
        <v>2</v>
      </c>
    </row>
    <row r="8" spans="1:8" x14ac:dyDescent="0.25">
      <c r="A8" s="14" t="s">
        <v>6</v>
      </c>
      <c r="B8" s="6">
        <v>1</v>
      </c>
      <c r="C8" s="4">
        <v>17</v>
      </c>
      <c r="D8" s="5">
        <f t="shared" ref="D8:D45" si="1">B8+C8</f>
        <v>18</v>
      </c>
      <c r="E8" s="6">
        <v>0</v>
      </c>
      <c r="F8" s="4">
        <v>1</v>
      </c>
      <c r="G8" s="5">
        <f t="shared" si="0"/>
        <v>1</v>
      </c>
      <c r="H8" s="9">
        <f t="shared" ref="H8:H45" si="2">G8+D8</f>
        <v>19</v>
      </c>
    </row>
    <row r="9" spans="1:8" x14ac:dyDescent="0.25">
      <c r="A9" s="14" t="s">
        <v>7</v>
      </c>
      <c r="B9" s="6">
        <v>5</v>
      </c>
      <c r="C9" s="4">
        <v>4</v>
      </c>
      <c r="D9" s="5">
        <f t="shared" si="1"/>
        <v>9</v>
      </c>
      <c r="E9" s="6">
        <v>0</v>
      </c>
      <c r="F9" s="4">
        <v>2</v>
      </c>
      <c r="G9" s="5">
        <f t="shared" si="0"/>
        <v>2</v>
      </c>
      <c r="H9" s="9">
        <f t="shared" si="2"/>
        <v>11</v>
      </c>
    </row>
    <row r="10" spans="1:8" x14ac:dyDescent="0.25">
      <c r="A10" s="14" t="s">
        <v>101</v>
      </c>
      <c r="B10" s="6">
        <v>26</v>
      </c>
      <c r="C10" s="4">
        <v>6</v>
      </c>
      <c r="D10" s="5">
        <f t="shared" si="1"/>
        <v>32</v>
      </c>
      <c r="E10" s="6">
        <v>10</v>
      </c>
      <c r="F10" s="4">
        <v>2</v>
      </c>
      <c r="G10" s="5">
        <f t="shared" si="0"/>
        <v>12</v>
      </c>
      <c r="H10" s="9">
        <f t="shared" si="2"/>
        <v>44</v>
      </c>
    </row>
    <row r="11" spans="1:8" x14ac:dyDescent="0.25">
      <c r="A11" s="14" t="s">
        <v>54</v>
      </c>
      <c r="B11" s="6">
        <v>2</v>
      </c>
      <c r="C11" s="4">
        <v>0</v>
      </c>
      <c r="D11" s="5">
        <f t="shared" si="1"/>
        <v>2</v>
      </c>
      <c r="E11" s="6">
        <v>0</v>
      </c>
      <c r="F11" s="4">
        <v>0</v>
      </c>
      <c r="G11" s="5">
        <f t="shared" si="0"/>
        <v>0</v>
      </c>
      <c r="H11" s="9">
        <f t="shared" si="2"/>
        <v>2</v>
      </c>
    </row>
    <row r="12" spans="1:8" x14ac:dyDescent="0.25">
      <c r="A12" s="14" t="s">
        <v>9</v>
      </c>
      <c r="B12" s="6">
        <v>1</v>
      </c>
      <c r="C12" s="4">
        <v>0</v>
      </c>
      <c r="D12" s="5">
        <f t="shared" si="1"/>
        <v>1</v>
      </c>
      <c r="E12" s="6">
        <v>0</v>
      </c>
      <c r="F12" s="4">
        <v>0</v>
      </c>
      <c r="G12" s="5">
        <f t="shared" si="0"/>
        <v>0</v>
      </c>
      <c r="H12" s="9">
        <f t="shared" si="2"/>
        <v>1</v>
      </c>
    </row>
    <row r="13" spans="1:8" x14ac:dyDescent="0.25">
      <c r="A13" s="14" t="s">
        <v>10</v>
      </c>
      <c r="B13" s="6">
        <v>0</v>
      </c>
      <c r="C13" s="4">
        <v>12</v>
      </c>
      <c r="D13" s="5">
        <f t="shared" si="1"/>
        <v>12</v>
      </c>
      <c r="E13" s="6">
        <v>0</v>
      </c>
      <c r="F13" s="4">
        <v>0</v>
      </c>
      <c r="G13" s="5">
        <f t="shared" si="0"/>
        <v>0</v>
      </c>
      <c r="H13" s="9">
        <f t="shared" si="2"/>
        <v>12</v>
      </c>
    </row>
    <row r="14" spans="1:8" x14ac:dyDescent="0.25">
      <c r="A14" s="14" t="s">
        <v>57</v>
      </c>
      <c r="B14" s="6">
        <v>10</v>
      </c>
      <c r="C14" s="4">
        <v>2</v>
      </c>
      <c r="D14" s="5">
        <f t="shared" si="1"/>
        <v>12</v>
      </c>
      <c r="E14" s="6">
        <v>0</v>
      </c>
      <c r="F14" s="4">
        <v>0</v>
      </c>
      <c r="G14" s="5">
        <f t="shared" si="0"/>
        <v>0</v>
      </c>
      <c r="H14" s="9">
        <f t="shared" si="2"/>
        <v>12</v>
      </c>
    </row>
    <row r="15" spans="1:8" x14ac:dyDescent="0.25">
      <c r="A15" s="14" t="s">
        <v>12</v>
      </c>
      <c r="B15" s="6">
        <v>1</v>
      </c>
      <c r="C15" s="4">
        <v>2</v>
      </c>
      <c r="D15" s="5">
        <f t="shared" si="1"/>
        <v>3</v>
      </c>
      <c r="E15" s="6">
        <v>1</v>
      </c>
      <c r="F15" s="4">
        <v>0</v>
      </c>
      <c r="G15" s="5">
        <f t="shared" si="0"/>
        <v>1</v>
      </c>
      <c r="H15" s="9">
        <f t="shared" si="2"/>
        <v>4</v>
      </c>
    </row>
    <row r="16" spans="1:8" x14ac:dyDescent="0.25">
      <c r="A16" s="14" t="s">
        <v>13</v>
      </c>
      <c r="B16" s="6">
        <v>1</v>
      </c>
      <c r="C16" s="4">
        <v>8</v>
      </c>
      <c r="D16" s="5">
        <f t="shared" si="1"/>
        <v>9</v>
      </c>
      <c r="E16" s="6">
        <v>1</v>
      </c>
      <c r="F16" s="4">
        <v>0</v>
      </c>
      <c r="G16" s="5">
        <f t="shared" si="0"/>
        <v>1</v>
      </c>
      <c r="H16" s="9">
        <f t="shared" si="2"/>
        <v>10</v>
      </c>
    </row>
    <row r="17" spans="1:8" x14ac:dyDescent="0.25">
      <c r="A17" s="14" t="s">
        <v>97</v>
      </c>
      <c r="B17" s="6">
        <v>0</v>
      </c>
      <c r="C17" s="4">
        <v>9</v>
      </c>
      <c r="D17" s="5">
        <f t="shared" si="1"/>
        <v>9</v>
      </c>
      <c r="E17" s="6">
        <v>0</v>
      </c>
      <c r="F17" s="4">
        <v>0</v>
      </c>
      <c r="G17" s="5">
        <f t="shared" si="0"/>
        <v>0</v>
      </c>
      <c r="H17" s="9">
        <f t="shared" si="2"/>
        <v>9</v>
      </c>
    </row>
    <row r="18" spans="1:8" x14ac:dyDescent="0.25">
      <c r="A18" s="14" t="s">
        <v>14</v>
      </c>
      <c r="B18" s="6">
        <v>0</v>
      </c>
      <c r="C18" s="4">
        <v>3</v>
      </c>
      <c r="D18" s="5">
        <f t="shared" si="1"/>
        <v>3</v>
      </c>
      <c r="E18" s="6">
        <v>2</v>
      </c>
      <c r="F18" s="4">
        <v>0</v>
      </c>
      <c r="G18" s="5">
        <f t="shared" si="0"/>
        <v>2</v>
      </c>
      <c r="H18" s="9">
        <f t="shared" si="2"/>
        <v>5</v>
      </c>
    </row>
    <row r="19" spans="1:8" x14ac:dyDescent="0.25">
      <c r="A19" s="14" t="s">
        <v>15</v>
      </c>
      <c r="B19" s="6">
        <v>0</v>
      </c>
      <c r="C19" s="4">
        <v>0</v>
      </c>
      <c r="D19" s="5">
        <f t="shared" si="1"/>
        <v>0</v>
      </c>
      <c r="E19" s="6">
        <v>0</v>
      </c>
      <c r="F19" s="4">
        <v>1</v>
      </c>
      <c r="G19" s="5">
        <f t="shared" si="0"/>
        <v>1</v>
      </c>
      <c r="H19" s="9">
        <f t="shared" si="2"/>
        <v>1</v>
      </c>
    </row>
    <row r="20" spans="1:8" x14ac:dyDescent="0.25">
      <c r="A20" s="14" t="s">
        <v>16</v>
      </c>
      <c r="B20" s="6">
        <v>6</v>
      </c>
      <c r="C20" s="4">
        <v>0</v>
      </c>
      <c r="D20" s="5">
        <f t="shared" si="1"/>
        <v>6</v>
      </c>
      <c r="E20" s="6">
        <v>0</v>
      </c>
      <c r="F20" s="4">
        <v>0</v>
      </c>
      <c r="G20" s="5">
        <f t="shared" si="0"/>
        <v>0</v>
      </c>
      <c r="H20" s="9">
        <f t="shared" si="2"/>
        <v>6</v>
      </c>
    </row>
    <row r="21" spans="1:8" x14ac:dyDescent="0.25">
      <c r="A21" s="14" t="s">
        <v>17</v>
      </c>
      <c r="B21" s="6">
        <v>1</v>
      </c>
      <c r="C21" s="4">
        <v>44</v>
      </c>
      <c r="D21" s="5">
        <f t="shared" si="1"/>
        <v>45</v>
      </c>
      <c r="E21" s="6">
        <v>2</v>
      </c>
      <c r="F21" s="4">
        <v>1</v>
      </c>
      <c r="G21" s="5">
        <f t="shared" si="0"/>
        <v>3</v>
      </c>
      <c r="H21" s="9">
        <f t="shared" si="2"/>
        <v>48</v>
      </c>
    </row>
    <row r="22" spans="1:8" x14ac:dyDescent="0.25">
      <c r="A22" s="14" t="s">
        <v>18</v>
      </c>
      <c r="B22" s="6">
        <v>7</v>
      </c>
      <c r="C22" s="4">
        <v>0</v>
      </c>
      <c r="D22" s="5">
        <f t="shared" si="1"/>
        <v>7</v>
      </c>
      <c r="E22" s="6">
        <v>1</v>
      </c>
      <c r="F22" s="4">
        <v>0</v>
      </c>
      <c r="G22" s="5">
        <f t="shared" si="0"/>
        <v>1</v>
      </c>
      <c r="H22" s="9">
        <f t="shared" si="2"/>
        <v>8</v>
      </c>
    </row>
    <row r="23" spans="1:8" x14ac:dyDescent="0.25">
      <c r="A23" s="14" t="s">
        <v>19</v>
      </c>
      <c r="B23" s="6">
        <v>4</v>
      </c>
      <c r="C23" s="4">
        <v>22</v>
      </c>
      <c r="D23" s="5">
        <f t="shared" si="1"/>
        <v>26</v>
      </c>
      <c r="E23" s="6">
        <v>0</v>
      </c>
      <c r="F23" s="4">
        <v>0</v>
      </c>
      <c r="G23" s="5">
        <f t="shared" si="0"/>
        <v>0</v>
      </c>
      <c r="H23" s="9">
        <f t="shared" si="2"/>
        <v>26</v>
      </c>
    </row>
    <row r="24" spans="1:8" x14ac:dyDescent="0.25">
      <c r="A24" s="14" t="s">
        <v>20</v>
      </c>
      <c r="B24" s="6">
        <v>4</v>
      </c>
      <c r="C24" s="4">
        <v>13</v>
      </c>
      <c r="D24" s="5">
        <f t="shared" si="1"/>
        <v>17</v>
      </c>
      <c r="E24" s="6">
        <v>0</v>
      </c>
      <c r="F24" s="4">
        <v>1</v>
      </c>
      <c r="G24" s="5">
        <f t="shared" si="0"/>
        <v>1</v>
      </c>
      <c r="H24" s="9">
        <f t="shared" si="2"/>
        <v>18</v>
      </c>
    </row>
    <row r="25" spans="1:8" x14ac:dyDescent="0.25">
      <c r="A25" s="14" t="s">
        <v>81</v>
      </c>
      <c r="B25" s="6">
        <v>0</v>
      </c>
      <c r="C25" s="4">
        <v>0</v>
      </c>
      <c r="D25" s="5">
        <f t="shared" si="1"/>
        <v>0</v>
      </c>
      <c r="E25" s="6">
        <v>0</v>
      </c>
      <c r="F25" s="4">
        <v>4</v>
      </c>
      <c r="G25" s="5">
        <f t="shared" si="0"/>
        <v>4</v>
      </c>
      <c r="H25" s="9">
        <f t="shared" si="2"/>
        <v>4</v>
      </c>
    </row>
    <row r="26" spans="1:8" x14ac:dyDescent="0.25">
      <c r="A26" s="14" t="s">
        <v>21</v>
      </c>
      <c r="B26" s="6">
        <v>9</v>
      </c>
      <c r="C26" s="4">
        <v>18</v>
      </c>
      <c r="D26" s="5">
        <f t="shared" si="1"/>
        <v>27</v>
      </c>
      <c r="E26" s="6">
        <v>0</v>
      </c>
      <c r="F26" s="4">
        <v>0</v>
      </c>
      <c r="G26" s="5">
        <f t="shared" si="0"/>
        <v>0</v>
      </c>
      <c r="H26" s="9">
        <f t="shared" si="2"/>
        <v>27</v>
      </c>
    </row>
    <row r="27" spans="1:8" x14ac:dyDescent="0.25">
      <c r="A27" s="14" t="s">
        <v>22</v>
      </c>
      <c r="B27" s="6">
        <v>0</v>
      </c>
      <c r="C27" s="4">
        <v>0</v>
      </c>
      <c r="D27" s="5">
        <f t="shared" si="1"/>
        <v>0</v>
      </c>
      <c r="E27" s="6">
        <v>0</v>
      </c>
      <c r="F27" s="4">
        <v>1</v>
      </c>
      <c r="G27" s="5">
        <f t="shared" si="0"/>
        <v>1</v>
      </c>
      <c r="H27" s="9">
        <f t="shared" si="2"/>
        <v>1</v>
      </c>
    </row>
    <row r="28" spans="1:8" x14ac:dyDescent="0.25">
      <c r="A28" s="14" t="s">
        <v>89</v>
      </c>
      <c r="B28" s="6">
        <v>0</v>
      </c>
      <c r="C28" s="4">
        <v>0</v>
      </c>
      <c r="D28" s="5">
        <f t="shared" si="1"/>
        <v>0</v>
      </c>
      <c r="E28" s="6">
        <v>1</v>
      </c>
      <c r="F28" s="4">
        <v>0</v>
      </c>
      <c r="G28" s="5">
        <f t="shared" si="0"/>
        <v>1</v>
      </c>
      <c r="H28" s="9">
        <f t="shared" si="2"/>
        <v>1</v>
      </c>
    </row>
    <row r="29" spans="1:8" x14ac:dyDescent="0.25">
      <c r="A29" s="14" t="s">
        <v>23</v>
      </c>
      <c r="B29" s="6">
        <v>15</v>
      </c>
      <c r="C29" s="4">
        <v>2</v>
      </c>
      <c r="D29" s="5">
        <f t="shared" si="1"/>
        <v>17</v>
      </c>
      <c r="E29" s="6">
        <v>0</v>
      </c>
      <c r="F29" s="4">
        <v>0</v>
      </c>
      <c r="G29" s="5">
        <f t="shared" si="0"/>
        <v>0</v>
      </c>
      <c r="H29" s="9">
        <f t="shared" si="2"/>
        <v>17</v>
      </c>
    </row>
    <row r="30" spans="1:8" x14ac:dyDescent="0.25">
      <c r="A30" s="14" t="s">
        <v>37</v>
      </c>
      <c r="B30" s="6">
        <v>3</v>
      </c>
      <c r="C30" s="4">
        <v>0</v>
      </c>
      <c r="D30" s="5">
        <f t="shared" si="1"/>
        <v>3</v>
      </c>
      <c r="E30" s="6">
        <v>1</v>
      </c>
      <c r="F30" s="4">
        <v>1</v>
      </c>
      <c r="G30" s="5">
        <f t="shared" si="0"/>
        <v>2</v>
      </c>
      <c r="H30" s="9">
        <f t="shared" si="2"/>
        <v>5</v>
      </c>
    </row>
    <row r="31" spans="1:8" x14ac:dyDescent="0.25">
      <c r="A31" s="14" t="s">
        <v>38</v>
      </c>
      <c r="B31" s="6">
        <v>0</v>
      </c>
      <c r="C31" s="4">
        <v>2</v>
      </c>
      <c r="D31" s="5">
        <f t="shared" si="1"/>
        <v>2</v>
      </c>
      <c r="E31" s="6">
        <v>0</v>
      </c>
      <c r="F31" s="4">
        <v>0</v>
      </c>
      <c r="G31" s="5">
        <f t="shared" si="0"/>
        <v>0</v>
      </c>
      <c r="H31" s="9">
        <f t="shared" si="2"/>
        <v>2</v>
      </c>
    </row>
    <row r="32" spans="1:8" x14ac:dyDescent="0.25">
      <c r="A32" s="14" t="s">
        <v>24</v>
      </c>
      <c r="B32" s="6">
        <v>8</v>
      </c>
      <c r="C32" s="4">
        <v>14</v>
      </c>
      <c r="D32" s="5">
        <f t="shared" si="1"/>
        <v>22</v>
      </c>
      <c r="E32" s="6">
        <v>3</v>
      </c>
      <c r="F32" s="4">
        <v>0</v>
      </c>
      <c r="G32" s="5">
        <f t="shared" si="0"/>
        <v>3</v>
      </c>
      <c r="H32" s="9">
        <f t="shared" si="2"/>
        <v>25</v>
      </c>
    </row>
    <row r="33" spans="1:8" x14ac:dyDescent="0.25">
      <c r="A33" s="14" t="s">
        <v>39</v>
      </c>
      <c r="B33" s="6">
        <v>5</v>
      </c>
      <c r="C33" s="4">
        <v>10</v>
      </c>
      <c r="D33" s="5">
        <f t="shared" si="1"/>
        <v>15</v>
      </c>
      <c r="E33" s="6">
        <v>0</v>
      </c>
      <c r="F33" s="4">
        <v>0</v>
      </c>
      <c r="G33" s="5">
        <f t="shared" si="0"/>
        <v>0</v>
      </c>
      <c r="H33" s="9">
        <f t="shared" si="2"/>
        <v>15</v>
      </c>
    </row>
    <row r="34" spans="1:8" x14ac:dyDescent="0.25">
      <c r="A34" s="14" t="s">
        <v>103</v>
      </c>
      <c r="B34" s="6">
        <v>0</v>
      </c>
      <c r="C34" s="4">
        <v>0</v>
      </c>
      <c r="D34" s="5">
        <f t="shared" si="1"/>
        <v>0</v>
      </c>
      <c r="E34" s="6">
        <v>0</v>
      </c>
      <c r="F34" s="4">
        <v>1</v>
      </c>
      <c r="G34" s="5">
        <f t="shared" si="0"/>
        <v>1</v>
      </c>
      <c r="H34" s="9">
        <f t="shared" si="2"/>
        <v>1</v>
      </c>
    </row>
    <row r="35" spans="1:8" x14ac:dyDescent="0.25">
      <c r="A35" s="14" t="s">
        <v>25</v>
      </c>
      <c r="B35" s="6">
        <v>31</v>
      </c>
      <c r="C35" s="4">
        <v>0</v>
      </c>
      <c r="D35" s="5">
        <f t="shared" si="1"/>
        <v>31</v>
      </c>
      <c r="E35" s="6">
        <v>0</v>
      </c>
      <c r="F35" s="4">
        <v>0</v>
      </c>
      <c r="G35" s="5">
        <f t="shared" si="0"/>
        <v>0</v>
      </c>
      <c r="H35" s="9">
        <f t="shared" si="2"/>
        <v>31</v>
      </c>
    </row>
    <row r="36" spans="1:8" x14ac:dyDescent="0.25">
      <c r="A36" s="14" t="s">
        <v>1</v>
      </c>
      <c r="B36" s="6">
        <v>30</v>
      </c>
      <c r="C36" s="4">
        <v>0</v>
      </c>
      <c r="D36" s="5">
        <f t="shared" si="1"/>
        <v>30</v>
      </c>
      <c r="E36" s="6">
        <v>0</v>
      </c>
      <c r="F36" s="4">
        <v>34</v>
      </c>
      <c r="G36" s="5">
        <f t="shared" si="0"/>
        <v>34</v>
      </c>
      <c r="H36" s="9">
        <f t="shared" si="2"/>
        <v>64</v>
      </c>
    </row>
    <row r="37" spans="1:8" x14ac:dyDescent="0.25">
      <c r="A37" s="14" t="s">
        <v>26</v>
      </c>
      <c r="B37" s="6">
        <v>0</v>
      </c>
      <c r="C37" s="4">
        <v>4</v>
      </c>
      <c r="D37" s="5">
        <f t="shared" si="1"/>
        <v>4</v>
      </c>
      <c r="E37" s="6">
        <v>0</v>
      </c>
      <c r="F37" s="4">
        <v>0</v>
      </c>
      <c r="G37" s="5">
        <f t="shared" si="0"/>
        <v>0</v>
      </c>
      <c r="H37" s="9">
        <f t="shared" si="2"/>
        <v>4</v>
      </c>
    </row>
    <row r="38" spans="1:8" x14ac:dyDescent="0.25">
      <c r="A38" s="14" t="s">
        <v>27</v>
      </c>
      <c r="B38" s="6">
        <v>0</v>
      </c>
      <c r="C38" s="4">
        <v>1</v>
      </c>
      <c r="D38" s="5">
        <f t="shared" si="1"/>
        <v>1</v>
      </c>
      <c r="E38" s="6">
        <v>0</v>
      </c>
      <c r="F38" s="4">
        <v>0</v>
      </c>
      <c r="G38" s="5">
        <f t="shared" si="0"/>
        <v>0</v>
      </c>
      <c r="H38" s="9">
        <f t="shared" si="2"/>
        <v>1</v>
      </c>
    </row>
    <row r="39" spans="1:8" x14ac:dyDescent="0.25">
      <c r="A39" s="14" t="s">
        <v>96</v>
      </c>
      <c r="B39" s="6">
        <v>1</v>
      </c>
      <c r="C39" s="4">
        <v>0</v>
      </c>
      <c r="D39" s="5">
        <f t="shared" si="1"/>
        <v>1</v>
      </c>
      <c r="E39" s="6">
        <v>0</v>
      </c>
      <c r="F39" s="4">
        <v>0</v>
      </c>
      <c r="G39" s="5">
        <f t="shared" si="0"/>
        <v>0</v>
      </c>
      <c r="H39" s="9">
        <f t="shared" si="2"/>
        <v>1</v>
      </c>
    </row>
    <row r="40" spans="1:8" x14ac:dyDescent="0.25">
      <c r="A40" s="14" t="s">
        <v>28</v>
      </c>
      <c r="B40" s="6">
        <v>0</v>
      </c>
      <c r="C40" s="4">
        <v>9</v>
      </c>
      <c r="D40" s="5">
        <f t="shared" si="1"/>
        <v>9</v>
      </c>
      <c r="E40" s="6">
        <v>0</v>
      </c>
      <c r="F40" s="4">
        <v>0</v>
      </c>
      <c r="G40" s="5">
        <f t="shared" si="0"/>
        <v>0</v>
      </c>
      <c r="H40" s="9">
        <f t="shared" si="2"/>
        <v>9</v>
      </c>
    </row>
    <row r="41" spans="1:8" x14ac:dyDescent="0.25">
      <c r="A41" s="14" t="s">
        <v>29</v>
      </c>
      <c r="B41" s="6">
        <v>0</v>
      </c>
      <c r="C41" s="4">
        <v>1</v>
      </c>
      <c r="D41" s="5">
        <f t="shared" si="1"/>
        <v>1</v>
      </c>
      <c r="E41" s="6">
        <v>0</v>
      </c>
      <c r="F41" s="4">
        <v>0</v>
      </c>
      <c r="G41" s="5">
        <f t="shared" si="0"/>
        <v>0</v>
      </c>
      <c r="H41" s="9">
        <f t="shared" si="2"/>
        <v>1</v>
      </c>
    </row>
    <row r="42" spans="1:8" x14ac:dyDescent="0.25">
      <c r="A42" s="14" t="s">
        <v>31</v>
      </c>
      <c r="B42" s="6">
        <v>1</v>
      </c>
      <c r="C42" s="4">
        <v>1</v>
      </c>
      <c r="D42" s="5">
        <f t="shared" si="1"/>
        <v>2</v>
      </c>
      <c r="E42" s="6">
        <v>0</v>
      </c>
      <c r="F42" s="4">
        <v>0</v>
      </c>
      <c r="G42" s="5">
        <f t="shared" si="0"/>
        <v>0</v>
      </c>
      <c r="H42" s="9">
        <f t="shared" si="2"/>
        <v>2</v>
      </c>
    </row>
    <row r="43" spans="1:8" x14ac:dyDescent="0.25">
      <c r="A43" s="14" t="s">
        <v>33</v>
      </c>
      <c r="B43" s="6">
        <v>2</v>
      </c>
      <c r="C43" s="4">
        <v>20</v>
      </c>
      <c r="D43" s="5">
        <f t="shared" si="1"/>
        <v>22</v>
      </c>
      <c r="E43" s="6">
        <v>0</v>
      </c>
      <c r="F43" s="4">
        <v>0</v>
      </c>
      <c r="G43" s="5">
        <f t="shared" si="0"/>
        <v>0</v>
      </c>
      <c r="H43" s="9">
        <f t="shared" si="2"/>
        <v>22</v>
      </c>
    </row>
    <row r="44" spans="1:8" x14ac:dyDescent="0.25">
      <c r="A44" s="14" t="s">
        <v>34</v>
      </c>
      <c r="B44" s="6">
        <v>8</v>
      </c>
      <c r="C44" s="4">
        <v>0</v>
      </c>
      <c r="D44" s="5">
        <f t="shared" si="1"/>
        <v>8</v>
      </c>
      <c r="E44" s="6">
        <v>0</v>
      </c>
      <c r="F44" s="4">
        <v>0</v>
      </c>
      <c r="G44" s="5">
        <f t="shared" si="0"/>
        <v>0</v>
      </c>
      <c r="H44" s="9">
        <f t="shared" si="2"/>
        <v>8</v>
      </c>
    </row>
    <row r="45" spans="1:8" ht="15.75" thickBot="1" x14ac:dyDescent="0.3">
      <c r="A45" s="15" t="s">
        <v>35</v>
      </c>
      <c r="B45" s="11">
        <v>2</v>
      </c>
      <c r="C45" s="12">
        <v>7</v>
      </c>
      <c r="D45" s="13">
        <f t="shared" si="1"/>
        <v>9</v>
      </c>
      <c r="E45" s="11">
        <v>0</v>
      </c>
      <c r="F45" s="12">
        <v>0</v>
      </c>
      <c r="G45" s="13">
        <f t="shared" si="0"/>
        <v>0</v>
      </c>
      <c r="H45" s="16">
        <f t="shared" si="2"/>
        <v>9</v>
      </c>
    </row>
    <row r="46" spans="1:8" ht="16.5" thickTop="1" thickBot="1" x14ac:dyDescent="0.3">
      <c r="A46" s="8" t="s">
        <v>0</v>
      </c>
      <c r="B46" s="7">
        <f t="shared" ref="B46:H46" si="3">SUM(B7:B45)</f>
        <v>184</v>
      </c>
      <c r="C46" s="7">
        <f t="shared" si="3"/>
        <v>233</v>
      </c>
      <c r="D46" s="7">
        <f t="shared" si="3"/>
        <v>417</v>
      </c>
      <c r="E46" s="7">
        <f t="shared" si="3"/>
        <v>22</v>
      </c>
      <c r="F46" s="7">
        <f t="shared" si="3"/>
        <v>49</v>
      </c>
      <c r="G46" s="8">
        <f t="shared" si="3"/>
        <v>71</v>
      </c>
      <c r="H46" s="10">
        <f t="shared" si="3"/>
        <v>488</v>
      </c>
    </row>
    <row r="47" spans="1:8" x14ac:dyDescent="0.25">
      <c r="A47" s="18"/>
      <c r="B47" s="18"/>
      <c r="C47" s="18"/>
      <c r="D47" s="18"/>
      <c r="E47" s="18"/>
      <c r="F47" s="18"/>
      <c r="G47" s="18"/>
      <c r="H47" s="18"/>
    </row>
    <row r="48" spans="1:8" ht="15.75" thickBot="1" x14ac:dyDescent="0.3"/>
    <row r="49" spans="1:8" x14ac:dyDescent="0.25">
      <c r="A49" s="23" t="s">
        <v>40</v>
      </c>
      <c r="B49" s="37" t="s">
        <v>3</v>
      </c>
      <c r="C49" s="38"/>
      <c r="D49" s="38"/>
      <c r="E49" s="37" t="s">
        <v>4</v>
      </c>
      <c r="F49" s="38"/>
      <c r="G49" s="38"/>
      <c r="H49" s="39" t="s">
        <v>0</v>
      </c>
    </row>
    <row r="50" spans="1:8" x14ac:dyDescent="0.25">
      <c r="A50" s="24"/>
      <c r="B50" s="25" t="s">
        <v>48</v>
      </c>
      <c r="C50" s="26" t="s">
        <v>49</v>
      </c>
      <c r="D50" s="27" t="s">
        <v>0</v>
      </c>
      <c r="E50" s="25" t="s">
        <v>48</v>
      </c>
      <c r="F50" s="26" t="s">
        <v>49</v>
      </c>
      <c r="G50" s="27" t="s">
        <v>0</v>
      </c>
      <c r="H50" s="41"/>
    </row>
    <row r="51" spans="1:8" x14ac:dyDescent="0.25">
      <c r="A51" s="14" t="s">
        <v>41</v>
      </c>
      <c r="B51" s="6">
        <v>71</v>
      </c>
      <c r="C51" s="4">
        <v>58</v>
      </c>
      <c r="D51" s="5">
        <f t="shared" ref="D51:D57" si="4">SUM(B51+C51)</f>
        <v>129</v>
      </c>
      <c r="E51" s="6">
        <v>1</v>
      </c>
      <c r="F51" s="4">
        <v>2</v>
      </c>
      <c r="G51" s="5">
        <f t="shared" ref="G51:G57" si="5">F51+E51</f>
        <v>3</v>
      </c>
      <c r="H51" s="9">
        <f t="shared" ref="H51:H57" si="6">D51+G51</f>
        <v>132</v>
      </c>
    </row>
    <row r="52" spans="1:8" x14ac:dyDescent="0.25">
      <c r="A52" s="14" t="s">
        <v>42</v>
      </c>
      <c r="B52" s="6">
        <v>26</v>
      </c>
      <c r="C52" s="4">
        <v>6</v>
      </c>
      <c r="D52" s="5">
        <f t="shared" si="4"/>
        <v>32</v>
      </c>
      <c r="E52" s="6">
        <v>10</v>
      </c>
      <c r="F52" s="4">
        <v>3</v>
      </c>
      <c r="G52" s="5">
        <f t="shared" si="5"/>
        <v>13</v>
      </c>
      <c r="H52" s="9">
        <f t="shared" si="6"/>
        <v>45</v>
      </c>
    </row>
    <row r="53" spans="1:8" x14ac:dyDescent="0.25">
      <c r="A53" s="14" t="s">
        <v>44</v>
      </c>
      <c r="B53" s="6">
        <v>20</v>
      </c>
      <c r="C53" s="4">
        <v>11</v>
      </c>
      <c r="D53" s="5">
        <f t="shared" si="4"/>
        <v>31</v>
      </c>
      <c r="E53" s="6">
        <v>3</v>
      </c>
      <c r="F53" s="4">
        <v>0</v>
      </c>
      <c r="G53" s="5">
        <f t="shared" si="5"/>
        <v>3</v>
      </c>
      <c r="H53" s="9">
        <f t="shared" si="6"/>
        <v>34</v>
      </c>
    </row>
    <row r="54" spans="1:8" x14ac:dyDescent="0.25">
      <c r="A54" s="14" t="s">
        <v>1</v>
      </c>
      <c r="B54" s="6">
        <v>30</v>
      </c>
      <c r="C54" s="4">
        <v>0</v>
      </c>
      <c r="D54" s="5">
        <f t="shared" si="4"/>
        <v>30</v>
      </c>
      <c r="E54" s="6">
        <v>0</v>
      </c>
      <c r="F54" s="4">
        <v>34</v>
      </c>
      <c r="G54" s="5">
        <f t="shared" si="5"/>
        <v>34</v>
      </c>
      <c r="H54" s="9">
        <f t="shared" si="6"/>
        <v>64</v>
      </c>
    </row>
    <row r="55" spans="1:8" x14ac:dyDescent="0.25">
      <c r="A55" s="14" t="s">
        <v>45</v>
      </c>
      <c r="B55" s="6">
        <v>4</v>
      </c>
      <c r="C55" s="4">
        <v>34</v>
      </c>
      <c r="D55" s="5">
        <f t="shared" si="4"/>
        <v>38</v>
      </c>
      <c r="E55" s="6">
        <v>0</v>
      </c>
      <c r="F55" s="4">
        <v>6</v>
      </c>
      <c r="G55" s="5">
        <f t="shared" si="5"/>
        <v>6</v>
      </c>
      <c r="H55" s="9">
        <f t="shared" si="6"/>
        <v>44</v>
      </c>
    </row>
    <row r="56" spans="1:8" x14ac:dyDescent="0.25">
      <c r="A56" s="14" t="s">
        <v>46</v>
      </c>
      <c r="B56" s="6">
        <v>4</v>
      </c>
      <c r="C56" s="4">
        <v>17</v>
      </c>
      <c r="D56" s="5">
        <f t="shared" si="4"/>
        <v>21</v>
      </c>
      <c r="E56" s="6">
        <v>3</v>
      </c>
      <c r="F56" s="4">
        <v>1</v>
      </c>
      <c r="G56" s="5">
        <f t="shared" si="5"/>
        <v>4</v>
      </c>
      <c r="H56" s="9">
        <f t="shared" si="6"/>
        <v>25</v>
      </c>
    </row>
    <row r="57" spans="1:8" ht="15.75" thickBot="1" x14ac:dyDescent="0.3">
      <c r="A57" s="15" t="s">
        <v>47</v>
      </c>
      <c r="B57" s="11">
        <v>29</v>
      </c>
      <c r="C57" s="12">
        <v>107</v>
      </c>
      <c r="D57" s="12">
        <f t="shared" si="4"/>
        <v>136</v>
      </c>
      <c r="E57" s="11">
        <v>5</v>
      </c>
      <c r="F57" s="12">
        <v>3</v>
      </c>
      <c r="G57" s="13">
        <f t="shared" si="5"/>
        <v>8</v>
      </c>
      <c r="H57" s="16">
        <f t="shared" si="6"/>
        <v>144</v>
      </c>
    </row>
    <row r="58" spans="1:8" ht="16.5" thickTop="1" thickBot="1" x14ac:dyDescent="0.3">
      <c r="A58" s="8" t="s">
        <v>0</v>
      </c>
      <c r="B58" s="7">
        <f t="shared" ref="B58:H58" si="7">SUM(B51:B57)</f>
        <v>184</v>
      </c>
      <c r="C58" s="7">
        <f t="shared" si="7"/>
        <v>233</v>
      </c>
      <c r="D58" s="7">
        <f t="shared" si="7"/>
        <v>417</v>
      </c>
      <c r="E58" s="7">
        <f t="shared" si="7"/>
        <v>22</v>
      </c>
      <c r="F58" s="7">
        <f t="shared" si="7"/>
        <v>49</v>
      </c>
      <c r="G58" s="8">
        <f t="shared" si="7"/>
        <v>71</v>
      </c>
      <c r="H58" s="10">
        <f t="shared" si="7"/>
        <v>488</v>
      </c>
    </row>
    <row r="60" spans="1:8" x14ac:dyDescent="0.25">
      <c r="A60" s="48" t="s">
        <v>76</v>
      </c>
      <c r="B60" s="48"/>
      <c r="C60" s="48"/>
      <c r="D60" s="48"/>
      <c r="E60" s="48"/>
      <c r="F60" s="48"/>
      <c r="G60" s="48"/>
      <c r="H60" s="48"/>
    </row>
    <row r="64" spans="1:8" x14ac:dyDescent="0.25">
      <c r="A64" s="49"/>
      <c r="B64" s="49"/>
      <c r="C64" s="49"/>
      <c r="D64" s="49"/>
      <c r="E64" s="49"/>
      <c r="F64" s="49"/>
      <c r="G64" s="49"/>
      <c r="H64" s="49"/>
    </row>
  </sheetData>
  <mergeCells count="8">
    <mergeCell ref="H49:H50"/>
    <mergeCell ref="A60:H60"/>
    <mergeCell ref="A64:H64"/>
    <mergeCell ref="A2:H2"/>
    <mergeCell ref="B5:D5"/>
    <mergeCell ref="E5:G5"/>
    <mergeCell ref="B49:D49"/>
    <mergeCell ref="E49:G49"/>
  </mergeCells>
  <pageMargins left="0.25" right="0.25" top="0.75" bottom="0.75" header="0.3" footer="0.3"/>
  <pageSetup paperSize="9" orientation="portrait" r:id="rId1"/>
  <headerFooter>
    <oddHeader>&amp;CUCL Student Data Statistics</oddHeader>
    <oddFooter>&amp;C&amp;P of &amp;N</oddFooter>
  </headerFooter>
  <rowBreaks count="1" manualBreakCount="1">
    <brk id="47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view="pageLayout" topLeftCell="A37" zoomScale="85" zoomScaleNormal="100" zoomScalePageLayoutView="85" workbookViewId="0">
      <selection activeCell="G56" sqref="G56"/>
    </sheetView>
  </sheetViews>
  <sheetFormatPr defaultColWidth="9.140625" defaultRowHeight="15" x14ac:dyDescent="0.25"/>
  <cols>
    <col min="1" max="1" width="29.28515625" bestFit="1" customWidth="1"/>
    <col min="2" max="8" width="8.5703125" customWidth="1"/>
  </cols>
  <sheetData>
    <row r="1" spans="1:8" ht="18" x14ac:dyDescent="0.25">
      <c r="A1" s="1" t="s">
        <v>50</v>
      </c>
      <c r="B1" s="3"/>
    </row>
    <row r="2" spans="1:8" x14ac:dyDescent="0.25">
      <c r="A2" s="33" t="s">
        <v>51</v>
      </c>
      <c r="B2" s="33"/>
      <c r="C2" s="33"/>
      <c r="D2" s="33"/>
      <c r="E2" s="33"/>
      <c r="F2" s="33"/>
      <c r="G2" s="33"/>
      <c r="H2" s="33"/>
    </row>
    <row r="3" spans="1:8" x14ac:dyDescent="0.25">
      <c r="A3" s="2" t="str">
        <f ca="1">RIGHT(CELL("filename",A1),LEN(CELL("filename",A1))-FIND("]",CELL("filename",A1)))</f>
        <v>1997-98</v>
      </c>
      <c r="B3" s="3"/>
    </row>
    <row r="4" spans="1:8" ht="15.75" thickBot="1" x14ac:dyDescent="0.3">
      <c r="A4" s="3"/>
      <c r="B4" s="3"/>
    </row>
    <row r="5" spans="1:8" ht="15" customHeight="1" x14ac:dyDescent="0.25">
      <c r="A5" s="21" t="s">
        <v>2</v>
      </c>
      <c r="B5" s="37" t="s">
        <v>3</v>
      </c>
      <c r="C5" s="38"/>
      <c r="D5" s="38"/>
      <c r="E5" s="37" t="s">
        <v>4</v>
      </c>
      <c r="F5" s="38"/>
      <c r="G5" s="38"/>
      <c r="H5" s="21" t="s">
        <v>0</v>
      </c>
    </row>
    <row r="6" spans="1:8" ht="15" customHeight="1" x14ac:dyDescent="0.25">
      <c r="A6" s="22"/>
      <c r="B6" s="28" t="s">
        <v>48</v>
      </c>
      <c r="C6" s="29" t="s">
        <v>49</v>
      </c>
      <c r="D6" s="30" t="s">
        <v>0</v>
      </c>
      <c r="E6" s="28" t="s">
        <v>48</v>
      </c>
      <c r="F6" s="29" t="s">
        <v>49</v>
      </c>
      <c r="G6" s="30" t="s">
        <v>0</v>
      </c>
      <c r="H6" s="22"/>
    </row>
    <row r="7" spans="1:8" x14ac:dyDescent="0.25">
      <c r="A7" s="14" t="s">
        <v>5</v>
      </c>
      <c r="B7" s="6">
        <v>1</v>
      </c>
      <c r="C7" s="4">
        <v>1</v>
      </c>
      <c r="D7" s="5">
        <f>B7+C7</f>
        <v>2</v>
      </c>
      <c r="E7" s="6">
        <v>1</v>
      </c>
      <c r="F7" s="4">
        <v>0</v>
      </c>
      <c r="G7" s="5">
        <f t="shared" ref="G7:G44" si="0">E7+F7</f>
        <v>1</v>
      </c>
      <c r="H7" s="9">
        <f>G7+D7</f>
        <v>3</v>
      </c>
    </row>
    <row r="8" spans="1:8" x14ac:dyDescent="0.25">
      <c r="A8" s="14" t="s">
        <v>6</v>
      </c>
      <c r="B8" s="6">
        <v>2</v>
      </c>
      <c r="C8" s="4">
        <v>13</v>
      </c>
      <c r="D8" s="5">
        <f t="shared" ref="D8:D44" si="1">B8+C8</f>
        <v>15</v>
      </c>
      <c r="E8" s="6">
        <v>0</v>
      </c>
      <c r="F8" s="4">
        <v>0</v>
      </c>
      <c r="G8" s="5">
        <f t="shared" si="0"/>
        <v>0</v>
      </c>
      <c r="H8" s="9">
        <f t="shared" ref="H8:H44" si="2">G8+D8</f>
        <v>15</v>
      </c>
    </row>
    <row r="9" spans="1:8" x14ac:dyDescent="0.25">
      <c r="A9" s="14" t="s">
        <v>7</v>
      </c>
      <c r="B9" s="6">
        <v>2</v>
      </c>
      <c r="C9" s="4">
        <v>4</v>
      </c>
      <c r="D9" s="5">
        <f t="shared" si="1"/>
        <v>6</v>
      </c>
      <c r="E9" s="6">
        <v>0</v>
      </c>
      <c r="F9" s="4">
        <v>2</v>
      </c>
      <c r="G9" s="5">
        <f t="shared" si="0"/>
        <v>2</v>
      </c>
      <c r="H9" s="9">
        <f t="shared" si="2"/>
        <v>8</v>
      </c>
    </row>
    <row r="10" spans="1:8" x14ac:dyDescent="0.25">
      <c r="A10" s="14" t="s">
        <v>101</v>
      </c>
      <c r="B10" s="6">
        <v>17</v>
      </c>
      <c r="C10" s="4">
        <v>5</v>
      </c>
      <c r="D10" s="5">
        <f t="shared" si="1"/>
        <v>22</v>
      </c>
      <c r="E10" s="6">
        <v>12</v>
      </c>
      <c r="F10" s="4">
        <v>1</v>
      </c>
      <c r="G10" s="5">
        <f t="shared" si="0"/>
        <v>13</v>
      </c>
      <c r="H10" s="9">
        <f t="shared" si="2"/>
        <v>35</v>
      </c>
    </row>
    <row r="11" spans="1:8" x14ac:dyDescent="0.25">
      <c r="A11" s="14" t="s">
        <v>10</v>
      </c>
      <c r="B11" s="6">
        <v>0</v>
      </c>
      <c r="C11" s="4">
        <v>6</v>
      </c>
      <c r="D11" s="5">
        <f t="shared" si="1"/>
        <v>6</v>
      </c>
      <c r="E11" s="6">
        <v>0</v>
      </c>
      <c r="F11" s="4">
        <v>0</v>
      </c>
      <c r="G11" s="5">
        <f t="shared" si="0"/>
        <v>0</v>
      </c>
      <c r="H11" s="9">
        <f t="shared" si="2"/>
        <v>6</v>
      </c>
    </row>
    <row r="12" spans="1:8" x14ac:dyDescent="0.25">
      <c r="A12" s="14" t="s">
        <v>11</v>
      </c>
      <c r="B12" s="6">
        <v>7</v>
      </c>
      <c r="C12" s="4">
        <v>2</v>
      </c>
      <c r="D12" s="5">
        <f t="shared" si="1"/>
        <v>9</v>
      </c>
      <c r="E12" s="6">
        <v>1</v>
      </c>
      <c r="F12" s="4">
        <v>0</v>
      </c>
      <c r="G12" s="5">
        <f t="shared" si="0"/>
        <v>1</v>
      </c>
      <c r="H12" s="9">
        <f t="shared" si="2"/>
        <v>10</v>
      </c>
    </row>
    <row r="13" spans="1:8" x14ac:dyDescent="0.25">
      <c r="A13" s="14" t="s">
        <v>12</v>
      </c>
      <c r="B13" s="6">
        <v>4</v>
      </c>
      <c r="C13" s="4">
        <v>0</v>
      </c>
      <c r="D13" s="5">
        <f t="shared" si="1"/>
        <v>4</v>
      </c>
      <c r="E13" s="6">
        <v>0</v>
      </c>
      <c r="F13" s="4">
        <v>0</v>
      </c>
      <c r="G13" s="5">
        <f t="shared" si="0"/>
        <v>0</v>
      </c>
      <c r="H13" s="9">
        <f t="shared" si="2"/>
        <v>4</v>
      </c>
    </row>
    <row r="14" spans="1:8" x14ac:dyDescent="0.25">
      <c r="A14" s="14" t="s">
        <v>13</v>
      </c>
      <c r="B14" s="6">
        <v>4</v>
      </c>
      <c r="C14" s="4">
        <v>5</v>
      </c>
      <c r="D14" s="5">
        <f t="shared" si="1"/>
        <v>9</v>
      </c>
      <c r="E14" s="6">
        <v>0</v>
      </c>
      <c r="F14" s="4">
        <v>0</v>
      </c>
      <c r="G14" s="5">
        <f t="shared" si="0"/>
        <v>0</v>
      </c>
      <c r="H14" s="9">
        <f t="shared" si="2"/>
        <v>9</v>
      </c>
    </row>
    <row r="15" spans="1:8" x14ac:dyDescent="0.25">
      <c r="A15" s="14" t="s">
        <v>52</v>
      </c>
      <c r="B15" s="6">
        <v>9</v>
      </c>
      <c r="C15" s="4">
        <v>0</v>
      </c>
      <c r="D15" s="5">
        <f t="shared" si="1"/>
        <v>9</v>
      </c>
      <c r="E15" s="6">
        <v>0</v>
      </c>
      <c r="F15" s="4">
        <v>0</v>
      </c>
      <c r="G15" s="5">
        <f t="shared" si="0"/>
        <v>0</v>
      </c>
      <c r="H15" s="9">
        <f t="shared" si="2"/>
        <v>9</v>
      </c>
    </row>
    <row r="16" spans="1:8" x14ac:dyDescent="0.25">
      <c r="A16" s="14" t="s">
        <v>97</v>
      </c>
      <c r="B16" s="6">
        <v>0</v>
      </c>
      <c r="C16" s="4">
        <v>14</v>
      </c>
      <c r="D16" s="5">
        <f t="shared" si="1"/>
        <v>14</v>
      </c>
      <c r="E16" s="6">
        <v>0</v>
      </c>
      <c r="F16" s="4">
        <v>0</v>
      </c>
      <c r="G16" s="5">
        <f t="shared" si="0"/>
        <v>0</v>
      </c>
      <c r="H16" s="9">
        <f t="shared" si="2"/>
        <v>14</v>
      </c>
    </row>
    <row r="17" spans="1:8" x14ac:dyDescent="0.25">
      <c r="A17" s="14" t="s">
        <v>14</v>
      </c>
      <c r="B17" s="6">
        <v>3</v>
      </c>
      <c r="C17" s="4">
        <v>1</v>
      </c>
      <c r="D17" s="5">
        <f t="shared" si="1"/>
        <v>4</v>
      </c>
      <c r="E17" s="6">
        <v>0</v>
      </c>
      <c r="F17" s="4">
        <v>0</v>
      </c>
      <c r="G17" s="5">
        <f t="shared" si="0"/>
        <v>0</v>
      </c>
      <c r="H17" s="9">
        <f t="shared" si="2"/>
        <v>4</v>
      </c>
    </row>
    <row r="18" spans="1:8" x14ac:dyDescent="0.25">
      <c r="A18" s="14" t="s">
        <v>16</v>
      </c>
      <c r="B18" s="6">
        <v>5</v>
      </c>
      <c r="C18" s="4">
        <v>0</v>
      </c>
      <c r="D18" s="5">
        <f t="shared" si="1"/>
        <v>5</v>
      </c>
      <c r="E18" s="6">
        <v>0</v>
      </c>
      <c r="F18" s="4">
        <v>0</v>
      </c>
      <c r="G18" s="5">
        <f t="shared" si="0"/>
        <v>0</v>
      </c>
      <c r="H18" s="9">
        <f t="shared" si="2"/>
        <v>5</v>
      </c>
    </row>
    <row r="19" spans="1:8" x14ac:dyDescent="0.25">
      <c r="A19" s="14" t="s">
        <v>17</v>
      </c>
      <c r="B19" s="6">
        <v>1</v>
      </c>
      <c r="C19" s="4">
        <v>42</v>
      </c>
      <c r="D19" s="5">
        <f t="shared" si="1"/>
        <v>43</v>
      </c>
      <c r="E19" s="6">
        <v>5</v>
      </c>
      <c r="F19" s="4">
        <v>0</v>
      </c>
      <c r="G19" s="5">
        <f t="shared" si="0"/>
        <v>5</v>
      </c>
      <c r="H19" s="9">
        <f t="shared" si="2"/>
        <v>48</v>
      </c>
    </row>
    <row r="20" spans="1:8" x14ac:dyDescent="0.25">
      <c r="A20" s="14" t="s">
        <v>18</v>
      </c>
      <c r="B20" s="6">
        <v>1</v>
      </c>
      <c r="C20" s="4">
        <v>2</v>
      </c>
      <c r="D20" s="5">
        <f t="shared" si="1"/>
        <v>3</v>
      </c>
      <c r="E20" s="6">
        <v>2</v>
      </c>
      <c r="F20" s="4">
        <v>0</v>
      </c>
      <c r="G20" s="5">
        <f t="shared" si="0"/>
        <v>2</v>
      </c>
      <c r="H20" s="9">
        <f t="shared" si="2"/>
        <v>5</v>
      </c>
    </row>
    <row r="21" spans="1:8" x14ac:dyDescent="0.25">
      <c r="A21" s="14" t="s">
        <v>19</v>
      </c>
      <c r="B21" s="6">
        <v>4</v>
      </c>
      <c r="C21" s="4">
        <v>21</v>
      </c>
      <c r="D21" s="5">
        <f t="shared" si="1"/>
        <v>25</v>
      </c>
      <c r="E21" s="6">
        <v>0</v>
      </c>
      <c r="F21" s="4">
        <v>0</v>
      </c>
      <c r="G21" s="5">
        <f t="shared" si="0"/>
        <v>0</v>
      </c>
      <c r="H21" s="9">
        <f t="shared" si="2"/>
        <v>25</v>
      </c>
    </row>
    <row r="22" spans="1:8" x14ac:dyDescent="0.25">
      <c r="A22" s="14" t="s">
        <v>20</v>
      </c>
      <c r="B22" s="6">
        <v>7</v>
      </c>
      <c r="C22" s="4">
        <v>12</v>
      </c>
      <c r="D22" s="5">
        <f t="shared" si="1"/>
        <v>19</v>
      </c>
      <c r="E22" s="6">
        <v>2</v>
      </c>
      <c r="F22" s="4">
        <v>2</v>
      </c>
      <c r="G22" s="5">
        <f t="shared" si="0"/>
        <v>4</v>
      </c>
      <c r="H22" s="9">
        <f t="shared" si="2"/>
        <v>23</v>
      </c>
    </row>
    <row r="23" spans="1:8" x14ac:dyDescent="0.25">
      <c r="A23" s="14" t="s">
        <v>62</v>
      </c>
      <c r="B23" s="6">
        <v>2</v>
      </c>
      <c r="C23" s="4">
        <v>0</v>
      </c>
      <c r="D23" s="5">
        <f t="shared" si="1"/>
        <v>2</v>
      </c>
      <c r="E23" s="6">
        <v>0</v>
      </c>
      <c r="F23" s="4">
        <v>1</v>
      </c>
      <c r="G23" s="5">
        <f t="shared" si="0"/>
        <v>1</v>
      </c>
      <c r="H23" s="9">
        <f t="shared" si="2"/>
        <v>3</v>
      </c>
    </row>
    <row r="24" spans="1:8" x14ac:dyDescent="0.25">
      <c r="A24" s="14" t="s">
        <v>21</v>
      </c>
      <c r="B24" s="6">
        <v>7</v>
      </c>
      <c r="C24" s="4">
        <v>12</v>
      </c>
      <c r="D24" s="5">
        <f t="shared" si="1"/>
        <v>19</v>
      </c>
      <c r="E24" s="6">
        <v>0</v>
      </c>
      <c r="F24" s="4">
        <v>0</v>
      </c>
      <c r="G24" s="5">
        <f t="shared" si="0"/>
        <v>0</v>
      </c>
      <c r="H24" s="9">
        <f t="shared" si="2"/>
        <v>19</v>
      </c>
    </row>
    <row r="25" spans="1:8" x14ac:dyDescent="0.25">
      <c r="A25" s="14" t="s">
        <v>22</v>
      </c>
      <c r="B25" s="6">
        <v>1</v>
      </c>
      <c r="C25" s="4">
        <v>2</v>
      </c>
      <c r="D25" s="5">
        <f t="shared" si="1"/>
        <v>3</v>
      </c>
      <c r="E25" s="6">
        <v>0</v>
      </c>
      <c r="F25" s="4">
        <v>0</v>
      </c>
      <c r="G25" s="5">
        <f t="shared" si="0"/>
        <v>0</v>
      </c>
      <c r="H25" s="9">
        <f t="shared" si="2"/>
        <v>3</v>
      </c>
    </row>
    <row r="26" spans="1:8" x14ac:dyDescent="0.25">
      <c r="A26" s="14" t="s">
        <v>89</v>
      </c>
      <c r="B26" s="6">
        <v>0</v>
      </c>
      <c r="C26" s="4">
        <v>0</v>
      </c>
      <c r="D26" s="5">
        <f t="shared" si="1"/>
        <v>0</v>
      </c>
      <c r="E26" s="6">
        <v>1</v>
      </c>
      <c r="F26" s="4">
        <v>0</v>
      </c>
      <c r="G26" s="5">
        <f t="shared" si="0"/>
        <v>1</v>
      </c>
      <c r="H26" s="9">
        <f t="shared" si="2"/>
        <v>1</v>
      </c>
    </row>
    <row r="27" spans="1:8" x14ac:dyDescent="0.25">
      <c r="A27" s="14" t="s">
        <v>23</v>
      </c>
      <c r="B27" s="6">
        <v>16</v>
      </c>
      <c r="C27" s="4">
        <v>0</v>
      </c>
      <c r="D27" s="5">
        <f t="shared" si="1"/>
        <v>16</v>
      </c>
      <c r="E27" s="6">
        <v>0</v>
      </c>
      <c r="F27" s="4">
        <v>0</v>
      </c>
      <c r="G27" s="5">
        <f t="shared" si="0"/>
        <v>0</v>
      </c>
      <c r="H27" s="9">
        <f t="shared" si="2"/>
        <v>16</v>
      </c>
    </row>
    <row r="28" spans="1:8" x14ac:dyDescent="0.25">
      <c r="A28" s="14" t="s">
        <v>37</v>
      </c>
      <c r="B28" s="6">
        <v>6</v>
      </c>
      <c r="C28" s="4">
        <v>1</v>
      </c>
      <c r="D28" s="5">
        <f t="shared" si="1"/>
        <v>7</v>
      </c>
      <c r="E28" s="6">
        <v>2</v>
      </c>
      <c r="F28" s="4">
        <v>0</v>
      </c>
      <c r="G28" s="5">
        <f t="shared" si="0"/>
        <v>2</v>
      </c>
      <c r="H28" s="9">
        <f t="shared" si="2"/>
        <v>9</v>
      </c>
    </row>
    <row r="29" spans="1:8" x14ac:dyDescent="0.25">
      <c r="A29" s="14" t="s">
        <v>38</v>
      </c>
      <c r="B29" s="6">
        <v>0</v>
      </c>
      <c r="C29" s="4">
        <v>6</v>
      </c>
      <c r="D29" s="5">
        <f t="shared" si="1"/>
        <v>6</v>
      </c>
      <c r="E29" s="6">
        <v>0</v>
      </c>
      <c r="F29" s="4">
        <v>0</v>
      </c>
      <c r="G29" s="5">
        <f t="shared" si="0"/>
        <v>0</v>
      </c>
      <c r="H29" s="9">
        <f t="shared" si="2"/>
        <v>6</v>
      </c>
    </row>
    <row r="30" spans="1:8" x14ac:dyDescent="0.25">
      <c r="A30" s="14" t="s">
        <v>24</v>
      </c>
      <c r="B30" s="6">
        <v>13</v>
      </c>
      <c r="C30" s="4">
        <v>24</v>
      </c>
      <c r="D30" s="5">
        <f t="shared" si="1"/>
        <v>37</v>
      </c>
      <c r="E30" s="6">
        <v>0</v>
      </c>
      <c r="F30" s="4">
        <v>1</v>
      </c>
      <c r="G30" s="5">
        <f t="shared" si="0"/>
        <v>1</v>
      </c>
      <c r="H30" s="9">
        <f t="shared" si="2"/>
        <v>38</v>
      </c>
    </row>
    <row r="31" spans="1:8" x14ac:dyDescent="0.25">
      <c r="A31" s="14" t="s">
        <v>39</v>
      </c>
      <c r="B31" s="6">
        <v>6</v>
      </c>
      <c r="C31" s="4">
        <v>15</v>
      </c>
      <c r="D31" s="5">
        <f t="shared" si="1"/>
        <v>21</v>
      </c>
      <c r="E31" s="6">
        <v>1</v>
      </c>
      <c r="F31" s="4">
        <v>0</v>
      </c>
      <c r="G31" s="5">
        <f t="shared" si="0"/>
        <v>1</v>
      </c>
      <c r="H31" s="9">
        <f t="shared" si="2"/>
        <v>22</v>
      </c>
    </row>
    <row r="32" spans="1:8" x14ac:dyDescent="0.25">
      <c r="A32" s="14" t="s">
        <v>25</v>
      </c>
      <c r="B32" s="6">
        <v>18</v>
      </c>
      <c r="C32" s="4">
        <v>0</v>
      </c>
      <c r="D32" s="5">
        <f t="shared" si="1"/>
        <v>18</v>
      </c>
      <c r="E32" s="6">
        <v>1</v>
      </c>
      <c r="F32" s="4">
        <v>0</v>
      </c>
      <c r="G32" s="5">
        <f t="shared" si="0"/>
        <v>1</v>
      </c>
      <c r="H32" s="9">
        <f t="shared" si="2"/>
        <v>19</v>
      </c>
    </row>
    <row r="33" spans="1:8" x14ac:dyDescent="0.25">
      <c r="A33" s="14" t="s">
        <v>1</v>
      </c>
      <c r="B33" s="6">
        <v>30</v>
      </c>
      <c r="C33" s="4">
        <v>2</v>
      </c>
      <c r="D33" s="5">
        <f t="shared" si="1"/>
        <v>32</v>
      </c>
      <c r="E33" s="6">
        <v>1</v>
      </c>
      <c r="F33" s="4">
        <v>27</v>
      </c>
      <c r="G33" s="5">
        <f t="shared" si="0"/>
        <v>28</v>
      </c>
      <c r="H33" s="9">
        <f t="shared" si="2"/>
        <v>60</v>
      </c>
    </row>
    <row r="34" spans="1:8" x14ac:dyDescent="0.25">
      <c r="A34" s="14" t="s">
        <v>108</v>
      </c>
      <c r="B34" s="6">
        <v>1</v>
      </c>
      <c r="C34" s="4">
        <v>0</v>
      </c>
      <c r="D34" s="5">
        <f t="shared" si="1"/>
        <v>1</v>
      </c>
      <c r="E34" s="6">
        <v>0</v>
      </c>
      <c r="F34" s="4">
        <v>0</v>
      </c>
      <c r="G34" s="5">
        <f t="shared" si="0"/>
        <v>0</v>
      </c>
      <c r="H34" s="9">
        <f t="shared" si="2"/>
        <v>1</v>
      </c>
    </row>
    <row r="35" spans="1:8" x14ac:dyDescent="0.25">
      <c r="A35" s="14" t="s">
        <v>26</v>
      </c>
      <c r="B35" s="6">
        <v>0</v>
      </c>
      <c r="C35" s="4">
        <v>4</v>
      </c>
      <c r="D35" s="5">
        <f t="shared" si="1"/>
        <v>4</v>
      </c>
      <c r="E35" s="6">
        <v>0</v>
      </c>
      <c r="F35" s="4">
        <v>0</v>
      </c>
      <c r="G35" s="5">
        <f t="shared" si="0"/>
        <v>0</v>
      </c>
      <c r="H35" s="9">
        <f t="shared" si="2"/>
        <v>4</v>
      </c>
    </row>
    <row r="36" spans="1:8" x14ac:dyDescent="0.25">
      <c r="A36" s="14" t="s">
        <v>27</v>
      </c>
      <c r="B36" s="6">
        <v>0</v>
      </c>
      <c r="C36" s="4">
        <v>1</v>
      </c>
      <c r="D36" s="5">
        <f t="shared" si="1"/>
        <v>1</v>
      </c>
      <c r="E36" s="6">
        <v>0</v>
      </c>
      <c r="F36" s="4">
        <v>0</v>
      </c>
      <c r="G36" s="5">
        <f t="shared" si="0"/>
        <v>0</v>
      </c>
      <c r="H36" s="9">
        <f t="shared" si="2"/>
        <v>1</v>
      </c>
    </row>
    <row r="37" spans="1:8" x14ac:dyDescent="0.25">
      <c r="A37" s="14" t="s">
        <v>28</v>
      </c>
      <c r="B37" s="6">
        <v>3</v>
      </c>
      <c r="C37" s="4">
        <v>6</v>
      </c>
      <c r="D37" s="5">
        <f t="shared" si="1"/>
        <v>9</v>
      </c>
      <c r="E37" s="6">
        <v>0</v>
      </c>
      <c r="F37" s="4">
        <v>0</v>
      </c>
      <c r="G37" s="5">
        <f t="shared" si="0"/>
        <v>0</v>
      </c>
      <c r="H37" s="9">
        <f t="shared" si="2"/>
        <v>9</v>
      </c>
    </row>
    <row r="38" spans="1:8" x14ac:dyDescent="0.25">
      <c r="A38" s="14" t="s">
        <v>29</v>
      </c>
      <c r="B38" s="6">
        <v>3</v>
      </c>
      <c r="C38" s="4">
        <v>2</v>
      </c>
      <c r="D38" s="5">
        <f t="shared" si="1"/>
        <v>5</v>
      </c>
      <c r="E38" s="6">
        <v>1</v>
      </c>
      <c r="F38" s="4">
        <v>0</v>
      </c>
      <c r="G38" s="5">
        <f t="shared" si="0"/>
        <v>1</v>
      </c>
      <c r="H38" s="9">
        <f t="shared" si="2"/>
        <v>6</v>
      </c>
    </row>
    <row r="39" spans="1:8" x14ac:dyDescent="0.25">
      <c r="A39" s="14" t="s">
        <v>31</v>
      </c>
      <c r="B39" s="6">
        <v>3</v>
      </c>
      <c r="C39" s="4">
        <v>0</v>
      </c>
      <c r="D39" s="5">
        <f t="shared" si="1"/>
        <v>3</v>
      </c>
      <c r="E39" s="6">
        <v>0</v>
      </c>
      <c r="F39" s="4">
        <v>0</v>
      </c>
      <c r="G39" s="5">
        <f t="shared" si="0"/>
        <v>0</v>
      </c>
      <c r="H39" s="9">
        <f t="shared" si="2"/>
        <v>3</v>
      </c>
    </row>
    <row r="40" spans="1:8" x14ac:dyDescent="0.25">
      <c r="A40" s="14" t="s">
        <v>32</v>
      </c>
      <c r="B40" s="6">
        <v>2</v>
      </c>
      <c r="C40" s="4">
        <v>0</v>
      </c>
      <c r="D40" s="5">
        <f t="shared" si="1"/>
        <v>2</v>
      </c>
      <c r="E40" s="6">
        <v>0</v>
      </c>
      <c r="F40" s="4">
        <v>0</v>
      </c>
      <c r="G40" s="5">
        <f t="shared" si="0"/>
        <v>0</v>
      </c>
      <c r="H40" s="9">
        <f t="shared" si="2"/>
        <v>2</v>
      </c>
    </row>
    <row r="41" spans="1:8" x14ac:dyDescent="0.25">
      <c r="A41" s="14" t="s">
        <v>33</v>
      </c>
      <c r="B41" s="6">
        <v>8</v>
      </c>
      <c r="C41" s="4">
        <v>17</v>
      </c>
      <c r="D41" s="5">
        <f t="shared" si="1"/>
        <v>25</v>
      </c>
      <c r="E41" s="6">
        <v>0</v>
      </c>
      <c r="F41" s="4">
        <v>0</v>
      </c>
      <c r="G41" s="5">
        <f t="shared" si="0"/>
        <v>0</v>
      </c>
      <c r="H41" s="9">
        <f t="shared" si="2"/>
        <v>25</v>
      </c>
    </row>
    <row r="42" spans="1:8" x14ac:dyDescent="0.25">
      <c r="A42" s="14" t="s">
        <v>34</v>
      </c>
      <c r="B42" s="6">
        <v>15</v>
      </c>
      <c r="C42" s="4">
        <v>0</v>
      </c>
      <c r="D42" s="5">
        <f t="shared" si="1"/>
        <v>15</v>
      </c>
      <c r="E42" s="6">
        <v>0</v>
      </c>
      <c r="F42" s="4">
        <v>0</v>
      </c>
      <c r="G42" s="5">
        <f t="shared" si="0"/>
        <v>0</v>
      </c>
      <c r="H42" s="9">
        <f t="shared" si="2"/>
        <v>15</v>
      </c>
    </row>
    <row r="43" spans="1:8" x14ac:dyDescent="0.25">
      <c r="A43" s="14" t="s">
        <v>35</v>
      </c>
      <c r="B43" s="6">
        <v>1</v>
      </c>
      <c r="C43" s="4">
        <v>6</v>
      </c>
      <c r="D43" s="5">
        <f t="shared" si="1"/>
        <v>7</v>
      </c>
      <c r="E43" s="6">
        <v>0</v>
      </c>
      <c r="F43" s="4">
        <v>0</v>
      </c>
      <c r="G43" s="5">
        <f t="shared" si="0"/>
        <v>0</v>
      </c>
      <c r="H43" s="9">
        <f t="shared" si="2"/>
        <v>7</v>
      </c>
    </row>
    <row r="44" spans="1:8" ht="15.75" thickBot="1" x14ac:dyDescent="0.3">
      <c r="A44" s="15" t="s">
        <v>71</v>
      </c>
      <c r="B44" s="11">
        <v>0</v>
      </c>
      <c r="C44" s="12">
        <v>1</v>
      </c>
      <c r="D44" s="12">
        <f t="shared" si="1"/>
        <v>1</v>
      </c>
      <c r="E44" s="11">
        <v>0</v>
      </c>
      <c r="F44" s="12">
        <v>0</v>
      </c>
      <c r="G44" s="13">
        <f t="shared" si="0"/>
        <v>0</v>
      </c>
      <c r="H44" s="16">
        <f t="shared" si="2"/>
        <v>1</v>
      </c>
    </row>
    <row r="45" spans="1:8" ht="16.5" thickTop="1" thickBot="1" x14ac:dyDescent="0.3">
      <c r="A45" s="8" t="s">
        <v>0</v>
      </c>
      <c r="B45" s="7">
        <f t="shared" ref="B45:H45" si="3">SUM(B7:B44)</f>
        <v>202</v>
      </c>
      <c r="C45" s="7">
        <f t="shared" si="3"/>
        <v>227</v>
      </c>
      <c r="D45" s="7">
        <f t="shared" si="3"/>
        <v>429</v>
      </c>
      <c r="E45" s="7">
        <f t="shared" si="3"/>
        <v>30</v>
      </c>
      <c r="F45" s="7">
        <f t="shared" si="3"/>
        <v>34</v>
      </c>
      <c r="G45" s="8">
        <f t="shared" si="3"/>
        <v>64</v>
      </c>
      <c r="H45" s="10">
        <f t="shared" si="3"/>
        <v>493</v>
      </c>
    </row>
    <row r="46" spans="1:8" x14ac:dyDescent="0.25">
      <c r="A46" s="18"/>
      <c r="B46" s="18"/>
      <c r="C46" s="18"/>
      <c r="D46" s="18"/>
      <c r="E46" s="18"/>
      <c r="F46" s="18"/>
      <c r="G46" s="18"/>
      <c r="H46" s="18"/>
    </row>
    <row r="47" spans="1:8" ht="15.75" thickBot="1" x14ac:dyDescent="0.3"/>
    <row r="48" spans="1:8" x14ac:dyDescent="0.25">
      <c r="A48" s="23" t="s">
        <v>40</v>
      </c>
      <c r="B48" s="37" t="s">
        <v>3</v>
      </c>
      <c r="C48" s="38"/>
      <c r="D48" s="38"/>
      <c r="E48" s="37" t="s">
        <v>4</v>
      </c>
      <c r="F48" s="38"/>
      <c r="G48" s="38"/>
      <c r="H48" s="39" t="s">
        <v>0</v>
      </c>
    </row>
    <row r="49" spans="1:8" x14ac:dyDescent="0.25">
      <c r="A49" s="24"/>
      <c r="B49" s="25" t="s">
        <v>48</v>
      </c>
      <c r="C49" s="26" t="s">
        <v>49</v>
      </c>
      <c r="D49" s="27" t="s">
        <v>0</v>
      </c>
      <c r="E49" s="25" t="s">
        <v>48</v>
      </c>
      <c r="F49" s="26" t="s">
        <v>49</v>
      </c>
      <c r="G49" s="27" t="s">
        <v>0</v>
      </c>
      <c r="H49" s="41"/>
    </row>
    <row r="50" spans="1:8" x14ac:dyDescent="0.25">
      <c r="A50" s="14" t="s">
        <v>41</v>
      </c>
      <c r="B50" s="6">
        <v>79</v>
      </c>
      <c r="C50" s="4">
        <v>62</v>
      </c>
      <c r="D50" s="5">
        <f t="shared" ref="D50:D57" si="4">SUM(B50+C50)</f>
        <v>141</v>
      </c>
      <c r="E50" s="6">
        <v>6</v>
      </c>
      <c r="F50" s="4">
        <v>3</v>
      </c>
      <c r="G50" s="5">
        <f t="shared" ref="G50:G57" si="5">F50+E50</f>
        <v>9</v>
      </c>
      <c r="H50" s="9">
        <f t="shared" ref="H50:H57" si="6">D50+G50</f>
        <v>150</v>
      </c>
    </row>
    <row r="51" spans="1:8" x14ac:dyDescent="0.25">
      <c r="A51" s="14" t="s">
        <v>42</v>
      </c>
      <c r="B51" s="6">
        <v>17</v>
      </c>
      <c r="C51" s="4">
        <v>5</v>
      </c>
      <c r="D51" s="5">
        <f t="shared" si="4"/>
        <v>22</v>
      </c>
      <c r="E51" s="6">
        <v>12</v>
      </c>
      <c r="F51" s="4">
        <v>1</v>
      </c>
      <c r="G51" s="5">
        <f t="shared" si="5"/>
        <v>13</v>
      </c>
      <c r="H51" s="9">
        <f t="shared" si="6"/>
        <v>35</v>
      </c>
    </row>
    <row r="52" spans="1:8" x14ac:dyDescent="0.25">
      <c r="A52" s="14" t="s">
        <v>43</v>
      </c>
      <c r="B52" s="6">
        <v>9</v>
      </c>
      <c r="C52" s="4">
        <v>0</v>
      </c>
      <c r="D52" s="5">
        <f t="shared" si="4"/>
        <v>9</v>
      </c>
      <c r="E52" s="6">
        <v>0</v>
      </c>
      <c r="F52" s="4">
        <v>0</v>
      </c>
      <c r="G52" s="5">
        <f t="shared" si="5"/>
        <v>0</v>
      </c>
      <c r="H52" s="9">
        <f t="shared" si="6"/>
        <v>9</v>
      </c>
    </row>
    <row r="53" spans="1:8" x14ac:dyDescent="0.25">
      <c r="A53" s="14" t="s">
        <v>44</v>
      </c>
      <c r="B53" s="6">
        <v>12</v>
      </c>
      <c r="C53" s="4">
        <v>10</v>
      </c>
      <c r="D53" s="5">
        <f t="shared" si="4"/>
        <v>22</v>
      </c>
      <c r="E53" s="6">
        <v>4</v>
      </c>
      <c r="F53" s="4">
        <v>0</v>
      </c>
      <c r="G53" s="5">
        <f t="shared" si="5"/>
        <v>4</v>
      </c>
      <c r="H53" s="9">
        <f t="shared" si="6"/>
        <v>26</v>
      </c>
    </row>
    <row r="54" spans="1:8" x14ac:dyDescent="0.25">
      <c r="A54" s="14" t="s">
        <v>1</v>
      </c>
      <c r="B54" s="6">
        <v>30</v>
      </c>
      <c r="C54" s="4">
        <v>2</v>
      </c>
      <c r="D54" s="5">
        <f t="shared" ref="D54" si="7">SUM(B54+C54)</f>
        <v>32</v>
      </c>
      <c r="E54" s="6">
        <v>1</v>
      </c>
      <c r="F54" s="4">
        <v>27</v>
      </c>
      <c r="G54" s="5">
        <f t="shared" ref="G54" si="8">F54+E54</f>
        <v>28</v>
      </c>
      <c r="H54" s="9">
        <f t="shared" ref="H54" si="9">D54+G54</f>
        <v>60</v>
      </c>
    </row>
    <row r="55" spans="1:8" x14ac:dyDescent="0.25">
      <c r="A55" s="14" t="s">
        <v>45</v>
      </c>
      <c r="B55" s="6">
        <v>12</v>
      </c>
      <c r="C55" s="4">
        <v>24</v>
      </c>
      <c r="D55" s="5">
        <f t="shared" si="4"/>
        <v>36</v>
      </c>
      <c r="E55" s="6">
        <v>1</v>
      </c>
      <c r="F55" s="4">
        <v>0</v>
      </c>
      <c r="G55" s="5">
        <f t="shared" si="5"/>
        <v>1</v>
      </c>
      <c r="H55" s="9">
        <f t="shared" si="6"/>
        <v>37</v>
      </c>
    </row>
    <row r="56" spans="1:8" x14ac:dyDescent="0.25">
      <c r="A56" s="14" t="s">
        <v>46</v>
      </c>
      <c r="B56" s="6">
        <v>12</v>
      </c>
      <c r="C56" s="4">
        <v>14</v>
      </c>
      <c r="D56" s="5">
        <f t="shared" si="4"/>
        <v>26</v>
      </c>
      <c r="E56" s="6">
        <v>0</v>
      </c>
      <c r="F56" s="4">
        <v>0</v>
      </c>
      <c r="G56" s="5">
        <f t="shared" si="5"/>
        <v>0</v>
      </c>
      <c r="H56" s="9">
        <f t="shared" si="6"/>
        <v>26</v>
      </c>
    </row>
    <row r="57" spans="1:8" ht="15.75" thickBot="1" x14ac:dyDescent="0.3">
      <c r="A57" s="15" t="s">
        <v>47</v>
      </c>
      <c r="B57" s="11">
        <v>31</v>
      </c>
      <c r="C57" s="12">
        <v>110</v>
      </c>
      <c r="D57" s="12">
        <f t="shared" si="4"/>
        <v>141</v>
      </c>
      <c r="E57" s="11">
        <v>6</v>
      </c>
      <c r="F57" s="12">
        <v>3</v>
      </c>
      <c r="G57" s="13">
        <f t="shared" si="5"/>
        <v>9</v>
      </c>
      <c r="H57" s="16">
        <f t="shared" si="6"/>
        <v>150</v>
      </c>
    </row>
    <row r="58" spans="1:8" ht="16.5" thickTop="1" thickBot="1" x14ac:dyDescent="0.3">
      <c r="A58" s="8" t="s">
        <v>0</v>
      </c>
      <c r="B58" s="7">
        <f t="shared" ref="B58:H58" si="10">SUM(B50:B57)</f>
        <v>202</v>
      </c>
      <c r="C58" s="7">
        <f t="shared" si="10"/>
        <v>227</v>
      </c>
      <c r="D58" s="7">
        <f t="shared" si="10"/>
        <v>429</v>
      </c>
      <c r="E58" s="7">
        <f t="shared" si="10"/>
        <v>30</v>
      </c>
      <c r="F58" s="7">
        <f t="shared" si="10"/>
        <v>34</v>
      </c>
      <c r="G58" s="8">
        <f t="shared" si="10"/>
        <v>64</v>
      </c>
      <c r="H58" s="10">
        <f t="shared" si="10"/>
        <v>493</v>
      </c>
    </row>
    <row r="60" spans="1:8" x14ac:dyDescent="0.25">
      <c r="A60" s="48" t="s">
        <v>76</v>
      </c>
      <c r="B60" s="48"/>
      <c r="C60" s="48"/>
      <c r="D60" s="48"/>
      <c r="E60" s="48"/>
      <c r="F60" s="48"/>
      <c r="G60" s="48"/>
      <c r="H60" s="48"/>
    </row>
    <row r="64" spans="1:8" x14ac:dyDescent="0.25">
      <c r="A64" s="49"/>
      <c r="B64" s="49"/>
      <c r="C64" s="49"/>
      <c r="D64" s="49"/>
      <c r="E64" s="49"/>
      <c r="F64" s="49"/>
      <c r="G64" s="49"/>
      <c r="H64" s="49"/>
    </row>
  </sheetData>
  <mergeCells count="8">
    <mergeCell ref="A2:H2"/>
    <mergeCell ref="B5:D5"/>
    <mergeCell ref="E5:G5"/>
    <mergeCell ref="B48:D48"/>
    <mergeCell ref="E48:G48"/>
    <mergeCell ref="H48:H49"/>
    <mergeCell ref="A60:H60"/>
    <mergeCell ref="A64:H64"/>
  </mergeCells>
  <pageMargins left="0.25" right="0.25" top="0.75" bottom="0.75" header="0.3" footer="0.3"/>
  <pageSetup paperSize="9" orientation="portrait" r:id="rId1"/>
  <headerFooter>
    <oddHeader>&amp;CUCL Student Data Statistics</oddHeader>
    <oddFooter>&amp;C&amp;P of &amp;N</oddFooter>
  </headerFooter>
  <rowBreaks count="1" manualBreakCount="1">
    <brk id="46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view="pageLayout" topLeftCell="B1" zoomScale="85" zoomScaleNormal="100" zoomScalePageLayoutView="85" workbookViewId="0">
      <selection activeCell="C53" sqref="C53"/>
    </sheetView>
  </sheetViews>
  <sheetFormatPr defaultColWidth="9.140625" defaultRowHeight="15" x14ac:dyDescent="0.25"/>
  <cols>
    <col min="1" max="1" width="29.28515625" bestFit="1" customWidth="1"/>
    <col min="2" max="8" width="8.5703125" customWidth="1"/>
  </cols>
  <sheetData>
    <row r="1" spans="1:8" ht="18" x14ac:dyDescent="0.25">
      <c r="A1" s="1" t="s">
        <v>50</v>
      </c>
      <c r="B1" s="3"/>
    </row>
    <row r="2" spans="1:8" x14ac:dyDescent="0.25">
      <c r="A2" s="33" t="s">
        <v>51</v>
      </c>
      <c r="B2" s="33"/>
      <c r="C2" s="33"/>
      <c r="D2" s="33"/>
      <c r="E2" s="33"/>
      <c r="F2" s="33"/>
      <c r="G2" s="33"/>
      <c r="H2" s="33"/>
    </row>
    <row r="3" spans="1:8" x14ac:dyDescent="0.25">
      <c r="A3" s="2" t="str">
        <f ca="1">RIGHT(CELL("filename",A1),LEN(CELL("filename",A1))-FIND("]",CELL("filename",A1)))</f>
        <v>1996-97</v>
      </c>
      <c r="B3" s="3"/>
    </row>
    <row r="4" spans="1:8" ht="15.75" thickBot="1" x14ac:dyDescent="0.3">
      <c r="A4" s="3"/>
      <c r="B4" s="3"/>
    </row>
    <row r="5" spans="1:8" ht="15" customHeight="1" x14ac:dyDescent="0.25">
      <c r="A5" s="21" t="s">
        <v>2</v>
      </c>
      <c r="B5" s="37" t="s">
        <v>3</v>
      </c>
      <c r="C5" s="38"/>
      <c r="D5" s="38"/>
      <c r="E5" s="37" t="s">
        <v>4</v>
      </c>
      <c r="F5" s="38"/>
      <c r="G5" s="38"/>
      <c r="H5" s="21" t="s">
        <v>0</v>
      </c>
    </row>
    <row r="6" spans="1:8" ht="15" customHeight="1" x14ac:dyDescent="0.25">
      <c r="A6" s="22"/>
      <c r="B6" s="28" t="s">
        <v>48</v>
      </c>
      <c r="C6" s="29" t="s">
        <v>49</v>
      </c>
      <c r="D6" s="30" t="s">
        <v>0</v>
      </c>
      <c r="E6" s="28" t="s">
        <v>48</v>
      </c>
      <c r="F6" s="29" t="s">
        <v>49</v>
      </c>
      <c r="G6" s="30" t="s">
        <v>0</v>
      </c>
      <c r="H6" s="22"/>
    </row>
    <row r="7" spans="1:8" x14ac:dyDescent="0.25">
      <c r="A7" s="14" t="s">
        <v>5</v>
      </c>
      <c r="B7" s="6">
        <v>2</v>
      </c>
      <c r="C7" s="4">
        <v>0</v>
      </c>
      <c r="D7" s="5">
        <f>B7+C7</f>
        <v>2</v>
      </c>
      <c r="E7" s="6">
        <v>2</v>
      </c>
      <c r="F7" s="4">
        <v>0</v>
      </c>
      <c r="G7" s="5">
        <f t="shared" ref="G7:G44" si="0">E7+F7</f>
        <v>2</v>
      </c>
      <c r="H7" s="9">
        <f>G7+D7</f>
        <v>4</v>
      </c>
    </row>
    <row r="8" spans="1:8" x14ac:dyDescent="0.25">
      <c r="A8" s="14" t="s">
        <v>6</v>
      </c>
      <c r="B8" s="6">
        <v>6</v>
      </c>
      <c r="C8" s="4">
        <v>18</v>
      </c>
      <c r="D8" s="5">
        <f t="shared" ref="D8:D44" si="1">B8+C8</f>
        <v>24</v>
      </c>
      <c r="E8" s="6">
        <v>1</v>
      </c>
      <c r="F8" s="4">
        <v>0</v>
      </c>
      <c r="G8" s="5">
        <f t="shared" si="0"/>
        <v>1</v>
      </c>
      <c r="H8" s="9">
        <f t="shared" ref="H8:H44" si="2">G8+D8</f>
        <v>25</v>
      </c>
    </row>
    <row r="9" spans="1:8" x14ac:dyDescent="0.25">
      <c r="A9" s="14" t="s">
        <v>7</v>
      </c>
      <c r="B9" s="6">
        <v>1</v>
      </c>
      <c r="C9" s="4">
        <v>4</v>
      </c>
      <c r="D9" s="5">
        <f t="shared" si="1"/>
        <v>5</v>
      </c>
      <c r="E9" s="6">
        <v>1</v>
      </c>
      <c r="F9" s="4">
        <v>0</v>
      </c>
      <c r="G9" s="5">
        <f t="shared" si="0"/>
        <v>1</v>
      </c>
      <c r="H9" s="9">
        <f t="shared" si="2"/>
        <v>6</v>
      </c>
    </row>
    <row r="10" spans="1:8" x14ac:dyDescent="0.25">
      <c r="A10" s="14" t="s">
        <v>101</v>
      </c>
      <c r="B10" s="6">
        <v>14</v>
      </c>
      <c r="C10" s="4">
        <v>3</v>
      </c>
      <c r="D10" s="5">
        <f t="shared" si="1"/>
        <v>17</v>
      </c>
      <c r="E10" s="6">
        <v>18</v>
      </c>
      <c r="F10" s="4">
        <v>2</v>
      </c>
      <c r="G10" s="5">
        <f t="shared" si="0"/>
        <v>20</v>
      </c>
      <c r="H10" s="9">
        <f t="shared" si="2"/>
        <v>37</v>
      </c>
    </row>
    <row r="11" spans="1:8" x14ac:dyDescent="0.25">
      <c r="A11" s="14" t="s">
        <v>9</v>
      </c>
      <c r="B11" s="6">
        <v>1</v>
      </c>
      <c r="C11" s="4">
        <v>3</v>
      </c>
      <c r="D11" s="5">
        <f t="shared" si="1"/>
        <v>4</v>
      </c>
      <c r="E11" s="6">
        <v>0</v>
      </c>
      <c r="F11" s="4">
        <v>0</v>
      </c>
      <c r="G11" s="5">
        <f t="shared" si="0"/>
        <v>0</v>
      </c>
      <c r="H11" s="9">
        <f t="shared" si="2"/>
        <v>4</v>
      </c>
    </row>
    <row r="12" spans="1:8" x14ac:dyDescent="0.25">
      <c r="A12" s="14" t="s">
        <v>10</v>
      </c>
      <c r="B12" s="6">
        <v>1</v>
      </c>
      <c r="C12" s="4">
        <v>8</v>
      </c>
      <c r="D12" s="5">
        <f t="shared" si="1"/>
        <v>9</v>
      </c>
      <c r="E12" s="6">
        <v>0</v>
      </c>
      <c r="F12" s="4">
        <v>0</v>
      </c>
      <c r="G12" s="5">
        <f t="shared" si="0"/>
        <v>0</v>
      </c>
      <c r="H12" s="9">
        <f t="shared" si="2"/>
        <v>9</v>
      </c>
    </row>
    <row r="13" spans="1:8" x14ac:dyDescent="0.25">
      <c r="A13" s="14" t="s">
        <v>11</v>
      </c>
      <c r="B13" s="6">
        <v>12</v>
      </c>
      <c r="C13" s="4">
        <v>3</v>
      </c>
      <c r="D13" s="5">
        <f t="shared" si="1"/>
        <v>15</v>
      </c>
      <c r="E13" s="6">
        <v>0</v>
      </c>
      <c r="F13" s="4">
        <v>0</v>
      </c>
      <c r="G13" s="5">
        <f t="shared" si="0"/>
        <v>0</v>
      </c>
      <c r="H13" s="9">
        <f t="shared" si="2"/>
        <v>15</v>
      </c>
    </row>
    <row r="14" spans="1:8" x14ac:dyDescent="0.25">
      <c r="A14" s="14" t="s">
        <v>12</v>
      </c>
      <c r="B14" s="6">
        <v>9</v>
      </c>
      <c r="C14" s="4">
        <v>2</v>
      </c>
      <c r="D14" s="5">
        <f t="shared" si="1"/>
        <v>11</v>
      </c>
      <c r="E14" s="6">
        <v>0</v>
      </c>
      <c r="F14" s="4">
        <v>0</v>
      </c>
      <c r="G14" s="5">
        <f t="shared" si="0"/>
        <v>0</v>
      </c>
      <c r="H14" s="9">
        <f t="shared" si="2"/>
        <v>11</v>
      </c>
    </row>
    <row r="15" spans="1:8" x14ac:dyDescent="0.25">
      <c r="A15" s="14" t="s">
        <v>13</v>
      </c>
      <c r="B15" s="6">
        <v>7</v>
      </c>
      <c r="C15" s="4">
        <v>5</v>
      </c>
      <c r="D15" s="5">
        <f t="shared" si="1"/>
        <v>12</v>
      </c>
      <c r="E15" s="6">
        <v>1</v>
      </c>
      <c r="F15" s="4">
        <v>0</v>
      </c>
      <c r="G15" s="5">
        <f t="shared" si="0"/>
        <v>1</v>
      </c>
      <c r="H15" s="9">
        <f t="shared" si="2"/>
        <v>13</v>
      </c>
    </row>
    <row r="16" spans="1:8" x14ac:dyDescent="0.25">
      <c r="A16" s="14" t="s">
        <v>52</v>
      </c>
      <c r="B16" s="6">
        <v>4</v>
      </c>
      <c r="C16" s="4">
        <v>0</v>
      </c>
      <c r="D16" s="5">
        <f t="shared" si="1"/>
        <v>4</v>
      </c>
      <c r="E16" s="6">
        <v>0</v>
      </c>
      <c r="F16" s="4">
        <v>0</v>
      </c>
      <c r="G16" s="5">
        <f t="shared" si="0"/>
        <v>0</v>
      </c>
      <c r="H16" s="9">
        <f t="shared" si="2"/>
        <v>4</v>
      </c>
    </row>
    <row r="17" spans="1:8" x14ac:dyDescent="0.25">
      <c r="A17" s="14" t="s">
        <v>14</v>
      </c>
      <c r="B17" s="6">
        <v>1</v>
      </c>
      <c r="C17" s="4">
        <v>4</v>
      </c>
      <c r="D17" s="5">
        <f t="shared" si="1"/>
        <v>5</v>
      </c>
      <c r="E17" s="6">
        <v>1</v>
      </c>
      <c r="F17" s="4">
        <v>0</v>
      </c>
      <c r="G17" s="5">
        <f t="shared" si="0"/>
        <v>1</v>
      </c>
      <c r="H17" s="9">
        <f t="shared" si="2"/>
        <v>6</v>
      </c>
    </row>
    <row r="18" spans="1:8" x14ac:dyDescent="0.25">
      <c r="A18" s="14" t="s">
        <v>15</v>
      </c>
      <c r="B18" s="6">
        <v>0</v>
      </c>
      <c r="C18" s="4">
        <v>0</v>
      </c>
      <c r="D18" s="5">
        <f t="shared" si="1"/>
        <v>0</v>
      </c>
      <c r="E18" s="6">
        <v>0</v>
      </c>
      <c r="F18" s="4">
        <v>9</v>
      </c>
      <c r="G18" s="5">
        <f t="shared" si="0"/>
        <v>9</v>
      </c>
      <c r="H18" s="9">
        <f t="shared" si="2"/>
        <v>9</v>
      </c>
    </row>
    <row r="19" spans="1:8" x14ac:dyDescent="0.25">
      <c r="A19" s="14" t="s">
        <v>16</v>
      </c>
      <c r="B19" s="6">
        <v>8</v>
      </c>
      <c r="C19" s="4">
        <v>10</v>
      </c>
      <c r="D19" s="5">
        <f t="shared" si="1"/>
        <v>18</v>
      </c>
      <c r="E19" s="6">
        <v>1</v>
      </c>
      <c r="F19" s="4">
        <v>0</v>
      </c>
      <c r="G19" s="5">
        <f t="shared" si="0"/>
        <v>1</v>
      </c>
      <c r="H19" s="9">
        <f t="shared" si="2"/>
        <v>19</v>
      </c>
    </row>
    <row r="20" spans="1:8" x14ac:dyDescent="0.25">
      <c r="A20" s="14" t="s">
        <v>17</v>
      </c>
      <c r="B20" s="6">
        <v>1</v>
      </c>
      <c r="C20" s="4">
        <v>26</v>
      </c>
      <c r="D20" s="5">
        <f t="shared" si="1"/>
        <v>27</v>
      </c>
      <c r="E20" s="6">
        <v>4</v>
      </c>
      <c r="F20" s="4">
        <v>1</v>
      </c>
      <c r="G20" s="5">
        <f t="shared" si="0"/>
        <v>5</v>
      </c>
      <c r="H20" s="9">
        <f t="shared" si="2"/>
        <v>32</v>
      </c>
    </row>
    <row r="21" spans="1:8" x14ac:dyDescent="0.25">
      <c r="A21" s="14" t="s">
        <v>18</v>
      </c>
      <c r="B21" s="6">
        <v>7</v>
      </c>
      <c r="C21" s="4">
        <v>2</v>
      </c>
      <c r="D21" s="5">
        <f t="shared" si="1"/>
        <v>9</v>
      </c>
      <c r="E21" s="6">
        <v>1</v>
      </c>
      <c r="F21" s="4">
        <v>1</v>
      </c>
      <c r="G21" s="5">
        <f t="shared" si="0"/>
        <v>2</v>
      </c>
      <c r="H21" s="9">
        <f t="shared" si="2"/>
        <v>11</v>
      </c>
    </row>
    <row r="22" spans="1:8" x14ac:dyDescent="0.25">
      <c r="A22" s="14" t="s">
        <v>19</v>
      </c>
      <c r="B22" s="6">
        <v>4</v>
      </c>
      <c r="C22" s="4">
        <v>16</v>
      </c>
      <c r="D22" s="5">
        <f t="shared" si="1"/>
        <v>20</v>
      </c>
      <c r="E22" s="6">
        <v>1</v>
      </c>
      <c r="F22" s="4">
        <v>0</v>
      </c>
      <c r="G22" s="5">
        <f t="shared" si="0"/>
        <v>1</v>
      </c>
      <c r="H22" s="9">
        <f t="shared" si="2"/>
        <v>21</v>
      </c>
    </row>
    <row r="23" spans="1:8" x14ac:dyDescent="0.25">
      <c r="A23" s="14" t="s">
        <v>20</v>
      </c>
      <c r="B23" s="6">
        <v>3</v>
      </c>
      <c r="C23" s="4">
        <v>17</v>
      </c>
      <c r="D23" s="5">
        <f t="shared" si="1"/>
        <v>20</v>
      </c>
      <c r="E23" s="6">
        <v>2</v>
      </c>
      <c r="F23" s="4">
        <v>5</v>
      </c>
      <c r="G23" s="5">
        <f t="shared" si="0"/>
        <v>7</v>
      </c>
      <c r="H23" s="9">
        <f t="shared" si="2"/>
        <v>27</v>
      </c>
    </row>
    <row r="24" spans="1:8" x14ac:dyDescent="0.25">
      <c r="A24" s="14" t="s">
        <v>21</v>
      </c>
      <c r="B24" s="6">
        <v>8</v>
      </c>
      <c r="C24" s="4">
        <v>8</v>
      </c>
      <c r="D24" s="5">
        <f t="shared" si="1"/>
        <v>16</v>
      </c>
      <c r="E24" s="6">
        <v>0</v>
      </c>
      <c r="F24" s="4">
        <v>0</v>
      </c>
      <c r="G24" s="5">
        <f t="shared" si="0"/>
        <v>0</v>
      </c>
      <c r="H24" s="9">
        <f t="shared" si="2"/>
        <v>16</v>
      </c>
    </row>
    <row r="25" spans="1:8" x14ac:dyDescent="0.25">
      <c r="A25" s="14" t="s">
        <v>22</v>
      </c>
      <c r="B25" s="6">
        <v>2</v>
      </c>
      <c r="C25" s="4">
        <v>1</v>
      </c>
      <c r="D25" s="5">
        <f t="shared" si="1"/>
        <v>3</v>
      </c>
      <c r="E25" s="6">
        <v>0</v>
      </c>
      <c r="F25" s="4">
        <v>0</v>
      </c>
      <c r="G25" s="5">
        <f t="shared" si="0"/>
        <v>0</v>
      </c>
      <c r="H25" s="9">
        <f t="shared" si="2"/>
        <v>3</v>
      </c>
    </row>
    <row r="26" spans="1:8" x14ac:dyDescent="0.25">
      <c r="A26" s="14" t="s">
        <v>23</v>
      </c>
      <c r="B26" s="6">
        <v>9</v>
      </c>
      <c r="C26" s="4">
        <v>1</v>
      </c>
      <c r="D26" s="5">
        <f t="shared" si="1"/>
        <v>10</v>
      </c>
      <c r="E26" s="6">
        <v>0</v>
      </c>
      <c r="F26" s="4">
        <v>0</v>
      </c>
      <c r="G26" s="5">
        <f t="shared" si="0"/>
        <v>0</v>
      </c>
      <c r="H26" s="9">
        <f t="shared" si="2"/>
        <v>10</v>
      </c>
    </row>
    <row r="27" spans="1:8" x14ac:dyDescent="0.25">
      <c r="A27" s="14" t="s">
        <v>37</v>
      </c>
      <c r="B27" s="6">
        <v>7</v>
      </c>
      <c r="C27" s="4">
        <v>1</v>
      </c>
      <c r="D27" s="5">
        <f t="shared" si="1"/>
        <v>8</v>
      </c>
      <c r="E27" s="6">
        <v>1</v>
      </c>
      <c r="F27" s="4">
        <v>0</v>
      </c>
      <c r="G27" s="5">
        <f t="shared" si="0"/>
        <v>1</v>
      </c>
      <c r="H27" s="9">
        <f t="shared" si="2"/>
        <v>9</v>
      </c>
    </row>
    <row r="28" spans="1:8" x14ac:dyDescent="0.25">
      <c r="A28" s="14" t="s">
        <v>38</v>
      </c>
      <c r="B28" s="6">
        <v>1</v>
      </c>
      <c r="C28" s="4">
        <v>4</v>
      </c>
      <c r="D28" s="5">
        <f t="shared" si="1"/>
        <v>5</v>
      </c>
      <c r="E28" s="6">
        <v>0</v>
      </c>
      <c r="F28" s="4">
        <v>0</v>
      </c>
      <c r="G28" s="5">
        <f t="shared" si="0"/>
        <v>0</v>
      </c>
      <c r="H28" s="9">
        <f t="shared" si="2"/>
        <v>5</v>
      </c>
    </row>
    <row r="29" spans="1:8" x14ac:dyDescent="0.25">
      <c r="A29" s="14" t="s">
        <v>24</v>
      </c>
      <c r="B29" s="6">
        <v>12</v>
      </c>
      <c r="C29" s="4">
        <v>11</v>
      </c>
      <c r="D29" s="5">
        <f t="shared" si="1"/>
        <v>23</v>
      </c>
      <c r="E29" s="6">
        <v>0</v>
      </c>
      <c r="F29" s="4">
        <v>0</v>
      </c>
      <c r="G29" s="5">
        <f t="shared" si="0"/>
        <v>0</v>
      </c>
      <c r="H29" s="9">
        <f t="shared" si="2"/>
        <v>23</v>
      </c>
    </row>
    <row r="30" spans="1:8" x14ac:dyDescent="0.25">
      <c r="A30" s="14" t="s">
        <v>39</v>
      </c>
      <c r="B30" s="6">
        <v>8</v>
      </c>
      <c r="C30" s="4">
        <v>8</v>
      </c>
      <c r="D30" s="5">
        <f t="shared" si="1"/>
        <v>16</v>
      </c>
      <c r="E30" s="6">
        <v>1</v>
      </c>
      <c r="F30" s="4">
        <v>0</v>
      </c>
      <c r="G30" s="5">
        <f t="shared" si="0"/>
        <v>1</v>
      </c>
      <c r="H30" s="9">
        <f t="shared" si="2"/>
        <v>17</v>
      </c>
    </row>
    <row r="31" spans="1:8" x14ac:dyDescent="0.25">
      <c r="A31" s="14" t="s">
        <v>25</v>
      </c>
      <c r="B31" s="6">
        <v>6</v>
      </c>
      <c r="C31" s="4">
        <v>0</v>
      </c>
      <c r="D31" s="5">
        <f t="shared" si="1"/>
        <v>6</v>
      </c>
      <c r="E31" s="6">
        <v>1</v>
      </c>
      <c r="F31" s="4">
        <v>0</v>
      </c>
      <c r="G31" s="5">
        <f t="shared" si="0"/>
        <v>1</v>
      </c>
      <c r="H31" s="9">
        <f t="shared" si="2"/>
        <v>7</v>
      </c>
    </row>
    <row r="32" spans="1:8" x14ac:dyDescent="0.25">
      <c r="A32" s="14" t="s">
        <v>1</v>
      </c>
      <c r="B32" s="6">
        <v>32</v>
      </c>
      <c r="C32" s="4">
        <v>0</v>
      </c>
      <c r="D32" s="5">
        <f t="shared" si="1"/>
        <v>32</v>
      </c>
      <c r="E32" s="6">
        <v>0</v>
      </c>
      <c r="F32" s="4">
        <v>38</v>
      </c>
      <c r="G32" s="5">
        <f t="shared" si="0"/>
        <v>38</v>
      </c>
      <c r="H32" s="9">
        <f t="shared" si="2"/>
        <v>70</v>
      </c>
    </row>
    <row r="33" spans="1:8" x14ac:dyDescent="0.25">
      <c r="A33" s="14" t="s">
        <v>108</v>
      </c>
      <c r="B33" s="6">
        <v>1</v>
      </c>
      <c r="C33" s="4">
        <v>0</v>
      </c>
      <c r="D33" s="5">
        <f t="shared" si="1"/>
        <v>1</v>
      </c>
      <c r="E33" s="6">
        <v>0</v>
      </c>
      <c r="F33" s="4">
        <v>0</v>
      </c>
      <c r="G33" s="5">
        <f t="shared" si="0"/>
        <v>0</v>
      </c>
      <c r="H33" s="9">
        <f t="shared" si="2"/>
        <v>1</v>
      </c>
    </row>
    <row r="34" spans="1:8" x14ac:dyDescent="0.25">
      <c r="A34" s="14" t="s">
        <v>26</v>
      </c>
      <c r="B34" s="6">
        <v>2</v>
      </c>
      <c r="C34" s="4">
        <v>3</v>
      </c>
      <c r="D34" s="5">
        <f t="shared" si="1"/>
        <v>5</v>
      </c>
      <c r="E34" s="6">
        <v>0</v>
      </c>
      <c r="F34" s="4">
        <v>0</v>
      </c>
      <c r="G34" s="5">
        <f t="shared" si="0"/>
        <v>0</v>
      </c>
      <c r="H34" s="9">
        <f t="shared" si="2"/>
        <v>5</v>
      </c>
    </row>
    <row r="35" spans="1:8" x14ac:dyDescent="0.25">
      <c r="A35" s="14" t="s">
        <v>27</v>
      </c>
      <c r="B35" s="6">
        <v>1</v>
      </c>
      <c r="C35" s="4">
        <v>0</v>
      </c>
      <c r="D35" s="5">
        <f t="shared" si="1"/>
        <v>1</v>
      </c>
      <c r="E35" s="6">
        <v>0</v>
      </c>
      <c r="F35" s="4">
        <v>0</v>
      </c>
      <c r="G35" s="5">
        <f t="shared" si="0"/>
        <v>0</v>
      </c>
      <c r="H35" s="9">
        <f t="shared" si="2"/>
        <v>1</v>
      </c>
    </row>
    <row r="36" spans="1:8" x14ac:dyDescent="0.25">
      <c r="A36" s="14" t="s">
        <v>77</v>
      </c>
      <c r="B36" s="6">
        <v>0</v>
      </c>
      <c r="C36" s="4">
        <v>0</v>
      </c>
      <c r="D36" s="5">
        <f t="shared" si="1"/>
        <v>0</v>
      </c>
      <c r="E36" s="6">
        <v>0</v>
      </c>
      <c r="F36" s="4">
        <v>1</v>
      </c>
      <c r="G36" s="5">
        <f t="shared" si="0"/>
        <v>1</v>
      </c>
      <c r="H36" s="9">
        <f t="shared" si="2"/>
        <v>1</v>
      </c>
    </row>
    <row r="37" spans="1:8" x14ac:dyDescent="0.25">
      <c r="A37" s="14" t="s">
        <v>28</v>
      </c>
      <c r="B37" s="6">
        <v>1</v>
      </c>
      <c r="C37" s="4">
        <v>12</v>
      </c>
      <c r="D37" s="5">
        <f t="shared" si="1"/>
        <v>13</v>
      </c>
      <c r="E37" s="6">
        <v>2</v>
      </c>
      <c r="F37" s="4">
        <v>0</v>
      </c>
      <c r="G37" s="5">
        <f t="shared" si="0"/>
        <v>2</v>
      </c>
      <c r="H37" s="9">
        <f t="shared" si="2"/>
        <v>15</v>
      </c>
    </row>
    <row r="38" spans="1:8" x14ac:dyDescent="0.25">
      <c r="A38" s="14" t="s">
        <v>29</v>
      </c>
      <c r="B38" s="6">
        <v>2</v>
      </c>
      <c r="C38" s="4">
        <v>0</v>
      </c>
      <c r="D38" s="5">
        <f t="shared" si="1"/>
        <v>2</v>
      </c>
      <c r="E38" s="6">
        <v>1</v>
      </c>
      <c r="F38" s="4">
        <v>2</v>
      </c>
      <c r="G38" s="5">
        <f t="shared" si="0"/>
        <v>3</v>
      </c>
      <c r="H38" s="9">
        <f t="shared" si="2"/>
        <v>5</v>
      </c>
    </row>
    <row r="39" spans="1:8" x14ac:dyDescent="0.25">
      <c r="A39" s="14" t="s">
        <v>30</v>
      </c>
      <c r="B39" s="6">
        <v>0</v>
      </c>
      <c r="C39" s="4">
        <v>0</v>
      </c>
      <c r="D39" s="5">
        <f t="shared" si="1"/>
        <v>0</v>
      </c>
      <c r="E39" s="6">
        <v>2</v>
      </c>
      <c r="F39" s="4">
        <v>0</v>
      </c>
      <c r="G39" s="5">
        <f t="shared" si="0"/>
        <v>2</v>
      </c>
      <c r="H39" s="9">
        <f t="shared" si="2"/>
        <v>2</v>
      </c>
    </row>
    <row r="40" spans="1:8" x14ac:dyDescent="0.25">
      <c r="A40" s="14" t="s">
        <v>31</v>
      </c>
      <c r="B40" s="6">
        <v>4</v>
      </c>
      <c r="C40" s="4">
        <v>4</v>
      </c>
      <c r="D40" s="5">
        <f t="shared" si="1"/>
        <v>8</v>
      </c>
      <c r="E40" s="6">
        <v>1</v>
      </c>
      <c r="F40" s="4">
        <v>0</v>
      </c>
      <c r="G40" s="5">
        <f t="shared" si="0"/>
        <v>1</v>
      </c>
      <c r="H40" s="9">
        <f t="shared" si="2"/>
        <v>9</v>
      </c>
    </row>
    <row r="41" spans="1:8" x14ac:dyDescent="0.25">
      <c r="A41" s="14" t="s">
        <v>32</v>
      </c>
      <c r="B41" s="6">
        <v>0</v>
      </c>
      <c r="C41" s="4">
        <v>0</v>
      </c>
      <c r="D41" s="5">
        <f t="shared" si="1"/>
        <v>0</v>
      </c>
      <c r="E41" s="6">
        <v>0</v>
      </c>
      <c r="F41" s="4">
        <v>0</v>
      </c>
      <c r="G41" s="5">
        <f t="shared" si="0"/>
        <v>0</v>
      </c>
      <c r="H41" s="9">
        <f t="shared" si="2"/>
        <v>0</v>
      </c>
    </row>
    <row r="42" spans="1:8" x14ac:dyDescent="0.25">
      <c r="A42" s="14" t="s">
        <v>33</v>
      </c>
      <c r="B42" s="6">
        <v>12</v>
      </c>
      <c r="C42" s="4">
        <v>11</v>
      </c>
      <c r="D42" s="5">
        <f t="shared" si="1"/>
        <v>23</v>
      </c>
      <c r="E42" s="6">
        <v>0</v>
      </c>
      <c r="F42" s="4">
        <v>0</v>
      </c>
      <c r="G42" s="5">
        <f t="shared" si="0"/>
        <v>0</v>
      </c>
      <c r="H42" s="9">
        <f t="shared" si="2"/>
        <v>23</v>
      </c>
    </row>
    <row r="43" spans="1:8" x14ac:dyDescent="0.25">
      <c r="A43" s="14" t="s">
        <v>34</v>
      </c>
      <c r="B43" s="6">
        <v>13</v>
      </c>
      <c r="C43" s="4">
        <v>0</v>
      </c>
      <c r="D43" s="5">
        <f t="shared" si="1"/>
        <v>13</v>
      </c>
      <c r="E43" s="6">
        <v>0</v>
      </c>
      <c r="F43" s="4">
        <v>0</v>
      </c>
      <c r="G43" s="5">
        <f t="shared" si="0"/>
        <v>0</v>
      </c>
      <c r="H43" s="9">
        <f t="shared" si="2"/>
        <v>13</v>
      </c>
    </row>
    <row r="44" spans="1:8" ht="15.75" thickBot="1" x14ac:dyDescent="0.3">
      <c r="A44" s="15" t="s">
        <v>35</v>
      </c>
      <c r="B44" s="11">
        <v>1</v>
      </c>
      <c r="C44" s="12">
        <v>3</v>
      </c>
      <c r="D44" s="13">
        <f t="shared" si="1"/>
        <v>4</v>
      </c>
      <c r="E44" s="11">
        <v>0</v>
      </c>
      <c r="F44" s="12">
        <v>0</v>
      </c>
      <c r="G44" s="13">
        <f t="shared" si="0"/>
        <v>0</v>
      </c>
      <c r="H44" s="16">
        <f t="shared" si="2"/>
        <v>4</v>
      </c>
    </row>
    <row r="45" spans="1:8" ht="16.5" thickTop="1" thickBot="1" x14ac:dyDescent="0.3">
      <c r="A45" s="8" t="s">
        <v>0</v>
      </c>
      <c r="B45" s="7">
        <f t="shared" ref="B45:H45" si="3">SUM(B7:B44)</f>
        <v>203</v>
      </c>
      <c r="C45" s="7">
        <f t="shared" si="3"/>
        <v>188</v>
      </c>
      <c r="D45" s="7">
        <f t="shared" si="3"/>
        <v>391</v>
      </c>
      <c r="E45" s="7">
        <f t="shared" si="3"/>
        <v>42</v>
      </c>
      <c r="F45" s="7">
        <f t="shared" si="3"/>
        <v>59</v>
      </c>
      <c r="G45" s="8">
        <f t="shared" si="3"/>
        <v>101</v>
      </c>
      <c r="H45" s="10">
        <f t="shared" si="3"/>
        <v>492</v>
      </c>
    </row>
    <row r="46" spans="1:8" x14ac:dyDescent="0.25">
      <c r="A46" s="18"/>
      <c r="B46" s="18"/>
      <c r="C46" s="18"/>
      <c r="D46" s="18"/>
      <c r="E46" s="18"/>
      <c r="F46" s="18"/>
      <c r="G46" s="18"/>
      <c r="H46" s="18"/>
    </row>
    <row r="47" spans="1:8" ht="15.75" thickBot="1" x14ac:dyDescent="0.3"/>
    <row r="48" spans="1:8" x14ac:dyDescent="0.25">
      <c r="A48" s="23" t="s">
        <v>40</v>
      </c>
      <c r="B48" s="37" t="s">
        <v>3</v>
      </c>
      <c r="C48" s="38"/>
      <c r="D48" s="38"/>
      <c r="E48" s="37" t="s">
        <v>4</v>
      </c>
      <c r="F48" s="38"/>
      <c r="G48" s="38"/>
      <c r="H48" s="39" t="s">
        <v>0</v>
      </c>
    </row>
    <row r="49" spans="1:8" x14ac:dyDescent="0.25">
      <c r="A49" s="24"/>
      <c r="B49" s="25" t="s">
        <v>48</v>
      </c>
      <c r="C49" s="26" t="s">
        <v>49</v>
      </c>
      <c r="D49" s="27" t="s">
        <v>0</v>
      </c>
      <c r="E49" s="25" t="s">
        <v>48</v>
      </c>
      <c r="F49" s="26" t="s">
        <v>49</v>
      </c>
      <c r="G49" s="27" t="s">
        <v>0</v>
      </c>
      <c r="H49" s="41"/>
    </row>
    <row r="50" spans="1:8" x14ac:dyDescent="0.25">
      <c r="A50" s="14" t="s">
        <v>41</v>
      </c>
      <c r="B50" s="6">
        <v>54</v>
      </c>
      <c r="C50" s="4">
        <v>61</v>
      </c>
      <c r="D50" s="5">
        <f t="shared" ref="D50:D57" si="4">SUM(B50+C50)</f>
        <v>115</v>
      </c>
      <c r="E50" s="6">
        <v>9</v>
      </c>
      <c r="F50" s="4">
        <v>7</v>
      </c>
      <c r="G50" s="5">
        <f t="shared" ref="G50:G57" si="5">F50+E50</f>
        <v>16</v>
      </c>
      <c r="H50" s="9">
        <f t="shared" ref="H50:H57" si="6">D50+G50</f>
        <v>131</v>
      </c>
    </row>
    <row r="51" spans="1:8" x14ac:dyDescent="0.25">
      <c r="A51" s="14" t="s">
        <v>42</v>
      </c>
      <c r="B51" s="6">
        <v>14</v>
      </c>
      <c r="C51" s="4">
        <v>3</v>
      </c>
      <c r="D51" s="5">
        <f t="shared" si="4"/>
        <v>17</v>
      </c>
      <c r="E51" s="6">
        <v>18</v>
      </c>
      <c r="F51" s="4">
        <v>11</v>
      </c>
      <c r="G51" s="5">
        <f t="shared" si="5"/>
        <v>29</v>
      </c>
      <c r="H51" s="9">
        <f t="shared" si="6"/>
        <v>46</v>
      </c>
    </row>
    <row r="52" spans="1:8" x14ac:dyDescent="0.25">
      <c r="A52" s="14" t="s">
        <v>43</v>
      </c>
      <c r="B52" s="6">
        <v>4</v>
      </c>
      <c r="C52" s="4">
        <v>0</v>
      </c>
      <c r="D52" s="5">
        <f t="shared" ref="D52" si="7">SUM(B52+C52)</f>
        <v>4</v>
      </c>
      <c r="E52" s="6">
        <v>0</v>
      </c>
      <c r="F52" s="4">
        <v>0</v>
      </c>
      <c r="G52" s="5">
        <f t="shared" ref="G52" si="8">F52+E52</f>
        <v>0</v>
      </c>
      <c r="H52" s="9">
        <f t="shared" ref="H52" si="9">D52+G52</f>
        <v>4</v>
      </c>
    </row>
    <row r="53" spans="1:8" x14ac:dyDescent="0.25">
      <c r="A53" s="14" t="s">
        <v>44</v>
      </c>
      <c r="B53" s="6">
        <v>27</v>
      </c>
      <c r="C53" s="4">
        <v>10</v>
      </c>
      <c r="D53" s="5">
        <f t="shared" si="4"/>
        <v>37</v>
      </c>
      <c r="E53" s="6">
        <v>4</v>
      </c>
      <c r="F53" s="4">
        <v>1</v>
      </c>
      <c r="G53" s="5">
        <f t="shared" si="5"/>
        <v>5</v>
      </c>
      <c r="H53" s="9">
        <f t="shared" si="6"/>
        <v>42</v>
      </c>
    </row>
    <row r="54" spans="1:8" x14ac:dyDescent="0.25">
      <c r="A54" s="14" t="s">
        <v>1</v>
      </c>
      <c r="B54" s="6">
        <v>32</v>
      </c>
      <c r="C54" s="4">
        <v>0</v>
      </c>
      <c r="D54" s="5">
        <f t="shared" si="4"/>
        <v>32</v>
      </c>
      <c r="E54" s="6">
        <v>0</v>
      </c>
      <c r="F54" s="4">
        <v>38</v>
      </c>
      <c r="G54" s="5">
        <f t="shared" si="5"/>
        <v>38</v>
      </c>
      <c r="H54" s="9">
        <f t="shared" si="6"/>
        <v>70</v>
      </c>
    </row>
    <row r="55" spans="1:8" x14ac:dyDescent="0.25">
      <c r="A55" s="14" t="s">
        <v>45</v>
      </c>
      <c r="B55" s="6">
        <v>17</v>
      </c>
      <c r="C55" s="4">
        <v>22</v>
      </c>
      <c r="D55" s="5">
        <f t="shared" si="4"/>
        <v>39</v>
      </c>
      <c r="E55" s="6">
        <v>2</v>
      </c>
      <c r="F55" s="4">
        <v>0</v>
      </c>
      <c r="G55" s="5">
        <f t="shared" si="5"/>
        <v>2</v>
      </c>
      <c r="H55" s="9">
        <f t="shared" si="6"/>
        <v>41</v>
      </c>
    </row>
    <row r="56" spans="1:8" x14ac:dyDescent="0.25">
      <c r="A56" s="14" t="s">
        <v>46</v>
      </c>
      <c r="B56" s="6">
        <v>19</v>
      </c>
      <c r="C56" s="4">
        <v>17</v>
      </c>
      <c r="D56" s="5">
        <f t="shared" si="4"/>
        <v>36</v>
      </c>
      <c r="E56" s="6">
        <v>2</v>
      </c>
      <c r="F56" s="4">
        <v>1</v>
      </c>
      <c r="G56" s="5">
        <f t="shared" si="5"/>
        <v>3</v>
      </c>
      <c r="H56" s="9">
        <f t="shared" si="6"/>
        <v>39</v>
      </c>
    </row>
    <row r="57" spans="1:8" ht="15.75" thickBot="1" x14ac:dyDescent="0.3">
      <c r="A57" s="15" t="s">
        <v>47</v>
      </c>
      <c r="B57" s="11">
        <v>36</v>
      </c>
      <c r="C57" s="12">
        <v>75</v>
      </c>
      <c r="D57" s="12">
        <f t="shared" si="4"/>
        <v>111</v>
      </c>
      <c r="E57" s="11">
        <v>7</v>
      </c>
      <c r="F57" s="12">
        <v>1</v>
      </c>
      <c r="G57" s="13">
        <f t="shared" si="5"/>
        <v>8</v>
      </c>
      <c r="H57" s="16">
        <f t="shared" si="6"/>
        <v>119</v>
      </c>
    </row>
    <row r="58" spans="1:8" ht="16.5" thickTop="1" thickBot="1" x14ac:dyDescent="0.3">
      <c r="A58" s="8" t="s">
        <v>0</v>
      </c>
      <c r="B58" s="7">
        <f t="shared" ref="B58:H58" si="10">SUM(B50:B57)</f>
        <v>203</v>
      </c>
      <c r="C58" s="7">
        <f t="shared" si="10"/>
        <v>188</v>
      </c>
      <c r="D58" s="7">
        <f t="shared" si="10"/>
        <v>391</v>
      </c>
      <c r="E58" s="7">
        <f t="shared" si="10"/>
        <v>42</v>
      </c>
      <c r="F58" s="7">
        <f t="shared" si="10"/>
        <v>59</v>
      </c>
      <c r="G58" s="8">
        <f t="shared" si="10"/>
        <v>101</v>
      </c>
      <c r="H58" s="10">
        <f t="shared" si="10"/>
        <v>492</v>
      </c>
    </row>
    <row r="60" spans="1:8" x14ac:dyDescent="0.25">
      <c r="A60" s="48" t="s">
        <v>76</v>
      </c>
      <c r="B60" s="48"/>
      <c r="C60" s="48"/>
      <c r="D60" s="48"/>
      <c r="E60" s="48"/>
      <c r="F60" s="48"/>
      <c r="G60" s="48"/>
      <c r="H60" s="48"/>
    </row>
    <row r="64" spans="1:8" x14ac:dyDescent="0.25">
      <c r="A64" s="49"/>
      <c r="B64" s="49"/>
      <c r="C64" s="49"/>
      <c r="D64" s="49"/>
      <c r="E64" s="49"/>
      <c r="F64" s="49"/>
      <c r="G64" s="49"/>
      <c r="H64" s="49"/>
    </row>
  </sheetData>
  <mergeCells count="8">
    <mergeCell ref="A2:H2"/>
    <mergeCell ref="B5:D5"/>
    <mergeCell ref="E5:G5"/>
    <mergeCell ref="B48:D48"/>
    <mergeCell ref="E48:G48"/>
    <mergeCell ref="H48:H49"/>
    <mergeCell ref="A60:H60"/>
    <mergeCell ref="A64:H64"/>
  </mergeCells>
  <pageMargins left="0.25" right="0.25" top="0.75" bottom="0.75" header="0.3" footer="0.3"/>
  <pageSetup paperSize="9" orientation="portrait" r:id="rId1"/>
  <headerFooter>
    <oddHeader>&amp;CUCL Student Data Statistics</oddHeader>
    <oddFooter>&amp;C&amp;P of &amp;N</oddFooter>
  </headerFooter>
  <rowBreaks count="1" manualBreakCount="1">
    <brk id="46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view="pageLayout" topLeftCell="A43" zoomScale="70" zoomScaleNormal="100" zoomScalePageLayoutView="70" workbookViewId="0">
      <selection activeCell="E12" sqref="E12"/>
    </sheetView>
  </sheetViews>
  <sheetFormatPr defaultColWidth="9.140625" defaultRowHeight="15" x14ac:dyDescent="0.25"/>
  <cols>
    <col min="1" max="1" width="29.28515625" bestFit="1" customWidth="1"/>
    <col min="2" max="8" width="8.5703125" customWidth="1"/>
  </cols>
  <sheetData>
    <row r="1" spans="1:8" ht="18" x14ac:dyDescent="0.25">
      <c r="A1" s="1" t="s">
        <v>50</v>
      </c>
      <c r="B1" s="3"/>
    </row>
    <row r="2" spans="1:8" x14ac:dyDescent="0.25">
      <c r="A2" s="33" t="s">
        <v>51</v>
      </c>
      <c r="B2" s="33"/>
      <c r="C2" s="33"/>
      <c r="D2" s="33"/>
      <c r="E2" s="33"/>
      <c r="F2" s="33"/>
      <c r="G2" s="33"/>
      <c r="H2" s="33"/>
    </row>
    <row r="3" spans="1:8" x14ac:dyDescent="0.25">
      <c r="A3" s="2" t="str">
        <f ca="1">RIGHT(CELL("filename",A1),LEN(CELL("filename",A1))-FIND("]",CELL("filename",A1)))</f>
        <v>1995-96</v>
      </c>
      <c r="B3" s="3"/>
    </row>
    <row r="4" spans="1:8" ht="15.75" thickBot="1" x14ac:dyDescent="0.3">
      <c r="A4" s="3"/>
      <c r="B4" s="3"/>
    </row>
    <row r="5" spans="1:8" ht="15" customHeight="1" x14ac:dyDescent="0.25">
      <c r="A5" s="21" t="s">
        <v>2</v>
      </c>
      <c r="B5" s="19" t="s">
        <v>3</v>
      </c>
      <c r="C5" s="20"/>
      <c r="D5" s="31"/>
      <c r="E5" s="19" t="s">
        <v>4</v>
      </c>
      <c r="F5" s="20"/>
      <c r="G5" s="31"/>
      <c r="H5" s="21" t="s">
        <v>0</v>
      </c>
    </row>
    <row r="6" spans="1:8" ht="15" customHeight="1" x14ac:dyDescent="0.25">
      <c r="A6" s="22"/>
      <c r="B6" s="28" t="s">
        <v>48</v>
      </c>
      <c r="C6" s="29" t="s">
        <v>49</v>
      </c>
      <c r="D6" s="30" t="s">
        <v>0</v>
      </c>
      <c r="E6" s="28" t="s">
        <v>48</v>
      </c>
      <c r="F6" s="29" t="s">
        <v>49</v>
      </c>
      <c r="G6" s="30" t="s">
        <v>0</v>
      </c>
      <c r="H6" s="22"/>
    </row>
    <row r="7" spans="1:8" x14ac:dyDescent="0.25">
      <c r="A7" s="14" t="s">
        <v>5</v>
      </c>
      <c r="B7" s="6">
        <v>1</v>
      </c>
      <c r="C7" s="4">
        <v>0</v>
      </c>
      <c r="D7" s="5">
        <f>B7+C7</f>
        <v>1</v>
      </c>
      <c r="E7" s="6">
        <v>1</v>
      </c>
      <c r="F7" s="4">
        <v>0</v>
      </c>
      <c r="G7" s="5">
        <f t="shared" ref="G7:G42" si="0">E7+F7</f>
        <v>1</v>
      </c>
      <c r="H7" s="9">
        <f>G7+D7</f>
        <v>2</v>
      </c>
    </row>
    <row r="8" spans="1:8" x14ac:dyDescent="0.25">
      <c r="A8" s="14" t="s">
        <v>6</v>
      </c>
      <c r="B8" s="6">
        <v>3</v>
      </c>
      <c r="C8" s="4">
        <v>17</v>
      </c>
      <c r="D8" s="5">
        <f t="shared" ref="D8:D42" si="1">B8+C8</f>
        <v>20</v>
      </c>
      <c r="E8" s="6">
        <v>0</v>
      </c>
      <c r="F8" s="4">
        <v>0</v>
      </c>
      <c r="G8" s="5">
        <f t="shared" si="0"/>
        <v>0</v>
      </c>
      <c r="H8" s="9">
        <f t="shared" ref="H8:H42" si="2">G8+D8</f>
        <v>20</v>
      </c>
    </row>
    <row r="9" spans="1:8" x14ac:dyDescent="0.25">
      <c r="A9" s="14" t="s">
        <v>7</v>
      </c>
      <c r="B9" s="6">
        <v>3</v>
      </c>
      <c r="C9" s="4">
        <v>5</v>
      </c>
      <c r="D9" s="5">
        <f t="shared" si="1"/>
        <v>8</v>
      </c>
      <c r="E9" s="6">
        <v>2</v>
      </c>
      <c r="F9" s="4">
        <v>0</v>
      </c>
      <c r="G9" s="5">
        <f t="shared" si="0"/>
        <v>2</v>
      </c>
      <c r="H9" s="9">
        <f t="shared" si="2"/>
        <v>10</v>
      </c>
    </row>
    <row r="10" spans="1:8" x14ac:dyDescent="0.25">
      <c r="A10" s="14" t="s">
        <v>8</v>
      </c>
      <c r="B10" s="6">
        <v>6</v>
      </c>
      <c r="C10" s="4">
        <v>4</v>
      </c>
      <c r="D10" s="5">
        <f t="shared" si="1"/>
        <v>10</v>
      </c>
      <c r="E10" s="6">
        <v>29</v>
      </c>
      <c r="F10" s="4">
        <v>2</v>
      </c>
      <c r="G10" s="5">
        <f t="shared" si="0"/>
        <v>31</v>
      </c>
      <c r="H10" s="9">
        <f t="shared" si="2"/>
        <v>41</v>
      </c>
    </row>
    <row r="11" spans="1:8" x14ac:dyDescent="0.25">
      <c r="A11" s="14" t="s">
        <v>9</v>
      </c>
      <c r="B11" s="6">
        <v>1</v>
      </c>
      <c r="C11" s="4">
        <v>1</v>
      </c>
      <c r="D11" s="5">
        <f t="shared" si="1"/>
        <v>2</v>
      </c>
      <c r="E11" s="6">
        <v>0</v>
      </c>
      <c r="F11" s="4">
        <v>0</v>
      </c>
      <c r="G11" s="5">
        <f t="shared" si="0"/>
        <v>0</v>
      </c>
      <c r="H11" s="9">
        <f t="shared" si="2"/>
        <v>2</v>
      </c>
    </row>
    <row r="12" spans="1:8" x14ac:dyDescent="0.25">
      <c r="A12" s="14" t="s">
        <v>10</v>
      </c>
      <c r="B12" s="6">
        <v>1</v>
      </c>
      <c r="C12" s="4">
        <v>4</v>
      </c>
      <c r="D12" s="5">
        <f t="shared" si="1"/>
        <v>5</v>
      </c>
      <c r="E12" s="6">
        <v>0</v>
      </c>
      <c r="F12" s="4">
        <v>0</v>
      </c>
      <c r="G12" s="5">
        <f t="shared" si="0"/>
        <v>0</v>
      </c>
      <c r="H12" s="9">
        <f t="shared" si="2"/>
        <v>5</v>
      </c>
    </row>
    <row r="13" spans="1:8" x14ac:dyDescent="0.25">
      <c r="A13" s="14" t="s">
        <v>11</v>
      </c>
      <c r="B13" s="6">
        <v>7</v>
      </c>
      <c r="C13" s="4">
        <v>2</v>
      </c>
      <c r="D13" s="5">
        <f t="shared" si="1"/>
        <v>9</v>
      </c>
      <c r="E13" s="6">
        <v>0</v>
      </c>
      <c r="F13" s="4">
        <v>0</v>
      </c>
      <c r="G13" s="5">
        <f t="shared" si="0"/>
        <v>0</v>
      </c>
      <c r="H13" s="9">
        <f t="shared" si="2"/>
        <v>9</v>
      </c>
    </row>
    <row r="14" spans="1:8" x14ac:dyDescent="0.25">
      <c r="A14" s="14" t="s">
        <v>12</v>
      </c>
      <c r="B14" s="6">
        <v>9</v>
      </c>
      <c r="C14" s="4">
        <v>0</v>
      </c>
      <c r="D14" s="5">
        <f t="shared" si="1"/>
        <v>9</v>
      </c>
      <c r="E14" s="6">
        <v>1</v>
      </c>
      <c r="F14" s="4">
        <v>0</v>
      </c>
      <c r="G14" s="5">
        <f t="shared" si="0"/>
        <v>1</v>
      </c>
      <c r="H14" s="9">
        <f t="shared" si="2"/>
        <v>10</v>
      </c>
    </row>
    <row r="15" spans="1:8" x14ac:dyDescent="0.25">
      <c r="A15" s="14" t="s">
        <v>13</v>
      </c>
      <c r="B15" s="6">
        <v>7</v>
      </c>
      <c r="C15" s="4">
        <v>7</v>
      </c>
      <c r="D15" s="5">
        <f t="shared" si="1"/>
        <v>14</v>
      </c>
      <c r="E15" s="6">
        <v>1</v>
      </c>
      <c r="F15" s="4">
        <v>0</v>
      </c>
      <c r="G15" s="5">
        <f t="shared" si="0"/>
        <v>1</v>
      </c>
      <c r="H15" s="9">
        <f t="shared" si="2"/>
        <v>15</v>
      </c>
    </row>
    <row r="16" spans="1:8" x14ac:dyDescent="0.25">
      <c r="A16" s="14" t="s">
        <v>52</v>
      </c>
      <c r="B16" s="6">
        <v>9</v>
      </c>
      <c r="C16" s="4">
        <v>0</v>
      </c>
      <c r="D16" s="5">
        <f t="shared" si="1"/>
        <v>9</v>
      </c>
      <c r="E16" s="6">
        <v>0</v>
      </c>
      <c r="F16" s="4">
        <v>0</v>
      </c>
      <c r="G16" s="5">
        <f t="shared" si="0"/>
        <v>0</v>
      </c>
      <c r="H16" s="9">
        <f t="shared" si="2"/>
        <v>9</v>
      </c>
    </row>
    <row r="17" spans="1:8" x14ac:dyDescent="0.25">
      <c r="A17" s="14" t="s">
        <v>14</v>
      </c>
      <c r="B17" s="6">
        <v>0</v>
      </c>
      <c r="C17" s="4">
        <v>2</v>
      </c>
      <c r="D17" s="5">
        <f t="shared" si="1"/>
        <v>2</v>
      </c>
      <c r="E17" s="6">
        <v>0</v>
      </c>
      <c r="F17" s="4">
        <v>0</v>
      </c>
      <c r="G17" s="5">
        <f t="shared" si="0"/>
        <v>0</v>
      </c>
      <c r="H17" s="9">
        <f t="shared" si="2"/>
        <v>2</v>
      </c>
    </row>
    <row r="18" spans="1:8" x14ac:dyDescent="0.25">
      <c r="A18" s="14" t="s">
        <v>15</v>
      </c>
      <c r="B18" s="6">
        <v>0</v>
      </c>
      <c r="C18" s="4">
        <v>0</v>
      </c>
      <c r="D18" s="5">
        <f t="shared" si="1"/>
        <v>0</v>
      </c>
      <c r="E18" s="6">
        <v>1</v>
      </c>
      <c r="F18" s="4">
        <v>0</v>
      </c>
      <c r="G18" s="5">
        <f t="shared" si="0"/>
        <v>1</v>
      </c>
      <c r="H18" s="9">
        <f t="shared" si="2"/>
        <v>1</v>
      </c>
    </row>
    <row r="19" spans="1:8" x14ac:dyDescent="0.25">
      <c r="A19" s="14" t="s">
        <v>16</v>
      </c>
      <c r="B19" s="6">
        <v>15</v>
      </c>
      <c r="C19" s="4">
        <v>5</v>
      </c>
      <c r="D19" s="5">
        <f t="shared" si="1"/>
        <v>20</v>
      </c>
      <c r="E19" s="6">
        <v>2</v>
      </c>
      <c r="F19" s="4">
        <v>0</v>
      </c>
      <c r="G19" s="5">
        <f t="shared" si="0"/>
        <v>2</v>
      </c>
      <c r="H19" s="9">
        <f t="shared" si="2"/>
        <v>22</v>
      </c>
    </row>
    <row r="20" spans="1:8" x14ac:dyDescent="0.25">
      <c r="A20" s="14" t="s">
        <v>17</v>
      </c>
      <c r="B20" s="6">
        <v>4</v>
      </c>
      <c r="C20" s="4">
        <v>22</v>
      </c>
      <c r="D20" s="5">
        <f t="shared" si="1"/>
        <v>26</v>
      </c>
      <c r="E20" s="6">
        <v>3</v>
      </c>
      <c r="F20" s="4">
        <v>0</v>
      </c>
      <c r="G20" s="5">
        <f t="shared" si="0"/>
        <v>3</v>
      </c>
      <c r="H20" s="9">
        <f t="shared" si="2"/>
        <v>29</v>
      </c>
    </row>
    <row r="21" spans="1:8" x14ac:dyDescent="0.25">
      <c r="A21" s="14" t="s">
        <v>18</v>
      </c>
      <c r="B21" s="6">
        <v>12</v>
      </c>
      <c r="C21" s="4">
        <v>0</v>
      </c>
      <c r="D21" s="5">
        <f t="shared" si="1"/>
        <v>12</v>
      </c>
      <c r="E21" s="6">
        <v>2</v>
      </c>
      <c r="F21" s="4">
        <v>0</v>
      </c>
      <c r="G21" s="5">
        <f t="shared" si="0"/>
        <v>2</v>
      </c>
      <c r="H21" s="9">
        <f t="shared" si="2"/>
        <v>14</v>
      </c>
    </row>
    <row r="22" spans="1:8" x14ac:dyDescent="0.25">
      <c r="A22" s="14" t="s">
        <v>19</v>
      </c>
      <c r="B22" s="6">
        <v>4</v>
      </c>
      <c r="C22" s="4">
        <v>16</v>
      </c>
      <c r="D22" s="5">
        <f t="shared" si="1"/>
        <v>20</v>
      </c>
      <c r="E22" s="6">
        <v>0</v>
      </c>
      <c r="F22" s="4">
        <v>0</v>
      </c>
      <c r="G22" s="5">
        <f t="shared" si="0"/>
        <v>0</v>
      </c>
      <c r="H22" s="9">
        <f t="shared" si="2"/>
        <v>20</v>
      </c>
    </row>
    <row r="23" spans="1:8" x14ac:dyDescent="0.25">
      <c r="A23" s="14" t="s">
        <v>20</v>
      </c>
      <c r="B23" s="6">
        <v>4</v>
      </c>
      <c r="C23" s="4">
        <v>13</v>
      </c>
      <c r="D23" s="5">
        <f t="shared" si="1"/>
        <v>17</v>
      </c>
      <c r="E23" s="6">
        <v>3</v>
      </c>
      <c r="F23" s="4">
        <v>0</v>
      </c>
      <c r="G23" s="5">
        <f t="shared" si="0"/>
        <v>3</v>
      </c>
      <c r="H23" s="9">
        <f t="shared" si="2"/>
        <v>20</v>
      </c>
    </row>
    <row r="24" spans="1:8" x14ac:dyDescent="0.25">
      <c r="A24" s="14" t="s">
        <v>21</v>
      </c>
      <c r="B24" s="6">
        <v>12</v>
      </c>
      <c r="C24" s="4">
        <v>7</v>
      </c>
      <c r="D24" s="5">
        <f t="shared" si="1"/>
        <v>19</v>
      </c>
      <c r="E24" s="6">
        <v>0</v>
      </c>
      <c r="F24" s="4">
        <v>0</v>
      </c>
      <c r="G24" s="5">
        <f t="shared" si="0"/>
        <v>0</v>
      </c>
      <c r="H24" s="9">
        <f t="shared" si="2"/>
        <v>19</v>
      </c>
    </row>
    <row r="25" spans="1:8" x14ac:dyDescent="0.25">
      <c r="A25" s="14" t="s">
        <v>22</v>
      </c>
      <c r="B25" s="6">
        <v>1</v>
      </c>
      <c r="C25" s="4">
        <v>0</v>
      </c>
      <c r="D25" s="5">
        <f t="shared" si="1"/>
        <v>1</v>
      </c>
      <c r="E25" s="6">
        <v>0</v>
      </c>
      <c r="F25" s="4">
        <v>0</v>
      </c>
      <c r="G25" s="5">
        <f t="shared" si="0"/>
        <v>0</v>
      </c>
      <c r="H25" s="9">
        <f t="shared" si="2"/>
        <v>1</v>
      </c>
    </row>
    <row r="26" spans="1:8" x14ac:dyDescent="0.25">
      <c r="A26" s="14" t="s">
        <v>23</v>
      </c>
      <c r="B26" s="6">
        <v>13</v>
      </c>
      <c r="C26" s="4">
        <v>3</v>
      </c>
      <c r="D26" s="5">
        <f t="shared" si="1"/>
        <v>16</v>
      </c>
      <c r="E26" s="6">
        <v>0</v>
      </c>
      <c r="F26" s="4">
        <v>0</v>
      </c>
      <c r="G26" s="5">
        <f t="shared" si="0"/>
        <v>0</v>
      </c>
      <c r="H26" s="9">
        <f t="shared" si="2"/>
        <v>16</v>
      </c>
    </row>
    <row r="27" spans="1:8" x14ac:dyDescent="0.25">
      <c r="A27" s="14" t="s">
        <v>37</v>
      </c>
      <c r="B27" s="6">
        <v>3</v>
      </c>
      <c r="C27" s="4">
        <v>3</v>
      </c>
      <c r="D27" s="5">
        <f t="shared" si="1"/>
        <v>6</v>
      </c>
      <c r="E27" s="6">
        <v>2</v>
      </c>
      <c r="F27" s="4">
        <v>0</v>
      </c>
      <c r="G27" s="5">
        <f t="shared" si="0"/>
        <v>2</v>
      </c>
      <c r="H27" s="9">
        <f t="shared" si="2"/>
        <v>8</v>
      </c>
    </row>
    <row r="28" spans="1:8" x14ac:dyDescent="0.25">
      <c r="A28" s="14" t="s">
        <v>38</v>
      </c>
      <c r="B28" s="6">
        <v>3</v>
      </c>
      <c r="C28" s="4">
        <v>4</v>
      </c>
      <c r="D28" s="5">
        <f t="shared" si="1"/>
        <v>7</v>
      </c>
      <c r="E28" s="6">
        <v>0</v>
      </c>
      <c r="F28" s="4">
        <v>0</v>
      </c>
      <c r="G28" s="5">
        <f t="shared" si="0"/>
        <v>0</v>
      </c>
      <c r="H28" s="9">
        <f t="shared" si="2"/>
        <v>7</v>
      </c>
    </row>
    <row r="29" spans="1:8" x14ac:dyDescent="0.25">
      <c r="A29" s="14" t="s">
        <v>24</v>
      </c>
      <c r="B29" s="6">
        <v>10</v>
      </c>
      <c r="C29" s="4">
        <v>17</v>
      </c>
      <c r="D29" s="5">
        <f t="shared" si="1"/>
        <v>27</v>
      </c>
      <c r="E29" s="6">
        <v>1</v>
      </c>
      <c r="F29" s="4">
        <v>0</v>
      </c>
      <c r="G29" s="5">
        <f t="shared" si="0"/>
        <v>1</v>
      </c>
      <c r="H29" s="9">
        <f t="shared" si="2"/>
        <v>28</v>
      </c>
    </row>
    <row r="30" spans="1:8" x14ac:dyDescent="0.25">
      <c r="A30" s="14" t="s">
        <v>39</v>
      </c>
      <c r="B30" s="6">
        <v>6</v>
      </c>
      <c r="C30" s="4">
        <v>8</v>
      </c>
      <c r="D30" s="5">
        <f t="shared" si="1"/>
        <v>14</v>
      </c>
      <c r="E30" s="6">
        <v>1</v>
      </c>
      <c r="F30" s="4">
        <v>0</v>
      </c>
      <c r="G30" s="5">
        <f t="shared" si="0"/>
        <v>1</v>
      </c>
      <c r="H30" s="9">
        <f t="shared" si="2"/>
        <v>15</v>
      </c>
    </row>
    <row r="31" spans="1:8" x14ac:dyDescent="0.25">
      <c r="A31" s="14" t="s">
        <v>25</v>
      </c>
      <c r="B31" s="6">
        <v>3</v>
      </c>
      <c r="C31" s="4">
        <v>0</v>
      </c>
      <c r="D31" s="5">
        <f t="shared" si="1"/>
        <v>3</v>
      </c>
      <c r="E31" s="6">
        <v>0</v>
      </c>
      <c r="F31" s="4">
        <v>0</v>
      </c>
      <c r="G31" s="5">
        <f t="shared" si="0"/>
        <v>0</v>
      </c>
      <c r="H31" s="9">
        <f t="shared" si="2"/>
        <v>3</v>
      </c>
    </row>
    <row r="32" spans="1:8" x14ac:dyDescent="0.25">
      <c r="A32" s="14" t="s">
        <v>1</v>
      </c>
      <c r="B32" s="6">
        <v>32</v>
      </c>
      <c r="C32" s="4">
        <v>0</v>
      </c>
      <c r="D32" s="5">
        <f t="shared" si="1"/>
        <v>32</v>
      </c>
      <c r="E32" s="6">
        <v>1</v>
      </c>
      <c r="F32" s="4">
        <v>37</v>
      </c>
      <c r="G32" s="5">
        <f t="shared" si="0"/>
        <v>38</v>
      </c>
      <c r="H32" s="9">
        <f t="shared" si="2"/>
        <v>70</v>
      </c>
    </row>
    <row r="33" spans="1:8" x14ac:dyDescent="0.25">
      <c r="A33" s="14" t="s">
        <v>26</v>
      </c>
      <c r="B33" s="6">
        <v>2</v>
      </c>
      <c r="C33" s="4">
        <v>2</v>
      </c>
      <c r="D33" s="5">
        <f t="shared" si="1"/>
        <v>4</v>
      </c>
      <c r="E33" s="6">
        <v>0</v>
      </c>
      <c r="F33" s="4">
        <v>0</v>
      </c>
      <c r="G33" s="5">
        <f t="shared" si="0"/>
        <v>0</v>
      </c>
      <c r="H33" s="9">
        <f t="shared" si="2"/>
        <v>4</v>
      </c>
    </row>
    <row r="34" spans="1:8" x14ac:dyDescent="0.25">
      <c r="A34" s="14" t="s">
        <v>27</v>
      </c>
      <c r="B34" s="6">
        <v>0</v>
      </c>
      <c r="C34" s="4">
        <v>1</v>
      </c>
      <c r="D34" s="5">
        <f t="shared" si="1"/>
        <v>1</v>
      </c>
      <c r="E34" s="6">
        <v>0</v>
      </c>
      <c r="F34" s="4">
        <v>0</v>
      </c>
      <c r="G34" s="5">
        <f t="shared" si="0"/>
        <v>0</v>
      </c>
      <c r="H34" s="9">
        <f t="shared" si="2"/>
        <v>1</v>
      </c>
    </row>
    <row r="35" spans="1:8" x14ac:dyDescent="0.25">
      <c r="A35" s="14" t="s">
        <v>28</v>
      </c>
      <c r="B35" s="6">
        <v>1</v>
      </c>
      <c r="C35" s="4">
        <v>9</v>
      </c>
      <c r="D35" s="5">
        <f t="shared" si="1"/>
        <v>10</v>
      </c>
      <c r="E35" s="6">
        <v>0</v>
      </c>
      <c r="F35" s="4">
        <v>0</v>
      </c>
      <c r="G35" s="5">
        <f t="shared" si="0"/>
        <v>0</v>
      </c>
      <c r="H35" s="9">
        <f t="shared" si="2"/>
        <v>10</v>
      </c>
    </row>
    <row r="36" spans="1:8" x14ac:dyDescent="0.25">
      <c r="A36" s="14" t="s">
        <v>29</v>
      </c>
      <c r="B36" s="6">
        <v>2</v>
      </c>
      <c r="C36" s="4">
        <v>2</v>
      </c>
      <c r="D36" s="5">
        <f t="shared" si="1"/>
        <v>4</v>
      </c>
      <c r="E36" s="6">
        <v>0</v>
      </c>
      <c r="F36" s="4">
        <v>0</v>
      </c>
      <c r="G36" s="5">
        <f t="shared" si="0"/>
        <v>0</v>
      </c>
      <c r="H36" s="9">
        <f t="shared" si="2"/>
        <v>4</v>
      </c>
    </row>
    <row r="37" spans="1:8" x14ac:dyDescent="0.25">
      <c r="A37" s="14" t="s">
        <v>30</v>
      </c>
      <c r="B37" s="6">
        <v>0</v>
      </c>
      <c r="C37" s="4">
        <v>0</v>
      </c>
      <c r="D37" s="5">
        <f t="shared" si="1"/>
        <v>0</v>
      </c>
      <c r="E37" s="6">
        <v>0</v>
      </c>
      <c r="F37" s="4">
        <v>1</v>
      </c>
      <c r="G37" s="5">
        <f t="shared" si="0"/>
        <v>1</v>
      </c>
      <c r="H37" s="9">
        <f t="shared" si="2"/>
        <v>1</v>
      </c>
    </row>
    <row r="38" spans="1:8" x14ac:dyDescent="0.25">
      <c r="A38" s="14" t="s">
        <v>31</v>
      </c>
      <c r="B38" s="6">
        <v>3</v>
      </c>
      <c r="C38" s="4">
        <v>2</v>
      </c>
      <c r="D38" s="5">
        <f t="shared" si="1"/>
        <v>5</v>
      </c>
      <c r="E38" s="6">
        <v>0</v>
      </c>
      <c r="F38" s="4">
        <v>0</v>
      </c>
      <c r="G38" s="5">
        <f t="shared" si="0"/>
        <v>0</v>
      </c>
      <c r="H38" s="9">
        <f t="shared" si="2"/>
        <v>5</v>
      </c>
    </row>
    <row r="39" spans="1:8" x14ac:dyDescent="0.25">
      <c r="A39" s="14" t="s">
        <v>32</v>
      </c>
      <c r="B39" s="6">
        <v>1</v>
      </c>
      <c r="C39" s="4">
        <v>0</v>
      </c>
      <c r="D39" s="5">
        <f t="shared" si="1"/>
        <v>1</v>
      </c>
      <c r="E39" s="6">
        <v>0</v>
      </c>
      <c r="F39" s="4">
        <v>0</v>
      </c>
      <c r="G39" s="5">
        <f t="shared" si="0"/>
        <v>0</v>
      </c>
      <c r="H39" s="9">
        <f t="shared" si="2"/>
        <v>1</v>
      </c>
    </row>
    <row r="40" spans="1:8" x14ac:dyDescent="0.25">
      <c r="A40" s="14" t="s">
        <v>33</v>
      </c>
      <c r="B40" s="6">
        <v>6</v>
      </c>
      <c r="C40" s="4">
        <v>13</v>
      </c>
      <c r="D40" s="5">
        <f t="shared" si="1"/>
        <v>19</v>
      </c>
      <c r="E40" s="6">
        <v>0</v>
      </c>
      <c r="F40" s="4">
        <v>0</v>
      </c>
      <c r="G40" s="5">
        <f t="shared" si="0"/>
        <v>0</v>
      </c>
      <c r="H40" s="9">
        <f t="shared" si="2"/>
        <v>19</v>
      </c>
    </row>
    <row r="41" spans="1:8" x14ac:dyDescent="0.25">
      <c r="A41" s="14" t="s">
        <v>34</v>
      </c>
      <c r="B41" s="6">
        <v>4</v>
      </c>
      <c r="C41" s="4">
        <v>1</v>
      </c>
      <c r="D41" s="5">
        <f t="shared" si="1"/>
        <v>5</v>
      </c>
      <c r="E41" s="6">
        <v>1</v>
      </c>
      <c r="F41" s="4">
        <v>0</v>
      </c>
      <c r="G41" s="5">
        <f t="shared" si="0"/>
        <v>1</v>
      </c>
      <c r="H41" s="9">
        <f t="shared" si="2"/>
        <v>6</v>
      </c>
    </row>
    <row r="42" spans="1:8" ht="15.75" thickBot="1" x14ac:dyDescent="0.3">
      <c r="A42" s="15" t="s">
        <v>35</v>
      </c>
      <c r="B42" s="11">
        <v>0</v>
      </c>
      <c r="C42" s="12">
        <v>2</v>
      </c>
      <c r="D42" s="13">
        <f t="shared" si="1"/>
        <v>2</v>
      </c>
      <c r="E42" s="11">
        <v>0</v>
      </c>
      <c r="F42" s="12">
        <v>0</v>
      </c>
      <c r="G42" s="13">
        <f t="shared" si="0"/>
        <v>0</v>
      </c>
      <c r="H42" s="16">
        <f t="shared" si="2"/>
        <v>2</v>
      </c>
    </row>
    <row r="43" spans="1:8" ht="16.5" thickTop="1" thickBot="1" x14ac:dyDescent="0.3">
      <c r="A43" s="8" t="s">
        <v>0</v>
      </c>
      <c r="B43" s="7">
        <f t="shared" ref="B43:H43" si="3">SUM(B7:B42)</f>
        <v>188</v>
      </c>
      <c r="C43" s="7">
        <f t="shared" si="3"/>
        <v>172</v>
      </c>
      <c r="D43" s="7">
        <f t="shared" si="3"/>
        <v>360</v>
      </c>
      <c r="E43" s="7">
        <f t="shared" si="3"/>
        <v>51</v>
      </c>
      <c r="F43" s="7">
        <f t="shared" si="3"/>
        <v>40</v>
      </c>
      <c r="G43" s="8">
        <f t="shared" si="3"/>
        <v>91</v>
      </c>
      <c r="H43" s="10">
        <f t="shared" si="3"/>
        <v>451</v>
      </c>
    </row>
    <row r="44" spans="1:8" ht="15.75" thickBot="1" x14ac:dyDescent="0.3">
      <c r="A44" s="18"/>
      <c r="B44" s="18"/>
      <c r="C44" s="18"/>
      <c r="D44" s="18"/>
      <c r="E44" s="18"/>
      <c r="F44" s="18"/>
      <c r="G44" s="18"/>
      <c r="H44" s="18"/>
    </row>
    <row r="45" spans="1:8" x14ac:dyDescent="0.25">
      <c r="A45" s="21" t="s">
        <v>40</v>
      </c>
      <c r="B45" s="19" t="s">
        <v>3</v>
      </c>
      <c r="C45" s="20"/>
      <c r="D45" s="31"/>
      <c r="E45" s="19" t="s">
        <v>4</v>
      </c>
      <c r="F45" s="20"/>
      <c r="G45" s="31"/>
      <c r="H45" s="17" t="s">
        <v>0</v>
      </c>
    </row>
    <row r="46" spans="1:8" x14ac:dyDescent="0.25">
      <c r="A46" s="22"/>
      <c r="B46" s="28" t="s">
        <v>48</v>
      </c>
      <c r="C46" s="29" t="s">
        <v>49</v>
      </c>
      <c r="D46" s="30" t="s">
        <v>0</v>
      </c>
      <c r="E46" s="28" t="s">
        <v>48</v>
      </c>
      <c r="F46" s="29" t="s">
        <v>49</v>
      </c>
      <c r="G46" s="30" t="s">
        <v>0</v>
      </c>
      <c r="H46" s="32" t="s">
        <v>36</v>
      </c>
    </row>
    <row r="47" spans="1:8" x14ac:dyDescent="0.25">
      <c r="A47" s="14" t="s">
        <v>41</v>
      </c>
      <c r="B47" s="6">
        <v>52</v>
      </c>
      <c r="C47" s="4">
        <v>56</v>
      </c>
      <c r="D47" s="5">
        <f t="shared" ref="D47:D54" si="4">SUM(B47+C47)</f>
        <v>108</v>
      </c>
      <c r="E47" s="6">
        <v>8</v>
      </c>
      <c r="F47" s="4">
        <v>0</v>
      </c>
      <c r="G47" s="5">
        <f t="shared" ref="G47:G54" si="5">F47+E47</f>
        <v>8</v>
      </c>
      <c r="H47" s="9">
        <f t="shared" ref="H47:H54" si="6">D47+G47</f>
        <v>116</v>
      </c>
    </row>
    <row r="48" spans="1:8" x14ac:dyDescent="0.25">
      <c r="A48" s="14" t="s">
        <v>42</v>
      </c>
      <c r="B48" s="6">
        <v>6</v>
      </c>
      <c r="C48" s="4">
        <v>4</v>
      </c>
      <c r="D48" s="5">
        <f t="shared" si="4"/>
        <v>10</v>
      </c>
      <c r="E48" s="6">
        <v>30</v>
      </c>
      <c r="F48" s="4">
        <v>2</v>
      </c>
      <c r="G48" s="5">
        <f t="shared" si="5"/>
        <v>32</v>
      </c>
      <c r="H48" s="9">
        <f t="shared" si="6"/>
        <v>42</v>
      </c>
    </row>
    <row r="49" spans="1:8" x14ac:dyDescent="0.25">
      <c r="A49" s="14" t="s">
        <v>43</v>
      </c>
      <c r="B49" s="6">
        <v>9</v>
      </c>
      <c r="C49" s="4">
        <v>0</v>
      </c>
      <c r="D49" s="5">
        <f t="shared" si="4"/>
        <v>9</v>
      </c>
      <c r="E49" s="6">
        <v>0</v>
      </c>
      <c r="F49" s="4">
        <v>0</v>
      </c>
      <c r="G49" s="5">
        <f t="shared" si="5"/>
        <v>0</v>
      </c>
      <c r="H49" s="9">
        <f t="shared" si="6"/>
        <v>9</v>
      </c>
    </row>
    <row r="50" spans="1:8" x14ac:dyDescent="0.25">
      <c r="A50" s="14" t="s">
        <v>44</v>
      </c>
      <c r="B50" s="6">
        <v>26</v>
      </c>
      <c r="C50" s="4">
        <v>10</v>
      </c>
      <c r="D50" s="5">
        <f t="shared" si="4"/>
        <v>36</v>
      </c>
      <c r="E50" s="6">
        <v>3</v>
      </c>
      <c r="F50" s="4">
        <v>1</v>
      </c>
      <c r="G50" s="5">
        <f t="shared" si="5"/>
        <v>4</v>
      </c>
      <c r="H50" s="9">
        <f t="shared" si="6"/>
        <v>40</v>
      </c>
    </row>
    <row r="51" spans="1:8" x14ac:dyDescent="0.25">
      <c r="A51" s="14" t="s">
        <v>1</v>
      </c>
      <c r="B51" s="6">
        <v>32</v>
      </c>
      <c r="C51" s="4">
        <v>0</v>
      </c>
      <c r="D51" s="5">
        <f t="shared" si="4"/>
        <v>32</v>
      </c>
      <c r="E51" s="6">
        <v>1</v>
      </c>
      <c r="F51" s="4">
        <v>37</v>
      </c>
      <c r="G51" s="5">
        <f t="shared" si="5"/>
        <v>38</v>
      </c>
      <c r="H51" s="9">
        <f t="shared" si="6"/>
        <v>70</v>
      </c>
    </row>
    <row r="52" spans="1:8" x14ac:dyDescent="0.25">
      <c r="A52" s="14" t="s">
        <v>45</v>
      </c>
      <c r="B52" s="6">
        <v>10</v>
      </c>
      <c r="C52" s="4">
        <v>18</v>
      </c>
      <c r="D52" s="5">
        <f t="shared" si="4"/>
        <v>28</v>
      </c>
      <c r="E52" s="6">
        <v>1</v>
      </c>
      <c r="F52" s="4">
        <v>0</v>
      </c>
      <c r="G52" s="5">
        <f t="shared" si="5"/>
        <v>1</v>
      </c>
      <c r="H52" s="9">
        <f t="shared" si="6"/>
        <v>29</v>
      </c>
    </row>
    <row r="53" spans="1:8" x14ac:dyDescent="0.25">
      <c r="A53" s="14" t="s">
        <v>46</v>
      </c>
      <c r="B53" s="6">
        <v>15</v>
      </c>
      <c r="C53" s="4">
        <v>8</v>
      </c>
      <c r="D53" s="5">
        <f t="shared" si="4"/>
        <v>23</v>
      </c>
      <c r="E53" s="6">
        <v>1</v>
      </c>
      <c r="F53" s="4">
        <v>0</v>
      </c>
      <c r="G53" s="5">
        <f t="shared" si="5"/>
        <v>1</v>
      </c>
      <c r="H53" s="9">
        <f t="shared" si="6"/>
        <v>24</v>
      </c>
    </row>
    <row r="54" spans="1:8" ht="15.75" thickBot="1" x14ac:dyDescent="0.3">
      <c r="A54" s="15" t="s">
        <v>47</v>
      </c>
      <c r="B54" s="11">
        <v>38</v>
      </c>
      <c r="C54" s="12">
        <v>76</v>
      </c>
      <c r="D54" s="12">
        <f t="shared" si="4"/>
        <v>114</v>
      </c>
      <c r="E54" s="11">
        <v>7</v>
      </c>
      <c r="F54" s="12">
        <v>0</v>
      </c>
      <c r="G54" s="13">
        <f t="shared" si="5"/>
        <v>7</v>
      </c>
      <c r="H54" s="16">
        <f t="shared" si="6"/>
        <v>121</v>
      </c>
    </row>
    <row r="55" spans="1:8" ht="16.5" thickTop="1" thickBot="1" x14ac:dyDescent="0.3">
      <c r="A55" s="8" t="s">
        <v>0</v>
      </c>
      <c r="B55" s="7">
        <f t="shared" ref="B55:H55" si="7">SUM(B47:B54)</f>
        <v>188</v>
      </c>
      <c r="C55" s="7">
        <f t="shared" si="7"/>
        <v>172</v>
      </c>
      <c r="D55" s="7">
        <f t="shared" si="7"/>
        <v>360</v>
      </c>
      <c r="E55" s="7">
        <f t="shared" si="7"/>
        <v>51</v>
      </c>
      <c r="F55" s="7">
        <f t="shared" si="7"/>
        <v>40</v>
      </c>
      <c r="G55" s="8">
        <f t="shared" si="7"/>
        <v>91</v>
      </c>
      <c r="H55" s="10">
        <f t="shared" si="7"/>
        <v>451</v>
      </c>
    </row>
    <row r="57" spans="1:8" ht="40.5" customHeight="1" x14ac:dyDescent="0.25">
      <c r="A57" s="48" t="s">
        <v>76</v>
      </c>
      <c r="B57" s="48"/>
      <c r="C57" s="48"/>
      <c r="D57" s="48"/>
      <c r="E57" s="48"/>
      <c r="F57" s="48"/>
      <c r="G57" s="48"/>
      <c r="H57" s="48"/>
    </row>
    <row r="61" spans="1:8" x14ac:dyDescent="0.25">
      <c r="A61" s="49"/>
      <c r="B61" s="49"/>
      <c r="C61" s="49"/>
      <c r="D61" s="49"/>
      <c r="E61" s="49"/>
      <c r="F61" s="49"/>
      <c r="G61" s="49"/>
      <c r="H61" s="49"/>
    </row>
  </sheetData>
  <mergeCells count="3">
    <mergeCell ref="A57:H57"/>
    <mergeCell ref="A2:H2"/>
    <mergeCell ref="A61:H61"/>
  </mergeCells>
  <pageMargins left="0.25" right="0.25" top="0.75" bottom="0.75" header="0.3" footer="0.3"/>
  <pageSetup paperSize="9" orientation="portrait" r:id="rId1"/>
  <headerFooter>
    <oddHeader>&amp;CUCL Student Data Statistics</oddHeader>
    <oddFooter>&amp;C&amp;P of &amp;N</oddFooter>
  </headerFooter>
  <rowBreaks count="1" manualBreakCount="1"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2011-12</vt:lpstr>
      <vt:lpstr>2010-11</vt:lpstr>
      <vt:lpstr>2009-10</vt:lpstr>
      <vt:lpstr>2008-09</vt:lpstr>
      <vt:lpstr>2007-08</vt:lpstr>
      <vt:lpstr>2006-07</vt:lpstr>
      <vt:lpstr>2005-06</vt:lpstr>
      <vt:lpstr>2004-05</vt:lpstr>
      <vt:lpstr>2003-04</vt:lpstr>
      <vt:lpstr>2002-03</vt:lpstr>
      <vt:lpstr>2001-02</vt:lpstr>
      <vt:lpstr>2000-01</vt:lpstr>
      <vt:lpstr>1999-00</vt:lpstr>
      <vt:lpstr>1998-99</vt:lpstr>
      <vt:lpstr>1997-98</vt:lpstr>
      <vt:lpstr>1996-97</vt:lpstr>
      <vt:lpstr>1995-96</vt:lpstr>
    </vt:vector>
  </TitlesOfParts>
  <Company>University College London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Meaney</dc:creator>
  <cp:lastModifiedBy>Fiona Meaney</cp:lastModifiedBy>
  <cp:lastPrinted>2013-06-18T13:36:48Z</cp:lastPrinted>
  <dcterms:created xsi:type="dcterms:W3CDTF">2013-05-17T14:02:41Z</dcterms:created>
  <dcterms:modified xsi:type="dcterms:W3CDTF">2013-06-18T13:37:59Z</dcterms:modified>
</cp:coreProperties>
</file>